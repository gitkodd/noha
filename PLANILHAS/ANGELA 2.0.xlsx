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1" sheetId="1" r:id="rId4"/>
    <sheet state="visible" name="Tabela dinâmica 19" sheetId="2" r:id="rId5"/>
    <sheet state="hidden" name="DASH BOARD" sheetId="3" r:id="rId6"/>
  </sheets>
  <definedNames>
    <definedName hidden="1" localSheetId="0" name="_xlnm._FilterDatabase">'BD1'!$B$12:$L$271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z0mVgGyncrzxYS04Blj6WAO/YVRlJXAf/uxKhVfZkD4="/>
    </ext>
  </extLst>
</workbook>
</file>

<file path=xl/sharedStrings.xml><?xml version="1.0" encoding="utf-8"?>
<sst xmlns="http://schemas.openxmlformats.org/spreadsheetml/2006/main" count="187" uniqueCount="65">
  <si>
    <t xml:space="preserve">  </t>
  </si>
  <si>
    <t>Ambiente</t>
  </si>
  <si>
    <t>Company</t>
  </si>
  <si>
    <t>Product</t>
  </si>
  <si>
    <t>Category</t>
  </si>
  <si>
    <t>LINK</t>
  </si>
  <si>
    <t>Qty</t>
  </si>
  <si>
    <t>Unit Cost Price</t>
  </si>
  <si>
    <t>Price Cost</t>
  </si>
  <si>
    <t>Actual Cost</t>
  </si>
  <si>
    <t>STATUS</t>
  </si>
  <si>
    <t>Comentarios</t>
  </si>
  <si>
    <t>FOYER</t>
  </si>
  <si>
    <t>DECOR INGRID</t>
  </si>
  <si>
    <t>Abajur</t>
  </si>
  <si>
    <t>DECORAÇÃO</t>
  </si>
  <si>
    <t>COMPRADO</t>
  </si>
  <si>
    <t>Amazon</t>
  </si>
  <si>
    <t>Lampadas de Abajur</t>
  </si>
  <si>
    <t>PRODUTOS</t>
  </si>
  <si>
    <t>Luminaria</t>
  </si>
  <si>
    <t>VAI SER USADO A QUE ESTAVA NA LILIAN</t>
  </si>
  <si>
    <t>Instalação Luminária</t>
  </si>
  <si>
    <t>FIXOS</t>
  </si>
  <si>
    <t>Lampada para Luminaria</t>
  </si>
  <si>
    <t>Bed</t>
  </si>
  <si>
    <t>MÓVEIS</t>
  </si>
  <si>
    <t>Poltrona Pack 2</t>
  </si>
  <si>
    <t>Espelho com led</t>
  </si>
  <si>
    <t>Junior Elegance</t>
  </si>
  <si>
    <t>Espelho sob medida</t>
  </si>
  <si>
    <t>VIDRO</t>
  </si>
  <si>
    <t xml:space="preserve">Comforter Twin </t>
  </si>
  <si>
    <t xml:space="preserve">Lençol </t>
  </si>
  <si>
    <t xml:space="preserve">Manta </t>
  </si>
  <si>
    <t>Vanderlei</t>
  </si>
  <si>
    <t>Mattress Twin</t>
  </si>
  <si>
    <t>COLCHÃO/VANDERLEI</t>
  </si>
  <si>
    <t>Mattress Box Twin</t>
  </si>
  <si>
    <t xml:space="preserve">Mattress Protector Twin </t>
  </si>
  <si>
    <t>Sams</t>
  </si>
  <si>
    <t>Pillow Standard</t>
  </si>
  <si>
    <t>Serta Standard</t>
  </si>
  <si>
    <t xml:space="preserve">Decor Pillow </t>
  </si>
  <si>
    <t>Decor Bancada</t>
  </si>
  <si>
    <t>Wallpaper to go</t>
  </si>
  <si>
    <t xml:space="preserve">Wallpaper </t>
  </si>
  <si>
    <t>Instalação Wallpaper</t>
  </si>
  <si>
    <t>PAPEL DE PAREDE</t>
  </si>
  <si>
    <t>EXTRA</t>
  </si>
  <si>
    <t>Fernanda</t>
  </si>
  <si>
    <t>Limpeza</t>
  </si>
  <si>
    <t>LIMPEZA</t>
  </si>
  <si>
    <t>LIXO</t>
  </si>
  <si>
    <t>EXTRAS</t>
  </si>
  <si>
    <t>Marcenaria</t>
  </si>
  <si>
    <t>MARCENARIA</t>
  </si>
  <si>
    <t xml:space="preserve">Comissao 10% </t>
  </si>
  <si>
    <t>COMISSÃO</t>
  </si>
  <si>
    <t>Maite/Rubens</t>
  </si>
  <si>
    <t>SAMUEL FIXO</t>
  </si>
  <si>
    <t xml:space="preserve">PAGUEI 680 COM O PAPEL </t>
  </si>
  <si>
    <t>SUM de Price Cost</t>
  </si>
  <si>
    <t>SUM de Actual Cost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</si>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</sst>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&quot;$&quot;#,##0.00"/>
    <numFmt numFmtId="166" formatCode="&quot;$&quot;#,##0.00_);[Red]\(&quot;$&quot;#,##0.00\)"/>
    <numFmt numFmtId="167" formatCode="&quot;R$&quot;#,##0.00"/>
  </numFmts>
  <fonts count="23">
    <font>
      <sz val="11.0"/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Roboto"/>
    </font>
    <font>
      <b/>
      <color rgb="FFFFFFFF"/>
      <name val="Arial"/>
    </font>
    <font>
      <sz val="11.0"/>
      <color theme="1"/>
      <name val="Arial"/>
    </font>
    <font>
      <sz val="11.0"/>
      <color theme="1"/>
      <name val="Aptos Narrow"/>
    </font>
    <font>
      <u/>
      <color rgb="FF0000FF"/>
      <name val="Arial"/>
    </font>
    <font>
      <sz val="10.0"/>
      <color theme="1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b/>
      <sz val="10.0"/>
      <color rgb="FFFFFFFF"/>
      <name val="Arial"/>
    </font>
    <font>
      <color rgb="FF434343"/>
      <name val="Arial"/>
    </font>
    <font>
      <u/>
      <color theme="1"/>
      <name val="Arial"/>
    </font>
    <font>
      <u/>
      <color rgb="FF1155CC"/>
      <name val="Arial"/>
    </font>
    <font>
      <color theme="1"/>
      <name val="Aptos Narrow"/>
    </font>
    <font>
      <color theme="1"/>
      <name val="Aptos Narrow"/>
      <scheme val="minor"/>
    </font>
    <font>
      <color rgb="FF1155CC"/>
      <name val="Arial"/>
    </font>
    <font>
      <color rgb="FF333333"/>
      <name val="Arial"/>
    </font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8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1"/>
    </xf>
    <xf borderId="2" fillId="4" fontId="4" numFmtId="0" xfId="0" applyAlignment="1" applyBorder="1" applyFill="1" applyFont="1">
      <alignment readingOrder="0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0" fontId="4" numFmtId="164" xfId="0" applyAlignment="1" applyBorder="1" applyFont="1" applyNumberFormat="1">
      <alignment readingOrder="0" shrinkToFit="0" vertical="bottom" wrapText="0"/>
    </xf>
    <xf borderId="2" fillId="5" fontId="3" numFmtId="0" xfId="0" applyAlignment="1" applyBorder="1" applyFill="1" applyFont="1">
      <alignment readingOrder="0" shrinkToFit="0" vertical="center" wrapText="1"/>
    </xf>
    <xf borderId="2" fillId="5" fontId="3" numFmtId="166" xfId="0" applyAlignment="1" applyBorder="1" applyFont="1" applyNumberFormat="1">
      <alignment horizontal="center" shrinkToFit="0" vertical="center" wrapText="1"/>
    </xf>
    <xf borderId="2" fillId="4" fontId="7" numFmtId="0" xfId="0" applyAlignment="1" applyBorder="1" applyFont="1">
      <alignment readingOrder="0" shrinkToFit="0" vertical="center" wrapText="0"/>
    </xf>
    <xf borderId="2" fillId="4" fontId="8" numFmtId="166" xfId="0" applyAlignment="1" applyBorder="1" applyFont="1" applyNumberFormat="1">
      <alignment shrinkToFit="0" vertical="center" wrapText="0"/>
    </xf>
    <xf borderId="2" fillId="6" fontId="4" numFmtId="0" xfId="0" applyAlignment="1" applyBorder="1" applyFill="1" applyFont="1">
      <alignment shrinkToFit="0" vertical="bottom" wrapText="0"/>
    </xf>
    <xf borderId="2" fillId="6" fontId="4" numFmtId="165" xfId="0" applyAlignment="1" applyBorder="1" applyFont="1" applyNumberFormat="1">
      <alignment shrinkToFit="0" vertical="bottom" wrapText="1"/>
    </xf>
    <xf borderId="2" fillId="6" fontId="4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horizontal="center" readingOrder="0" shrinkToFit="0" vertical="bottom" wrapText="0"/>
    </xf>
    <xf borderId="2" fillId="6" fontId="4" numFmtId="0" xfId="0" applyAlignment="1" applyBorder="1" applyFont="1">
      <alignment shrinkToFit="0" vertical="bottom" wrapText="0"/>
    </xf>
    <xf borderId="2" fillId="6" fontId="4" numFmtId="164" xfId="0" applyAlignment="1" applyBorder="1" applyFont="1" applyNumberFormat="1">
      <alignment shrinkToFit="0" vertical="bottom" wrapText="0"/>
    </xf>
    <xf borderId="2" fillId="7" fontId="4" numFmtId="164" xfId="0" applyAlignment="1" applyBorder="1" applyFill="1" applyFont="1" applyNumberFormat="1">
      <alignment shrinkToFit="0" vertical="bottom" wrapText="0"/>
    </xf>
    <xf borderId="2" fillId="6" fontId="3" numFmtId="0" xfId="0" applyAlignment="1" applyBorder="1" applyFont="1">
      <alignment readingOrder="0" shrinkToFit="0" vertical="center" wrapText="1"/>
    </xf>
    <xf borderId="2" fillId="6" fontId="10" numFmtId="0" xfId="0" applyAlignment="1" applyBorder="1" applyFont="1">
      <alignment shrinkToFit="0" vertical="center" wrapText="0"/>
    </xf>
    <xf borderId="2" fillId="0" fontId="11" numFmtId="0" xfId="0" applyAlignment="1" applyBorder="1" applyFont="1">
      <alignment shrinkToFit="0" vertical="bottom" wrapText="0"/>
    </xf>
    <xf borderId="2" fillId="8" fontId="3" numFmtId="0" xfId="0" applyAlignment="1" applyBorder="1" applyFill="1" applyFont="1">
      <alignment readingOrder="0" shrinkToFit="0" vertical="center" wrapText="1"/>
    </xf>
    <xf borderId="2" fillId="8" fontId="8" numFmtId="166" xfId="0" applyAlignment="1" applyBorder="1" applyFont="1" applyNumberFormat="1">
      <alignment shrinkToFit="0" vertical="center" wrapText="0"/>
    </xf>
    <xf borderId="2" fillId="0" fontId="12" numFmtId="0" xfId="0" applyAlignment="1" applyBorder="1" applyFont="1">
      <alignment horizontal="center" readingOrder="0"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2" fillId="8" fontId="7" numFmtId="166" xfId="0" applyAlignment="1" applyBorder="1" applyFont="1" applyNumberFormat="1">
      <alignment shrinkToFit="0" vertical="center" wrapText="0"/>
    </xf>
    <xf borderId="2" fillId="4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13" numFmtId="0" xfId="0" applyAlignment="1" applyBorder="1" applyFont="1">
      <alignment horizontal="center" shrinkToFit="0" vertical="bottom" wrapText="0"/>
    </xf>
    <xf borderId="2" fillId="4" fontId="4" numFmtId="0" xfId="0" applyAlignment="1" applyBorder="1" applyFont="1">
      <alignment shrinkToFit="0" vertical="bottom" wrapText="0"/>
    </xf>
    <xf borderId="2" fillId="4" fontId="4" numFmtId="0" xfId="0" applyAlignment="1" applyBorder="1" applyFont="1">
      <alignment shrinkToFit="0" vertical="bottom" wrapText="0"/>
    </xf>
    <xf borderId="2" fillId="4" fontId="4" numFmtId="164" xfId="0" applyAlignment="1" applyBorder="1" applyFont="1" applyNumberFormat="1">
      <alignment shrinkToFit="0" vertical="bottom" wrapText="0"/>
    </xf>
    <xf borderId="2" fillId="0" fontId="7" numFmtId="164" xfId="0" applyAlignment="1" applyBorder="1" applyFont="1" applyNumberForma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0" fontId="4" numFmtId="49" xfId="0" applyAlignment="1" applyBorder="1" applyFont="1" applyNumberFormat="1">
      <alignment readingOrder="0" shrinkToFit="0" vertical="bottom" wrapText="0"/>
    </xf>
    <xf borderId="2" fillId="0" fontId="10" numFmtId="164" xfId="0" applyAlignment="1" applyBorder="1" applyFont="1" applyNumberFormat="1">
      <alignment readingOrder="0" shrinkToFit="0" vertical="center" wrapText="0"/>
    </xf>
    <xf borderId="2" fillId="4" fontId="4" numFmtId="0" xfId="0" applyAlignment="1" applyBorder="1" applyFont="1">
      <alignment readingOrder="0" shrinkToFit="0" vertical="bottom" wrapText="0"/>
    </xf>
    <xf borderId="2" fillId="0" fontId="4" numFmtId="49" xfId="0" applyAlignment="1" applyBorder="1" applyFont="1" applyNumberFormat="1">
      <alignment shrinkToFit="0" vertical="bottom" wrapText="0"/>
    </xf>
    <xf borderId="0" fillId="4" fontId="14" numFmtId="0" xfId="0" applyAlignment="1" applyFont="1">
      <alignment horizontal="left" shrinkToFit="0" vertical="center" wrapText="0"/>
    </xf>
    <xf borderId="0" fillId="4" fontId="4" numFmtId="0" xfId="0" applyAlignment="1" applyFont="1">
      <alignment shrinkToFit="0" vertical="bottom" wrapText="0"/>
    </xf>
    <xf borderId="0" fillId="4" fontId="4" numFmtId="49" xfId="0" applyAlignment="1" applyFont="1" applyNumberForma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4" fontId="4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0"/>
    </xf>
    <xf borderId="0" fillId="4" fontId="4" numFmtId="164" xfId="0" applyAlignment="1" applyFont="1" applyNumberFormat="1">
      <alignment shrinkToFit="0" vertical="bottom" wrapText="0"/>
    </xf>
    <xf borderId="0" fillId="4" fontId="3" numFmtId="164" xfId="0" applyAlignment="1" applyFont="1" applyNumberFormat="1">
      <alignment shrinkToFit="0" vertical="center" wrapText="1"/>
    </xf>
    <xf borderId="0" fillId="4" fontId="3" numFmtId="0" xfId="0" applyAlignment="1" applyFont="1">
      <alignment shrinkToFit="0" vertical="center" wrapText="1"/>
    </xf>
    <xf borderId="0" fillId="4" fontId="8" numFmtId="166" xfId="0" applyAlignment="1" applyFont="1" applyNumberFormat="1">
      <alignment shrinkToFit="0" vertical="center" wrapText="0"/>
    </xf>
    <xf borderId="0" fillId="4" fontId="1" numFmtId="0" xfId="0" applyAlignment="1" applyFont="1">
      <alignment horizontal="center" shrinkToFit="0" vertical="center" wrapText="1"/>
    </xf>
    <xf borderId="0" fillId="4" fontId="7" numFmtId="166" xfId="0" applyAlignment="1" applyFont="1" applyNumberFormat="1">
      <alignment shrinkToFit="0" vertical="center" wrapText="0"/>
    </xf>
    <xf borderId="0" fillId="4" fontId="4" numFmtId="0" xfId="0" applyAlignment="1" applyFont="1">
      <alignment horizontal="center" shrinkToFit="0" vertical="bottom" wrapText="1"/>
    </xf>
    <xf borderId="0" fillId="4" fontId="10" numFmtId="0" xfId="0" applyAlignment="1" applyFont="1">
      <alignment shrinkToFit="0" vertical="center" wrapText="0"/>
    </xf>
    <xf borderId="0" fillId="4" fontId="4" numFmtId="165" xfId="0" applyAlignment="1" applyFont="1" applyNumberFormat="1">
      <alignment shrinkToFit="0" vertical="bottom" wrapText="0"/>
    </xf>
    <xf borderId="0" fillId="4" fontId="4" numFmtId="49" xfId="0" applyAlignment="1" applyFont="1" applyNumberFormat="1">
      <alignment shrinkToFit="0" vertical="bottom" wrapText="1"/>
    </xf>
    <xf borderId="0" fillId="4" fontId="15" numFmtId="0" xfId="0" applyAlignment="1" applyFont="1">
      <alignment horizontal="center" shrinkToFit="0" vertical="bottom" wrapText="0"/>
    </xf>
    <xf borderId="0" fillId="4" fontId="16" numFmtId="0" xfId="0" applyAlignment="1" applyFont="1">
      <alignment horizontal="center" shrinkToFit="0" vertical="bottom" wrapText="0"/>
    </xf>
    <xf borderId="0" fillId="4" fontId="17" numFmtId="0" xfId="0" applyAlignment="1" applyFont="1">
      <alignment horizontal="center" shrinkToFit="0" vertical="bottom" wrapText="0"/>
    </xf>
    <xf borderId="0" fillId="4" fontId="18" numFmtId="164" xfId="0" applyAlignment="1" applyFont="1" applyNumberFormat="1">
      <alignment shrinkToFit="0" vertical="center" wrapText="0"/>
    </xf>
    <xf borderId="0" fillId="4" fontId="3" numFmtId="0" xfId="0" applyAlignment="1" applyFont="1">
      <alignment horizontal="center" shrinkToFit="0" vertical="center" wrapText="1"/>
    </xf>
    <xf borderId="0" fillId="4" fontId="3" numFmtId="49" xfId="0" applyAlignment="1" applyFont="1" applyNumberFormat="1">
      <alignment shrinkToFit="0" vertical="center" wrapText="1"/>
    </xf>
    <xf borderId="0" fillId="4" fontId="3" numFmtId="0" xfId="0" applyAlignment="1" applyFont="1">
      <alignment shrinkToFit="0" vertical="center" wrapText="1"/>
    </xf>
    <xf borderId="0" fillId="4" fontId="4" numFmtId="167" xfId="0" applyAlignment="1" applyFont="1" applyNumberFormat="1">
      <alignment shrinkToFit="0" vertical="bottom" wrapText="0"/>
    </xf>
    <xf borderId="0" fillId="4" fontId="19" numFmtId="0" xfId="0" applyAlignment="1" applyFont="1">
      <alignment shrinkToFit="0" vertical="center" wrapText="0"/>
    </xf>
    <xf borderId="3" fillId="2" fontId="14" numFmtId="0" xfId="0" applyAlignment="1" applyBorder="1" applyFont="1">
      <alignment horizontal="left" shrinkToFit="0" vertical="center" wrapText="0"/>
    </xf>
    <xf borderId="4" fillId="0" fontId="4" numFmtId="165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shrinkToFit="0" vertical="bottom" wrapText="1"/>
    </xf>
    <xf borderId="5" fillId="9" fontId="4" numFmtId="0" xfId="0" applyAlignment="1" applyBorder="1" applyFill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5" fillId="8" fontId="3" numFmtId="164" xfId="0" applyAlignment="1" applyBorder="1" applyFont="1" applyNumberFormat="1">
      <alignment shrinkToFit="0" vertical="center" wrapText="1"/>
    </xf>
    <xf borderId="5" fillId="8" fontId="3" numFmtId="0" xfId="0" applyAlignment="1" applyBorder="1" applyFont="1">
      <alignment shrinkToFit="0" vertical="center" wrapText="1"/>
    </xf>
    <xf borderId="5" fillId="8" fontId="8" numFmtId="166" xfId="0" applyAlignment="1" applyBorder="1" applyFont="1" applyNumberFormat="1">
      <alignment shrinkToFit="0" vertical="center" wrapText="0"/>
    </xf>
    <xf borderId="6" fillId="2" fontId="6" numFmtId="0" xfId="0" applyAlignment="1" applyBorder="1" applyFont="1">
      <alignment horizontal="left" shrinkToFit="0" vertical="center" wrapText="0"/>
    </xf>
    <xf borderId="7" fillId="0" fontId="4" numFmtId="167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shrinkToFit="0" vertical="bottom" wrapText="0"/>
    </xf>
    <xf borderId="2" fillId="9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8" fontId="3" numFmtId="164" xfId="0" applyAlignment="1" applyBorder="1" applyFont="1" applyNumberFormat="1">
      <alignment shrinkToFit="0" vertical="center" wrapText="1"/>
    </xf>
    <xf borderId="2" fillId="8" fontId="3" numFmtId="0" xfId="0" applyAlignment="1" applyBorder="1" applyFont="1">
      <alignment shrinkToFit="0" vertical="center" wrapText="1"/>
    </xf>
    <xf borderId="7" fillId="0" fontId="4" numFmtId="165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2" fillId="0" fontId="20" numFmtId="0" xfId="0" applyAlignment="1" applyBorder="1" applyFont="1">
      <alignment horizontal="center" shrinkToFit="0" vertical="bottom" wrapText="0"/>
    </xf>
    <xf borderId="2" fillId="7" fontId="4" numFmtId="164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shrinkToFit="0" vertical="bottom" wrapText="1"/>
    </xf>
    <xf borderId="6" fillId="2" fontId="14" numFmtId="0" xfId="0" applyAlignment="1" applyBorder="1" applyFont="1">
      <alignment horizontal="left" shrinkToFit="0" vertical="center" wrapText="0"/>
    </xf>
    <xf borderId="2" fillId="0" fontId="21" numFmtId="49" xfId="0" applyAlignment="1" applyBorder="1" applyFont="1" applyNumberFormat="1">
      <alignment shrinkToFit="0" vertical="bottom" wrapText="0"/>
    </xf>
    <xf borderId="2" fillId="0" fontId="21" numFmtId="0" xfId="0" applyAlignment="1" applyBorder="1" applyFont="1">
      <alignment shrinkToFit="0" vertical="bottom" wrapText="0"/>
    </xf>
    <xf borderId="2" fillId="0" fontId="21" numFmtId="164" xfId="0" applyAlignment="1" applyBorder="1" applyFont="1" applyNumberFormat="1">
      <alignment shrinkToFit="0" vertical="bottom" wrapText="0"/>
    </xf>
    <xf borderId="2" fillId="0" fontId="15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0" fontId="19" numFmtId="0" xfId="0" applyFont="1"/>
    <xf borderId="0" fillId="0" fontId="19" numFmtId="164" xfId="0" applyFont="1" applyNumberFormat="1"/>
  </cellXfs>
  <cellStyles count="1">
    <cellStyle xfId="0" name="Normal" builtinId="0"/>
  </cellStyles>
  <dxfs count="11"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D1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95250</xdr:rowOff>
    </xdr:from>
    <xdr:ext cx="4391025" cy="1971675"/>
    <xdr:sp>
      <xdr:nvSpPr>
        <xdr:cNvPr id="3" name="Shape 3"/>
        <xdr:cNvSpPr/>
      </xdr:nvSpPr>
      <xdr:spPr>
        <a:xfrm>
          <a:off x="2417063" y="2722725"/>
          <a:ext cx="5857875" cy="211455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Arial"/>
            <a:buNone/>
          </a:pPr>
          <a:r>
            <a:rPr b="1" lang="en-US" sz="2400" u="sng">
              <a:solidFill>
                <a:srgbClr val="FFFFFF"/>
              </a:solidFill>
            </a:rPr>
            <a:t>PROJETO - WINTER GARDEN</a:t>
          </a:r>
          <a:endParaRPr b="1" sz="18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Arial"/>
            <a:buNone/>
          </a:pPr>
          <a:r>
            <a:rPr lang="en-US" sz="1800">
              <a:solidFill>
                <a:srgbClr val="FFFFFF"/>
              </a:solidFill>
            </a:rPr>
            <a:t>CLIENTE: ANGELA</a:t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Arial"/>
            <a:buNone/>
          </a:pPr>
          <a:r>
            <a:rPr lang="en-US" sz="1800">
              <a:solidFill>
                <a:srgbClr val="FFFFFF"/>
              </a:solidFill>
              <a:highlight>
                <a:srgbClr val="FF0000"/>
              </a:highlight>
            </a:rPr>
            <a:t>PRAZO DE ENTREGA: 10 DE DEZEMBRO DE 2025</a:t>
          </a:r>
          <a:endParaRPr sz="1800">
            <a:solidFill>
              <a:srgbClr val="FFFFFF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2:L271" sheet="BD1"/>
  </cacheSource>
  <cacheFields>
    <cacheField name="Ambiente" numFmtId="0">
      <sharedItems containsBlank="1">
        <s v="FOYER"/>
        <s v="EXTRA"/>
        <m/>
      </sharedItems>
    </cacheField>
    <cacheField name="Company" numFmtId="0">
      <sharedItems containsBlank="1">
        <s v="DECOR INGRID"/>
        <s v="Amazon"/>
        <m/>
        <s v="Junior Elegance"/>
        <s v="Vanderlei"/>
        <s v="Sams"/>
        <s v="Wallpaper to go"/>
        <s v="Fernanda"/>
        <s v="SAMUEL FIXO"/>
      </sharedItems>
    </cacheField>
    <cacheField name="Product" numFmtId="165">
      <sharedItems containsBlank="1">
        <s v="Abajur"/>
        <s v="Lampadas de Abajur"/>
        <s v="Luminaria"/>
        <s v="Instalação Luminária"/>
        <s v="Lampada para Luminaria"/>
        <s v="Bed"/>
        <s v="Poltrona Pack 2"/>
        <s v="Espelho com led"/>
        <s v="Espelho sob medida"/>
        <s v="Comforter Twin "/>
        <s v="Lençol "/>
        <s v="Manta "/>
        <s v="Mattress Twin"/>
        <s v="Mattress Box Twin"/>
        <s v="Mattress Protector Twin "/>
        <s v="Pillow Standard"/>
        <s v="Decor Pillow "/>
        <s v="Decor Bancada"/>
        <s v="Wallpaper "/>
        <s v="Instalação Wallpaper"/>
        <s v="Limpeza"/>
        <s v="LIXO"/>
        <s v="Marcenaria"/>
        <s v="Comissao 10% "/>
        <m/>
      </sharedItems>
    </cacheField>
    <cacheField name="Category" numFmtId="0">
      <sharedItems containsBlank="1">
        <s v="DECORAÇÃO"/>
        <s v="PRODUTOS"/>
        <s v="FIXOS"/>
        <s v="MÓVEIS"/>
        <s v="VIDRO"/>
        <s v="COLCHÃO/VANDERLEI"/>
        <s v="PAPEL DE PAREDE"/>
        <s v="LIMPEZA"/>
        <s v="EXTRAS"/>
        <s v="MARCENARIA"/>
        <s v="COMISSÃO"/>
        <m/>
      </sharedItems>
    </cacheField>
    <cacheField name="LINK" numFmtId="0">
      <sharedItems containsBlank="1">
        <m/>
        <s v="LINK"/>
        <s v="Serta Standard"/>
        <s v="Maite/Rubens"/>
      </sharedItems>
    </cacheField>
    <cacheField name="Qty" numFmtId="0">
      <sharedItems containsString="0" containsBlank="1" containsNumber="1" containsInteger="1">
        <n v="1.0"/>
        <n v="5.0"/>
        <n v="2.0"/>
        <n v="4.0"/>
        <n v="8.0"/>
        <m/>
      </sharedItems>
    </cacheField>
    <cacheField name="Unit Cost Price" numFmtId="164">
      <sharedItems containsString="0" containsBlank="1" containsNumber="1">
        <n v="100.0"/>
        <n v="5.0"/>
        <n v="108.0"/>
        <n v="95.0"/>
        <n v="792.0"/>
        <n v="504.0"/>
        <n v="120.0"/>
        <n v="200.0"/>
        <n v="45.0"/>
        <n v="28.0"/>
        <n v="50.0"/>
        <n v="250.0"/>
        <n v="86.0"/>
        <n v="16.0"/>
        <n v="6.0"/>
        <n v="25.0"/>
        <n v="10.0"/>
        <n v="16.8"/>
        <n v="26.0"/>
        <n v="24.0"/>
        <n v="20.0"/>
        <n v="696.0"/>
        <n v="90.0"/>
        <n v="60.0"/>
        <n v="1000.0"/>
        <m/>
        <n v="15115.116"/>
        <n v="0.0"/>
      </sharedItems>
    </cacheField>
    <cacheField name="Price Cost" numFmtId="164">
      <sharedItems containsString="0" containsBlank="1" containsNumber="1">
        <n v="100.0"/>
        <n v="5.0"/>
        <n v="108.0"/>
        <n v="95.0"/>
        <n v="25.0"/>
        <n v="1584.0"/>
        <n v="1008.0"/>
        <n v="240.0"/>
        <n v="200.0"/>
        <n v="90.0"/>
        <n v="56.0"/>
        <n v="500.0"/>
        <n v="172.0"/>
        <n v="32.0"/>
        <n v="24.0"/>
        <n v="10.0"/>
        <n v="16.8"/>
        <n v="26.0"/>
        <n v="20.0"/>
        <n v="696.0"/>
        <n v="720.0"/>
        <n v="480.0"/>
        <n v="1000.0"/>
        <n v="0.0"/>
        <n v="15115.116"/>
        <m/>
      </sharedItems>
    </cacheField>
    <cacheField name="Actual Cost" numFmtId="164">
      <sharedItems containsString="0" containsBlank="1" containsNumber="1">
        <n v="684.25"/>
        <m/>
        <n v="95.62"/>
        <n v="1404.58"/>
        <n v="453.33"/>
        <n v="204.45"/>
        <n v="550.0"/>
        <n v="80.91"/>
        <n v="50.67"/>
        <n v="50.78"/>
        <n v="714.96"/>
        <n v="27.62"/>
        <n v="22.62"/>
        <n v="9.03"/>
        <n v="15.37"/>
        <n v="23.88"/>
        <n v="21.28"/>
        <n v="7.93"/>
        <n v="615.57"/>
        <n v="480.0"/>
        <n v="400.0"/>
        <n v="13.77"/>
        <n v="15115.12"/>
        <n v="200.0"/>
      </sharedItems>
    </cacheField>
    <cacheField name="STATUS" numFmtId="0">
      <sharedItems containsBlank="1">
        <s v="COMPRADO"/>
        <m/>
      </sharedItems>
    </cacheField>
    <cacheField name="Comentarios" numFmtId="0">
      <sharedItems containsBlank="1">
        <m/>
        <s v="VAI SER USADO A QUE ESTAVA NA LILIAN"/>
        <s v="PAGUEI 680 COM O PAPEL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9" cacheId="0" dataCaption="" compact="0" compactData="0">
  <location ref="A1:C14" firstHeaderRow="0" firstDataRow="2" firstDataCol="0"/>
  <pivotFields>
    <pivotField name="Ambiente" compact="0" outline="0" multipleItemSelectionAllowed="1" showAll="0">
      <items>
        <item x="0"/>
        <item x="1"/>
        <item x="2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11"/>
        <item x="5"/>
        <item x="10"/>
        <item x="0"/>
        <item x="8"/>
        <item x="2"/>
        <item x="7"/>
        <item x="9"/>
        <item x="3"/>
        <item x="6"/>
        <item x="1"/>
        <item x="4"/>
        <item t="default"/>
      </items>
    </pivotField>
    <pivotField name="LINK" compact="0" outline="0" multipleItemSelectionAllowed="1" showAll="0">
      <items>
        <item x="0"/>
        <item x="1"/>
        <item x="2"/>
        <item x="3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Cos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ice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tual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Comentarios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-2"/>
  </colFields>
  <dataFields>
    <dataField name="SUM of Price Cost" fld="7" baseField="0"/>
    <dataField name="SUM of Actual Cost" fld="8" baseField="0"/>
  </dataFields>
</pivotTableDefinition>
</file>

<file path=xl/tables/table1.xml><?xml version="1.0" encoding="utf-8"?>
<table xmlns="http://schemas.openxmlformats.org/spreadsheetml/2006/main" ref="B12:L271" displayName="ANGELA" name="ANGELA" id="1">
  <autoFilter ref="$B$12:$L$271"/>
  <tableColumns count="11">
    <tableColumn name="Ambiente" id="1"/>
    <tableColumn name="Company" id="2"/>
    <tableColumn name="Product" id="3"/>
    <tableColumn name="Category" id="4"/>
    <tableColumn name="LINK" id="5"/>
    <tableColumn name="Qty" id="6"/>
    <tableColumn name="Unit Cost Price" id="7"/>
    <tableColumn name="Price Cost" id="8"/>
    <tableColumn name="Actual Cost" id="9"/>
    <tableColumn name="STATUS" id="10"/>
    <tableColumn name="Comentarios" id="11"/>
  </tableColumns>
  <tableStyleInfo name="B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Kcvvcr-Flower-Aesthetic-Decorative-Pillows/dp/B0DYTRTH9F/ref=sxin_15_pa_sp_search_thematic_sspa?content-id=amzn1.sym.1faeb6eb-d2b9-4948-986d-7ba2a5388a58%3Aamzn1.sym.1faeb6eb-d2b9-4948-986d-7ba2a5388a58&amp;crid=1HWYQB767POKI&amp;cv_ct_cx=butterfly%2Bpillow&amp;keywords=butterfly%2Bpillow&amp;pd_rd_i=B0CSSND3Q1&amp;pd_rd_r=f6ac9e23-30c9-486e-ab45-46d78481c141&amp;pd_rd_w=bmLQ4&amp;pd_rd_wg=SjbCn&amp;pf_rd_p=1faeb6eb-d2b9-4948-986d-7ba2a5388a58&amp;pf_rd_r=4911S9K97KP426ZCX64H&amp;qid=1763738869&amp;sbo=RZvfv%2F%2FHxDF%2BO5021pAnSA%3D%3D&amp;sprefix=butterfly%2Bpillow%2Caps%2C139&amp;sr=1-4-543a432c-671c-4a3a-a15e-c8d9b2229043-spons&amp;aref=9jww5N5bTd&amp;sp_csd=d2lkZ2V0TmFtZT1zcF9zZWFyY2hfdGhlbWF0aWM&amp;th=1" TargetMode="External"/><Relationship Id="rId10" Type="http://schemas.openxmlformats.org/officeDocument/2006/relationships/hyperlink" Target="https://www.amazon.com/Kcvvcr-Flower-Aesthetic-Decorative-Pillows/dp/B0CSSND3Q1/ref=sxin_15_pa_sp_search_thematic_sspa?content-id=amzn1.sym.1faeb6eb-d2b9-4948-986d-7ba2a5388a58%3Aamzn1.sym.1faeb6eb-d2b9-4948-986d-7ba2a5388a58&amp;crid=1HWYQB767POKI&amp;cv_ct_cx=butterfly%2Bpillow&amp;keywords=butterfly%2Bpillow&amp;pd_rd_i=B0CSSND3Q1&amp;pd_rd_r=f6ac9e23-30c9-486e-ab45-46d78481c141&amp;pd_rd_w=bmLQ4&amp;pd_rd_wg=SjbCn&amp;pf_rd_p=1faeb6eb-d2b9-4948-986d-7ba2a5388a58&amp;pf_rd_r=4911S9K97KP426ZCX64H&amp;qid=1763738869&amp;sbo=RZvfv%2F%2FHxDF%2BO5021pAnSA%3D%3D&amp;sprefix=butterfly%2Bpillow%2Caps%2C139&amp;sr=1-4-543a432c-671c-4a3a-a15e-c8d9b2229043-spons&amp;aref=9jww5N5bTd&amp;sp_csd=d2lkZ2V0TmFtZT1zcF9zZWFyY2hfdGhlbWF0aWM&amp;th=1" TargetMode="External"/><Relationship Id="rId13" Type="http://schemas.openxmlformats.org/officeDocument/2006/relationships/hyperlink" Target="https://www.amazon.com/Squishmallow-14-Inch-Style-6/dp/B09NB15G1T/ref=ast_sto_dp_puis?th=1" TargetMode="External"/><Relationship Id="rId12" Type="http://schemas.openxmlformats.org/officeDocument/2006/relationships/hyperlink" Target="https://www.amazon.com/Squishmallow-Official-Kellytoy-Avocado-Ultrasoft/dp/B08BG9RB42/ref=ast_sto_dp_puis?th=1" TargetMode="External"/><Relationship Id="rId1" Type="http://schemas.openxmlformats.org/officeDocument/2006/relationships/hyperlink" Target="http://amazon.com/Saint-Mossi-Contemporary-K9-Chandelier/dp/B00YSMM5PO/ref=sxin_16_pa_sp_search_thematic_sspa?content-id=amzn1.sym.b9ca4df4-6de2-4700-a8d5-6c15592e9dc5%3Aamzn1.sym.b9ca4df4-6de2-4700-a8d5-6c15592e9dc5&amp;crid=3BZOTGPE5AWGN&amp;cv_ct_cx=chandelier+crystal&amp;keywords=chandelier+crystal&amp;pd_rd_i=B00YSMM5PO&amp;pd_rd_r=a26f5de0-c50c-4f1d-9cbf-1fc406a8343d&amp;pd_rd_w=AtdW5&amp;pd_rd_wg=ohIgq&amp;pf_rd_p=b9ca4df4-6de2-4700-a8d5-6c15592e9dc5&amp;pf_rd_r=5DCRT60XDJQA88VCPSVV&amp;qid=1763426424&amp;sbo=RZvfv%2F%2FHxDF%2BO5021pAnSA%3D%3D&amp;sprefix=chandelier+crystal%2Caps%2C132&amp;sr=1-2-9428117c-b940-4daa-97e9-ad363ada7940-spons&amp;aref=EuKR2DXFQP&amp;sp_csd=d2lkZ2V0TmFtZT1zcF9zZWFyY2hfdGhlbWF0aWM&amp;psc=1" TargetMode="External"/><Relationship Id="rId2" Type="http://schemas.openxmlformats.org/officeDocument/2006/relationships/hyperlink" Target="https://www.amazon.com/Meridian-Furniture-B1208Cream-T-Collection-Contemporary/dp/B0CR1RW88Y/ref=sr_1_1?crid=4BB0HH9PFVBA&amp;dib=eyJ2IjoiMSJ9.WvcikI-9QxDdIePgI7e5Jg.cmfHHZfPbclfbGhwuWOJ1V47TBnyXwBS4AYP84PsRFg&amp;dib_tag=se&amp;keywords=B1208Cream-T&amp;qid=1763473879&amp;sprefix=b1208cream-t%2Caps%2C89&amp;sr=8-1&amp;th=1" TargetMode="External"/><Relationship Id="rId3" Type="http://schemas.openxmlformats.org/officeDocument/2006/relationships/hyperlink" Target="https://www.amazon.com/Lumibee-Upholstered-Rotation-Chenille-Armless/dp/B0FJRMNZCF/ref=sr_1_46?crid=2HZVOSGL4T1I3&amp;dib=eyJ2IjoiMSJ9.JXhQ5QcTvxjFOCE7fmMI53GeOnRRSj0qoieRvDJaBLgHTaJeqoaZUQd388m09yvwo-37Bn5m-9OXajvfmJQmw3IlHiNGlFtUOrsZwDE5dCSOdD8K5mbcCISqWTfHlSRgpvrshW1oMW4auIfCd_2lo5jfS6PNlbMYe0_wYxVu_F82NvIGOAHqyfKr1k7BNcnB0pZq-hvWySq8T0lbMmH62njBqg_BfQahPJXobcux0yMn57kvePFqOR7ldILT8Kjl7XSpE5knIfTvlCp2fATM6l7Io5bspAUxjNrbdt1_Lco.Ue6dpSF-JJIIr7TOYe94HrxL4LMKQr6lYmAnVhsX2-M&amp;dib_tag=se&amp;keywords=Hautely%2BBoucle%2BFabric%2BUpholstered%2BAccent%2B%7C%2BDining%2BChair&amp;qid=1763315722&amp;sprefix=hautely%2Bboucle%2Bfabric%2Bupholstered%2Baccent%2Bdining%2Bchair%2Caps%2C113&amp;sr=8-46&amp;th=1" TargetMode="External"/><Relationship Id="rId4" Type="http://schemas.openxmlformats.org/officeDocument/2006/relationships/hyperlink" Target="https://www.amazon.com/Bathroom-Backlight-Stepless-Dimmable-Anti-Fog/dp/B0DZXBSWW9/ref=sr_1_51_sspa?crid=22JKQ3FDY7KMQ&amp;dib=eyJ2IjoiMSJ9.HyN6D4fNThD453FD6n-ERj6EydBBqxHFThVhATSglVgL-X4UiFK5t7czrAPITRRFRSQZQRSTJCWbV_KtYCFFzWFamFRjJaQJAFUxk3CNgP7kzj15MSDXWWw5JvLsmYithmbxAkqWq0H2hj77IMLjfrZ1wwNCuNIEK7fo-6K22tBOFj5U8eoTlVOISsoUEOttjmTpsxpsjkndjUwVOYUsSQstd0V7eVEMdZnQxUOddrkz9IRfQ_foztly9emzUYBFk07QK5_edbgS0vlfH4Cz0R9r79kkdqOYdSFsK-I2Syk.spH1Vs5jr-f4PxVUUuxWODcn0lqI-TBHZ-5y8rIvlRI&amp;dib_tag=se&amp;keywords=mirror%2Bwith%2BLED&amp;qid=1763315468&amp;sprefix=mirror%2Bwith%2Ble%2Caps%2C151&amp;sr=8-51-spons&amp;xpid=swB5ml_7zCPiy&amp;sp_csd=d2lkZ2V0TmFtZT1zcF9tdGY&amp;th=1" TargetMode="External"/><Relationship Id="rId9" Type="http://schemas.openxmlformats.org/officeDocument/2006/relationships/hyperlink" Target="https://www.amazon.com/TONGSONG-Butterfly-Stuffed-Hugging-Decor%C2%A1%C2%AD/dp/B0BTTB3BG9/ref=sr_1_1_sspa?crid=1HWYQB767POKI&amp;dib=eyJ2IjoiMSJ9.J2kMRZ49jVjpaxvVcnEEIVX8kDrm0W4c1kROiR6x7lLwTXWCdIffQyAUY3cC2-0Aja7c-v1qbi6slOtFzU32Om3c40UxOQ-n3d-eDsokDeUEYLFmippu7YPmSDoYHppHt7GY1BCRwyLpnw0ZD3CGGOBVCWcXFqnACyyGPVlRGtuXUNZYrEDKov7_5iIhPlg1i0QN5olHTxbd4iN7bKsd0tOaTPOjHHaFFzx5Sq-tMRHqrWSYJrX_fwRyVjXLqsScvaSWqAA_4KjNWZGGRzlGgPtCBh7wvSBYcPQGWPLHVZ4.bH66ZEjtYIotGDU805P34mxG1WrURpZpWBedJ5zhJDg&amp;dib_tag=se&amp;keywords=butterfly%2Bpillow&amp;qid=1763739137&amp;sprefix=butterfly%2Bpillow%2Caps%2C139&amp;sr=8-1-spons&amp;xpid=jXsqDu7dafnH6&amp;sp_csd=d2lkZ2V0TmFtZT1zcF9hdGY&amp;th=1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amazon.com/Squishmallow-Official-Kellytoy-Unicorn-Ultrasoft/dp/B08G1WCP44/ref=ast_sto_dp_puis?th=1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www.amazon.com/Comforter-Ruffled-1Pillow-Vintage-Farmhouse/dp/B09TNHBQ31/ref=sr_1_24?crid=3VGG41HTPCY6B&amp;dib=eyJ2IjoiMSJ9.FXcczlxD7dvShkb_IGWOs4G79RQD5tb2SBrJX8C2k5qXs3BOYIN8demw23EcU57RB1CZoJU-IzKLFRnSz31scD0LzChDvP1lJ-5kQiPlJIa_9rUQB2xHEcyDG_tLQQteeNKFW1Wg7WTLGLeToj6Y72jf07eKdHURfYHN1MLO1-V9SyiKTRFa0TxZXLyaTJTVvQuUNeW8-ix8J892qXoqnKp8AycT5codkKCJEl8ZlDBgM8fMYc9QLu8etT0JN5wW8WTx1C6SUulZs4k_GHo8YTZ1OcyxpXHnIQrMo2xadMs.ZTtXkUcZe1yeHgVzkRuPEU2meLV794IwVVhpGb9oSog&amp;dib_tag=se&amp;keywords=comforter%2BTWIN%2Bpink&amp;qid=1763737881&amp;sprefix=comforter%2Btwin%2Bpink%2Caps%2C109&amp;sr=8-24&amp;th=1" TargetMode="External"/><Relationship Id="rId6" Type="http://schemas.openxmlformats.org/officeDocument/2006/relationships/hyperlink" Target="https://www.amazon.com/Twin-Size-Piece-Sheet-Set/dp/B0CTB2FQYJ/ref=sr_1_27?crid=3P40SB2V6L6LJ&amp;dib=eyJ2IjoiMSJ9.3aDeGQF1r0AyQUOLpX5y51xtFJcWDmpMvSsSUMSQzeqGYwqvQZetGTEbcnE0KoGO-sFScj-OyUOQrN_EmiJGXZfGyDc4Mk8Fm3f-yDUwmeQr7YYfTvLWXdq3RpyRJHNYQlSAFbDDf4iysQ3duLjoc1J_wv-i2MzIpiJdUc11jcDrqIdvjtf_gOdeQbhbDwrIAr3LpYG7vMYSjLeJNI-5yMz1sb5xQTzLAOx2rhaFfJsKYee5JLTbHOMI2BN2fIM38SsLMBnmCMVIR11Fj5P9gCgg3U4qKNQOC-gVwl5eGwo.3q6H-pwmWB8tfBW6npOUGGqGECBpF7gLlO1uPFO0Lb0&amp;dib_tag=se&amp;keywords=sheet%2Bset%2Btwin%2Bpink&amp;qid=1763738104&amp;sprefix=sheet%2Bset%2Btwin%2Bpink%2Caps%2C138&amp;sr=8-27&amp;th=1" TargetMode="External"/><Relationship Id="rId7" Type="http://schemas.openxmlformats.org/officeDocument/2006/relationships/hyperlink" Target="https://www.amazon.com/dp/B00MW4ZK8O/ref=twister_B0CYCRVKD1?_encoding=UTF8&amp;th=1" TargetMode="External"/><Relationship Id="rId8" Type="http://schemas.openxmlformats.org/officeDocument/2006/relationships/hyperlink" Target="https://www.amazon.com/dp/B00MW4ZK8O/ref=twister_B0CYCRVKD1?_encoding=UTF8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2" max="2" width="29.63"/>
    <col customWidth="1" min="3" max="3" width="18.25"/>
    <col customWidth="1" min="4" max="4" width="30.75"/>
    <col customWidth="1" min="5" max="5" width="20.25"/>
    <col customWidth="1" min="6" max="6" width="20.13"/>
    <col customWidth="1" min="7" max="7" width="7.88"/>
    <col customWidth="1" min="8" max="8" width="21.13"/>
    <col customWidth="1" min="9" max="9" width="18.88"/>
    <col customWidth="1" min="10" max="10" width="20.38"/>
    <col customWidth="1" min="11" max="11" width="16.5"/>
    <col customWidth="1" min="12" max="12" width="27.75"/>
  </cols>
  <sheetData>
    <row r="1">
      <c r="A1" s="1"/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3"/>
      <c r="D5" s="3"/>
      <c r="E5" s="4"/>
      <c r="F5" s="3"/>
      <c r="G5" s="3"/>
      <c r="H5" s="5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0</v>
      </c>
      <c r="B6" s="2"/>
      <c r="C6" s="3"/>
      <c r="D6" s="3"/>
      <c r="E6" s="4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3"/>
      <c r="D7" s="3"/>
      <c r="E7" s="4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3"/>
      <c r="D8" s="3"/>
      <c r="E8" s="4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3"/>
      <c r="D9" s="3"/>
      <c r="E9" s="4"/>
      <c r="F9" s="3"/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2.25" customHeight="1">
      <c r="A10" s="1"/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"/>
      <c r="C11" s="3"/>
      <c r="D11" s="3"/>
      <c r="E11" s="4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6"/>
      <c r="B12" s="7" t="s">
        <v>1</v>
      </c>
      <c r="C12" s="7" t="s">
        <v>2</v>
      </c>
      <c r="D12" s="7" t="s">
        <v>3</v>
      </c>
      <c r="E12" s="8" t="s">
        <v>4</v>
      </c>
      <c r="F12" s="8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1"/>
      <c r="B13" s="9" t="s">
        <v>12</v>
      </c>
      <c r="C13" s="10" t="s">
        <v>13</v>
      </c>
      <c r="D13" s="11" t="s">
        <v>14</v>
      </c>
      <c r="E13" s="12" t="s">
        <v>15</v>
      </c>
      <c r="F13" s="13"/>
      <c r="G13" s="14">
        <v>1.0</v>
      </c>
      <c r="H13" s="15">
        <v>100.0</v>
      </c>
      <c r="I13" s="15">
        <f t="shared" ref="I13:I40" si="1">SUM(G13*H13)</f>
        <v>100</v>
      </c>
      <c r="J13" s="16">
        <v>684.25</v>
      </c>
      <c r="K13" s="17" t="s">
        <v>16</v>
      </c>
      <c r="L13" s="1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9" t="s">
        <v>12</v>
      </c>
      <c r="C14" s="13" t="s">
        <v>17</v>
      </c>
      <c r="D14" s="11" t="s">
        <v>18</v>
      </c>
      <c r="E14" s="12" t="s">
        <v>19</v>
      </c>
      <c r="F14" s="13"/>
      <c r="G14" s="14">
        <v>1.0</v>
      </c>
      <c r="H14" s="15">
        <v>5.0</v>
      </c>
      <c r="I14" s="15">
        <f t="shared" si="1"/>
        <v>5</v>
      </c>
      <c r="J14" s="15"/>
      <c r="K14" s="19" t="s">
        <v>16</v>
      </c>
      <c r="L14" s="2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9" t="s">
        <v>12</v>
      </c>
      <c r="C15" s="21" t="s">
        <v>17</v>
      </c>
      <c r="D15" s="22" t="s">
        <v>20</v>
      </c>
      <c r="E15" s="23" t="s">
        <v>19</v>
      </c>
      <c r="F15" s="24" t="s">
        <v>5</v>
      </c>
      <c r="G15" s="25">
        <v>1.0</v>
      </c>
      <c r="H15" s="26">
        <v>108.0</v>
      </c>
      <c r="I15" s="26">
        <f t="shared" si="1"/>
        <v>108</v>
      </c>
      <c r="J15" s="27">
        <v>95.62</v>
      </c>
      <c r="K15" s="28" t="s">
        <v>16</v>
      </c>
      <c r="L15" s="29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9" t="s">
        <v>12</v>
      </c>
      <c r="C16" s="30"/>
      <c r="D16" s="11" t="s">
        <v>22</v>
      </c>
      <c r="E16" s="12" t="s">
        <v>23</v>
      </c>
      <c r="F16" s="13"/>
      <c r="G16" s="14">
        <v>1.0</v>
      </c>
      <c r="H16" s="15">
        <v>95.0</v>
      </c>
      <c r="I16" s="15">
        <f t="shared" si="1"/>
        <v>95</v>
      </c>
      <c r="J16" s="15"/>
      <c r="K16" s="31" t="s">
        <v>16</v>
      </c>
      <c r="L16" s="3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9" t="s">
        <v>12</v>
      </c>
      <c r="C17" s="13" t="s">
        <v>17</v>
      </c>
      <c r="D17" s="11" t="s">
        <v>24</v>
      </c>
      <c r="E17" s="12" t="s">
        <v>19</v>
      </c>
      <c r="F17" s="13"/>
      <c r="G17" s="14">
        <v>5.0</v>
      </c>
      <c r="H17" s="15">
        <v>5.0</v>
      </c>
      <c r="I17" s="15">
        <f t="shared" si="1"/>
        <v>25</v>
      </c>
      <c r="J17" s="15"/>
      <c r="K17" s="31" t="s">
        <v>16</v>
      </c>
      <c r="L17" s="3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9" t="s">
        <v>12</v>
      </c>
      <c r="C18" s="13" t="s">
        <v>17</v>
      </c>
      <c r="D18" s="11" t="s">
        <v>25</v>
      </c>
      <c r="E18" s="12" t="s">
        <v>26</v>
      </c>
      <c r="F18" s="33" t="s">
        <v>5</v>
      </c>
      <c r="G18" s="14">
        <v>2.0</v>
      </c>
      <c r="H18" s="15">
        <v>792.0</v>
      </c>
      <c r="I18" s="15">
        <f t="shared" si="1"/>
        <v>1584</v>
      </c>
      <c r="J18" s="15">
        <v>1404.58</v>
      </c>
      <c r="K18" s="19" t="s">
        <v>16</v>
      </c>
      <c r="L18" s="2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9" t="s">
        <v>12</v>
      </c>
      <c r="C19" s="34" t="s">
        <v>17</v>
      </c>
      <c r="D19" s="11" t="s">
        <v>27</v>
      </c>
      <c r="E19" s="12" t="s">
        <v>26</v>
      </c>
      <c r="F19" s="33" t="s">
        <v>5</v>
      </c>
      <c r="G19" s="14">
        <v>2.0</v>
      </c>
      <c r="H19" s="15">
        <v>504.0</v>
      </c>
      <c r="I19" s="15">
        <f t="shared" si="1"/>
        <v>1008</v>
      </c>
      <c r="J19" s="15">
        <v>453.33</v>
      </c>
      <c r="K19" s="31" t="s">
        <v>16</v>
      </c>
      <c r="L19" s="3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9" t="s">
        <v>12</v>
      </c>
      <c r="C20" s="34" t="s">
        <v>17</v>
      </c>
      <c r="D20" s="11" t="s">
        <v>28</v>
      </c>
      <c r="E20" s="36" t="s">
        <v>19</v>
      </c>
      <c r="F20" s="33" t="s">
        <v>5</v>
      </c>
      <c r="G20" s="14">
        <v>2.0</v>
      </c>
      <c r="H20" s="15">
        <v>120.0</v>
      </c>
      <c r="I20" s="15">
        <f t="shared" si="1"/>
        <v>240</v>
      </c>
      <c r="J20" s="15">
        <v>204.45</v>
      </c>
      <c r="K20" s="31" t="s">
        <v>16</v>
      </c>
      <c r="L20" s="3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9" t="s">
        <v>12</v>
      </c>
      <c r="C21" s="34" t="s">
        <v>29</v>
      </c>
      <c r="D21" s="11" t="s">
        <v>30</v>
      </c>
      <c r="E21" s="12" t="s">
        <v>31</v>
      </c>
      <c r="F21" s="13"/>
      <c r="G21" s="14">
        <v>1.0</v>
      </c>
      <c r="H21" s="15">
        <v>200.0</v>
      </c>
      <c r="I21" s="15">
        <f t="shared" si="1"/>
        <v>200</v>
      </c>
      <c r="J21" s="16">
        <v>550.0</v>
      </c>
      <c r="K21" s="31" t="s">
        <v>16</v>
      </c>
      <c r="L21" s="3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9" t="s">
        <v>12</v>
      </c>
      <c r="C22" s="13" t="s">
        <v>17</v>
      </c>
      <c r="D22" s="11" t="s">
        <v>32</v>
      </c>
      <c r="E22" s="36" t="s">
        <v>19</v>
      </c>
      <c r="F22" s="33" t="s">
        <v>5</v>
      </c>
      <c r="G22" s="14">
        <v>2.0</v>
      </c>
      <c r="H22" s="15">
        <v>45.0</v>
      </c>
      <c r="I22" s="15">
        <f t="shared" si="1"/>
        <v>90</v>
      </c>
      <c r="J22" s="15">
        <v>80.91</v>
      </c>
      <c r="K22" s="31" t="s">
        <v>16</v>
      </c>
      <c r="L22" s="3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9" t="s">
        <v>12</v>
      </c>
      <c r="C23" s="13" t="s">
        <v>17</v>
      </c>
      <c r="D23" s="11" t="s">
        <v>33</v>
      </c>
      <c r="E23" s="36" t="s">
        <v>19</v>
      </c>
      <c r="F23" s="33" t="s">
        <v>5</v>
      </c>
      <c r="G23" s="14">
        <v>2.0</v>
      </c>
      <c r="H23" s="15">
        <v>28.0</v>
      </c>
      <c r="I23" s="15">
        <f t="shared" si="1"/>
        <v>56</v>
      </c>
      <c r="J23" s="15">
        <v>50.67</v>
      </c>
      <c r="K23" s="31" t="s">
        <v>16</v>
      </c>
      <c r="L23" s="3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9" t="s">
        <v>12</v>
      </c>
      <c r="C24" s="10" t="s">
        <v>13</v>
      </c>
      <c r="D24" s="11" t="s">
        <v>34</v>
      </c>
      <c r="E24" s="12" t="s">
        <v>19</v>
      </c>
      <c r="F24" s="37"/>
      <c r="G24" s="14">
        <v>2.0</v>
      </c>
      <c r="H24" s="15">
        <v>50.0</v>
      </c>
      <c r="I24" s="15">
        <f t="shared" si="1"/>
        <v>100</v>
      </c>
      <c r="J24" s="15">
        <v>50.78</v>
      </c>
      <c r="K24" s="31" t="s">
        <v>16</v>
      </c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9" t="s">
        <v>12</v>
      </c>
      <c r="C25" s="13" t="s">
        <v>35</v>
      </c>
      <c r="D25" s="11" t="s">
        <v>36</v>
      </c>
      <c r="E25" s="12" t="s">
        <v>37</v>
      </c>
      <c r="F25" s="37"/>
      <c r="G25" s="14">
        <v>2.0</v>
      </c>
      <c r="H25" s="15">
        <v>250.0</v>
      </c>
      <c r="I25" s="15">
        <f t="shared" si="1"/>
        <v>500</v>
      </c>
      <c r="J25" s="15">
        <v>714.96</v>
      </c>
      <c r="K25" s="31" t="s">
        <v>16</v>
      </c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9" t="s">
        <v>12</v>
      </c>
      <c r="C26" s="13" t="s">
        <v>35</v>
      </c>
      <c r="D26" s="11" t="s">
        <v>38</v>
      </c>
      <c r="E26" s="12" t="s">
        <v>37</v>
      </c>
      <c r="F26" s="13"/>
      <c r="G26" s="14">
        <v>2.0</v>
      </c>
      <c r="H26" s="15">
        <v>86.0</v>
      </c>
      <c r="I26" s="15">
        <f t="shared" si="1"/>
        <v>172</v>
      </c>
      <c r="J26" s="15"/>
      <c r="K26" s="31" t="s">
        <v>16</v>
      </c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9" t="s">
        <v>12</v>
      </c>
      <c r="C27" s="13" t="s">
        <v>17</v>
      </c>
      <c r="D27" s="11" t="s">
        <v>39</v>
      </c>
      <c r="E27" s="36" t="s">
        <v>19</v>
      </c>
      <c r="F27" s="33" t="s">
        <v>5</v>
      </c>
      <c r="G27" s="14">
        <v>2.0</v>
      </c>
      <c r="H27" s="15">
        <v>16.0</v>
      </c>
      <c r="I27" s="15">
        <f t="shared" si="1"/>
        <v>32</v>
      </c>
      <c r="J27" s="16">
        <v>27.62</v>
      </c>
      <c r="K27" s="31" t="s">
        <v>16</v>
      </c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9" t="s">
        <v>12</v>
      </c>
      <c r="C28" s="13" t="s">
        <v>40</v>
      </c>
      <c r="D28" s="11" t="s">
        <v>41</v>
      </c>
      <c r="E28" s="36" t="s">
        <v>19</v>
      </c>
      <c r="F28" s="38" t="s">
        <v>42</v>
      </c>
      <c r="G28" s="14">
        <v>4.0</v>
      </c>
      <c r="H28" s="15">
        <v>6.0</v>
      </c>
      <c r="I28" s="15">
        <f t="shared" si="1"/>
        <v>24</v>
      </c>
      <c r="J28" s="15"/>
      <c r="K28" s="31" t="s">
        <v>16</v>
      </c>
      <c r="L28" s="3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9" t="s">
        <v>12</v>
      </c>
      <c r="C29" s="13" t="s">
        <v>17</v>
      </c>
      <c r="D29" s="11" t="s">
        <v>43</v>
      </c>
      <c r="E29" s="36" t="s">
        <v>19</v>
      </c>
      <c r="F29" s="33" t="s">
        <v>5</v>
      </c>
      <c r="G29" s="14">
        <v>1.0</v>
      </c>
      <c r="H29" s="15">
        <v>25.0</v>
      </c>
      <c r="I29" s="15">
        <f t="shared" si="1"/>
        <v>25</v>
      </c>
      <c r="J29" s="15">
        <v>22.62</v>
      </c>
      <c r="K29" s="31" t="s">
        <v>16</v>
      </c>
      <c r="L29" s="3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9" t="s">
        <v>12</v>
      </c>
      <c r="C30" s="13" t="s">
        <v>17</v>
      </c>
      <c r="D30" s="11" t="s">
        <v>43</v>
      </c>
      <c r="E30" s="12" t="s">
        <v>19</v>
      </c>
      <c r="F30" s="33" t="s">
        <v>5</v>
      </c>
      <c r="G30" s="14">
        <v>1.0</v>
      </c>
      <c r="H30" s="15">
        <v>10.0</v>
      </c>
      <c r="I30" s="15">
        <f t="shared" si="1"/>
        <v>10</v>
      </c>
      <c r="J30" s="15">
        <v>9.03</v>
      </c>
      <c r="K30" s="31" t="s">
        <v>16</v>
      </c>
      <c r="L30" s="3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9" t="s">
        <v>12</v>
      </c>
      <c r="C31" s="13" t="s">
        <v>17</v>
      </c>
      <c r="D31" s="11" t="s">
        <v>43</v>
      </c>
      <c r="E31" s="36" t="s">
        <v>19</v>
      </c>
      <c r="F31" s="33" t="s">
        <v>5</v>
      </c>
      <c r="G31" s="14">
        <v>1.0</v>
      </c>
      <c r="H31" s="15">
        <v>16.8</v>
      </c>
      <c r="I31" s="15">
        <f t="shared" si="1"/>
        <v>16.8</v>
      </c>
      <c r="J31" s="15">
        <v>15.37</v>
      </c>
      <c r="K31" s="31" t="s">
        <v>16</v>
      </c>
      <c r="L31" s="3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9" t="s">
        <v>12</v>
      </c>
      <c r="C32" s="13" t="s">
        <v>17</v>
      </c>
      <c r="D32" s="11" t="s">
        <v>43</v>
      </c>
      <c r="E32" s="36" t="s">
        <v>19</v>
      </c>
      <c r="F32" s="33" t="s">
        <v>5</v>
      </c>
      <c r="G32" s="14">
        <v>1.0</v>
      </c>
      <c r="H32" s="15">
        <v>26.0</v>
      </c>
      <c r="I32" s="15">
        <f t="shared" si="1"/>
        <v>26</v>
      </c>
      <c r="J32" s="15">
        <v>23.88</v>
      </c>
      <c r="K32" s="31" t="s">
        <v>16</v>
      </c>
      <c r="L32" s="3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9" t="s">
        <v>12</v>
      </c>
      <c r="C33" s="13" t="s">
        <v>17</v>
      </c>
      <c r="D33" s="11" t="s">
        <v>43</v>
      </c>
      <c r="E33" s="36" t="s">
        <v>19</v>
      </c>
      <c r="F33" s="33" t="s">
        <v>5</v>
      </c>
      <c r="G33" s="14">
        <v>1.0</v>
      </c>
      <c r="H33" s="15">
        <v>24.0</v>
      </c>
      <c r="I33" s="15">
        <f t="shared" si="1"/>
        <v>24</v>
      </c>
      <c r="J33" s="15">
        <v>21.28</v>
      </c>
      <c r="K33" s="31" t="s">
        <v>16</v>
      </c>
      <c r="L33" s="3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9" t="s">
        <v>12</v>
      </c>
      <c r="C34" s="13" t="s">
        <v>17</v>
      </c>
      <c r="D34" s="11" t="s">
        <v>43</v>
      </c>
      <c r="E34" s="36" t="s">
        <v>19</v>
      </c>
      <c r="F34" s="33" t="s">
        <v>5</v>
      </c>
      <c r="G34" s="14">
        <v>1.0</v>
      </c>
      <c r="H34" s="15">
        <v>20.0</v>
      </c>
      <c r="I34" s="15">
        <f t="shared" si="1"/>
        <v>20</v>
      </c>
      <c r="J34" s="16">
        <v>7.93</v>
      </c>
      <c r="K34" s="31" t="s">
        <v>16</v>
      </c>
      <c r="L34" s="3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9" t="s">
        <v>12</v>
      </c>
      <c r="C35" s="10" t="s">
        <v>13</v>
      </c>
      <c r="D35" s="11" t="s">
        <v>44</v>
      </c>
      <c r="E35" s="12" t="s">
        <v>15</v>
      </c>
      <c r="F35" s="13"/>
      <c r="G35" s="14">
        <v>1.0</v>
      </c>
      <c r="H35" s="15">
        <v>696.0</v>
      </c>
      <c r="I35" s="15">
        <f t="shared" si="1"/>
        <v>696</v>
      </c>
      <c r="J35" s="15"/>
      <c r="K35" s="31" t="s">
        <v>16</v>
      </c>
      <c r="L35" s="3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9" t="s">
        <v>12</v>
      </c>
      <c r="C36" s="13" t="s">
        <v>45</v>
      </c>
      <c r="D36" s="11" t="s">
        <v>46</v>
      </c>
      <c r="E36" s="12" t="s">
        <v>19</v>
      </c>
      <c r="F36" s="39"/>
      <c r="G36" s="40">
        <v>8.0</v>
      </c>
      <c r="H36" s="41">
        <v>90.0</v>
      </c>
      <c r="I36" s="15">
        <f t="shared" si="1"/>
        <v>720</v>
      </c>
      <c r="J36" s="42">
        <v>615.57</v>
      </c>
      <c r="K36" s="31" t="s">
        <v>16</v>
      </c>
      <c r="L36" s="3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9" t="s">
        <v>12</v>
      </c>
      <c r="C37" s="34"/>
      <c r="D37" s="11" t="s">
        <v>47</v>
      </c>
      <c r="E37" s="12" t="s">
        <v>48</v>
      </c>
      <c r="F37" s="13"/>
      <c r="G37" s="14">
        <v>8.0</v>
      </c>
      <c r="H37" s="15">
        <v>60.0</v>
      </c>
      <c r="I37" s="15">
        <f t="shared" si="1"/>
        <v>480</v>
      </c>
      <c r="J37" s="16">
        <v>480.0</v>
      </c>
      <c r="K37" s="31" t="s">
        <v>16</v>
      </c>
      <c r="L37" s="3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9" t="s">
        <v>49</v>
      </c>
      <c r="C38" s="13" t="s">
        <v>50</v>
      </c>
      <c r="D38" s="34" t="s">
        <v>51</v>
      </c>
      <c r="E38" s="12" t="s">
        <v>52</v>
      </c>
      <c r="F38" s="13"/>
      <c r="G38" s="14">
        <v>1.0</v>
      </c>
      <c r="H38" s="15">
        <v>1000.0</v>
      </c>
      <c r="I38" s="15">
        <f t="shared" si="1"/>
        <v>1000</v>
      </c>
      <c r="J38" s="16">
        <v>400.0</v>
      </c>
      <c r="K38" s="31" t="s">
        <v>16</v>
      </c>
      <c r="L38" s="3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43" t="s">
        <v>49</v>
      </c>
      <c r="C39" s="13"/>
      <c r="D39" s="44" t="s">
        <v>53</v>
      </c>
      <c r="E39" s="12" t="s">
        <v>54</v>
      </c>
      <c r="F39" s="13"/>
      <c r="G39" s="14"/>
      <c r="H39" s="15"/>
      <c r="I39" s="15">
        <f t="shared" si="1"/>
        <v>0</v>
      </c>
      <c r="J39" s="42">
        <v>13.77</v>
      </c>
      <c r="K39" s="31" t="s">
        <v>16</v>
      </c>
      <c r="L39" s="3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9" t="s">
        <v>49</v>
      </c>
      <c r="C40" s="13"/>
      <c r="D40" s="34" t="s">
        <v>55</v>
      </c>
      <c r="E40" s="12" t="s">
        <v>56</v>
      </c>
      <c r="F40" s="13"/>
      <c r="G40" s="14">
        <v>1.0</v>
      </c>
      <c r="H40" s="15">
        <v>15115.116</v>
      </c>
      <c r="I40" s="15">
        <f t="shared" si="1"/>
        <v>15115.116</v>
      </c>
      <c r="J40" s="45">
        <v>15115.12</v>
      </c>
      <c r="K40" s="31" t="s">
        <v>16</v>
      </c>
      <c r="L40" s="3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43" t="s">
        <v>49</v>
      </c>
      <c r="C41" s="13"/>
      <c r="D41" s="44" t="s">
        <v>57</v>
      </c>
      <c r="E41" s="46" t="s">
        <v>58</v>
      </c>
      <c r="F41" s="13" t="s">
        <v>59</v>
      </c>
      <c r="G41" s="14">
        <v>1.0</v>
      </c>
      <c r="H41" s="15">
        <v>0.0</v>
      </c>
      <c r="I41" s="15">
        <v>0.0</v>
      </c>
      <c r="J41" s="42"/>
      <c r="K41" s="31"/>
      <c r="L41" s="3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9" t="s">
        <v>49</v>
      </c>
      <c r="C42" s="13" t="s">
        <v>60</v>
      </c>
      <c r="D42" s="47"/>
      <c r="E42" s="46" t="s">
        <v>23</v>
      </c>
      <c r="F42" s="13"/>
      <c r="G42" s="14"/>
      <c r="H42" s="15"/>
      <c r="I42" s="15"/>
      <c r="J42" s="45">
        <v>200.0</v>
      </c>
      <c r="K42" s="31" t="s">
        <v>16</v>
      </c>
      <c r="L42" s="32" t="s">
        <v>61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48"/>
      <c r="C43" s="49"/>
      <c r="D43" s="50"/>
      <c r="E43" s="51"/>
      <c r="F43" s="52"/>
      <c r="G43" s="53"/>
      <c r="H43" s="54"/>
      <c r="I43" s="54"/>
      <c r="J43" s="55"/>
      <c r="K43" s="56"/>
      <c r="L43" s="57"/>
      <c r="M43" s="5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48"/>
      <c r="C44" s="49"/>
      <c r="D44" s="50"/>
      <c r="E44" s="51"/>
      <c r="F44" s="52"/>
      <c r="G44" s="53"/>
      <c r="H44" s="54"/>
      <c r="I44" s="54"/>
      <c r="J44" s="55"/>
      <c r="K44" s="56"/>
      <c r="L44" s="57"/>
      <c r="M44" s="5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48"/>
      <c r="C45" s="49"/>
      <c r="D45" s="50"/>
      <c r="E45" s="51"/>
      <c r="F45" s="52"/>
      <c r="G45" s="53"/>
      <c r="H45" s="54"/>
      <c r="I45" s="54"/>
      <c r="J45" s="55"/>
      <c r="K45" s="56"/>
      <c r="L45" s="57"/>
      <c r="M45" s="5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48"/>
      <c r="C46" s="49"/>
      <c r="D46" s="50"/>
      <c r="E46" s="51"/>
      <c r="F46" s="52"/>
      <c r="G46" s="53"/>
      <c r="H46" s="54"/>
      <c r="I46" s="54"/>
      <c r="J46" s="55"/>
      <c r="K46" s="56"/>
      <c r="L46" s="57"/>
      <c r="M46" s="5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48"/>
      <c r="C47" s="49"/>
      <c r="D47" s="50"/>
      <c r="E47" s="51"/>
      <c r="F47" s="52"/>
      <c r="G47" s="53"/>
      <c r="H47" s="54"/>
      <c r="I47" s="54"/>
      <c r="J47" s="55"/>
      <c r="K47" s="56"/>
      <c r="L47" s="57"/>
      <c r="M47" s="5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48"/>
      <c r="C48" s="49"/>
      <c r="D48" s="50"/>
      <c r="E48" s="51"/>
      <c r="F48" s="52"/>
      <c r="G48" s="53"/>
      <c r="H48" s="54"/>
      <c r="I48" s="54"/>
      <c r="J48" s="55"/>
      <c r="K48" s="56"/>
      <c r="L48" s="57"/>
      <c r="M48" s="5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48"/>
      <c r="C49" s="49"/>
      <c r="D49" s="50"/>
      <c r="E49" s="51"/>
      <c r="F49" s="52"/>
      <c r="G49" s="53"/>
      <c r="H49" s="54"/>
      <c r="I49" s="54"/>
      <c r="J49" s="55"/>
      <c r="K49" s="56"/>
      <c r="L49" s="57"/>
      <c r="M49" s="5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48"/>
      <c r="C50" s="49"/>
      <c r="D50" s="50"/>
      <c r="E50" s="51"/>
      <c r="F50" s="52"/>
      <c r="G50" s="53"/>
      <c r="H50" s="54"/>
      <c r="I50" s="54"/>
      <c r="J50" s="55"/>
      <c r="K50" s="56"/>
      <c r="L50" s="57"/>
      <c r="M50" s="5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48"/>
      <c r="C51" s="49"/>
      <c r="D51" s="50"/>
      <c r="E51" s="51"/>
      <c r="F51" s="52"/>
      <c r="G51" s="53"/>
      <c r="H51" s="54"/>
      <c r="I51" s="54"/>
      <c r="J51" s="55"/>
      <c r="K51" s="56"/>
      <c r="L51" s="57"/>
      <c r="M51" s="5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48"/>
      <c r="C52" s="49"/>
      <c r="D52" s="50"/>
      <c r="E52" s="51"/>
      <c r="F52" s="52"/>
      <c r="G52" s="53"/>
      <c r="H52" s="54"/>
      <c r="I52" s="54"/>
      <c r="J52" s="55"/>
      <c r="K52" s="56"/>
      <c r="L52" s="57"/>
      <c r="M52" s="5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48"/>
      <c r="C53" s="49"/>
      <c r="D53" s="50"/>
      <c r="E53" s="51"/>
      <c r="F53" s="52"/>
      <c r="G53" s="53"/>
      <c r="H53" s="54"/>
      <c r="I53" s="54"/>
      <c r="J53" s="55"/>
      <c r="K53" s="56"/>
      <c r="L53" s="57"/>
      <c r="M53" s="5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48"/>
      <c r="C54" s="49"/>
      <c r="D54" s="50"/>
      <c r="E54" s="51"/>
      <c r="F54" s="52"/>
      <c r="G54" s="53"/>
      <c r="H54" s="54"/>
      <c r="I54" s="54"/>
      <c r="J54" s="55"/>
      <c r="K54" s="56"/>
      <c r="L54" s="57"/>
      <c r="M54" s="5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48"/>
      <c r="C55" s="49"/>
      <c r="D55" s="50"/>
      <c r="E55" s="51"/>
      <c r="F55" s="52"/>
      <c r="G55" s="53"/>
      <c r="H55" s="54"/>
      <c r="I55" s="54"/>
      <c r="J55" s="55"/>
      <c r="K55" s="56"/>
      <c r="L55" s="59"/>
      <c r="M55" s="5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48"/>
      <c r="C56" s="49"/>
      <c r="D56" s="50"/>
      <c r="E56" s="51"/>
      <c r="F56" s="52"/>
      <c r="G56" s="53"/>
      <c r="H56" s="54"/>
      <c r="I56" s="54"/>
      <c r="J56" s="55"/>
      <c r="K56" s="56"/>
      <c r="L56" s="57"/>
      <c r="M56" s="5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48"/>
      <c r="C57" s="49"/>
      <c r="D57" s="50"/>
      <c r="E57" s="51"/>
      <c r="F57" s="52"/>
      <c r="G57" s="53"/>
      <c r="H57" s="54"/>
      <c r="I57" s="54"/>
      <c r="J57" s="55"/>
      <c r="K57" s="56"/>
      <c r="L57" s="57"/>
      <c r="M57" s="5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48"/>
      <c r="C58" s="49"/>
      <c r="D58" s="50"/>
      <c r="E58" s="51"/>
      <c r="F58" s="52"/>
      <c r="G58" s="53"/>
      <c r="H58" s="54"/>
      <c r="I58" s="54"/>
      <c r="J58" s="55"/>
      <c r="K58" s="56"/>
      <c r="L58" s="57"/>
      <c r="M58" s="5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48"/>
      <c r="C59" s="49"/>
      <c r="D59" s="50"/>
      <c r="E59" s="51"/>
      <c r="F59" s="52"/>
      <c r="G59" s="53"/>
      <c r="H59" s="54"/>
      <c r="I59" s="54"/>
      <c r="J59" s="55"/>
      <c r="K59" s="56"/>
      <c r="L59" s="57"/>
      <c r="M59" s="5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48"/>
      <c r="C60" s="49"/>
      <c r="D60" s="50"/>
      <c r="E60" s="51"/>
      <c r="F60" s="52"/>
      <c r="G60" s="53"/>
      <c r="H60" s="54"/>
      <c r="I60" s="54"/>
      <c r="J60" s="55"/>
      <c r="K60" s="56"/>
      <c r="L60" s="57"/>
      <c r="M60" s="5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48"/>
      <c r="C61" s="49"/>
      <c r="D61" s="50"/>
      <c r="E61" s="51"/>
      <c r="F61" s="52"/>
      <c r="G61" s="53"/>
      <c r="H61" s="54"/>
      <c r="I61" s="54"/>
      <c r="J61" s="55"/>
      <c r="K61" s="56"/>
      <c r="L61" s="57"/>
      <c r="M61" s="5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48"/>
      <c r="C62" s="49"/>
      <c r="D62" s="50"/>
      <c r="E62" s="51"/>
      <c r="F62" s="52"/>
      <c r="G62" s="53"/>
      <c r="H62" s="54"/>
      <c r="I62" s="54"/>
      <c r="J62" s="55"/>
      <c r="K62" s="56"/>
      <c r="L62" s="57"/>
      <c r="M62" s="5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48"/>
      <c r="C63" s="49"/>
      <c r="D63" s="50"/>
      <c r="E63" s="51"/>
      <c r="F63" s="52"/>
      <c r="G63" s="53"/>
      <c r="H63" s="54"/>
      <c r="I63" s="54"/>
      <c r="J63" s="55"/>
      <c r="K63" s="56"/>
      <c r="L63" s="57"/>
      <c r="M63" s="5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48"/>
      <c r="C64" s="49"/>
      <c r="D64" s="50"/>
      <c r="E64" s="51"/>
      <c r="F64" s="60"/>
      <c r="G64" s="53"/>
      <c r="H64" s="54"/>
      <c r="I64" s="54"/>
      <c r="J64" s="55"/>
      <c r="K64" s="56"/>
      <c r="L64" s="57"/>
      <c r="M64" s="5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48"/>
      <c r="C65" s="49"/>
      <c r="D65" s="50"/>
      <c r="E65" s="51"/>
      <c r="F65" s="52"/>
      <c r="G65" s="53"/>
      <c r="H65" s="54"/>
      <c r="I65" s="54"/>
      <c r="J65" s="55"/>
      <c r="K65" s="56"/>
      <c r="L65" s="57"/>
      <c r="M65" s="5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48"/>
      <c r="C66" s="49"/>
      <c r="D66" s="50"/>
      <c r="E66" s="51"/>
      <c r="F66" s="52"/>
      <c r="G66" s="53"/>
      <c r="H66" s="54"/>
      <c r="I66" s="54"/>
      <c r="J66" s="55"/>
      <c r="K66" s="56"/>
      <c r="L66" s="57"/>
      <c r="M66" s="5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48"/>
      <c r="C67" s="49"/>
      <c r="D67" s="50"/>
      <c r="E67" s="51"/>
      <c r="F67" s="52"/>
      <c r="G67" s="53"/>
      <c r="H67" s="54"/>
      <c r="I67" s="54"/>
      <c r="J67" s="55"/>
      <c r="K67" s="56"/>
      <c r="L67" s="57"/>
      <c r="M67" s="5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48"/>
      <c r="C68" s="49"/>
      <c r="D68" s="50"/>
      <c r="E68" s="51"/>
      <c r="F68" s="52"/>
      <c r="G68" s="53"/>
      <c r="H68" s="54"/>
      <c r="I68" s="54"/>
      <c r="J68" s="55"/>
      <c r="K68" s="56"/>
      <c r="L68" s="57"/>
      <c r="M68" s="5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48"/>
      <c r="C69" s="49"/>
      <c r="D69" s="50"/>
      <c r="E69" s="51"/>
      <c r="F69" s="52"/>
      <c r="G69" s="53"/>
      <c r="H69" s="54"/>
      <c r="I69" s="54"/>
      <c r="J69" s="55"/>
      <c r="K69" s="56"/>
      <c r="L69" s="59"/>
      <c r="M69" s="5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48"/>
      <c r="C70" s="49"/>
      <c r="D70" s="50"/>
      <c r="E70" s="51"/>
      <c r="F70" s="52"/>
      <c r="G70" s="53"/>
      <c r="H70" s="54"/>
      <c r="I70" s="54"/>
      <c r="J70" s="55"/>
      <c r="K70" s="56"/>
      <c r="L70" s="57"/>
      <c r="M70" s="5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48"/>
      <c r="C71" s="61"/>
      <c r="D71" s="50"/>
      <c r="E71" s="51"/>
      <c r="F71" s="52"/>
      <c r="G71" s="53"/>
      <c r="H71" s="54"/>
      <c r="I71" s="54"/>
      <c r="J71" s="55"/>
      <c r="K71" s="56"/>
      <c r="L71" s="57"/>
      <c r="M71" s="5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48"/>
      <c r="C72" s="49"/>
      <c r="D72" s="50"/>
      <c r="E72" s="51"/>
      <c r="F72" s="52"/>
      <c r="G72" s="53"/>
      <c r="H72" s="54"/>
      <c r="I72" s="54"/>
      <c r="J72" s="55"/>
      <c r="K72" s="56"/>
      <c r="L72" s="57"/>
      <c r="M72" s="5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48"/>
      <c r="C73" s="49"/>
      <c r="D73" s="50"/>
      <c r="E73" s="51"/>
      <c r="F73" s="52"/>
      <c r="G73" s="53"/>
      <c r="H73" s="54"/>
      <c r="I73" s="54"/>
      <c r="J73" s="55"/>
      <c r="K73" s="56"/>
      <c r="L73" s="57"/>
      <c r="M73" s="5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48"/>
      <c r="C74" s="49"/>
      <c r="D74" s="50"/>
      <c r="E74" s="51"/>
      <c r="F74" s="52"/>
      <c r="G74" s="53"/>
      <c r="H74" s="54"/>
      <c r="I74" s="54"/>
      <c r="J74" s="55"/>
      <c r="K74" s="56"/>
      <c r="L74" s="57"/>
      <c r="M74" s="5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48"/>
      <c r="C75" s="49"/>
      <c r="D75" s="50"/>
      <c r="E75" s="51"/>
      <c r="F75" s="52"/>
      <c r="G75" s="53"/>
      <c r="H75" s="54"/>
      <c r="I75" s="54"/>
      <c r="J75" s="55"/>
      <c r="K75" s="56"/>
      <c r="L75" s="57"/>
      <c r="M75" s="5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48"/>
      <c r="C76" s="49"/>
      <c r="D76" s="50"/>
      <c r="E76" s="51"/>
      <c r="F76" s="52"/>
      <c r="G76" s="53"/>
      <c r="H76" s="54"/>
      <c r="I76" s="54"/>
      <c r="J76" s="55"/>
      <c r="K76" s="56"/>
      <c r="L76" s="57"/>
      <c r="M76" s="5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48"/>
      <c r="C77" s="49"/>
      <c r="D77" s="50"/>
      <c r="E77" s="51"/>
      <c r="F77" s="52"/>
      <c r="G77" s="53"/>
      <c r="H77" s="54"/>
      <c r="I77" s="54"/>
      <c r="J77" s="55"/>
      <c r="K77" s="56"/>
      <c r="L77" s="57"/>
      <c r="M77" s="5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48"/>
      <c r="C78" s="49"/>
      <c r="D78" s="50"/>
      <c r="E78" s="51"/>
      <c r="F78" s="52"/>
      <c r="G78" s="53"/>
      <c r="H78" s="54"/>
      <c r="I78" s="54"/>
      <c r="J78" s="55"/>
      <c r="K78" s="56"/>
      <c r="L78" s="57"/>
      <c r="M78" s="5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48"/>
      <c r="C79" s="49"/>
      <c r="D79" s="50"/>
      <c r="E79" s="51"/>
      <c r="F79" s="52"/>
      <c r="G79" s="53"/>
      <c r="H79" s="54"/>
      <c r="I79" s="54"/>
      <c r="J79" s="55"/>
      <c r="K79" s="56"/>
      <c r="L79" s="59"/>
      <c r="M79" s="5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48"/>
      <c r="C80" s="49"/>
      <c r="D80" s="50"/>
      <c r="E80" s="51"/>
      <c r="F80" s="52"/>
      <c r="G80" s="53"/>
      <c r="H80" s="54"/>
      <c r="I80" s="54"/>
      <c r="J80" s="55"/>
      <c r="K80" s="56"/>
      <c r="L80" s="57"/>
      <c r="M80" s="5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48"/>
      <c r="C81" s="49"/>
      <c r="D81" s="50"/>
      <c r="E81" s="51"/>
      <c r="F81" s="52"/>
      <c r="G81" s="53"/>
      <c r="H81" s="54"/>
      <c r="I81" s="54"/>
      <c r="J81" s="55"/>
      <c r="K81" s="56"/>
      <c r="L81" s="57"/>
      <c r="M81" s="5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48"/>
      <c r="C82" s="62"/>
      <c r="D82" s="50"/>
      <c r="E82" s="51"/>
      <c r="F82" s="52"/>
      <c r="G82" s="53"/>
      <c r="H82" s="54"/>
      <c r="I82" s="54"/>
      <c r="J82" s="55"/>
      <c r="K82" s="56"/>
      <c r="L82" s="57"/>
      <c r="M82" s="5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48"/>
      <c r="C83" s="62"/>
      <c r="D83" s="50"/>
      <c r="E83" s="51"/>
      <c r="F83" s="52"/>
      <c r="G83" s="53"/>
      <c r="H83" s="54"/>
      <c r="I83" s="54"/>
      <c r="J83" s="55"/>
      <c r="K83" s="56"/>
      <c r="L83" s="57"/>
      <c r="M83" s="5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48"/>
      <c r="C84" s="62"/>
      <c r="D84" s="50"/>
      <c r="E84" s="51"/>
      <c r="F84" s="52"/>
      <c r="G84" s="53"/>
      <c r="H84" s="54"/>
      <c r="I84" s="54"/>
      <c r="J84" s="55"/>
      <c r="K84" s="56"/>
      <c r="L84" s="57"/>
      <c r="M84" s="5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48"/>
      <c r="C85" s="62"/>
      <c r="D85" s="50"/>
      <c r="E85" s="51"/>
      <c r="F85" s="52"/>
      <c r="G85" s="53"/>
      <c r="H85" s="54"/>
      <c r="I85" s="54"/>
      <c r="J85" s="55"/>
      <c r="K85" s="56"/>
      <c r="L85" s="57"/>
      <c r="M85" s="5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48"/>
      <c r="C86" s="62"/>
      <c r="D86" s="50"/>
      <c r="E86" s="51"/>
      <c r="F86" s="52"/>
      <c r="G86" s="53"/>
      <c r="H86" s="54"/>
      <c r="I86" s="54"/>
      <c r="J86" s="55"/>
      <c r="K86" s="56"/>
      <c r="L86" s="57"/>
      <c r="M86" s="5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48"/>
      <c r="C87" s="62"/>
      <c r="D87" s="50"/>
      <c r="E87" s="51"/>
      <c r="F87" s="52"/>
      <c r="G87" s="53"/>
      <c r="H87" s="54"/>
      <c r="I87" s="54"/>
      <c r="J87" s="55"/>
      <c r="K87" s="56"/>
      <c r="L87" s="57"/>
      <c r="M87" s="5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48"/>
      <c r="C88" s="49"/>
      <c r="D88" s="50"/>
      <c r="E88" s="51"/>
      <c r="F88" s="52"/>
      <c r="G88" s="53"/>
      <c r="H88" s="54"/>
      <c r="I88" s="54"/>
      <c r="J88" s="55"/>
      <c r="K88" s="56"/>
      <c r="L88" s="57"/>
      <c r="M88" s="5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48"/>
      <c r="C89" s="49"/>
      <c r="D89" s="50"/>
      <c r="E89" s="51"/>
      <c r="F89" s="52"/>
      <c r="G89" s="53"/>
      <c r="H89" s="54"/>
      <c r="I89" s="54"/>
      <c r="J89" s="55"/>
      <c r="K89" s="56"/>
      <c r="L89" s="59"/>
      <c r="M89" s="5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48"/>
      <c r="C90" s="49"/>
      <c r="D90" s="63"/>
      <c r="E90" s="51"/>
      <c r="F90" s="64"/>
      <c r="G90" s="53"/>
      <c r="H90" s="54"/>
      <c r="I90" s="54"/>
      <c r="J90" s="55"/>
      <c r="K90" s="56"/>
      <c r="L90" s="57"/>
      <c r="M90" s="5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48"/>
      <c r="C91" s="49"/>
      <c r="D91" s="63"/>
      <c r="E91" s="51"/>
      <c r="F91" s="65"/>
      <c r="G91" s="53"/>
      <c r="H91" s="54"/>
      <c r="I91" s="54"/>
      <c r="J91" s="55"/>
      <c r="K91" s="56"/>
      <c r="L91" s="57"/>
      <c r="M91" s="5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48"/>
      <c r="C92" s="49"/>
      <c r="D92" s="63"/>
      <c r="E92" s="51"/>
      <c r="F92" s="66"/>
      <c r="G92" s="53"/>
      <c r="H92" s="54"/>
      <c r="I92" s="54"/>
      <c r="J92" s="55"/>
      <c r="K92" s="56"/>
      <c r="L92" s="57"/>
      <c r="M92" s="5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48"/>
      <c r="C93" s="49"/>
      <c r="D93" s="50"/>
      <c r="E93" s="51"/>
      <c r="F93" s="52"/>
      <c r="G93" s="53"/>
      <c r="H93" s="54"/>
      <c r="I93" s="54"/>
      <c r="J93" s="55"/>
      <c r="K93" s="56"/>
      <c r="L93" s="57"/>
      <c r="M93" s="5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48"/>
      <c r="C94" s="49"/>
      <c r="D94" s="50"/>
      <c r="E94" s="51"/>
      <c r="F94" s="52"/>
      <c r="G94" s="53"/>
      <c r="H94" s="54"/>
      <c r="I94" s="54"/>
      <c r="J94" s="55"/>
      <c r="K94" s="56"/>
      <c r="L94" s="57"/>
      <c r="M94" s="5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48"/>
      <c r="C95" s="49"/>
      <c r="D95" s="50"/>
      <c r="E95" s="51"/>
      <c r="F95" s="52"/>
      <c r="G95" s="53"/>
      <c r="H95" s="54"/>
      <c r="I95" s="54"/>
      <c r="J95" s="55"/>
      <c r="K95" s="56"/>
      <c r="L95" s="57"/>
      <c r="M95" s="5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48"/>
      <c r="C96" s="49"/>
      <c r="D96" s="50"/>
      <c r="E96" s="51"/>
      <c r="F96" s="65"/>
      <c r="G96" s="53"/>
      <c r="H96" s="54"/>
      <c r="I96" s="54"/>
      <c r="J96" s="55"/>
      <c r="K96" s="56"/>
      <c r="L96" s="57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48"/>
      <c r="C97" s="49"/>
      <c r="D97" s="50"/>
      <c r="E97" s="51"/>
      <c r="F97" s="52"/>
      <c r="G97" s="53"/>
      <c r="H97" s="54"/>
      <c r="I97" s="54"/>
      <c r="J97" s="55"/>
      <c r="K97" s="56"/>
      <c r="L97" s="57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48"/>
      <c r="C98" s="49"/>
      <c r="D98" s="63"/>
      <c r="E98" s="51"/>
      <c r="F98" s="52"/>
      <c r="G98" s="53"/>
      <c r="H98" s="54"/>
      <c r="I98" s="54"/>
      <c r="J98" s="55"/>
      <c r="K98" s="56"/>
      <c r="L98" s="57"/>
      <c r="M98" s="5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48"/>
      <c r="C99" s="49"/>
      <c r="D99" s="50"/>
      <c r="E99" s="51"/>
      <c r="F99" s="52"/>
      <c r="G99" s="53"/>
      <c r="H99" s="54"/>
      <c r="I99" s="54"/>
      <c r="J99" s="55"/>
      <c r="K99" s="56"/>
      <c r="L99" s="59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48"/>
      <c r="C100" s="49"/>
      <c r="D100" s="50"/>
      <c r="E100" s="51"/>
      <c r="F100" s="52"/>
      <c r="G100" s="53"/>
      <c r="H100" s="54"/>
      <c r="I100" s="54"/>
      <c r="J100" s="55"/>
      <c r="K100" s="56"/>
      <c r="L100" s="57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48"/>
      <c r="C101" s="49"/>
      <c r="D101" s="50"/>
      <c r="E101" s="51"/>
      <c r="F101" s="52"/>
      <c r="G101" s="53"/>
      <c r="H101" s="54"/>
      <c r="I101" s="54"/>
      <c r="J101" s="55"/>
      <c r="K101" s="56"/>
      <c r="L101" s="57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48"/>
      <c r="C102" s="49"/>
      <c r="D102" s="50"/>
      <c r="E102" s="51"/>
      <c r="F102" s="52"/>
      <c r="G102" s="53"/>
      <c r="H102" s="54"/>
      <c r="I102" s="54"/>
      <c r="J102" s="55"/>
      <c r="K102" s="56"/>
      <c r="L102" s="57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48"/>
      <c r="C103" s="49"/>
      <c r="D103" s="50"/>
      <c r="E103" s="51"/>
      <c r="F103" s="52"/>
      <c r="G103" s="53"/>
      <c r="H103" s="54"/>
      <c r="I103" s="54"/>
      <c r="J103" s="55"/>
      <c r="K103" s="56"/>
      <c r="L103" s="57"/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48"/>
      <c r="C104" s="49"/>
      <c r="D104" s="63"/>
      <c r="E104" s="51"/>
      <c r="F104" s="52"/>
      <c r="G104" s="53"/>
      <c r="H104" s="54"/>
      <c r="I104" s="54"/>
      <c r="J104" s="55"/>
      <c r="K104" s="56"/>
      <c r="L104" s="57"/>
      <c r="M104" s="5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48"/>
      <c r="C105" s="49"/>
      <c r="D105" s="63"/>
      <c r="E105" s="51"/>
      <c r="F105" s="52"/>
      <c r="G105" s="53"/>
      <c r="H105" s="54"/>
      <c r="I105" s="54"/>
      <c r="J105" s="55"/>
      <c r="K105" s="56"/>
      <c r="L105" s="59"/>
      <c r="M105" s="5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48"/>
      <c r="C106" s="49"/>
      <c r="D106" s="63"/>
      <c r="E106" s="51"/>
      <c r="F106" s="52"/>
      <c r="G106" s="53"/>
      <c r="H106" s="54"/>
      <c r="I106" s="54"/>
      <c r="J106" s="67"/>
      <c r="K106" s="56"/>
      <c r="L106" s="57"/>
      <c r="M106" s="5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48"/>
      <c r="C107" s="49"/>
      <c r="D107" s="63"/>
      <c r="E107" s="51"/>
      <c r="F107" s="52"/>
      <c r="G107" s="53"/>
      <c r="H107" s="54"/>
      <c r="I107" s="54"/>
      <c r="J107" s="55"/>
      <c r="K107" s="56"/>
      <c r="L107" s="59"/>
      <c r="M107" s="5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48"/>
      <c r="C108" s="49"/>
      <c r="D108" s="63"/>
      <c r="E108" s="51"/>
      <c r="F108" s="52"/>
      <c r="G108" s="53"/>
      <c r="H108" s="54"/>
      <c r="I108" s="54"/>
      <c r="J108" s="55"/>
      <c r="K108" s="56"/>
      <c r="L108" s="57"/>
      <c r="M108" s="5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48"/>
      <c r="C109" s="49"/>
      <c r="D109" s="63"/>
      <c r="E109" s="51"/>
      <c r="F109" s="52"/>
      <c r="G109" s="53"/>
      <c r="H109" s="54"/>
      <c r="I109" s="54"/>
      <c r="J109" s="55"/>
      <c r="K109" s="56"/>
      <c r="L109" s="57"/>
      <c r="M109" s="5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48"/>
      <c r="C110" s="49"/>
      <c r="D110" s="63"/>
      <c r="E110" s="51"/>
      <c r="F110" s="52"/>
      <c r="G110" s="53"/>
      <c r="H110" s="54"/>
      <c r="I110" s="54"/>
      <c r="J110" s="55"/>
      <c r="K110" s="56"/>
      <c r="L110" s="57"/>
      <c r="M110" s="5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48"/>
      <c r="C111" s="49"/>
      <c r="D111" s="63"/>
      <c r="E111" s="51"/>
      <c r="F111" s="52"/>
      <c r="G111" s="53"/>
      <c r="H111" s="54"/>
      <c r="I111" s="54"/>
      <c r="J111" s="55"/>
      <c r="K111" s="56"/>
      <c r="L111" s="57"/>
      <c r="M111" s="58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48"/>
      <c r="C112" s="49"/>
      <c r="D112" s="63"/>
      <c r="E112" s="51"/>
      <c r="F112" s="52"/>
      <c r="G112" s="53"/>
      <c r="H112" s="54"/>
      <c r="I112" s="54"/>
      <c r="J112" s="55"/>
      <c r="K112" s="56"/>
      <c r="L112" s="57"/>
      <c r="M112" s="5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48"/>
      <c r="C113" s="49"/>
      <c r="D113" s="63"/>
      <c r="E113" s="51"/>
      <c r="F113" s="52"/>
      <c r="G113" s="53"/>
      <c r="H113" s="54"/>
      <c r="I113" s="54"/>
      <c r="J113" s="55"/>
      <c r="K113" s="56"/>
      <c r="L113" s="59"/>
      <c r="M113" s="58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48"/>
      <c r="C114" s="49"/>
      <c r="D114" s="63"/>
      <c r="E114" s="51"/>
      <c r="F114" s="52"/>
      <c r="G114" s="53"/>
      <c r="H114" s="54"/>
      <c r="I114" s="54"/>
      <c r="J114" s="55"/>
      <c r="K114" s="56"/>
      <c r="L114" s="57"/>
      <c r="M114" s="58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48"/>
      <c r="C115" s="49"/>
      <c r="D115" s="63"/>
      <c r="E115" s="51"/>
      <c r="F115" s="52"/>
      <c r="G115" s="53"/>
      <c r="H115" s="54"/>
      <c r="I115" s="54"/>
      <c r="J115" s="55"/>
      <c r="K115" s="56"/>
      <c r="L115" s="57"/>
      <c r="M115" s="58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48"/>
      <c r="C116" s="49"/>
      <c r="D116" s="63"/>
      <c r="E116" s="51"/>
      <c r="F116" s="52"/>
      <c r="G116" s="53"/>
      <c r="H116" s="54"/>
      <c r="I116" s="54"/>
      <c r="J116" s="55"/>
      <c r="K116" s="56"/>
      <c r="L116" s="57"/>
      <c r="M116" s="5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48"/>
      <c r="C117" s="49"/>
      <c r="D117" s="63"/>
      <c r="E117" s="51"/>
      <c r="F117" s="52"/>
      <c r="G117" s="53"/>
      <c r="H117" s="54"/>
      <c r="I117" s="54"/>
      <c r="J117" s="55"/>
      <c r="K117" s="56"/>
      <c r="L117" s="57"/>
      <c r="M117" s="5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48"/>
      <c r="C118" s="49"/>
      <c r="D118" s="63"/>
      <c r="E118" s="51"/>
      <c r="F118" s="52"/>
      <c r="G118" s="53"/>
      <c r="H118" s="54"/>
      <c r="I118" s="54"/>
      <c r="J118" s="55"/>
      <c r="K118" s="56"/>
      <c r="L118" s="57"/>
      <c r="M118" s="5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48"/>
      <c r="C119" s="49"/>
      <c r="D119" s="63"/>
      <c r="E119" s="51"/>
      <c r="F119" s="52"/>
      <c r="G119" s="53"/>
      <c r="H119" s="54"/>
      <c r="I119" s="54"/>
      <c r="J119" s="55"/>
      <c r="K119" s="56"/>
      <c r="L119" s="57"/>
      <c r="M119" s="58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48"/>
      <c r="C120" s="49"/>
      <c r="D120" s="63"/>
      <c r="E120" s="51"/>
      <c r="F120" s="52"/>
      <c r="G120" s="53"/>
      <c r="H120" s="54"/>
      <c r="I120" s="54"/>
      <c r="J120" s="55"/>
      <c r="K120" s="56"/>
      <c r="L120" s="57"/>
      <c r="M120" s="58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48"/>
      <c r="C121" s="49"/>
      <c r="D121" s="50"/>
      <c r="E121" s="51"/>
      <c r="F121" s="52"/>
      <c r="G121" s="53"/>
      <c r="H121" s="54"/>
      <c r="I121" s="54"/>
      <c r="J121" s="55"/>
      <c r="K121" s="56"/>
      <c r="L121" s="57"/>
      <c r="M121" s="5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48"/>
      <c r="C122" s="49"/>
      <c r="D122" s="63"/>
      <c r="E122" s="51"/>
      <c r="F122" s="52"/>
      <c r="G122" s="53"/>
      <c r="H122" s="54"/>
      <c r="I122" s="54"/>
      <c r="J122" s="55"/>
      <c r="K122" s="56"/>
      <c r="L122" s="57"/>
      <c r="M122" s="5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48"/>
      <c r="C123" s="49"/>
      <c r="D123" s="63"/>
      <c r="E123" s="51"/>
      <c r="F123" s="52"/>
      <c r="G123" s="53"/>
      <c r="H123" s="54"/>
      <c r="I123" s="54"/>
      <c r="J123" s="55"/>
      <c r="K123" s="56"/>
      <c r="L123" s="57"/>
      <c r="M123" s="5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48"/>
      <c r="C124" s="49"/>
      <c r="D124" s="63"/>
      <c r="E124" s="51"/>
      <c r="F124" s="52"/>
      <c r="G124" s="53"/>
      <c r="H124" s="54"/>
      <c r="I124" s="54"/>
      <c r="J124" s="55"/>
      <c r="K124" s="56"/>
      <c r="L124" s="57"/>
      <c r="M124" s="5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48"/>
      <c r="C125" s="49"/>
      <c r="D125" s="63"/>
      <c r="E125" s="51"/>
      <c r="F125" s="52"/>
      <c r="G125" s="53"/>
      <c r="H125" s="54"/>
      <c r="I125" s="54"/>
      <c r="J125" s="55"/>
      <c r="K125" s="56"/>
      <c r="L125" s="57"/>
      <c r="M125" s="5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48"/>
      <c r="C126" s="49"/>
      <c r="D126" s="63"/>
      <c r="E126" s="51"/>
      <c r="F126" s="52"/>
      <c r="G126" s="53"/>
      <c r="H126" s="54"/>
      <c r="I126" s="54"/>
      <c r="J126" s="55"/>
      <c r="K126" s="56"/>
      <c r="L126" s="59"/>
      <c r="M126" s="5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48"/>
      <c r="C127" s="49"/>
      <c r="D127" s="50"/>
      <c r="E127" s="51"/>
      <c r="F127" s="52"/>
      <c r="G127" s="53"/>
      <c r="H127" s="54"/>
      <c r="I127" s="54"/>
      <c r="J127" s="55"/>
      <c r="K127" s="56"/>
      <c r="L127" s="59"/>
      <c r="M127" s="5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48"/>
      <c r="C128" s="68"/>
      <c r="D128" s="69"/>
      <c r="E128" s="51"/>
      <c r="F128" s="52"/>
      <c r="G128" s="70"/>
      <c r="H128" s="55"/>
      <c r="I128" s="54"/>
      <c r="J128" s="55"/>
      <c r="K128" s="56"/>
      <c r="L128" s="57"/>
      <c r="M128" s="5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48"/>
      <c r="C129" s="49"/>
      <c r="D129" s="50"/>
      <c r="E129" s="51"/>
      <c r="F129" s="52"/>
      <c r="G129" s="53"/>
      <c r="H129" s="54"/>
      <c r="I129" s="54"/>
      <c r="J129" s="55"/>
      <c r="K129" s="56"/>
      <c r="L129" s="57"/>
      <c r="M129" s="5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48"/>
      <c r="C130" s="49"/>
      <c r="D130" s="63"/>
      <c r="E130" s="51"/>
      <c r="F130" s="52"/>
      <c r="G130" s="53"/>
      <c r="H130" s="54"/>
      <c r="I130" s="54"/>
      <c r="J130" s="55"/>
      <c r="K130" s="56"/>
      <c r="L130" s="57"/>
      <c r="M130" s="5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48"/>
      <c r="C131" s="49"/>
      <c r="D131" s="63"/>
      <c r="E131" s="51"/>
      <c r="F131" s="52"/>
      <c r="G131" s="53"/>
      <c r="H131" s="54"/>
      <c r="I131" s="54"/>
      <c r="J131" s="55"/>
      <c r="K131" s="56"/>
      <c r="L131" s="57"/>
      <c r="M131" s="58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48"/>
      <c r="C132" s="49"/>
      <c r="D132" s="63"/>
      <c r="E132" s="51"/>
      <c r="F132" s="52"/>
      <c r="G132" s="53"/>
      <c r="H132" s="54"/>
      <c r="I132" s="54"/>
      <c r="J132" s="55"/>
      <c r="K132" s="56"/>
      <c r="L132" s="59"/>
      <c r="M132" s="58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48"/>
      <c r="C133" s="49"/>
      <c r="D133" s="63"/>
      <c r="E133" s="51"/>
      <c r="F133" s="52"/>
      <c r="G133" s="53"/>
      <c r="H133" s="54"/>
      <c r="I133" s="54"/>
      <c r="J133" s="55"/>
      <c r="K133" s="56"/>
      <c r="L133" s="57"/>
      <c r="M133" s="5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48"/>
      <c r="C134" s="49"/>
      <c r="D134" s="63"/>
      <c r="E134" s="51"/>
      <c r="F134" s="52"/>
      <c r="G134" s="53"/>
      <c r="H134" s="54"/>
      <c r="I134" s="54"/>
      <c r="J134" s="55"/>
      <c r="K134" s="56"/>
      <c r="L134" s="57"/>
      <c r="M134" s="5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48"/>
      <c r="C135" s="49"/>
      <c r="D135" s="63"/>
      <c r="E135" s="51"/>
      <c r="F135" s="52"/>
      <c r="G135" s="53"/>
      <c r="H135" s="54"/>
      <c r="I135" s="54"/>
      <c r="J135" s="55"/>
      <c r="K135" s="56"/>
      <c r="L135" s="57"/>
      <c r="M135" s="5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48"/>
      <c r="C136" s="49"/>
      <c r="D136" s="63"/>
      <c r="E136" s="51"/>
      <c r="F136" s="52"/>
      <c r="G136" s="53"/>
      <c r="H136" s="54"/>
      <c r="I136" s="54"/>
      <c r="J136" s="55"/>
      <c r="K136" s="56"/>
      <c r="L136" s="59"/>
      <c r="M136" s="5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48"/>
      <c r="C137" s="49"/>
      <c r="D137" s="63"/>
      <c r="E137" s="51"/>
      <c r="F137" s="52"/>
      <c r="G137" s="53"/>
      <c r="H137" s="54"/>
      <c r="I137" s="54"/>
      <c r="J137" s="55"/>
      <c r="K137" s="56"/>
      <c r="L137" s="57"/>
      <c r="M137" s="5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48"/>
      <c r="C138" s="49"/>
      <c r="D138" s="63"/>
      <c r="E138" s="51"/>
      <c r="F138" s="52"/>
      <c r="G138" s="53"/>
      <c r="H138" s="54"/>
      <c r="I138" s="54"/>
      <c r="J138" s="55"/>
      <c r="K138" s="56"/>
      <c r="L138" s="57"/>
      <c r="M138" s="5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48"/>
      <c r="C139" s="49"/>
      <c r="D139" s="63"/>
      <c r="E139" s="51"/>
      <c r="F139" s="52"/>
      <c r="G139" s="53"/>
      <c r="H139" s="54"/>
      <c r="I139" s="54"/>
      <c r="J139" s="55"/>
      <c r="K139" s="56"/>
      <c r="L139" s="57"/>
      <c r="M139" s="5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48"/>
      <c r="C140" s="49"/>
      <c r="D140" s="63"/>
      <c r="E140" s="51"/>
      <c r="F140" s="52"/>
      <c r="G140" s="53"/>
      <c r="H140" s="54"/>
      <c r="I140" s="54"/>
      <c r="J140" s="55"/>
      <c r="K140" s="56"/>
      <c r="L140" s="59"/>
      <c r="M140" s="5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48"/>
      <c r="C141" s="49"/>
      <c r="D141" s="63"/>
      <c r="E141" s="51"/>
      <c r="F141" s="52"/>
      <c r="G141" s="53"/>
      <c r="H141" s="54"/>
      <c r="I141" s="54"/>
      <c r="J141" s="55"/>
      <c r="K141" s="56"/>
      <c r="L141" s="57"/>
      <c r="M141" s="5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48"/>
      <c r="C142" s="49"/>
      <c r="D142" s="63"/>
      <c r="E142" s="51"/>
      <c r="F142" s="52"/>
      <c r="G142" s="53"/>
      <c r="H142" s="54"/>
      <c r="I142" s="54"/>
      <c r="J142" s="55"/>
      <c r="K142" s="56"/>
      <c r="L142" s="57"/>
      <c r="M142" s="5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48"/>
      <c r="C143" s="49"/>
      <c r="D143" s="63"/>
      <c r="E143" s="51"/>
      <c r="F143" s="52"/>
      <c r="G143" s="53"/>
      <c r="H143" s="54"/>
      <c r="I143" s="54"/>
      <c r="J143" s="55"/>
      <c r="K143" s="56"/>
      <c r="L143" s="57"/>
      <c r="M143" s="5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48"/>
      <c r="C144" s="49"/>
      <c r="D144" s="63"/>
      <c r="E144" s="51"/>
      <c r="F144" s="52"/>
      <c r="G144" s="53"/>
      <c r="H144" s="54"/>
      <c r="I144" s="54"/>
      <c r="J144" s="55"/>
      <c r="K144" s="56"/>
      <c r="L144" s="57"/>
      <c r="M144" s="5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48"/>
      <c r="C145" s="49"/>
      <c r="D145" s="63"/>
      <c r="E145" s="51"/>
      <c r="F145" s="52"/>
      <c r="G145" s="53"/>
      <c r="H145" s="54"/>
      <c r="I145" s="54"/>
      <c r="J145" s="55"/>
      <c r="K145" s="56"/>
      <c r="L145" s="59"/>
      <c r="M145" s="5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48"/>
      <c r="C146" s="49"/>
      <c r="D146" s="50"/>
      <c r="E146" s="51"/>
      <c r="F146" s="52"/>
      <c r="G146" s="53"/>
      <c r="H146" s="54"/>
      <c r="I146" s="54"/>
      <c r="J146" s="55"/>
      <c r="K146" s="56"/>
      <c r="L146" s="57"/>
      <c r="M146" s="5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48"/>
      <c r="C147" s="49"/>
      <c r="D147" s="63"/>
      <c r="E147" s="51"/>
      <c r="F147" s="52"/>
      <c r="G147" s="53"/>
      <c r="H147" s="54"/>
      <c r="I147" s="54"/>
      <c r="J147" s="55"/>
      <c r="K147" s="56"/>
      <c r="L147" s="57"/>
      <c r="M147" s="5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48"/>
      <c r="C148" s="49"/>
      <c r="D148" s="63"/>
      <c r="E148" s="51"/>
      <c r="F148" s="52"/>
      <c r="G148" s="53"/>
      <c r="H148" s="54"/>
      <c r="I148" s="54"/>
      <c r="J148" s="55"/>
      <c r="K148" s="56"/>
      <c r="L148" s="57"/>
      <c r="M148" s="5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48"/>
      <c r="C149" s="49"/>
      <c r="D149" s="63"/>
      <c r="E149" s="51"/>
      <c r="F149" s="52"/>
      <c r="G149" s="53"/>
      <c r="H149" s="54"/>
      <c r="I149" s="54"/>
      <c r="J149" s="55"/>
      <c r="K149" s="56"/>
      <c r="L149" s="59"/>
      <c r="M149" s="5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48"/>
      <c r="C150" s="49"/>
      <c r="D150" s="63"/>
      <c r="E150" s="51"/>
      <c r="F150" s="52"/>
      <c r="G150" s="53"/>
      <c r="H150" s="54"/>
      <c r="I150" s="54"/>
      <c r="J150" s="55"/>
      <c r="K150" s="56"/>
      <c r="L150" s="57"/>
      <c r="M150" s="5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48"/>
      <c r="C151" s="49"/>
      <c r="D151" s="63"/>
      <c r="E151" s="51"/>
      <c r="F151" s="52"/>
      <c r="G151" s="53"/>
      <c r="H151" s="54"/>
      <c r="I151" s="54"/>
      <c r="J151" s="55"/>
      <c r="K151" s="56"/>
      <c r="L151" s="57"/>
      <c r="M151" s="5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48"/>
      <c r="C152" s="49"/>
      <c r="D152" s="63"/>
      <c r="E152" s="51"/>
      <c r="F152" s="52"/>
      <c r="G152" s="53"/>
      <c r="H152" s="54"/>
      <c r="I152" s="54"/>
      <c r="J152" s="55"/>
      <c r="K152" s="56"/>
      <c r="L152" s="57"/>
      <c r="M152" s="5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48"/>
      <c r="C153" s="49"/>
      <c r="D153" s="63"/>
      <c r="E153" s="51"/>
      <c r="F153" s="52"/>
      <c r="G153" s="53"/>
      <c r="H153" s="54"/>
      <c r="I153" s="54"/>
      <c r="J153" s="55"/>
      <c r="K153" s="56"/>
      <c r="L153" s="57"/>
      <c r="M153" s="5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48"/>
      <c r="C154" s="49"/>
      <c r="D154" s="63"/>
      <c r="E154" s="51"/>
      <c r="F154" s="52"/>
      <c r="G154" s="53"/>
      <c r="H154" s="54"/>
      <c r="I154" s="54"/>
      <c r="J154" s="55"/>
      <c r="K154" s="56"/>
      <c r="L154" s="57"/>
      <c r="M154" s="5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48"/>
      <c r="C155" s="49"/>
      <c r="D155" s="63"/>
      <c r="E155" s="51"/>
      <c r="F155" s="52"/>
      <c r="G155" s="53"/>
      <c r="H155" s="54"/>
      <c r="I155" s="54"/>
      <c r="J155" s="55"/>
      <c r="K155" s="56"/>
      <c r="L155" s="59"/>
      <c r="M155" s="5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48"/>
      <c r="C156" s="49"/>
      <c r="D156" s="63"/>
      <c r="E156" s="51"/>
      <c r="F156" s="52"/>
      <c r="G156" s="53"/>
      <c r="H156" s="54"/>
      <c r="I156" s="54"/>
      <c r="J156" s="55"/>
      <c r="K156" s="56"/>
      <c r="L156" s="57"/>
      <c r="M156" s="5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48"/>
      <c r="C157" s="49"/>
      <c r="D157" s="63"/>
      <c r="E157" s="51"/>
      <c r="F157" s="52"/>
      <c r="G157" s="53"/>
      <c r="H157" s="54"/>
      <c r="I157" s="54"/>
      <c r="J157" s="55"/>
      <c r="K157" s="56"/>
      <c r="L157" s="57"/>
      <c r="M157" s="5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48"/>
      <c r="C158" s="49"/>
      <c r="D158" s="63"/>
      <c r="E158" s="51"/>
      <c r="F158" s="52"/>
      <c r="G158" s="53"/>
      <c r="H158" s="54"/>
      <c r="I158" s="54"/>
      <c r="J158" s="55"/>
      <c r="K158" s="56"/>
      <c r="L158" s="57"/>
      <c r="M158" s="5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48"/>
      <c r="C159" s="49"/>
      <c r="D159" s="63"/>
      <c r="E159" s="51"/>
      <c r="F159" s="52"/>
      <c r="G159" s="53"/>
      <c r="H159" s="54"/>
      <c r="I159" s="54"/>
      <c r="J159" s="55"/>
      <c r="K159" s="56"/>
      <c r="L159" s="57"/>
      <c r="M159" s="5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48"/>
      <c r="C160" s="49"/>
      <c r="D160" s="63"/>
      <c r="E160" s="51"/>
      <c r="F160" s="52"/>
      <c r="G160" s="53"/>
      <c r="H160" s="54"/>
      <c r="I160" s="54"/>
      <c r="J160" s="55"/>
      <c r="K160" s="56"/>
      <c r="L160" s="57"/>
      <c r="M160" s="5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48"/>
      <c r="C161" s="49"/>
      <c r="D161" s="63"/>
      <c r="E161" s="51"/>
      <c r="F161" s="52"/>
      <c r="G161" s="53"/>
      <c r="H161" s="54"/>
      <c r="I161" s="54"/>
      <c r="J161" s="55"/>
      <c r="K161" s="56"/>
      <c r="L161" s="57"/>
      <c r="M161" s="5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48"/>
      <c r="C162" s="49"/>
      <c r="D162" s="63"/>
      <c r="E162" s="51"/>
      <c r="F162" s="52"/>
      <c r="G162" s="53"/>
      <c r="H162" s="54"/>
      <c r="I162" s="54"/>
      <c r="J162" s="55"/>
      <c r="K162" s="56"/>
      <c r="L162" s="57"/>
      <c r="M162" s="5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48"/>
      <c r="C163" s="49"/>
      <c r="D163" s="63"/>
      <c r="E163" s="51"/>
      <c r="F163" s="52"/>
      <c r="G163" s="53"/>
      <c r="H163" s="54"/>
      <c r="I163" s="54"/>
      <c r="J163" s="55"/>
      <c r="K163" s="56"/>
      <c r="L163" s="57"/>
      <c r="M163" s="5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48"/>
      <c r="C164" s="49"/>
      <c r="D164" s="63"/>
      <c r="E164" s="51"/>
      <c r="F164" s="52"/>
      <c r="G164" s="53"/>
      <c r="H164" s="54"/>
      <c r="I164" s="54"/>
      <c r="J164" s="55"/>
      <c r="K164" s="56"/>
      <c r="L164" s="57"/>
      <c r="M164" s="5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48"/>
      <c r="C165" s="49"/>
      <c r="D165" s="63"/>
      <c r="E165" s="51"/>
      <c r="F165" s="52"/>
      <c r="G165" s="53"/>
      <c r="H165" s="54"/>
      <c r="I165" s="54"/>
      <c r="J165" s="55"/>
      <c r="K165" s="56"/>
      <c r="L165" s="57"/>
      <c r="M165" s="5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48"/>
      <c r="C166" s="49"/>
      <c r="D166" s="63"/>
      <c r="E166" s="51"/>
      <c r="F166" s="52"/>
      <c r="G166" s="53"/>
      <c r="H166" s="54"/>
      <c r="I166" s="54"/>
      <c r="J166" s="55"/>
      <c r="K166" s="56"/>
      <c r="L166" s="59"/>
      <c r="M166" s="5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48"/>
      <c r="C167" s="71"/>
      <c r="D167" s="63"/>
      <c r="E167" s="51"/>
      <c r="F167" s="52"/>
      <c r="G167" s="53"/>
      <c r="H167" s="54"/>
      <c r="I167" s="54"/>
      <c r="J167" s="55"/>
      <c r="K167" s="56"/>
      <c r="L167" s="57"/>
      <c r="M167" s="5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48"/>
      <c r="C168" s="49"/>
      <c r="D168" s="63"/>
      <c r="E168" s="51"/>
      <c r="F168" s="52"/>
      <c r="G168" s="53"/>
      <c r="H168" s="54"/>
      <c r="I168" s="54"/>
      <c r="J168" s="55"/>
      <c r="K168" s="56"/>
      <c r="L168" s="57"/>
      <c r="M168" s="5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48"/>
      <c r="C169" s="49"/>
      <c r="D169" s="63"/>
      <c r="E169" s="51"/>
      <c r="F169" s="52"/>
      <c r="G169" s="53"/>
      <c r="H169" s="54"/>
      <c r="I169" s="54"/>
      <c r="J169" s="55"/>
      <c r="K169" s="56"/>
      <c r="L169" s="57"/>
      <c r="M169" s="5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48"/>
      <c r="C170" s="49"/>
      <c r="D170" s="63"/>
      <c r="E170" s="51"/>
      <c r="F170" s="52"/>
      <c r="G170" s="53"/>
      <c r="H170" s="54"/>
      <c r="I170" s="54"/>
      <c r="J170" s="55"/>
      <c r="K170" s="56"/>
      <c r="L170" s="57"/>
      <c r="M170" s="5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48"/>
      <c r="C171" s="49"/>
      <c r="D171" s="63"/>
      <c r="E171" s="51"/>
      <c r="F171" s="52"/>
      <c r="G171" s="53"/>
      <c r="H171" s="54"/>
      <c r="I171" s="54"/>
      <c r="J171" s="55"/>
      <c r="K171" s="56"/>
      <c r="L171" s="57"/>
      <c r="M171" s="5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48"/>
      <c r="C172" s="49"/>
      <c r="D172" s="50"/>
      <c r="E172" s="51"/>
      <c r="F172" s="52"/>
      <c r="G172" s="53"/>
      <c r="H172" s="54"/>
      <c r="I172" s="54"/>
      <c r="J172" s="55"/>
      <c r="K172" s="56"/>
      <c r="L172" s="57"/>
      <c r="M172" s="5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48"/>
      <c r="C173" s="49"/>
      <c r="D173" s="50"/>
      <c r="E173" s="51"/>
      <c r="F173" s="52"/>
      <c r="G173" s="53"/>
      <c r="H173" s="54"/>
      <c r="I173" s="54"/>
      <c r="J173" s="55"/>
      <c r="K173" s="56"/>
      <c r="L173" s="57"/>
      <c r="M173" s="5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48"/>
      <c r="C174" s="49"/>
      <c r="D174" s="63"/>
      <c r="E174" s="51"/>
      <c r="F174" s="52"/>
      <c r="G174" s="53"/>
      <c r="H174" s="54"/>
      <c r="I174" s="54"/>
      <c r="J174" s="55"/>
      <c r="K174" s="56"/>
      <c r="L174" s="57"/>
      <c r="M174" s="5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48"/>
      <c r="C175" s="49"/>
      <c r="D175" s="63"/>
      <c r="E175" s="51"/>
      <c r="F175" s="52"/>
      <c r="G175" s="53"/>
      <c r="H175" s="54"/>
      <c r="I175" s="54"/>
      <c r="J175" s="55"/>
      <c r="K175" s="56"/>
      <c r="L175" s="57"/>
      <c r="M175" s="5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48"/>
      <c r="C176" s="49"/>
      <c r="D176" s="63"/>
      <c r="E176" s="51"/>
      <c r="F176" s="52"/>
      <c r="G176" s="53"/>
      <c r="H176" s="54"/>
      <c r="I176" s="54"/>
      <c r="J176" s="55"/>
      <c r="K176" s="56"/>
      <c r="L176" s="59"/>
      <c r="M176" s="5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48"/>
      <c r="C177" s="71"/>
      <c r="D177" s="63"/>
      <c r="E177" s="51"/>
      <c r="F177" s="52"/>
      <c r="G177" s="53"/>
      <c r="H177" s="54"/>
      <c r="I177" s="54"/>
      <c r="J177" s="55"/>
      <c r="K177" s="56"/>
      <c r="L177" s="57"/>
      <c r="M177" s="5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48"/>
      <c r="C178" s="49"/>
      <c r="D178" s="63"/>
      <c r="E178" s="51"/>
      <c r="F178" s="52"/>
      <c r="G178" s="53"/>
      <c r="H178" s="54"/>
      <c r="I178" s="54"/>
      <c r="J178" s="55"/>
      <c r="K178" s="56"/>
      <c r="L178" s="57"/>
      <c r="M178" s="5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48"/>
      <c r="C179" s="49"/>
      <c r="D179" s="63"/>
      <c r="E179" s="51"/>
      <c r="F179" s="52"/>
      <c r="G179" s="53"/>
      <c r="H179" s="54"/>
      <c r="I179" s="54"/>
      <c r="J179" s="55"/>
      <c r="K179" s="56"/>
      <c r="L179" s="57"/>
      <c r="M179" s="5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48"/>
      <c r="C180" s="49"/>
      <c r="D180" s="63"/>
      <c r="E180" s="51"/>
      <c r="F180" s="52"/>
      <c r="G180" s="53"/>
      <c r="H180" s="54"/>
      <c r="I180" s="54"/>
      <c r="J180" s="55"/>
      <c r="K180" s="56"/>
      <c r="L180" s="57"/>
      <c r="M180" s="5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48"/>
      <c r="C181" s="49"/>
      <c r="D181" s="63"/>
      <c r="E181" s="51"/>
      <c r="F181" s="52"/>
      <c r="G181" s="53"/>
      <c r="H181" s="54"/>
      <c r="I181" s="54"/>
      <c r="J181" s="55"/>
      <c r="K181" s="56"/>
      <c r="L181" s="57"/>
      <c r="M181" s="5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48"/>
      <c r="C182" s="49"/>
      <c r="D182" s="63"/>
      <c r="E182" s="51"/>
      <c r="F182" s="52"/>
      <c r="G182" s="53"/>
      <c r="H182" s="54"/>
      <c r="I182" s="54"/>
      <c r="J182" s="55"/>
      <c r="K182" s="56"/>
      <c r="L182" s="57"/>
      <c r="M182" s="5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48"/>
      <c r="C183" s="49"/>
      <c r="D183" s="63"/>
      <c r="E183" s="51"/>
      <c r="F183" s="52"/>
      <c r="G183" s="53"/>
      <c r="H183" s="54"/>
      <c r="I183" s="54"/>
      <c r="J183" s="55"/>
      <c r="K183" s="56"/>
      <c r="L183" s="57"/>
      <c r="M183" s="5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48"/>
      <c r="C184" s="49"/>
      <c r="D184" s="63"/>
      <c r="E184" s="51"/>
      <c r="F184" s="52"/>
      <c r="G184" s="53"/>
      <c r="H184" s="54"/>
      <c r="I184" s="54"/>
      <c r="J184" s="55"/>
      <c r="K184" s="56"/>
      <c r="L184" s="57"/>
      <c r="M184" s="5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48"/>
      <c r="C185" s="49"/>
      <c r="D185" s="63"/>
      <c r="E185" s="51"/>
      <c r="F185" s="52"/>
      <c r="G185" s="53"/>
      <c r="H185" s="54"/>
      <c r="I185" s="54"/>
      <c r="J185" s="55"/>
      <c r="K185" s="56"/>
      <c r="L185" s="57"/>
      <c r="M185" s="5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48"/>
      <c r="C186" s="49"/>
      <c r="D186" s="63"/>
      <c r="E186" s="51"/>
      <c r="F186" s="52"/>
      <c r="G186" s="53"/>
      <c r="H186" s="54"/>
      <c r="I186" s="54"/>
      <c r="J186" s="55"/>
      <c r="K186" s="56"/>
      <c r="L186" s="57"/>
      <c r="M186" s="5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48"/>
      <c r="C187" s="49"/>
      <c r="D187" s="63"/>
      <c r="E187" s="51"/>
      <c r="F187" s="52"/>
      <c r="G187" s="53"/>
      <c r="H187" s="54"/>
      <c r="I187" s="54"/>
      <c r="J187" s="55"/>
      <c r="K187" s="56"/>
      <c r="L187" s="57"/>
      <c r="M187" s="5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48"/>
      <c r="C188" s="49"/>
      <c r="D188" s="63"/>
      <c r="E188" s="51"/>
      <c r="F188" s="52"/>
      <c r="G188" s="53"/>
      <c r="H188" s="54"/>
      <c r="I188" s="54"/>
      <c r="J188" s="55"/>
      <c r="K188" s="56"/>
      <c r="L188" s="57"/>
      <c r="M188" s="5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48"/>
      <c r="C189" s="49"/>
      <c r="D189" s="63"/>
      <c r="E189" s="51"/>
      <c r="F189" s="52"/>
      <c r="G189" s="53"/>
      <c r="H189" s="54"/>
      <c r="I189" s="54"/>
      <c r="J189" s="55"/>
      <c r="K189" s="56"/>
      <c r="L189" s="57"/>
      <c r="M189" s="5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48"/>
      <c r="C190" s="71"/>
      <c r="D190" s="63"/>
      <c r="E190" s="51"/>
      <c r="F190" s="52"/>
      <c r="G190" s="53"/>
      <c r="H190" s="54"/>
      <c r="I190" s="54"/>
      <c r="J190" s="55"/>
      <c r="K190" s="56"/>
      <c r="L190" s="59"/>
      <c r="M190" s="5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48"/>
      <c r="C191" s="49"/>
      <c r="D191" s="63"/>
      <c r="E191" s="51"/>
      <c r="F191" s="52"/>
      <c r="G191" s="53"/>
      <c r="H191" s="54"/>
      <c r="I191" s="54"/>
      <c r="J191" s="55"/>
      <c r="K191" s="56"/>
      <c r="L191" s="57"/>
      <c r="M191" s="5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48"/>
      <c r="C192" s="49"/>
      <c r="D192" s="63"/>
      <c r="E192" s="51"/>
      <c r="F192" s="52"/>
      <c r="G192" s="53"/>
      <c r="H192" s="54"/>
      <c r="I192" s="54"/>
      <c r="J192" s="55"/>
      <c r="K192" s="56"/>
      <c r="L192" s="57"/>
      <c r="M192" s="5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1"/>
      <c r="B193" s="48"/>
      <c r="C193" s="49"/>
      <c r="D193" s="63"/>
      <c r="E193" s="51"/>
      <c r="F193" s="52"/>
      <c r="G193" s="53"/>
      <c r="H193" s="54"/>
      <c r="I193" s="54"/>
      <c r="J193" s="55"/>
      <c r="K193" s="56"/>
      <c r="L193" s="57"/>
      <c r="M193" s="5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48"/>
      <c r="C194" s="49"/>
      <c r="D194" s="63"/>
      <c r="E194" s="51"/>
      <c r="F194" s="52"/>
      <c r="G194" s="53"/>
      <c r="H194" s="54"/>
      <c r="I194" s="54"/>
      <c r="J194" s="55"/>
      <c r="K194" s="56"/>
      <c r="L194" s="57"/>
      <c r="M194" s="5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48"/>
      <c r="C195" s="62"/>
      <c r="D195" s="63"/>
      <c r="E195" s="51"/>
      <c r="F195" s="52"/>
      <c r="G195" s="53"/>
      <c r="H195" s="54"/>
      <c r="I195" s="54"/>
      <c r="J195" s="55"/>
      <c r="K195" s="56"/>
      <c r="L195" s="57"/>
      <c r="M195" s="5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48"/>
      <c r="C196" s="62"/>
      <c r="D196" s="63"/>
      <c r="E196" s="51"/>
      <c r="F196" s="52"/>
      <c r="G196" s="53"/>
      <c r="H196" s="54"/>
      <c r="I196" s="54"/>
      <c r="J196" s="55"/>
      <c r="K196" s="56"/>
      <c r="L196" s="57"/>
      <c r="M196" s="5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48"/>
      <c r="C197" s="62"/>
      <c r="D197" s="63"/>
      <c r="E197" s="51"/>
      <c r="F197" s="52"/>
      <c r="G197" s="53"/>
      <c r="H197" s="54"/>
      <c r="I197" s="54"/>
      <c r="J197" s="55"/>
      <c r="K197" s="56"/>
      <c r="L197" s="57"/>
      <c r="M197" s="5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48"/>
      <c r="C198" s="71"/>
      <c r="D198" s="63"/>
      <c r="E198" s="51"/>
      <c r="F198" s="72"/>
      <c r="G198" s="53"/>
      <c r="H198" s="54"/>
      <c r="I198" s="54"/>
      <c r="J198" s="55"/>
      <c r="K198" s="56"/>
      <c r="L198" s="57"/>
      <c r="M198" s="5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48"/>
      <c r="C199" s="62"/>
      <c r="D199" s="63"/>
      <c r="E199" s="51"/>
      <c r="F199" s="52"/>
      <c r="G199" s="53"/>
      <c r="H199" s="54"/>
      <c r="I199" s="54"/>
      <c r="J199" s="55"/>
      <c r="K199" s="56"/>
      <c r="L199" s="57"/>
      <c r="M199" s="5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48"/>
      <c r="C200" s="62"/>
      <c r="D200" s="63"/>
      <c r="E200" s="51"/>
      <c r="F200" s="52"/>
      <c r="G200" s="53"/>
      <c r="H200" s="54"/>
      <c r="I200" s="54"/>
      <c r="J200" s="55"/>
      <c r="K200" s="56"/>
      <c r="L200" s="57"/>
      <c r="M200" s="5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48"/>
      <c r="C201" s="62"/>
      <c r="D201" s="63"/>
      <c r="E201" s="51"/>
      <c r="F201" s="52"/>
      <c r="G201" s="53"/>
      <c r="H201" s="54"/>
      <c r="I201" s="54"/>
      <c r="J201" s="55"/>
      <c r="K201" s="56"/>
      <c r="L201" s="57"/>
      <c r="M201" s="5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48"/>
      <c r="C202" s="62"/>
      <c r="D202" s="63"/>
      <c r="E202" s="51"/>
      <c r="F202" s="52"/>
      <c r="G202" s="53"/>
      <c r="H202" s="54"/>
      <c r="I202" s="54"/>
      <c r="J202" s="55"/>
      <c r="K202" s="56"/>
      <c r="L202" s="57"/>
      <c r="M202" s="5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48"/>
      <c r="C203" s="62"/>
      <c r="D203" s="63"/>
      <c r="E203" s="51"/>
      <c r="F203" s="52"/>
      <c r="G203" s="53"/>
      <c r="H203" s="54"/>
      <c r="I203" s="54"/>
      <c r="J203" s="55"/>
      <c r="K203" s="56"/>
      <c r="L203" s="57"/>
      <c r="M203" s="5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48"/>
      <c r="C204" s="62"/>
      <c r="D204" s="63"/>
      <c r="E204" s="51"/>
      <c r="F204" s="52"/>
      <c r="G204" s="53"/>
      <c r="H204" s="54"/>
      <c r="I204" s="54"/>
      <c r="J204" s="55"/>
      <c r="K204" s="56"/>
      <c r="L204" s="57"/>
      <c r="M204" s="5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48"/>
      <c r="C205" s="62"/>
      <c r="D205" s="63"/>
      <c r="E205" s="51"/>
      <c r="F205" s="52"/>
      <c r="G205" s="53"/>
      <c r="H205" s="54"/>
      <c r="I205" s="54"/>
      <c r="J205" s="55"/>
      <c r="K205" s="56"/>
      <c r="L205" s="57"/>
      <c r="M205" s="5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48"/>
      <c r="C206" s="62"/>
      <c r="D206" s="63"/>
      <c r="E206" s="51"/>
      <c r="F206" s="52"/>
      <c r="G206" s="53"/>
      <c r="H206" s="54"/>
      <c r="I206" s="54"/>
      <c r="J206" s="55"/>
      <c r="K206" s="56"/>
      <c r="L206" s="57"/>
      <c r="M206" s="5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73"/>
      <c r="C207" s="74"/>
      <c r="D207" s="75"/>
      <c r="E207" s="76"/>
      <c r="F207" s="77"/>
      <c r="G207" s="78"/>
      <c r="H207" s="79"/>
      <c r="I207" s="79"/>
      <c r="J207" s="80"/>
      <c r="K207" s="81"/>
      <c r="L207" s="82"/>
      <c r="M207" s="5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83"/>
      <c r="C208" s="84"/>
      <c r="D208" s="85"/>
      <c r="E208" s="86"/>
      <c r="F208" s="87"/>
      <c r="G208" s="88"/>
      <c r="H208" s="89"/>
      <c r="I208" s="89"/>
      <c r="J208" s="90"/>
      <c r="K208" s="91"/>
      <c r="L208" s="3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83"/>
      <c r="C209" s="92"/>
      <c r="D209" s="85"/>
      <c r="E209" s="86"/>
      <c r="F209" s="87"/>
      <c r="G209" s="88"/>
      <c r="H209" s="89"/>
      <c r="I209" s="89"/>
      <c r="J209" s="90"/>
      <c r="K209" s="91"/>
      <c r="L209" s="3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83"/>
      <c r="C210" s="93"/>
      <c r="D210" s="85"/>
      <c r="E210" s="86"/>
      <c r="F210" s="94"/>
      <c r="G210" s="88"/>
      <c r="H210" s="89"/>
      <c r="I210" s="89"/>
      <c r="J210" s="90"/>
      <c r="K210" s="91"/>
      <c r="L210" s="3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83"/>
      <c r="C211" s="93"/>
      <c r="D211" s="85"/>
      <c r="E211" s="86"/>
      <c r="F211" s="94"/>
      <c r="G211" s="88"/>
      <c r="H211" s="89"/>
      <c r="I211" s="89"/>
      <c r="J211" s="90"/>
      <c r="K211" s="91"/>
      <c r="L211" s="3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83"/>
      <c r="C212" s="93"/>
      <c r="D212" s="85"/>
      <c r="E212" s="86"/>
      <c r="F212" s="94"/>
      <c r="G212" s="88"/>
      <c r="H212" s="89"/>
      <c r="I212" s="89"/>
      <c r="J212" s="90"/>
      <c r="K212" s="91"/>
      <c r="L212" s="3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83"/>
      <c r="C213" s="93"/>
      <c r="D213" s="85"/>
      <c r="E213" s="86"/>
      <c r="F213" s="94"/>
      <c r="G213" s="88"/>
      <c r="H213" s="89"/>
      <c r="I213" s="89"/>
      <c r="J213" s="90"/>
      <c r="K213" s="91"/>
      <c r="L213" s="3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83"/>
      <c r="C214" s="93"/>
      <c r="D214" s="85"/>
      <c r="E214" s="86"/>
      <c r="F214" s="87"/>
      <c r="G214" s="88"/>
      <c r="H214" s="89"/>
      <c r="I214" s="89"/>
      <c r="J214" s="90"/>
      <c r="K214" s="91"/>
      <c r="L214" s="3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83"/>
      <c r="C215" s="93"/>
      <c r="D215" s="85"/>
      <c r="E215" s="86"/>
      <c r="F215" s="94"/>
      <c r="G215" s="88"/>
      <c r="H215" s="89"/>
      <c r="I215" s="89"/>
      <c r="J215" s="90"/>
      <c r="K215" s="91"/>
      <c r="L215" s="3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83"/>
      <c r="C216" s="93"/>
      <c r="D216" s="85"/>
      <c r="E216" s="86"/>
      <c r="F216" s="87"/>
      <c r="G216" s="88"/>
      <c r="H216" s="89"/>
      <c r="I216" s="89"/>
      <c r="J216" s="90"/>
      <c r="K216" s="91"/>
      <c r="L216" s="3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83"/>
      <c r="C217" s="93"/>
      <c r="D217" s="85"/>
      <c r="E217" s="86"/>
      <c r="F217" s="87"/>
      <c r="G217" s="88"/>
      <c r="H217" s="89"/>
      <c r="I217" s="89"/>
      <c r="J217" s="90"/>
      <c r="K217" s="91"/>
      <c r="L217" s="3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83"/>
      <c r="C218" s="93"/>
      <c r="D218" s="85"/>
      <c r="E218" s="86"/>
      <c r="F218" s="94"/>
      <c r="G218" s="88"/>
      <c r="H218" s="89"/>
      <c r="I218" s="89"/>
      <c r="J218" s="90"/>
      <c r="K218" s="91"/>
      <c r="L218" s="3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83"/>
      <c r="C219" s="93"/>
      <c r="D219" s="85"/>
      <c r="E219" s="86"/>
      <c r="F219" s="87"/>
      <c r="G219" s="88"/>
      <c r="H219" s="89"/>
      <c r="I219" s="89"/>
      <c r="J219" s="90"/>
      <c r="K219" s="91"/>
      <c r="L219" s="3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83"/>
      <c r="C220" s="93"/>
      <c r="D220" s="85"/>
      <c r="E220" s="86"/>
      <c r="F220" s="87"/>
      <c r="G220" s="88"/>
      <c r="H220" s="89"/>
      <c r="I220" s="89"/>
      <c r="J220" s="90"/>
      <c r="K220" s="91"/>
      <c r="L220" s="3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83"/>
      <c r="C221" s="93"/>
      <c r="D221" s="85"/>
      <c r="E221" s="86"/>
      <c r="F221" s="87"/>
      <c r="G221" s="88"/>
      <c r="H221" s="89"/>
      <c r="I221" s="89"/>
      <c r="J221" s="90"/>
      <c r="K221" s="91"/>
      <c r="L221" s="3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83"/>
      <c r="C222" s="93"/>
      <c r="D222" s="85"/>
      <c r="E222" s="86"/>
      <c r="F222" s="87"/>
      <c r="G222" s="88"/>
      <c r="H222" s="89"/>
      <c r="I222" s="89"/>
      <c r="J222" s="90"/>
      <c r="K222" s="91"/>
      <c r="L222" s="3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83"/>
      <c r="C223" s="93"/>
      <c r="D223" s="85"/>
      <c r="E223" s="86"/>
      <c r="F223" s="87"/>
      <c r="G223" s="88"/>
      <c r="H223" s="89"/>
      <c r="I223" s="89"/>
      <c r="J223" s="90"/>
      <c r="K223" s="91"/>
      <c r="L223" s="3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2.5" customHeight="1">
      <c r="A224" s="1"/>
      <c r="B224" s="83"/>
      <c r="C224" s="93"/>
      <c r="D224" s="85"/>
      <c r="E224" s="86"/>
      <c r="F224" s="87"/>
      <c r="G224" s="88"/>
      <c r="H224" s="89"/>
      <c r="I224" s="89"/>
      <c r="J224" s="90"/>
      <c r="K224" s="91"/>
      <c r="L224" s="3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2.5" customHeight="1">
      <c r="A225" s="1"/>
      <c r="B225" s="83"/>
      <c r="C225" s="93"/>
      <c r="D225" s="85"/>
      <c r="E225" s="86"/>
      <c r="F225" s="87"/>
      <c r="G225" s="88"/>
      <c r="H225" s="89"/>
      <c r="I225" s="89"/>
      <c r="J225" s="90"/>
      <c r="K225" s="91"/>
      <c r="L225" s="3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83"/>
      <c r="C226" s="93"/>
      <c r="D226" s="85"/>
      <c r="E226" s="86"/>
      <c r="F226" s="87"/>
      <c r="G226" s="88"/>
      <c r="H226" s="95"/>
      <c r="I226" s="89"/>
      <c r="J226" s="90"/>
      <c r="K226" s="91"/>
      <c r="L226" s="3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83"/>
      <c r="C227" s="92"/>
      <c r="D227" s="85"/>
      <c r="E227" s="86"/>
      <c r="F227" s="87"/>
      <c r="G227" s="88"/>
      <c r="H227" s="89"/>
      <c r="I227" s="89"/>
      <c r="J227" s="90"/>
      <c r="K227" s="91"/>
      <c r="L227" s="3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83"/>
      <c r="C228" s="93"/>
      <c r="D228" s="85"/>
      <c r="E228" s="86"/>
      <c r="F228" s="94"/>
      <c r="G228" s="88"/>
      <c r="H228" s="89"/>
      <c r="I228" s="89"/>
      <c r="J228" s="90"/>
      <c r="K228" s="91"/>
      <c r="L228" s="3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83"/>
      <c r="C229" s="92"/>
      <c r="D229" s="85"/>
      <c r="E229" s="86"/>
      <c r="F229" s="94"/>
      <c r="G229" s="88"/>
      <c r="H229" s="89"/>
      <c r="I229" s="89"/>
      <c r="J229" s="90"/>
      <c r="K229" s="91"/>
      <c r="L229" s="3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83"/>
      <c r="C230" s="92"/>
      <c r="D230" s="85"/>
      <c r="E230" s="86"/>
      <c r="F230" s="87"/>
      <c r="G230" s="88"/>
      <c r="H230" s="89"/>
      <c r="I230" s="89"/>
      <c r="J230" s="90"/>
      <c r="K230" s="91"/>
      <c r="L230" s="3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83"/>
      <c r="C231" s="92"/>
      <c r="D231" s="85"/>
      <c r="E231" s="86"/>
      <c r="F231" s="87"/>
      <c r="G231" s="88"/>
      <c r="H231" s="89"/>
      <c r="I231" s="89"/>
      <c r="J231" s="90"/>
      <c r="K231" s="91"/>
      <c r="L231" s="3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83"/>
      <c r="C232" s="92"/>
      <c r="D232" s="85"/>
      <c r="E232" s="86"/>
      <c r="F232" s="87"/>
      <c r="G232" s="88"/>
      <c r="H232" s="89"/>
      <c r="I232" s="89"/>
      <c r="J232" s="90"/>
      <c r="K232" s="91"/>
      <c r="L232" s="3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83"/>
      <c r="C233" s="92"/>
      <c r="D233" s="96"/>
      <c r="E233" s="86"/>
      <c r="F233" s="87"/>
      <c r="G233" s="88"/>
      <c r="H233" s="89"/>
      <c r="I233" s="89"/>
      <c r="J233" s="90"/>
      <c r="K233" s="91"/>
      <c r="L233" s="3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83"/>
      <c r="C234" s="92"/>
      <c r="D234" s="96"/>
      <c r="E234" s="86"/>
      <c r="F234" s="87"/>
      <c r="G234" s="88"/>
      <c r="H234" s="89"/>
      <c r="I234" s="89"/>
      <c r="J234" s="90"/>
      <c r="K234" s="91"/>
      <c r="L234" s="3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83"/>
      <c r="C235" s="92"/>
      <c r="D235" s="85"/>
      <c r="E235" s="86"/>
      <c r="F235" s="87"/>
      <c r="G235" s="88"/>
      <c r="H235" s="89"/>
      <c r="I235" s="89"/>
      <c r="J235" s="90"/>
      <c r="K235" s="91"/>
      <c r="L235" s="3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83"/>
      <c r="C236" s="92"/>
      <c r="D236" s="85"/>
      <c r="E236" s="86"/>
      <c r="F236" s="87"/>
      <c r="G236" s="88"/>
      <c r="H236" s="89"/>
      <c r="I236" s="89"/>
      <c r="J236" s="90"/>
      <c r="K236" s="91"/>
      <c r="L236" s="3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83"/>
      <c r="C237" s="92"/>
      <c r="D237" s="85"/>
      <c r="E237" s="86"/>
      <c r="F237" s="87"/>
      <c r="G237" s="88"/>
      <c r="H237" s="89"/>
      <c r="I237" s="89"/>
      <c r="J237" s="90"/>
      <c r="K237" s="91"/>
      <c r="L237" s="3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83"/>
      <c r="C238" s="92"/>
      <c r="D238" s="85"/>
      <c r="E238" s="86"/>
      <c r="F238" s="94"/>
      <c r="G238" s="88"/>
      <c r="H238" s="89"/>
      <c r="I238" s="89"/>
      <c r="J238" s="90"/>
      <c r="K238" s="91"/>
      <c r="L238" s="3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83"/>
      <c r="C239" s="92"/>
      <c r="D239" s="85"/>
      <c r="E239" s="86"/>
      <c r="F239" s="94"/>
      <c r="G239" s="88"/>
      <c r="H239" s="89"/>
      <c r="I239" s="89"/>
      <c r="J239" s="90"/>
      <c r="K239" s="91"/>
      <c r="L239" s="3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83"/>
      <c r="C240" s="92"/>
      <c r="D240" s="85"/>
      <c r="E240" s="86"/>
      <c r="F240" s="94"/>
      <c r="G240" s="88"/>
      <c r="H240" s="89"/>
      <c r="I240" s="89"/>
      <c r="J240" s="90"/>
      <c r="K240" s="91"/>
      <c r="L240" s="3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83"/>
      <c r="C241" s="92"/>
      <c r="D241" s="85"/>
      <c r="E241" s="86"/>
      <c r="F241" s="87"/>
      <c r="G241" s="88"/>
      <c r="H241" s="89"/>
      <c r="I241" s="89"/>
      <c r="J241" s="90"/>
      <c r="K241" s="91"/>
      <c r="L241" s="3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83"/>
      <c r="C242" s="92"/>
      <c r="D242" s="85"/>
      <c r="E242" s="86"/>
      <c r="F242" s="87"/>
      <c r="G242" s="88"/>
      <c r="H242" s="89"/>
      <c r="I242" s="89"/>
      <c r="J242" s="90"/>
      <c r="K242" s="91"/>
      <c r="L242" s="3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83"/>
      <c r="C243" s="92"/>
      <c r="D243" s="85"/>
      <c r="E243" s="86"/>
      <c r="F243" s="87"/>
      <c r="G243" s="88"/>
      <c r="H243" s="89"/>
      <c r="I243" s="89"/>
      <c r="J243" s="90"/>
      <c r="K243" s="91"/>
      <c r="L243" s="3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83"/>
      <c r="C244" s="92"/>
      <c r="D244" s="96"/>
      <c r="E244" s="86"/>
      <c r="F244" s="87"/>
      <c r="G244" s="88"/>
      <c r="H244" s="89"/>
      <c r="I244" s="89"/>
      <c r="J244" s="90"/>
      <c r="K244" s="91"/>
      <c r="L244" s="3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83"/>
      <c r="C245" s="92"/>
      <c r="D245" s="85"/>
      <c r="E245" s="86"/>
      <c r="F245" s="87"/>
      <c r="G245" s="88"/>
      <c r="H245" s="89"/>
      <c r="I245" s="89"/>
      <c r="J245" s="90"/>
      <c r="K245" s="91"/>
      <c r="L245" s="3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83"/>
      <c r="C246" s="93"/>
      <c r="D246" s="85"/>
      <c r="E246" s="86"/>
      <c r="F246" s="87"/>
      <c r="G246" s="88"/>
      <c r="H246" s="89"/>
      <c r="I246" s="89"/>
      <c r="J246" s="90"/>
      <c r="K246" s="91"/>
      <c r="L246" s="3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83"/>
      <c r="C247" s="93"/>
      <c r="D247" s="85"/>
      <c r="E247" s="86"/>
      <c r="F247" s="87"/>
      <c r="G247" s="88"/>
      <c r="H247" s="89"/>
      <c r="I247" s="89"/>
      <c r="J247" s="90"/>
      <c r="K247" s="91"/>
      <c r="L247" s="3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97"/>
      <c r="C248" s="93"/>
      <c r="D248" s="85"/>
      <c r="E248" s="86"/>
      <c r="F248" s="87"/>
      <c r="G248" s="88"/>
      <c r="H248" s="89"/>
      <c r="I248" s="89"/>
      <c r="J248" s="90"/>
      <c r="K248" s="91"/>
      <c r="L248" s="3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97"/>
      <c r="C249" s="93"/>
      <c r="D249" s="85"/>
      <c r="E249" s="86"/>
      <c r="F249" s="87"/>
      <c r="G249" s="88"/>
      <c r="H249" s="89"/>
      <c r="I249" s="89"/>
      <c r="J249" s="90"/>
      <c r="K249" s="91"/>
      <c r="L249" s="3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97"/>
      <c r="C250" s="93"/>
      <c r="D250" s="98"/>
      <c r="E250" s="86"/>
      <c r="F250" s="94"/>
      <c r="G250" s="99"/>
      <c r="H250" s="100"/>
      <c r="I250" s="89"/>
      <c r="J250" s="90"/>
      <c r="K250" s="91"/>
      <c r="L250" s="3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97"/>
      <c r="C251" s="93"/>
      <c r="D251" s="85"/>
      <c r="E251" s="86"/>
      <c r="F251" s="94"/>
      <c r="G251" s="88"/>
      <c r="H251" s="89"/>
      <c r="I251" s="89"/>
      <c r="J251" s="90"/>
      <c r="K251" s="91"/>
      <c r="L251" s="3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97"/>
      <c r="C252" s="93"/>
      <c r="D252" s="85"/>
      <c r="E252" s="86"/>
      <c r="F252" s="87"/>
      <c r="G252" s="88"/>
      <c r="H252" s="89"/>
      <c r="I252" s="89"/>
      <c r="J252" s="90"/>
      <c r="K252" s="91"/>
      <c r="L252" s="3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97"/>
      <c r="C253" s="93"/>
      <c r="D253" s="85"/>
      <c r="E253" s="86"/>
      <c r="F253" s="87"/>
      <c r="G253" s="88"/>
      <c r="H253" s="89"/>
      <c r="I253" s="89"/>
      <c r="J253" s="90"/>
      <c r="K253" s="91"/>
      <c r="L253" s="3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97"/>
      <c r="C254" s="93"/>
      <c r="D254" s="85"/>
      <c r="E254" s="86"/>
      <c r="F254" s="87"/>
      <c r="G254" s="88"/>
      <c r="H254" s="89"/>
      <c r="I254" s="89"/>
      <c r="J254" s="90"/>
      <c r="K254" s="91"/>
      <c r="L254" s="3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97"/>
      <c r="C255" s="93"/>
      <c r="D255" s="85"/>
      <c r="E255" s="86"/>
      <c r="F255" s="87"/>
      <c r="G255" s="88"/>
      <c r="H255" s="89"/>
      <c r="I255" s="89"/>
      <c r="J255" s="90"/>
      <c r="K255" s="91"/>
      <c r="L255" s="3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97"/>
      <c r="C256" s="93"/>
      <c r="D256" s="85"/>
      <c r="E256" s="86"/>
      <c r="F256" s="101"/>
      <c r="G256" s="88"/>
      <c r="H256" s="89"/>
      <c r="I256" s="89"/>
      <c r="J256" s="90"/>
      <c r="K256" s="91"/>
      <c r="L256" s="3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97"/>
      <c r="C257" s="93"/>
      <c r="D257" s="85"/>
      <c r="E257" s="86"/>
      <c r="F257" s="87"/>
      <c r="G257" s="88"/>
      <c r="H257" s="89"/>
      <c r="I257" s="89"/>
      <c r="J257" s="90"/>
      <c r="K257" s="91"/>
      <c r="L257" s="3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97"/>
      <c r="C258" s="93"/>
      <c r="D258" s="85"/>
      <c r="E258" s="86"/>
      <c r="F258" s="94"/>
      <c r="G258" s="88"/>
      <c r="H258" s="89"/>
      <c r="I258" s="89"/>
      <c r="J258" s="90"/>
      <c r="K258" s="91"/>
      <c r="L258" s="3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97"/>
      <c r="C259" s="93"/>
      <c r="D259" s="85"/>
      <c r="E259" s="86"/>
      <c r="F259" s="87"/>
      <c r="G259" s="88"/>
      <c r="H259" s="89"/>
      <c r="I259" s="89"/>
      <c r="J259" s="90"/>
      <c r="K259" s="91"/>
      <c r="L259" s="3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97"/>
      <c r="C260" s="93"/>
      <c r="D260" s="96"/>
      <c r="E260" s="86"/>
      <c r="F260" s="87"/>
      <c r="G260" s="88"/>
      <c r="H260" s="89"/>
      <c r="I260" s="89"/>
      <c r="J260" s="90"/>
      <c r="K260" s="91"/>
      <c r="L260" s="3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97"/>
      <c r="C261" s="93"/>
      <c r="D261" s="96"/>
      <c r="E261" s="86"/>
      <c r="F261" s="87"/>
      <c r="G261" s="88"/>
      <c r="H261" s="89"/>
      <c r="I261" s="89"/>
      <c r="J261" s="90"/>
      <c r="K261" s="91"/>
      <c r="L261" s="3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97"/>
      <c r="C262" s="93"/>
      <c r="D262" s="96"/>
      <c r="E262" s="86"/>
      <c r="F262" s="87"/>
      <c r="G262" s="88"/>
      <c r="H262" s="89"/>
      <c r="I262" s="89"/>
      <c r="J262" s="90"/>
      <c r="K262" s="91"/>
      <c r="L262" s="3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97"/>
      <c r="C263" s="93"/>
      <c r="D263" s="85"/>
      <c r="E263" s="86"/>
      <c r="F263" s="87"/>
      <c r="G263" s="88"/>
      <c r="H263" s="89"/>
      <c r="I263" s="89"/>
      <c r="J263" s="90"/>
      <c r="K263" s="91"/>
      <c r="L263" s="3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97"/>
      <c r="C264" s="93"/>
      <c r="D264" s="85"/>
      <c r="E264" s="86"/>
      <c r="F264" s="87"/>
      <c r="G264" s="88"/>
      <c r="H264" s="89"/>
      <c r="I264" s="89"/>
      <c r="J264" s="90"/>
      <c r="K264" s="91"/>
      <c r="L264" s="3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97"/>
      <c r="C265" s="93"/>
      <c r="D265" s="85"/>
      <c r="E265" s="86"/>
      <c r="F265" s="87"/>
      <c r="G265" s="88"/>
      <c r="H265" s="89"/>
      <c r="I265" s="89"/>
      <c r="J265" s="90"/>
      <c r="K265" s="91"/>
      <c r="L265" s="3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97"/>
      <c r="C266" s="93"/>
      <c r="D266" s="85"/>
      <c r="E266" s="86"/>
      <c r="F266" s="87"/>
      <c r="G266" s="88"/>
      <c r="H266" s="89"/>
      <c r="I266" s="89"/>
      <c r="J266" s="90"/>
      <c r="K266" s="91"/>
      <c r="L266" s="3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97"/>
      <c r="C267" s="93"/>
      <c r="D267" s="85"/>
      <c r="E267" s="86"/>
      <c r="F267" s="87"/>
      <c r="G267" s="88"/>
      <c r="H267" s="89"/>
      <c r="I267" s="89"/>
      <c r="J267" s="90"/>
      <c r="K267" s="91"/>
      <c r="L267" s="3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97"/>
      <c r="C268" s="93"/>
      <c r="D268" s="85"/>
      <c r="E268" s="86"/>
      <c r="F268" s="87"/>
      <c r="G268" s="88"/>
      <c r="H268" s="89"/>
      <c r="I268" s="89"/>
      <c r="J268" s="90"/>
      <c r="K268" s="91"/>
      <c r="L268" s="3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97"/>
      <c r="C269" s="93"/>
      <c r="D269" s="85"/>
      <c r="E269" s="86"/>
      <c r="F269" s="87"/>
      <c r="G269" s="88"/>
      <c r="H269" s="89"/>
      <c r="I269" s="89"/>
      <c r="J269" s="90"/>
      <c r="K269" s="91"/>
      <c r="L269" s="3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97"/>
      <c r="C270" s="93"/>
      <c r="D270" s="85"/>
      <c r="E270" s="86"/>
      <c r="F270" s="87"/>
      <c r="G270" s="88"/>
      <c r="H270" s="89"/>
      <c r="I270" s="89"/>
      <c r="J270" s="90"/>
      <c r="K270" s="91"/>
      <c r="L270" s="3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97"/>
      <c r="C271" s="93"/>
      <c r="D271" s="85"/>
      <c r="E271" s="86"/>
      <c r="F271" s="87"/>
      <c r="G271" s="88"/>
      <c r="H271" s="89"/>
      <c r="I271" s="89"/>
      <c r="J271" s="90"/>
      <c r="K271" s="91"/>
      <c r="L271" s="3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102"/>
      <c r="C272" s="1"/>
      <c r="D272" s="1"/>
      <c r="E272" s="10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102"/>
      <c r="C273" s="1"/>
      <c r="D273" s="1"/>
      <c r="E273" s="10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04"/>
      <c r="C274" s="1"/>
      <c r="D274" s="1"/>
      <c r="E274" s="10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02"/>
      <c r="C275" s="1"/>
      <c r="D275" s="1"/>
      <c r="E275" s="10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02"/>
      <c r="C276" s="1"/>
      <c r="D276" s="1"/>
      <c r="E276" s="10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02"/>
      <c r="C277" s="1"/>
      <c r="D277" s="1"/>
      <c r="E277" s="10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02"/>
      <c r="C278" s="1"/>
      <c r="D278" s="1"/>
      <c r="E278" s="10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02"/>
      <c r="C279" s="1"/>
      <c r="D279" s="1"/>
      <c r="E279" s="10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02"/>
      <c r="C280" s="1"/>
      <c r="D280" s="1"/>
      <c r="E280" s="10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02"/>
      <c r="C281" s="1"/>
      <c r="D281" s="1"/>
      <c r="E281" s="10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02"/>
      <c r="C282" s="1"/>
      <c r="D282" s="1"/>
      <c r="E282" s="10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02"/>
      <c r="C283" s="1"/>
      <c r="D283" s="1"/>
      <c r="E283" s="10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02"/>
      <c r="C284" s="1"/>
      <c r="D284" s="1"/>
      <c r="E284" s="10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02"/>
      <c r="C285" s="1"/>
      <c r="D285" s="1"/>
      <c r="E285" s="10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02"/>
      <c r="C286" s="1"/>
      <c r="D286" s="1"/>
      <c r="E286" s="10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02"/>
      <c r="C287" s="1"/>
      <c r="D287" s="1"/>
      <c r="E287" s="10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02"/>
      <c r="C288" s="1"/>
      <c r="D288" s="1"/>
      <c r="E288" s="10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02"/>
      <c r="C289" s="1"/>
      <c r="D289" s="1"/>
      <c r="E289" s="10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02"/>
      <c r="C290" s="1"/>
      <c r="D290" s="1"/>
      <c r="E290" s="10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02"/>
      <c r="C291" s="1"/>
      <c r="D291" s="1"/>
      <c r="E291" s="10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02"/>
      <c r="C292" s="1"/>
      <c r="D292" s="1"/>
      <c r="E292" s="10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02"/>
      <c r="C293" s="1"/>
      <c r="D293" s="1"/>
      <c r="E293" s="10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02"/>
      <c r="C294" s="1"/>
      <c r="D294" s="1"/>
      <c r="E294" s="10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02"/>
      <c r="C295" s="1"/>
      <c r="D295" s="1"/>
      <c r="E295" s="10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02"/>
      <c r="C296" s="1"/>
      <c r="D296" s="1"/>
      <c r="E296" s="10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02"/>
      <c r="C297" s="1"/>
      <c r="D297" s="1"/>
      <c r="E297" s="10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02"/>
      <c r="C298" s="1"/>
      <c r="D298" s="1"/>
      <c r="E298" s="10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02"/>
      <c r="C299" s="1"/>
      <c r="D299" s="1"/>
      <c r="E299" s="10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02"/>
      <c r="C300" s="1"/>
      <c r="D300" s="1"/>
      <c r="E300" s="10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02"/>
      <c r="C301" s="1"/>
      <c r="D301" s="1"/>
      <c r="E301" s="10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02"/>
      <c r="C302" s="1"/>
      <c r="D302" s="1"/>
      <c r="E302" s="10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02"/>
      <c r="C303" s="1"/>
      <c r="D303" s="1"/>
      <c r="E303" s="10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02"/>
      <c r="C304" s="1"/>
      <c r="D304" s="1"/>
      <c r="E304" s="10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02"/>
      <c r="C305" s="1"/>
      <c r="D305" s="1"/>
      <c r="E305" s="10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02"/>
      <c r="C306" s="1"/>
      <c r="D306" s="1"/>
      <c r="E306" s="10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02"/>
      <c r="C307" s="1"/>
      <c r="D307" s="1"/>
      <c r="E307" s="10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02"/>
      <c r="C308" s="1"/>
      <c r="D308" s="1"/>
      <c r="E308" s="10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02"/>
      <c r="C309" s="1"/>
      <c r="D309" s="1"/>
      <c r="E309" s="10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02"/>
      <c r="C310" s="1"/>
      <c r="D310" s="1"/>
      <c r="E310" s="10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02"/>
      <c r="C311" s="1"/>
      <c r="D311" s="1"/>
      <c r="E311" s="10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02"/>
      <c r="C312" s="1"/>
      <c r="D312" s="1"/>
      <c r="E312" s="10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02"/>
      <c r="C313" s="1"/>
      <c r="D313" s="1"/>
      <c r="E313" s="10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02"/>
      <c r="C314" s="1"/>
      <c r="D314" s="1"/>
      <c r="E314" s="10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02"/>
      <c r="C315" s="1"/>
      <c r="D315" s="1"/>
      <c r="E315" s="10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02"/>
      <c r="C316" s="1"/>
      <c r="D316" s="1"/>
      <c r="E316" s="10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02"/>
      <c r="C317" s="1"/>
      <c r="D317" s="1"/>
      <c r="E317" s="10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02"/>
      <c r="C318" s="1"/>
      <c r="D318" s="1"/>
      <c r="E318" s="10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02"/>
      <c r="C319" s="1"/>
      <c r="D319" s="1"/>
      <c r="E319" s="10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02"/>
      <c r="C320" s="1"/>
      <c r="D320" s="1"/>
      <c r="E320" s="10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02"/>
      <c r="C321" s="1"/>
      <c r="D321" s="1"/>
      <c r="E321" s="10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02"/>
      <c r="C322" s="1"/>
      <c r="D322" s="1"/>
      <c r="E322" s="10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02"/>
      <c r="C323" s="1"/>
      <c r="D323" s="1"/>
      <c r="E323" s="10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02"/>
      <c r="C324" s="1"/>
      <c r="D324" s="1"/>
      <c r="E324" s="10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02"/>
      <c r="C325" s="1"/>
      <c r="D325" s="1"/>
      <c r="E325" s="10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02"/>
      <c r="C326" s="1"/>
      <c r="D326" s="1"/>
      <c r="E326" s="10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02"/>
      <c r="C327" s="1"/>
      <c r="D327" s="1"/>
      <c r="E327" s="10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02"/>
      <c r="C328" s="1"/>
      <c r="D328" s="1"/>
      <c r="E328" s="10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02"/>
      <c r="C329" s="1"/>
      <c r="D329" s="1"/>
      <c r="E329" s="10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02"/>
      <c r="C330" s="1"/>
      <c r="D330" s="1"/>
      <c r="E330" s="10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02"/>
      <c r="C331" s="1"/>
      <c r="D331" s="1"/>
      <c r="E331" s="10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02"/>
      <c r="C332" s="1"/>
      <c r="D332" s="1"/>
      <c r="E332" s="10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02"/>
      <c r="C333" s="1"/>
      <c r="D333" s="1"/>
      <c r="E333" s="10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02"/>
      <c r="C334" s="1"/>
      <c r="D334" s="1"/>
      <c r="E334" s="10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02"/>
      <c r="C335" s="1"/>
      <c r="D335" s="1"/>
      <c r="E335" s="10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02"/>
      <c r="C336" s="1"/>
      <c r="D336" s="1"/>
      <c r="E336" s="10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02"/>
      <c r="C337" s="1"/>
      <c r="D337" s="1"/>
      <c r="E337" s="10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02"/>
      <c r="C338" s="1"/>
      <c r="D338" s="1"/>
      <c r="E338" s="10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02"/>
      <c r="C339" s="1"/>
      <c r="D339" s="1"/>
      <c r="E339" s="10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02"/>
      <c r="C340" s="1"/>
      <c r="D340" s="1"/>
      <c r="E340" s="10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02"/>
      <c r="C341" s="1"/>
      <c r="D341" s="1"/>
      <c r="E341" s="10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02"/>
      <c r="C342" s="1"/>
      <c r="D342" s="1"/>
      <c r="E342" s="10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02"/>
      <c r="C343" s="1"/>
      <c r="D343" s="1"/>
      <c r="E343" s="10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02"/>
      <c r="C344" s="1"/>
      <c r="D344" s="1"/>
      <c r="E344" s="10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02"/>
      <c r="C345" s="1"/>
      <c r="D345" s="1"/>
      <c r="E345" s="10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02"/>
      <c r="C346" s="1"/>
      <c r="D346" s="1"/>
      <c r="E346" s="10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02"/>
      <c r="C347" s="1"/>
      <c r="D347" s="1"/>
      <c r="E347" s="10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02"/>
      <c r="C348" s="1"/>
      <c r="D348" s="1"/>
      <c r="E348" s="10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02"/>
      <c r="C349" s="1"/>
      <c r="D349" s="1"/>
      <c r="E349" s="10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02"/>
      <c r="C350" s="1"/>
      <c r="D350" s="1"/>
      <c r="E350" s="10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02"/>
      <c r="C351" s="1"/>
      <c r="D351" s="1"/>
      <c r="E351" s="10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02"/>
      <c r="C352" s="1"/>
      <c r="D352" s="1"/>
      <c r="E352" s="10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02"/>
      <c r="C353" s="1"/>
      <c r="D353" s="1"/>
      <c r="E353" s="10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02"/>
      <c r="C354" s="1"/>
      <c r="D354" s="1"/>
      <c r="E354" s="10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02"/>
      <c r="C355" s="1"/>
      <c r="D355" s="1"/>
      <c r="E355" s="10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02"/>
      <c r="C356" s="1"/>
      <c r="D356" s="1"/>
      <c r="E356" s="10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02"/>
      <c r="C357" s="1"/>
      <c r="D357" s="1"/>
      <c r="E357" s="10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02"/>
      <c r="C358" s="1"/>
      <c r="D358" s="1"/>
      <c r="E358" s="10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02"/>
      <c r="C359" s="1"/>
      <c r="D359" s="1"/>
      <c r="E359" s="10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02"/>
      <c r="C360" s="1"/>
      <c r="D360" s="1"/>
      <c r="E360" s="10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02"/>
      <c r="C361" s="1"/>
      <c r="D361" s="1"/>
      <c r="E361" s="10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02"/>
      <c r="C362" s="1"/>
      <c r="D362" s="1"/>
      <c r="E362" s="10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02"/>
      <c r="C363" s="1"/>
      <c r="D363" s="1"/>
      <c r="E363" s="10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02"/>
      <c r="C364" s="1"/>
      <c r="D364" s="1"/>
      <c r="E364" s="10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02"/>
      <c r="C365" s="1"/>
      <c r="D365" s="1"/>
      <c r="E365" s="10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02"/>
      <c r="C366" s="1"/>
      <c r="D366" s="1"/>
      <c r="E366" s="10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02"/>
      <c r="C367" s="1"/>
      <c r="D367" s="1"/>
      <c r="E367" s="10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02"/>
      <c r="C368" s="1"/>
      <c r="D368" s="1"/>
      <c r="E368" s="10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02"/>
      <c r="C369" s="1"/>
      <c r="D369" s="1"/>
      <c r="E369" s="10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02"/>
      <c r="C370" s="1"/>
      <c r="D370" s="1"/>
      <c r="E370" s="10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02"/>
      <c r="C371" s="1"/>
      <c r="D371" s="1"/>
      <c r="E371" s="10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02"/>
      <c r="C372" s="1"/>
      <c r="D372" s="1"/>
      <c r="E372" s="10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02"/>
      <c r="C373" s="1"/>
      <c r="D373" s="1"/>
      <c r="E373" s="10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02"/>
      <c r="C374" s="1"/>
      <c r="D374" s="1"/>
      <c r="E374" s="10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02"/>
      <c r="C375" s="1"/>
      <c r="D375" s="1"/>
      <c r="E375" s="10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02"/>
      <c r="C376" s="1"/>
      <c r="D376" s="1"/>
      <c r="E376" s="10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02"/>
      <c r="C377" s="1"/>
      <c r="D377" s="1"/>
      <c r="E377" s="10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02"/>
      <c r="C378" s="1"/>
      <c r="D378" s="1"/>
      <c r="E378" s="10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02"/>
      <c r="C379" s="1"/>
      <c r="D379" s="1"/>
      <c r="E379" s="10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02"/>
      <c r="C380" s="1"/>
      <c r="D380" s="1"/>
      <c r="E380" s="10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02"/>
      <c r="C381" s="1"/>
      <c r="D381" s="1"/>
      <c r="E381" s="10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02"/>
      <c r="C382" s="1"/>
      <c r="D382" s="1"/>
      <c r="E382" s="10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02"/>
      <c r="C383" s="1"/>
      <c r="D383" s="1"/>
      <c r="E383" s="10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02"/>
      <c r="C384" s="1"/>
      <c r="D384" s="1"/>
      <c r="E384" s="10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02"/>
      <c r="C385" s="1"/>
      <c r="D385" s="1"/>
      <c r="E385" s="10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02"/>
      <c r="C386" s="1"/>
      <c r="D386" s="1"/>
      <c r="E386" s="10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02"/>
      <c r="C387" s="1"/>
      <c r="D387" s="1"/>
      <c r="E387" s="10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02"/>
      <c r="C388" s="1"/>
      <c r="D388" s="1"/>
      <c r="E388" s="10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02"/>
      <c r="C389" s="1"/>
      <c r="D389" s="1"/>
      <c r="E389" s="10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02"/>
      <c r="C390" s="1"/>
      <c r="D390" s="1"/>
      <c r="E390" s="10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02"/>
      <c r="C391" s="1"/>
      <c r="D391" s="1"/>
      <c r="E391" s="10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02"/>
      <c r="C392" s="1"/>
      <c r="D392" s="1"/>
      <c r="E392" s="10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02"/>
      <c r="C393" s="1"/>
      <c r="D393" s="1"/>
      <c r="E393" s="10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02"/>
      <c r="C394" s="1"/>
      <c r="D394" s="1"/>
      <c r="E394" s="10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02"/>
      <c r="C395" s="1"/>
      <c r="D395" s="1"/>
      <c r="E395" s="10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02"/>
      <c r="C396" s="1"/>
      <c r="D396" s="1"/>
      <c r="E396" s="10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02"/>
      <c r="C397" s="1"/>
      <c r="D397" s="1"/>
      <c r="E397" s="10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02"/>
      <c r="C398" s="1"/>
      <c r="D398" s="1"/>
      <c r="E398" s="10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02"/>
      <c r="C399" s="1"/>
      <c r="D399" s="1"/>
      <c r="E399" s="10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02"/>
      <c r="C400" s="1"/>
      <c r="D400" s="1"/>
      <c r="E400" s="10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02"/>
      <c r="C401" s="1"/>
      <c r="D401" s="1"/>
      <c r="E401" s="10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02"/>
      <c r="C402" s="1"/>
      <c r="D402" s="1"/>
      <c r="E402" s="10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02"/>
      <c r="C403" s="1"/>
      <c r="D403" s="1"/>
      <c r="E403" s="10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02"/>
      <c r="C404" s="1"/>
      <c r="D404" s="1"/>
      <c r="E404" s="10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02"/>
      <c r="C405" s="1"/>
      <c r="D405" s="1"/>
      <c r="E405" s="10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02"/>
      <c r="C406" s="1"/>
      <c r="D406" s="1"/>
      <c r="E406" s="10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02"/>
      <c r="C407" s="1"/>
      <c r="D407" s="1"/>
      <c r="E407" s="10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02"/>
      <c r="C408" s="1"/>
      <c r="D408" s="1"/>
      <c r="E408" s="10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02"/>
      <c r="C409" s="1"/>
      <c r="D409" s="1"/>
      <c r="E409" s="10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02"/>
      <c r="C410" s="1"/>
      <c r="D410" s="1"/>
      <c r="E410" s="10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02"/>
      <c r="C411" s="1"/>
      <c r="D411" s="1"/>
      <c r="E411" s="10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02"/>
      <c r="C412" s="1"/>
      <c r="D412" s="1"/>
      <c r="E412" s="10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02"/>
      <c r="C413" s="1"/>
      <c r="D413" s="1"/>
      <c r="E413" s="10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02"/>
      <c r="C414" s="1"/>
      <c r="D414" s="1"/>
      <c r="E414" s="10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02"/>
      <c r="C415" s="1"/>
      <c r="D415" s="1"/>
      <c r="E415" s="10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02"/>
      <c r="C416" s="1"/>
      <c r="D416" s="1"/>
      <c r="E416" s="10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02"/>
      <c r="C417" s="1"/>
      <c r="D417" s="1"/>
      <c r="E417" s="10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02"/>
      <c r="C418" s="1"/>
      <c r="D418" s="1"/>
      <c r="E418" s="10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02"/>
      <c r="C419" s="1"/>
      <c r="D419" s="1"/>
      <c r="E419" s="10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02"/>
      <c r="C420" s="1"/>
      <c r="D420" s="1"/>
      <c r="E420" s="10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02"/>
      <c r="C421" s="1"/>
      <c r="D421" s="1"/>
      <c r="E421" s="10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02"/>
      <c r="C422" s="1"/>
      <c r="D422" s="1"/>
      <c r="E422" s="10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02"/>
      <c r="C423" s="1"/>
      <c r="D423" s="1"/>
      <c r="E423" s="10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02"/>
      <c r="C424" s="1"/>
      <c r="D424" s="1"/>
      <c r="E424" s="10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02"/>
      <c r="C425" s="1"/>
      <c r="D425" s="1"/>
      <c r="E425" s="10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02"/>
      <c r="C426" s="1"/>
      <c r="D426" s="1"/>
      <c r="E426" s="10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02"/>
      <c r="C427" s="1"/>
      <c r="D427" s="1"/>
      <c r="E427" s="10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02"/>
      <c r="C428" s="1"/>
      <c r="D428" s="1"/>
      <c r="E428" s="10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02"/>
      <c r="C429" s="1"/>
      <c r="D429" s="1"/>
      <c r="E429" s="10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02"/>
      <c r="C430" s="1"/>
      <c r="D430" s="1"/>
      <c r="E430" s="10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02"/>
      <c r="C431" s="1"/>
      <c r="D431" s="1"/>
      <c r="E431" s="10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02"/>
      <c r="C432" s="1"/>
      <c r="D432" s="1"/>
      <c r="E432" s="10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02"/>
      <c r="C433" s="1"/>
      <c r="D433" s="1"/>
      <c r="E433" s="10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02"/>
      <c r="C434" s="1"/>
      <c r="D434" s="1"/>
      <c r="E434" s="10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02"/>
      <c r="C435" s="1"/>
      <c r="D435" s="1"/>
      <c r="E435" s="10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02"/>
      <c r="C436" s="1"/>
      <c r="D436" s="1"/>
      <c r="E436" s="10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02"/>
      <c r="C437" s="1"/>
      <c r="D437" s="1"/>
      <c r="E437" s="10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02"/>
      <c r="C438" s="1"/>
      <c r="D438" s="1"/>
      <c r="E438" s="10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02"/>
      <c r="C439" s="1"/>
      <c r="D439" s="1"/>
      <c r="E439" s="10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02"/>
      <c r="C440" s="1"/>
      <c r="D440" s="1"/>
      <c r="E440" s="10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02"/>
      <c r="C441" s="1"/>
      <c r="D441" s="1"/>
      <c r="E441" s="10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02"/>
      <c r="C442" s="1"/>
      <c r="D442" s="1"/>
      <c r="E442" s="10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02"/>
      <c r="C443" s="1"/>
      <c r="D443" s="1"/>
      <c r="E443" s="10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02"/>
      <c r="C444" s="1"/>
      <c r="D444" s="1"/>
      <c r="E444" s="10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02"/>
      <c r="C445" s="1"/>
      <c r="D445" s="1"/>
      <c r="E445" s="10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02"/>
      <c r="C446" s="1"/>
      <c r="D446" s="1"/>
      <c r="E446" s="10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02"/>
      <c r="C447" s="1"/>
      <c r="D447" s="1"/>
      <c r="E447" s="10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02"/>
      <c r="C448" s="1"/>
      <c r="D448" s="1"/>
      <c r="E448" s="10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02"/>
      <c r="C449" s="1"/>
      <c r="D449" s="1"/>
      <c r="E449" s="10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02"/>
      <c r="C450" s="1"/>
      <c r="D450" s="1"/>
      <c r="E450" s="10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02"/>
      <c r="C451" s="1"/>
      <c r="D451" s="1"/>
      <c r="E451" s="10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02"/>
      <c r="C452" s="1"/>
      <c r="D452" s="1"/>
      <c r="E452" s="10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02"/>
      <c r="C453" s="1"/>
      <c r="D453" s="1"/>
      <c r="E453" s="10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02"/>
      <c r="C454" s="1"/>
      <c r="D454" s="1"/>
      <c r="E454" s="10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02"/>
      <c r="C455" s="1"/>
      <c r="D455" s="1"/>
      <c r="E455" s="10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02"/>
      <c r="C456" s="1"/>
      <c r="D456" s="1"/>
      <c r="E456" s="10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02"/>
      <c r="C457" s="1"/>
      <c r="D457" s="1"/>
      <c r="E457" s="10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02"/>
      <c r="C458" s="1"/>
      <c r="D458" s="1"/>
      <c r="E458" s="10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02"/>
      <c r="C459" s="1"/>
      <c r="D459" s="1"/>
      <c r="E459" s="10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02"/>
      <c r="C460" s="1"/>
      <c r="D460" s="1"/>
      <c r="E460" s="10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02"/>
      <c r="C461" s="1"/>
      <c r="D461" s="1"/>
      <c r="E461" s="10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02"/>
      <c r="C462" s="1"/>
      <c r="D462" s="1"/>
      <c r="E462" s="10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02"/>
      <c r="C463" s="1"/>
      <c r="D463" s="1"/>
      <c r="E463" s="10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02"/>
      <c r="C464" s="1"/>
      <c r="D464" s="1"/>
      <c r="E464" s="10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02"/>
      <c r="C465" s="1"/>
      <c r="D465" s="1"/>
      <c r="E465" s="10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02"/>
      <c r="C466" s="1"/>
      <c r="D466" s="1"/>
      <c r="E466" s="10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02"/>
      <c r="C467" s="1"/>
      <c r="D467" s="1"/>
      <c r="E467" s="10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02"/>
      <c r="C468" s="1"/>
      <c r="D468" s="1"/>
      <c r="E468" s="10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02"/>
      <c r="C469" s="1"/>
      <c r="D469" s="1"/>
      <c r="E469" s="10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02"/>
      <c r="C470" s="1"/>
      <c r="D470" s="1"/>
      <c r="E470" s="10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02"/>
      <c r="C471" s="1"/>
      <c r="D471" s="1"/>
      <c r="E471" s="10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02"/>
      <c r="C472" s="1"/>
      <c r="D472" s="1"/>
      <c r="E472" s="10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02"/>
      <c r="C473" s="1"/>
      <c r="D473" s="1"/>
      <c r="E473" s="10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02"/>
      <c r="C474" s="1"/>
      <c r="D474" s="1"/>
      <c r="E474" s="10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02"/>
      <c r="C475" s="1"/>
      <c r="D475" s="1"/>
      <c r="E475" s="10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02"/>
      <c r="C476" s="1"/>
      <c r="D476" s="1"/>
      <c r="E476" s="10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02"/>
      <c r="C477" s="1"/>
      <c r="D477" s="1"/>
      <c r="E477" s="10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02"/>
      <c r="C478" s="1"/>
      <c r="D478" s="1"/>
      <c r="E478" s="10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02"/>
      <c r="C479" s="1"/>
      <c r="D479" s="1"/>
      <c r="E479" s="10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02"/>
      <c r="C480" s="1"/>
      <c r="D480" s="1"/>
      <c r="E480" s="10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02"/>
      <c r="C481" s="1"/>
      <c r="D481" s="1"/>
      <c r="E481" s="10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02"/>
      <c r="C482" s="1"/>
      <c r="D482" s="1"/>
      <c r="E482" s="10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02"/>
      <c r="C483" s="1"/>
      <c r="D483" s="1"/>
      <c r="E483" s="10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02"/>
      <c r="C484" s="1"/>
      <c r="D484" s="1"/>
      <c r="E484" s="10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02"/>
      <c r="C485" s="1"/>
      <c r="D485" s="1"/>
      <c r="E485" s="10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02"/>
      <c r="C486" s="1"/>
      <c r="D486" s="1"/>
      <c r="E486" s="10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02"/>
      <c r="C487" s="1"/>
      <c r="D487" s="1"/>
      <c r="E487" s="10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02"/>
      <c r="C488" s="1"/>
      <c r="D488" s="1"/>
      <c r="E488" s="10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02"/>
      <c r="C489" s="1"/>
      <c r="D489" s="1"/>
      <c r="E489" s="10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02"/>
      <c r="C490" s="1"/>
      <c r="D490" s="1"/>
      <c r="E490" s="10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02"/>
      <c r="C491" s="1"/>
      <c r="D491" s="1"/>
      <c r="E491" s="10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02"/>
      <c r="C492" s="1"/>
      <c r="D492" s="1"/>
      <c r="E492" s="10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02"/>
      <c r="C493" s="1"/>
      <c r="D493" s="1"/>
      <c r="E493" s="10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02"/>
      <c r="C494" s="1"/>
      <c r="D494" s="1"/>
      <c r="E494" s="10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02"/>
      <c r="C495" s="1"/>
      <c r="D495" s="1"/>
      <c r="E495" s="10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02"/>
      <c r="C496" s="1"/>
      <c r="D496" s="1"/>
      <c r="E496" s="10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02"/>
      <c r="C497" s="1"/>
      <c r="D497" s="1"/>
      <c r="E497" s="10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02"/>
      <c r="C498" s="1"/>
      <c r="D498" s="1"/>
      <c r="E498" s="10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02"/>
      <c r="C499" s="1"/>
      <c r="D499" s="1"/>
      <c r="E499" s="10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02"/>
      <c r="C500" s="1"/>
      <c r="D500" s="1"/>
      <c r="E500" s="10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02"/>
      <c r="C501" s="1"/>
      <c r="D501" s="1"/>
      <c r="E501" s="10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02"/>
      <c r="C502" s="1"/>
      <c r="D502" s="1"/>
      <c r="E502" s="10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02"/>
      <c r="C503" s="1"/>
      <c r="D503" s="1"/>
      <c r="E503" s="10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02"/>
      <c r="C504" s="1"/>
      <c r="D504" s="1"/>
      <c r="E504" s="10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02"/>
      <c r="C505" s="1"/>
      <c r="D505" s="1"/>
      <c r="E505" s="10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02"/>
      <c r="C506" s="1"/>
      <c r="D506" s="1"/>
      <c r="E506" s="10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02"/>
      <c r="C507" s="1"/>
      <c r="D507" s="1"/>
      <c r="E507" s="10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02"/>
      <c r="C508" s="1"/>
      <c r="D508" s="1"/>
      <c r="E508" s="10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02"/>
      <c r="C509" s="1"/>
      <c r="D509" s="1"/>
      <c r="E509" s="10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02"/>
      <c r="C510" s="1"/>
      <c r="D510" s="1"/>
      <c r="E510" s="10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02"/>
      <c r="C511" s="1"/>
      <c r="D511" s="1"/>
      <c r="E511" s="10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02"/>
      <c r="C512" s="1"/>
      <c r="D512" s="1"/>
      <c r="E512" s="10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02"/>
      <c r="C513" s="1"/>
      <c r="D513" s="1"/>
      <c r="E513" s="10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02"/>
      <c r="C514" s="1"/>
      <c r="D514" s="1"/>
      <c r="E514" s="10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02"/>
      <c r="C515" s="1"/>
      <c r="D515" s="1"/>
      <c r="E515" s="10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02"/>
      <c r="C516" s="1"/>
      <c r="D516" s="1"/>
      <c r="E516" s="10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02"/>
      <c r="C517" s="1"/>
      <c r="D517" s="1"/>
      <c r="E517" s="10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02"/>
      <c r="C518" s="1"/>
      <c r="D518" s="1"/>
      <c r="E518" s="10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02"/>
      <c r="C519" s="1"/>
      <c r="D519" s="1"/>
      <c r="E519" s="10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02"/>
      <c r="C520" s="1"/>
      <c r="D520" s="1"/>
      <c r="E520" s="10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02"/>
      <c r="C521" s="1"/>
      <c r="D521" s="1"/>
      <c r="E521" s="10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02"/>
      <c r="C522" s="1"/>
      <c r="D522" s="1"/>
      <c r="E522" s="10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02"/>
      <c r="C523" s="1"/>
      <c r="D523" s="1"/>
      <c r="E523" s="10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02"/>
      <c r="C524" s="1"/>
      <c r="D524" s="1"/>
      <c r="E524" s="10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02"/>
      <c r="C525" s="1"/>
      <c r="D525" s="1"/>
      <c r="E525" s="10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02"/>
      <c r="C526" s="1"/>
      <c r="D526" s="1"/>
      <c r="E526" s="10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02"/>
      <c r="C527" s="1"/>
      <c r="D527" s="1"/>
      <c r="E527" s="10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02"/>
      <c r="C528" s="1"/>
      <c r="D528" s="1"/>
      <c r="E528" s="10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02"/>
      <c r="C529" s="1"/>
      <c r="D529" s="1"/>
      <c r="E529" s="10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02"/>
      <c r="C530" s="1"/>
      <c r="D530" s="1"/>
      <c r="E530" s="10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02"/>
      <c r="C531" s="1"/>
      <c r="D531" s="1"/>
      <c r="E531" s="10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02"/>
      <c r="C532" s="1"/>
      <c r="D532" s="1"/>
      <c r="E532" s="10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02"/>
      <c r="C533" s="1"/>
      <c r="D533" s="1"/>
      <c r="E533" s="10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02"/>
      <c r="C534" s="1"/>
      <c r="D534" s="1"/>
      <c r="E534" s="10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02"/>
      <c r="C535" s="1"/>
      <c r="D535" s="1"/>
      <c r="E535" s="10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02"/>
      <c r="C536" s="1"/>
      <c r="D536" s="1"/>
      <c r="E536" s="10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02"/>
      <c r="C537" s="1"/>
      <c r="D537" s="1"/>
      <c r="E537" s="10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02"/>
      <c r="C538" s="1"/>
      <c r="D538" s="1"/>
      <c r="E538" s="10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02"/>
      <c r="C539" s="1"/>
      <c r="D539" s="1"/>
      <c r="E539" s="10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02"/>
      <c r="C540" s="1"/>
      <c r="D540" s="1"/>
      <c r="E540" s="10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02"/>
      <c r="C541" s="1"/>
      <c r="D541" s="1"/>
      <c r="E541" s="10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02"/>
      <c r="C542" s="1"/>
      <c r="D542" s="1"/>
      <c r="E542" s="10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02"/>
      <c r="C543" s="1"/>
      <c r="D543" s="1"/>
      <c r="E543" s="10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02"/>
      <c r="C544" s="1"/>
      <c r="D544" s="1"/>
      <c r="E544" s="10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02"/>
      <c r="C545" s="1"/>
      <c r="D545" s="1"/>
      <c r="E545" s="10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02"/>
      <c r="C546" s="1"/>
      <c r="D546" s="1"/>
      <c r="E546" s="10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02"/>
      <c r="C547" s="1"/>
      <c r="D547" s="1"/>
      <c r="E547" s="10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02"/>
      <c r="C548" s="1"/>
      <c r="D548" s="1"/>
      <c r="E548" s="10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02"/>
      <c r="C549" s="1"/>
      <c r="D549" s="1"/>
      <c r="E549" s="10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02"/>
      <c r="C550" s="1"/>
      <c r="D550" s="1"/>
      <c r="E550" s="10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02"/>
      <c r="C551" s="1"/>
      <c r="D551" s="1"/>
      <c r="E551" s="10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02"/>
      <c r="C552" s="1"/>
      <c r="D552" s="1"/>
      <c r="E552" s="10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02"/>
      <c r="C553" s="1"/>
      <c r="D553" s="1"/>
      <c r="E553" s="10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02"/>
      <c r="C554" s="1"/>
      <c r="D554" s="1"/>
      <c r="E554" s="10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02"/>
      <c r="C555" s="1"/>
      <c r="D555" s="1"/>
      <c r="E555" s="10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02"/>
      <c r="C556" s="1"/>
      <c r="D556" s="1"/>
      <c r="E556" s="10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02"/>
      <c r="C557" s="1"/>
      <c r="D557" s="1"/>
      <c r="E557" s="10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02"/>
      <c r="C558" s="1"/>
      <c r="D558" s="1"/>
      <c r="E558" s="10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02"/>
      <c r="C559" s="1"/>
      <c r="D559" s="1"/>
      <c r="E559" s="10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02"/>
      <c r="C560" s="1"/>
      <c r="D560" s="1"/>
      <c r="E560" s="10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02"/>
      <c r="C561" s="1"/>
      <c r="D561" s="1"/>
      <c r="E561" s="10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02"/>
      <c r="C562" s="1"/>
      <c r="D562" s="1"/>
      <c r="E562" s="10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02"/>
      <c r="C563" s="1"/>
      <c r="D563" s="1"/>
      <c r="E563" s="10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02"/>
      <c r="C564" s="1"/>
      <c r="D564" s="1"/>
      <c r="E564" s="10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02"/>
      <c r="C565" s="1"/>
      <c r="D565" s="1"/>
      <c r="E565" s="10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02"/>
      <c r="C566" s="1"/>
      <c r="D566" s="1"/>
      <c r="E566" s="10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02"/>
      <c r="C567" s="1"/>
      <c r="D567" s="1"/>
      <c r="E567" s="10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02"/>
      <c r="C568" s="1"/>
      <c r="D568" s="1"/>
      <c r="E568" s="10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02"/>
      <c r="C569" s="1"/>
      <c r="D569" s="1"/>
      <c r="E569" s="10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02"/>
      <c r="C570" s="1"/>
      <c r="D570" s="1"/>
      <c r="E570" s="10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02"/>
      <c r="C571" s="1"/>
      <c r="D571" s="1"/>
      <c r="E571" s="10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02"/>
      <c r="C572" s="1"/>
      <c r="D572" s="1"/>
      <c r="E572" s="10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02"/>
      <c r="C573" s="1"/>
      <c r="D573" s="1"/>
      <c r="E573" s="10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02"/>
      <c r="C574" s="1"/>
      <c r="D574" s="1"/>
      <c r="E574" s="10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02"/>
      <c r="C575" s="1"/>
      <c r="D575" s="1"/>
      <c r="E575" s="10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02"/>
      <c r="C576" s="1"/>
      <c r="D576" s="1"/>
      <c r="E576" s="10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02"/>
      <c r="C577" s="1"/>
      <c r="D577" s="1"/>
      <c r="E577" s="10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02"/>
      <c r="C578" s="1"/>
      <c r="D578" s="1"/>
      <c r="E578" s="10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02"/>
      <c r="C579" s="1"/>
      <c r="D579" s="1"/>
      <c r="E579" s="10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02"/>
      <c r="C580" s="1"/>
      <c r="D580" s="1"/>
      <c r="E580" s="10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02"/>
      <c r="C581" s="1"/>
      <c r="D581" s="1"/>
      <c r="E581" s="10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02"/>
      <c r="C582" s="1"/>
      <c r="D582" s="1"/>
      <c r="E582" s="10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02"/>
      <c r="C583" s="1"/>
      <c r="D583" s="1"/>
      <c r="E583" s="10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02"/>
      <c r="C584" s="1"/>
      <c r="D584" s="1"/>
      <c r="E584" s="10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02"/>
      <c r="C585" s="1"/>
      <c r="D585" s="1"/>
      <c r="E585" s="10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02"/>
      <c r="C586" s="1"/>
      <c r="D586" s="1"/>
      <c r="E586" s="10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02"/>
      <c r="C587" s="1"/>
      <c r="D587" s="1"/>
      <c r="E587" s="10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02"/>
      <c r="C588" s="1"/>
      <c r="D588" s="1"/>
      <c r="E588" s="10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02"/>
      <c r="C589" s="1"/>
      <c r="D589" s="1"/>
      <c r="E589" s="10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02"/>
      <c r="C590" s="1"/>
      <c r="D590" s="1"/>
      <c r="E590" s="10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02"/>
      <c r="C591" s="1"/>
      <c r="D591" s="1"/>
      <c r="E591" s="10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02"/>
      <c r="C592" s="1"/>
      <c r="D592" s="1"/>
      <c r="E592" s="10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02"/>
      <c r="C593" s="1"/>
      <c r="D593" s="1"/>
      <c r="E593" s="10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02"/>
      <c r="C594" s="1"/>
      <c r="D594" s="1"/>
      <c r="E594" s="10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02"/>
      <c r="C595" s="1"/>
      <c r="D595" s="1"/>
      <c r="E595" s="10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02"/>
      <c r="C596" s="1"/>
      <c r="D596" s="1"/>
      <c r="E596" s="10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02"/>
      <c r="C597" s="1"/>
      <c r="D597" s="1"/>
      <c r="E597" s="10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02"/>
      <c r="C598" s="1"/>
      <c r="D598" s="1"/>
      <c r="E598" s="10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02"/>
      <c r="C599" s="1"/>
      <c r="D599" s="1"/>
      <c r="E599" s="10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02"/>
      <c r="C600" s="1"/>
      <c r="D600" s="1"/>
      <c r="E600" s="10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02"/>
      <c r="C601" s="1"/>
      <c r="D601" s="1"/>
      <c r="E601" s="10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02"/>
      <c r="C602" s="1"/>
      <c r="D602" s="1"/>
      <c r="E602" s="10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02"/>
      <c r="C603" s="1"/>
      <c r="D603" s="1"/>
      <c r="E603" s="10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02"/>
      <c r="C604" s="1"/>
      <c r="D604" s="1"/>
      <c r="E604" s="10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02"/>
      <c r="C605" s="1"/>
      <c r="D605" s="1"/>
      <c r="E605" s="10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02"/>
      <c r="C606" s="1"/>
      <c r="D606" s="1"/>
      <c r="E606" s="10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02"/>
      <c r="C607" s="1"/>
      <c r="D607" s="1"/>
      <c r="E607" s="10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02"/>
      <c r="C608" s="1"/>
      <c r="D608" s="1"/>
      <c r="E608" s="10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02"/>
      <c r="C609" s="1"/>
      <c r="D609" s="1"/>
      <c r="E609" s="10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02"/>
      <c r="C610" s="1"/>
      <c r="D610" s="1"/>
      <c r="E610" s="10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02"/>
      <c r="C611" s="1"/>
      <c r="D611" s="1"/>
      <c r="E611" s="10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02"/>
      <c r="C612" s="1"/>
      <c r="D612" s="1"/>
      <c r="E612" s="10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02"/>
      <c r="C613" s="1"/>
      <c r="D613" s="1"/>
      <c r="E613" s="10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02"/>
      <c r="C614" s="1"/>
      <c r="D614" s="1"/>
      <c r="E614" s="10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02"/>
      <c r="C615" s="1"/>
      <c r="D615" s="1"/>
      <c r="E615" s="10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02"/>
      <c r="C616" s="1"/>
      <c r="D616" s="1"/>
      <c r="E616" s="10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02"/>
      <c r="C617" s="1"/>
      <c r="D617" s="1"/>
      <c r="E617" s="10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02"/>
      <c r="C618" s="1"/>
      <c r="D618" s="1"/>
      <c r="E618" s="10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02"/>
      <c r="C619" s="1"/>
      <c r="D619" s="1"/>
      <c r="E619" s="10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02"/>
      <c r="C620" s="1"/>
      <c r="D620" s="1"/>
      <c r="E620" s="10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</sheetData>
  <conditionalFormatting sqref="B13:B274 C13:L240 C244:L274">
    <cfRule type="expression" dxfId="0" priority="1">
      <formula>$K13="COMPRADO"</formula>
    </cfRule>
  </conditionalFormatting>
  <conditionalFormatting sqref="B13:B274 C13:L240 C244:L274">
    <cfRule type="expression" dxfId="1" priority="2">
      <formula>$K13="ENTREGUE"</formula>
    </cfRule>
  </conditionalFormatting>
  <conditionalFormatting sqref="B13:B274 C13:L240 C244:L274">
    <cfRule type="expression" dxfId="2" priority="3">
      <formula>$K13="A COMPRAR"</formula>
    </cfRule>
  </conditionalFormatting>
  <conditionalFormatting sqref="B13:B274 C13:L240 C244:L274">
    <cfRule type="expression" dxfId="3" priority="4">
      <formula>$K13="WAREHOUSE"</formula>
    </cfRule>
  </conditionalFormatting>
  <conditionalFormatting sqref="B13:B274 C13:L240 C244:L274">
    <cfRule type="expression" dxfId="4" priority="5">
      <formula>$K13="TROCA"</formula>
    </cfRule>
  </conditionalFormatting>
  <conditionalFormatting sqref="B13:B274 C13:L240 C244:L274">
    <cfRule type="expression" dxfId="5" priority="6">
      <formula>$K13="RECOMPRA"</formula>
    </cfRule>
  </conditionalFormatting>
  <dataValidations>
    <dataValidation type="custom" allowBlank="1" showDropDown="1" sqref="L13:L271">
      <formula1>AND(ISNUMBER(L13),(NOT(OR(NOT(ISERROR(DATEVALUE(L13))), AND(ISNUMBER(L13), LEFT(CELL("format", L13))="D")))))</formula1>
    </dataValidation>
    <dataValidation type="custom" allowBlank="1" showDropDown="1" sqref="G13:J271">
      <formula1>AND(ISNUMBER(G13),(NOT(OR(NOT(ISERROR(DATEVALUE(G13))), AND(ISNUMBER(G13), LEFT(CELL("format", G13))="D")))))</formula1>
    </dataValidation>
    <dataValidation allowBlank="1" showDropDown="1" sqref="D13:D271"/>
    <dataValidation type="list" allowBlank="1" sqref="E13:E271">
      <formula1>"AR CONDICIONADO,COMISSÃO,CORTINA,CONSTRUÇÃO,DECORAÇÃO,EXTRAS,FIXOS,FOTOGRÁFO,LIMPEZA,MARCENARIA,MÃO DE OBRA,MÓVEIS,PAPEL DE PAREDE,PACOTES TEMATICOS,PRODUTOS,PVC,SUMMER KITCHEN,VIDRO,TERCEIROS/PACOTES,CAFÉ,PERSONAGEM,COLCHÃO/VANDERLEI"</formula1>
    </dataValidation>
    <dataValidation type="list" allowBlank="1" showErrorMessage="1" sqref="K13:K271">
      <formula1>"COMPRADO,ENTREGUE,A COMPRAR,WAREHOUSE,TROCA,RECOMPRA"</formula1>
    </dataValidation>
  </dataValidations>
  <hyperlinks>
    <hyperlink r:id="rId1" ref="F15"/>
    <hyperlink r:id="rId2" ref="F18"/>
    <hyperlink r:id="rId3" ref="F19"/>
    <hyperlink r:id="rId4" ref="F20"/>
    <hyperlink r:id="rId5" ref="F22"/>
    <hyperlink r:id="rId6" ref="F23"/>
    <hyperlink r:id="rId7" ref="F27"/>
    <hyperlink r:id="rId8" ref="F28"/>
    <hyperlink r:id="rId9" ref="F29"/>
    <hyperlink r:id="rId10" ref="F30"/>
    <hyperlink r:id="rId11" ref="F31"/>
    <hyperlink r:id="rId12" ref="F32"/>
    <hyperlink r:id="rId13" ref="F33"/>
    <hyperlink r:id="rId14" ref="F34"/>
  </hyperlinks>
  <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6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2025-03-19T18:42:01Z</dcterms:created>
  <dc:creator>Appenin Cabinets</dc:creator>
</cp:coreProperties>
</file>