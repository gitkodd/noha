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1" sheetId="1" r:id="rId4"/>
    <sheet state="visible" name="Tabela dinâmica 13" sheetId="2" r:id="rId5"/>
    <sheet state="hidden" name="DASH BOARD" sheetId="3" r:id="rId6"/>
  </sheets>
  <definedNames>
    <definedName hidden="1" localSheetId="0" name="_xlnm._FilterDatabase">'BD1'!$B$12:$L$330</definedName>
  </definedNames>
  <calcPr/>
  <pivotCaches>
    <pivotCache cacheId="0" r:id="rId7"/>
  </pivotCaches>
  <extLst>
    <ext uri="GoogleSheetsCustomDataVersion2">
      <go:sheetsCustomData xmlns:go="http://customooxmlschemas.google.com/" r:id="rId8" roundtripDataChecksum="u32TXyYT0J43XHMLOONmpZY07/W5iOUk4//F+sMJVJI="/>
    </ext>
  </extLst>
</workbook>
</file>

<file path=xl/sharedStrings.xml><?xml version="1.0" encoding="utf-8"?>
<sst xmlns="http://schemas.openxmlformats.org/spreadsheetml/2006/main" count="1851" uniqueCount="387">
  <si>
    <t xml:space="preserve">  </t>
  </si>
  <si>
    <t>Ambiente</t>
  </si>
  <si>
    <t>Company</t>
  </si>
  <si>
    <t>Product</t>
  </si>
  <si>
    <t>Category</t>
  </si>
  <si>
    <t>LINK</t>
  </si>
  <si>
    <t>Qty</t>
  </si>
  <si>
    <t>Unit Cost Price</t>
  </si>
  <si>
    <t>Price Cost</t>
  </si>
  <si>
    <t>Actual Cost</t>
  </si>
  <si>
    <t>STATUS</t>
  </si>
  <si>
    <t>Comentarios</t>
  </si>
  <si>
    <t>FOYER</t>
  </si>
  <si>
    <t>Amazon</t>
  </si>
  <si>
    <t>Capacho de Porta</t>
  </si>
  <si>
    <t>PRODUTOS</t>
  </si>
  <si>
    <t>B07THN5B78</t>
  </si>
  <si>
    <t>COMPRADO</t>
  </si>
  <si>
    <t>Home goods</t>
  </si>
  <si>
    <t>Deco</t>
  </si>
  <si>
    <t>DECORAÇÃO</t>
  </si>
  <si>
    <t>ENTREGUE</t>
  </si>
  <si>
    <t>EQUIPE NOHA</t>
  </si>
  <si>
    <t>Instalação de espelho</t>
  </si>
  <si>
    <t>FIXOS</t>
  </si>
  <si>
    <t>Filtro Ar</t>
  </si>
  <si>
    <t>CONSTRUÇÃO</t>
  </si>
  <si>
    <t>Checar Modelo</t>
  </si>
  <si>
    <t>Ingrid</t>
  </si>
  <si>
    <t>Fotos</t>
  </si>
  <si>
    <t>Spot</t>
  </si>
  <si>
    <t>B01KZJ8F34</t>
  </si>
  <si>
    <t>Instalação Spot até 5 spots</t>
  </si>
  <si>
    <t>Espelho</t>
  </si>
  <si>
    <t>Appenin</t>
  </si>
  <si>
    <t>Marcenaria</t>
  </si>
  <si>
    <t>MARCENARIA</t>
  </si>
  <si>
    <t xml:space="preserve">Pack </t>
  </si>
  <si>
    <t>PACK APPENIN</t>
  </si>
  <si>
    <t>Canvas</t>
  </si>
  <si>
    <t xml:space="preserve">Quadro </t>
  </si>
  <si>
    <t>Instalação Quadros</t>
  </si>
  <si>
    <t>KITCHEN Dormem 20 pess</t>
  </si>
  <si>
    <t>Utensilios Set</t>
  </si>
  <si>
    <t>link</t>
  </si>
  <si>
    <t>Bandejas de Aluminio Grande Pack 2</t>
  </si>
  <si>
    <t>Meridian</t>
  </si>
  <si>
    <t>Banqueta</t>
  </si>
  <si>
    <t>MÓVEIS</t>
  </si>
  <si>
    <t>994Taupe-C</t>
  </si>
  <si>
    <t xml:space="preserve">Walmart </t>
  </si>
  <si>
    <t xml:space="preserve">Cafeteira </t>
  </si>
  <si>
    <t xml:space="preserve">Pago $20 de shipping </t>
  </si>
  <si>
    <t>Chaleira</t>
  </si>
  <si>
    <t>Coaster Set Pack 16</t>
  </si>
  <si>
    <t>Colher de Pau</t>
  </si>
  <si>
    <t xml:space="preserve">Pendente </t>
  </si>
  <si>
    <t>Lampada pendente</t>
  </si>
  <si>
    <t>Instalação de pendentes</t>
  </si>
  <si>
    <t>Home Goods</t>
  </si>
  <si>
    <t>Copo de medida</t>
  </si>
  <si>
    <t>Estoque</t>
  </si>
  <si>
    <t>Copos para piscina Pack 16</t>
  </si>
  <si>
    <t xml:space="preserve">Descanso de panela </t>
  </si>
  <si>
    <t>Escorredor de Macarrao</t>
  </si>
  <si>
    <t>Fruteira</t>
  </si>
  <si>
    <t>Jaras para Sucos</t>
  </si>
  <si>
    <t>Jogo americano Pack 8</t>
  </si>
  <si>
    <t>Jogo de Copos Grandes Pack 8</t>
  </si>
  <si>
    <t>Jogo De Facas</t>
  </si>
  <si>
    <t>Jogo de Panelas</t>
  </si>
  <si>
    <t>Jogo de Pratos Pack 6</t>
  </si>
  <si>
    <t>Jogo de talheres Pack 12</t>
  </si>
  <si>
    <t>Liquidificador</t>
  </si>
  <si>
    <t>Luvas para Forno</t>
  </si>
  <si>
    <t>Napkin 12 unid.</t>
  </si>
  <si>
    <t>Panos de Pratos</t>
  </si>
  <si>
    <t>Porta Sabao</t>
  </si>
  <si>
    <t>Porta Talheres</t>
  </si>
  <si>
    <t>Ring p Napkin 12 unid.</t>
  </si>
  <si>
    <t>Saca Rolhas</t>
  </si>
  <si>
    <t>Saladeira Grande</t>
  </si>
  <si>
    <t>Suporte papel toalha</t>
  </si>
  <si>
    <t>Tabua de Cortar</t>
  </si>
  <si>
    <t>Taças para Vinho</t>
  </si>
  <si>
    <t>12 Unidades</t>
  </si>
  <si>
    <t>Porta Guardanapo</t>
  </si>
  <si>
    <t>Tostadeira</t>
  </si>
  <si>
    <t>Air Fryer</t>
  </si>
  <si>
    <t>Tupperware</t>
  </si>
  <si>
    <t>Taça de Champagne</t>
  </si>
  <si>
    <t>Tampa para Microondas</t>
  </si>
  <si>
    <t>LAUNDRY</t>
  </si>
  <si>
    <t>Aspirador de Pó</t>
  </si>
  <si>
    <t>Desentupidor</t>
  </si>
  <si>
    <t>Ferro de Passar</t>
  </si>
  <si>
    <t>MOP</t>
  </si>
  <si>
    <t>Pá e Escova</t>
  </si>
  <si>
    <t>Tábua de Passar</t>
  </si>
  <si>
    <t xml:space="preserve">Vassoura </t>
  </si>
  <si>
    <t>DINING ROOM</t>
  </si>
  <si>
    <t>Arandela</t>
  </si>
  <si>
    <t>Instalação Arandela</t>
  </si>
  <si>
    <t>Material Cortineiro Dining</t>
  </si>
  <si>
    <t>Mão de obra Cortineiro Dining</t>
  </si>
  <si>
    <t>Pendente Dining</t>
  </si>
  <si>
    <t>Instalação pendente Dining</t>
  </si>
  <si>
    <t>Lampada p Luminaria p Dining</t>
  </si>
  <si>
    <t>Kitchen e Dining</t>
  </si>
  <si>
    <t>Mão de obra Boiserie + pintura</t>
  </si>
  <si>
    <t>Material Boiserie</t>
  </si>
  <si>
    <t>Decoracao mesa jantar</t>
  </si>
  <si>
    <t>Chairs</t>
  </si>
  <si>
    <t>Mesa de Jantar</t>
  </si>
  <si>
    <t>Pack</t>
  </si>
  <si>
    <t>Junior Elegance</t>
  </si>
  <si>
    <t>Tampo de Vidro para Mesa Dining</t>
  </si>
  <si>
    <t>VIDRO</t>
  </si>
  <si>
    <t xml:space="preserve">Espelho </t>
  </si>
  <si>
    <t>LIVING ROOM</t>
  </si>
  <si>
    <t>VIG</t>
  </si>
  <si>
    <t>Coffee Table</t>
  </si>
  <si>
    <t>Polyanna</t>
  </si>
  <si>
    <t>Cortina sem BK (Medida*2.3)</t>
  </si>
  <si>
    <t>CORTINA</t>
  </si>
  <si>
    <t>PACK VALOR TOTAL</t>
  </si>
  <si>
    <t>Mao de obra cortineiro Living</t>
  </si>
  <si>
    <t>Material Cortineiro Living</t>
  </si>
  <si>
    <t>Luminária Living</t>
  </si>
  <si>
    <t>Instalação Luminaria Living</t>
  </si>
  <si>
    <t>Lampada p luminaria p Living</t>
  </si>
  <si>
    <t>Living e Master</t>
  </si>
  <si>
    <t>Decoração Painel Living p/ nicho</t>
  </si>
  <si>
    <t>Lareira</t>
  </si>
  <si>
    <t>Filtro de linha pra lareira</t>
  </si>
  <si>
    <t>Livro LV</t>
  </si>
  <si>
    <t>Poltrona</t>
  </si>
  <si>
    <t>498Cream</t>
  </si>
  <si>
    <t>Puff</t>
  </si>
  <si>
    <t>132Cream</t>
  </si>
  <si>
    <t>Coaster</t>
  </si>
  <si>
    <t xml:space="preserve">Sofa </t>
  </si>
  <si>
    <t>551594-SET</t>
  </si>
  <si>
    <t>Almofadas de Decoração</t>
  </si>
  <si>
    <t>Trendy Rugs</t>
  </si>
  <si>
    <t>Tapete 9x12</t>
  </si>
  <si>
    <t>BestBuy</t>
  </si>
  <si>
    <t>TV 75"</t>
  </si>
  <si>
    <t>LG</t>
  </si>
  <si>
    <t>Wall Mount</t>
  </si>
  <si>
    <t>B001OCY3RY</t>
  </si>
  <si>
    <t>Cover Plate</t>
  </si>
  <si>
    <t>B07CRWD8DZ</t>
  </si>
  <si>
    <t>Remoção Persiana</t>
  </si>
  <si>
    <t>Fechamento de janela</t>
  </si>
  <si>
    <t>Led e Reator para Painel PVC</t>
  </si>
  <si>
    <t>Foi adicionado essa linha - Nao foi provisionado</t>
  </si>
  <si>
    <t>Garagem - Cinema</t>
  </si>
  <si>
    <t>WUDSON</t>
  </si>
  <si>
    <t xml:space="preserve">Mao de obra + material </t>
  </si>
  <si>
    <t>PACOTES TEMATICOS</t>
  </si>
  <si>
    <t xml:space="preserve">PAGO 50% 19,250.00 PACK TOTAL </t>
  </si>
  <si>
    <t xml:space="preserve">Almofada Sofa </t>
  </si>
  <si>
    <t>Tem estoque</t>
  </si>
  <si>
    <t>Almofadas coloridas</t>
  </si>
  <si>
    <t>Insert Almofada</t>
  </si>
  <si>
    <t>Pipoqueira</t>
  </si>
  <si>
    <t>Universal Studios</t>
  </si>
  <si>
    <t>Decoração</t>
  </si>
  <si>
    <t>TV 85</t>
  </si>
  <si>
    <t>cover plate</t>
  </si>
  <si>
    <t>Diego</t>
  </si>
  <si>
    <t>Ar Condicionado Kit</t>
  </si>
  <si>
    <t>AR CONDICIONADO</t>
  </si>
  <si>
    <t>Instalacao de Ar Condicionado</t>
  </si>
  <si>
    <t>Bedroom Master King</t>
  </si>
  <si>
    <t>Abajur</t>
  </si>
  <si>
    <t>Luminaria</t>
  </si>
  <si>
    <t>Instalação Luminária</t>
  </si>
  <si>
    <t>Lampada para Luminaria</t>
  </si>
  <si>
    <t>Bed</t>
  </si>
  <si>
    <t>B1208Cream-K</t>
  </si>
  <si>
    <t>Whiteline</t>
  </si>
  <si>
    <t>Night Stand</t>
  </si>
  <si>
    <t>NS2020L-LGRY/WLT</t>
  </si>
  <si>
    <t>Dresser</t>
  </si>
  <si>
    <t>DR2020-LGRY/WLT</t>
  </si>
  <si>
    <t>11055Cream-C</t>
  </si>
  <si>
    <t>Cabides</t>
  </si>
  <si>
    <t>Cabide para todos os quartos</t>
  </si>
  <si>
    <t>Cortina COM BK (medida*2.3)</t>
  </si>
  <si>
    <t xml:space="preserve">PACK VALOR TOTAL LIVING </t>
  </si>
  <si>
    <t>Mão de obra - Cortineiro</t>
  </si>
  <si>
    <t>Material Cortineiro</t>
  </si>
  <si>
    <t>Lençol Extra King</t>
  </si>
  <si>
    <t>Quilt King</t>
  </si>
  <si>
    <t xml:space="preserve">Manta King </t>
  </si>
  <si>
    <t>Mattress Protector King</t>
  </si>
  <si>
    <t>GreenRest</t>
  </si>
  <si>
    <t>Mattress King</t>
  </si>
  <si>
    <t>COLCHÃO/VANDERLEI</t>
  </si>
  <si>
    <t>KING</t>
  </si>
  <si>
    <t>Valor total todos os colchoes</t>
  </si>
  <si>
    <t>Mattress Box King 3"</t>
  </si>
  <si>
    <t>Sams</t>
  </si>
  <si>
    <t>Pillow King</t>
  </si>
  <si>
    <t>Hotel Collection King</t>
  </si>
  <si>
    <t>TV 55"</t>
  </si>
  <si>
    <t>Instalação Wall Mount</t>
  </si>
  <si>
    <t>Wall Mart</t>
  </si>
  <si>
    <t>Eletric Extension</t>
  </si>
  <si>
    <t>Bedroom 02 King</t>
  </si>
  <si>
    <t>Lampadas de Abajour</t>
  </si>
  <si>
    <t>Spot Central</t>
  </si>
  <si>
    <t>B07HKTGGP4</t>
  </si>
  <si>
    <t>Vai sobrar 1</t>
  </si>
  <si>
    <t>Instalação spot central</t>
  </si>
  <si>
    <t>Manta King Cinza</t>
  </si>
  <si>
    <t>Mattress Box King 5"</t>
  </si>
  <si>
    <t>Frame King</t>
  </si>
  <si>
    <t>Quadros</t>
  </si>
  <si>
    <t>TV 43"</t>
  </si>
  <si>
    <t>TCL</t>
  </si>
  <si>
    <t>Bedroom 04 Harry Potter Full</t>
  </si>
  <si>
    <t>Bed Full</t>
  </si>
  <si>
    <t>PACK</t>
  </si>
  <si>
    <t xml:space="preserve">Wayfair </t>
  </si>
  <si>
    <t>Decor Vela</t>
  </si>
  <si>
    <t>Conforter</t>
  </si>
  <si>
    <t>Sams Club</t>
  </si>
  <si>
    <t>Pillow Standard</t>
  </si>
  <si>
    <t>Serta Standard</t>
  </si>
  <si>
    <t xml:space="preserve">Decor Chapéu </t>
  </si>
  <si>
    <t>LINL</t>
  </si>
  <si>
    <t>Decor Vassoura</t>
  </si>
  <si>
    <t>Decor</t>
  </si>
  <si>
    <t>Pendente</t>
  </si>
  <si>
    <t>Walmart</t>
  </si>
  <si>
    <t xml:space="preserve">TV 32" </t>
  </si>
  <si>
    <t xml:space="preserve">PS. Foi comprado um Monitor 27" no Walmart de $120.53 - essa Tv sera passada pra outra casa </t>
  </si>
  <si>
    <t>Cortina COM BK( Medida*2.3)</t>
  </si>
  <si>
    <t>Mattress Full</t>
  </si>
  <si>
    <t>Mattress Protector Full</t>
  </si>
  <si>
    <t>Pilhas para Luminaria</t>
  </si>
  <si>
    <t>Foi adicionado essa linha - Nao Provisionado</t>
  </si>
  <si>
    <t xml:space="preserve"> Bedroom 03 King</t>
  </si>
  <si>
    <t>VALOR TOTAL BED 2</t>
  </si>
  <si>
    <t>AbigailCream-K</t>
  </si>
  <si>
    <t>B00MW50EDY</t>
  </si>
  <si>
    <t>Mattress Box King</t>
  </si>
  <si>
    <t>NAO PRECISA DE BOX</t>
  </si>
  <si>
    <t>Bedroom 05 King</t>
  </si>
  <si>
    <t>GeriCream-K</t>
  </si>
  <si>
    <t>Valor Total Living</t>
  </si>
  <si>
    <t>NS2055L-LGRY</t>
  </si>
  <si>
    <t>DR2055L-LGRY</t>
  </si>
  <si>
    <t xml:space="preserve"> Bedroom 06 Minions</t>
  </si>
  <si>
    <t>Piscina de espuma</t>
  </si>
  <si>
    <t>ESTOQUE</t>
  </si>
  <si>
    <t>Comforter</t>
  </si>
  <si>
    <t>Plushies</t>
  </si>
  <si>
    <t>Bedroom 06 Minions</t>
  </si>
  <si>
    <t>Luminaria de Emergencia</t>
  </si>
  <si>
    <t>Foi adicionado Linha - Nao foi provisionado</t>
  </si>
  <si>
    <t>Bananas Decor</t>
  </si>
  <si>
    <t>BATHROOM SINGLE 1</t>
  </si>
  <si>
    <t>Ikea</t>
  </si>
  <si>
    <t>Toilet Brush</t>
  </si>
  <si>
    <t>Vai sobrar 2</t>
  </si>
  <si>
    <t>ikea</t>
  </si>
  <si>
    <t>Lixinho</t>
  </si>
  <si>
    <t>Secador de Cabelo</t>
  </si>
  <si>
    <t>B003TQPRGY</t>
  </si>
  <si>
    <t>Soap Dispenser</t>
  </si>
  <si>
    <t>Tooth Brush Holder</t>
  </si>
  <si>
    <t>Suporte de Toalha</t>
  </si>
  <si>
    <t>B0D232RB1V</t>
  </si>
  <si>
    <t>Tapetes Kit</t>
  </si>
  <si>
    <t>Toalhas Grande - 6pk</t>
  </si>
  <si>
    <t>Toalhas Media - 12pk</t>
  </si>
  <si>
    <t>Toalhas Pequena - 24pk</t>
  </si>
  <si>
    <t>Toalha de Piscina - Individual</t>
  </si>
  <si>
    <t>Suporte toalha Banheiros - Barra</t>
  </si>
  <si>
    <t>B017C0H0ZI</t>
  </si>
  <si>
    <t>Suporte Papel higienico</t>
  </si>
  <si>
    <t>B017C13ZG0</t>
  </si>
  <si>
    <t>Comprei um kit</t>
  </si>
  <si>
    <t>Instalação suporte de toalha e papel</t>
  </si>
  <si>
    <t>BATHROOM DUPLO 3</t>
  </si>
  <si>
    <t>Curtin Bath Rod</t>
  </si>
  <si>
    <t>B07WQV896S</t>
  </si>
  <si>
    <t>Curtin Bath Hook</t>
  </si>
  <si>
    <t>Shower Curtin</t>
  </si>
  <si>
    <t>Shower Curtin Linear</t>
  </si>
  <si>
    <t>IKEA</t>
  </si>
  <si>
    <t>Total Bath 1</t>
  </si>
  <si>
    <t>LAVABO</t>
  </si>
  <si>
    <t>Suporte Papell Higienico</t>
  </si>
  <si>
    <t xml:space="preserve">Home Goods </t>
  </si>
  <si>
    <t>Móvel lateral</t>
  </si>
  <si>
    <t>LANAI</t>
  </si>
  <si>
    <t>Almofada espreguicadeira Pack 4 Pillow Cover</t>
  </si>
  <si>
    <t>Pillow Insert 12x20</t>
  </si>
  <si>
    <t>Almofada Sofa Cover</t>
  </si>
  <si>
    <t>Almofada Sofa insert</t>
  </si>
  <si>
    <t>Ramon</t>
  </si>
  <si>
    <t>Conjunto Sofá</t>
  </si>
  <si>
    <t>Deco Coffee Table</t>
  </si>
  <si>
    <t>Deco Mesa jantar</t>
  </si>
  <si>
    <t>Wayfair</t>
  </si>
  <si>
    <t>Espreguicadeira Pack 2</t>
  </si>
  <si>
    <t>Mesa de jantar com cadeiras</t>
  </si>
  <si>
    <t>Lowes</t>
  </si>
  <si>
    <t>Ventilador</t>
  </si>
  <si>
    <t>Comprei na Amazon</t>
  </si>
  <si>
    <t>Ventilador Instalação</t>
  </si>
  <si>
    <t>Bóias para piscina</t>
  </si>
  <si>
    <t>GAME ROOM MARIO BROS</t>
  </si>
  <si>
    <t>Banqueta 2 Pack</t>
  </si>
  <si>
    <t>At Games</t>
  </si>
  <si>
    <t>Arcade de bancada</t>
  </si>
  <si>
    <t>Monitor 32" Arcade</t>
  </si>
  <si>
    <t>Suporte de monitor Arcade</t>
  </si>
  <si>
    <t>B00BD9JR6K</t>
  </si>
  <si>
    <t xml:space="preserve">FoosBall Table </t>
  </si>
  <si>
    <t>Hockey Table</t>
  </si>
  <si>
    <t>Escorregador</t>
  </si>
  <si>
    <t>Video Game - PS5</t>
  </si>
  <si>
    <t xml:space="preserve">TV 50" </t>
  </si>
  <si>
    <t>Controle de Video Game</t>
  </si>
  <si>
    <t xml:space="preserve">Game Chair </t>
  </si>
  <si>
    <t>B07QJXRRFM</t>
  </si>
  <si>
    <t>HDMI</t>
  </si>
  <si>
    <t>B07FCFJ9NF</t>
  </si>
  <si>
    <t>B07SGD4TB4</t>
  </si>
  <si>
    <t xml:space="preserve">Mao de Obra Garagem </t>
  </si>
  <si>
    <t xml:space="preserve">Material Game Room Garagem </t>
  </si>
  <si>
    <t>Frigobar</t>
  </si>
  <si>
    <t>EXTRAS</t>
  </si>
  <si>
    <t>Marcenaria Pack</t>
  </si>
  <si>
    <t>PACK TOTAL</t>
  </si>
  <si>
    <t xml:space="preserve">Painel Ripado - Material </t>
  </si>
  <si>
    <t>PVC</t>
  </si>
  <si>
    <t xml:space="preserve">Painel Ripado - Instalação </t>
  </si>
  <si>
    <t>Gio Powerhouse</t>
  </si>
  <si>
    <t>Shipping Coaster + Whiteline</t>
  </si>
  <si>
    <t>Samuel</t>
  </si>
  <si>
    <t>Pagamento Salario Mes Novembro</t>
  </si>
  <si>
    <t>Vinicius</t>
  </si>
  <si>
    <t>Lowes/Home Depot</t>
  </si>
  <si>
    <t>Material de obra</t>
  </si>
  <si>
    <t>Prego, parafuso, liquinail, calque, cabos...</t>
  </si>
  <si>
    <t>Arvore de Natal</t>
  </si>
  <si>
    <t xml:space="preserve">Papa Entulho </t>
  </si>
  <si>
    <t>Instalação Cortina</t>
  </si>
  <si>
    <t>Mercado</t>
  </si>
  <si>
    <t>MERCADO</t>
  </si>
  <si>
    <t>Fotografo</t>
  </si>
  <si>
    <t>Café</t>
  </si>
  <si>
    <t>CAFÉ</t>
  </si>
  <si>
    <t>Foto e Video 9BED</t>
  </si>
  <si>
    <t>FOTOGRÁFO</t>
  </si>
  <si>
    <t>Fernanda</t>
  </si>
  <si>
    <t>Limpeza e Inventario 9BED</t>
  </si>
  <si>
    <t>LIMPEZA</t>
  </si>
  <si>
    <t>decoração arvore de natal</t>
  </si>
  <si>
    <t>telão de led</t>
  </si>
  <si>
    <t>TELÃO</t>
  </si>
  <si>
    <t>PVC EXTRA</t>
  </si>
  <si>
    <t>SUM de Price Cost</t>
  </si>
  <si>
    <t>SUM de Actual Cost</t>
  </si>
  <si>
    <t>EXEMPLO SUSANA</t>
  </si>
  <si>
    <t xml:space="preserve">CUSTO </t>
  </si>
  <si>
    <t xml:space="preserve">CMV </t>
  </si>
  <si>
    <t>Essa foi a Ultima que ela fechou sem supervisão de planilha e sem os custos que aumentamos</t>
  </si>
  <si>
    <t xml:space="preserve">MARKUP </t>
  </si>
  <si>
    <t>COMISSÃO 1</t>
  </si>
  <si>
    <t>Total geral</t>
  </si>
  <si>
    <t>COMISSÃO 2</t>
  </si>
  <si>
    <t>TOTAL</t>
  </si>
  <si>
    <t>CONTRATO COM TAX</t>
  </si>
  <si>
    <t>TAX SOB VENDA</t>
  </si>
  <si>
    <t>VENDA</t>
  </si>
  <si>
    <t>VALOR VENDA</t>
  </si>
  <si>
    <t>CUSTO REAL</t>
  </si>
  <si>
    <t>VALOR ATUAL DE LUCRO</t>
  </si>
  <si>
    <t>CUSTO ESTIMADO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</si>
</sst>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[$$]#,##0.00"/>
    <numFmt numFmtId="166" formatCode="&quot;$&quot;#,##0.00_);[Red]\(&quot;$&quot;#,##0.00\)"/>
    <numFmt numFmtId="167" formatCode="&quot;R$&quot;#,##0.00"/>
  </numFmts>
  <fonts count="21">
    <font>
      <sz val="11.0"/>
      <color theme="1"/>
      <name val="Aptos Narrow"/>
      <scheme val="minor"/>
    </font>
    <font>
      <sz val="12.0"/>
      <color theme="1"/>
      <name val="Arial"/>
    </font>
    <font>
      <sz val="12.0"/>
      <color rgb="FFFFFFFF"/>
      <name val="Arial"/>
    </font>
    <font>
      <b/>
      <sz val="12.0"/>
      <color theme="1"/>
      <name val="Arial"/>
    </font>
    <font>
      <b/>
      <color rgb="FFFFFFFF"/>
      <name val="Arial"/>
    </font>
    <font>
      <sz val="11.0"/>
      <color theme="1"/>
      <name val="Aptos Narrow"/>
    </font>
    <font>
      <b/>
      <u/>
      <sz val="12.0"/>
      <color rgb="FF434343"/>
      <name val="Arial"/>
    </font>
    <font>
      <b/>
      <sz val="12.0"/>
      <color rgb="FF434343"/>
      <name val="Arial"/>
    </font>
    <font>
      <sz val="11.0"/>
      <color theme="1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434343"/>
      <name val="Arial"/>
    </font>
    <font>
      <u/>
      <sz val="10.0"/>
      <color rgb="FF434343"/>
      <name val="Arial"/>
    </font>
    <font>
      <b/>
      <u/>
      <sz val="12.0"/>
      <color rgb="FF0000FF"/>
      <name val="Arial"/>
    </font>
    <font>
      <color theme="1"/>
      <name val="Aptos Narrow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theme="1"/>
      <name val="Aptos Narrow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C0E6F5"/>
        <bgColor rgb="FFC0E6F5"/>
      </patternFill>
    </fill>
    <fill>
      <patternFill patternType="solid">
        <fgColor rgb="FF9FC5E8"/>
        <bgColor rgb="FF9FC5E8"/>
      </patternFill>
    </fill>
  </fills>
  <borders count="18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shrinkToFit="0" vertical="center" wrapText="0"/>
    </xf>
    <xf borderId="3" fillId="3" fontId="3" numFmtId="0" xfId="0" applyAlignment="1" applyBorder="1" applyFill="1" applyFont="1">
      <alignment horizontal="center" shrinkToFit="0" vertical="center" wrapText="1"/>
    </xf>
    <xf borderId="3" fillId="3" fontId="3" numFmtId="164" xfId="0" applyAlignment="1" applyBorder="1" applyFont="1" applyNumberFormat="1">
      <alignment horizontal="center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3" fillId="3" fontId="3" numFmtId="164" xfId="0" applyAlignment="1" applyBorder="1" applyFont="1" applyNumberFormat="1">
      <alignment shrinkToFit="0" vertical="center" wrapText="1"/>
    </xf>
    <xf borderId="3" fillId="3" fontId="3" numFmtId="165" xfId="0" applyAlignment="1" applyBorder="1" applyFont="1" applyNumberFormat="1">
      <alignment readingOrder="0" shrinkToFit="0" vertical="center" wrapText="1"/>
    </xf>
    <xf borderId="3" fillId="3" fontId="5" numFmtId="166" xfId="0" applyAlignment="1" applyBorder="1" applyFont="1" applyNumberFormat="1">
      <alignment shrinkToFit="0" vertical="center" wrapText="0"/>
    </xf>
    <xf borderId="3" fillId="3" fontId="6" numFmtId="0" xfId="0" applyAlignment="1" applyBorder="1" applyFont="1">
      <alignment horizontal="center" shrinkToFit="0" vertical="center" wrapText="1"/>
    </xf>
    <xf borderId="3" fillId="3" fontId="3" numFmtId="165" xfId="0" applyAlignment="1" applyBorder="1" applyFont="1" applyNumberFormat="1">
      <alignment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3" fillId="5" fontId="3" numFmtId="164" xfId="0" applyAlignment="1" applyBorder="1" applyFill="1" applyFont="1" applyNumberFormat="1">
      <alignment horizontal="center" shrinkToFit="0" vertical="center" wrapText="1"/>
    </xf>
    <xf borderId="3" fillId="5" fontId="3" numFmtId="0" xfId="0" applyAlignment="1" applyBorder="1" applyFont="1">
      <alignment readingOrder="0" shrinkToFit="0" vertical="center" wrapText="1"/>
    </xf>
    <xf borderId="3" fillId="5" fontId="3" numFmtId="0" xfId="0" applyAlignment="1" applyBorder="1" applyFont="1">
      <alignment shrinkToFit="0" vertical="center" wrapText="1"/>
    </xf>
    <xf borderId="3" fillId="5" fontId="3" numFmtId="165" xfId="0" applyAlignment="1" applyBorder="1" applyFont="1" applyNumberFormat="1">
      <alignment shrinkToFit="0" vertical="center" wrapText="1"/>
    </xf>
    <xf borderId="3" fillId="5" fontId="3" numFmtId="165" xfId="0" applyAlignment="1" applyBorder="1" applyFont="1" applyNumberFormat="1">
      <alignment readingOrder="0" shrinkToFit="0" vertical="center" wrapText="1"/>
    </xf>
    <xf borderId="3" fillId="5" fontId="3" numFmtId="166" xfId="0" applyAlignment="1" applyBorder="1" applyFont="1" applyNumberFormat="1">
      <alignment horizontal="center" shrinkToFit="0" vertical="center" wrapText="1"/>
    </xf>
    <xf borderId="3" fillId="6" fontId="3" numFmtId="164" xfId="0" applyAlignment="1" applyBorder="1" applyFill="1" applyFont="1" applyNumberFormat="1">
      <alignment horizontal="center" shrinkToFit="0" vertical="center" wrapText="1"/>
    </xf>
    <xf borderId="3" fillId="6" fontId="3" numFmtId="0" xfId="0" applyAlignment="1" applyBorder="1" applyFont="1">
      <alignment readingOrder="0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3" fillId="6" fontId="3" numFmtId="0" xfId="0" applyAlignment="1" applyBorder="1" applyFont="1">
      <alignment shrinkToFit="0" vertical="center" wrapText="1"/>
    </xf>
    <xf borderId="3" fillId="6" fontId="3" numFmtId="165" xfId="0" applyAlignment="1" applyBorder="1" applyFont="1" applyNumberFormat="1">
      <alignment shrinkToFit="0" vertical="center" wrapText="1"/>
    </xf>
    <xf borderId="3" fillId="6" fontId="8" numFmtId="165" xfId="0" applyAlignment="1" applyBorder="1" applyFont="1" applyNumberFormat="1">
      <alignment readingOrder="0" shrinkToFit="0" vertical="center" wrapText="0"/>
    </xf>
    <xf borderId="3" fillId="6" fontId="8" numFmtId="0" xfId="0" applyAlignment="1" applyBorder="1" applyFont="1">
      <alignment readingOrder="0" shrinkToFit="0" vertical="center" wrapText="0"/>
    </xf>
    <xf borderId="3" fillId="6" fontId="5" numFmtId="166" xfId="0" applyAlignment="1" applyBorder="1" applyFont="1" applyNumberFormat="1">
      <alignment shrinkToFit="0" vertical="center" wrapText="0"/>
    </xf>
    <xf borderId="3" fillId="3" fontId="8" numFmtId="166" xfId="0" applyAlignment="1" applyBorder="1" applyFont="1" applyNumberFormat="1">
      <alignment shrinkToFit="0" vertical="center" wrapText="0"/>
    </xf>
    <xf borderId="3" fillId="3" fontId="3" numFmtId="0" xfId="0" applyAlignment="1" applyBorder="1" applyFont="1">
      <alignment horizontal="center" shrinkToFit="0" vertical="center" wrapText="1"/>
    </xf>
    <xf borderId="3" fillId="3" fontId="8" numFmtId="166" xfId="0" applyAlignment="1" applyBorder="1" applyFont="1" applyNumberFormat="1">
      <alignment readingOrder="0" shrinkToFit="0" vertical="center" wrapText="0"/>
    </xf>
    <xf borderId="3" fillId="3" fontId="9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7" fontId="3" numFmtId="0" xfId="0" applyAlignment="1" applyBorder="1" applyFill="1" applyFont="1">
      <alignment readingOrder="0" shrinkToFit="0" vertical="center" wrapText="1"/>
    </xf>
    <xf borderId="3" fillId="3" fontId="3" numFmtId="164" xfId="0" applyAlignment="1" applyBorder="1" applyFont="1" applyNumberFormat="1">
      <alignment horizontal="center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readingOrder="0" shrinkToFit="0" vertical="center" wrapText="1"/>
    </xf>
    <xf borderId="3" fillId="3" fontId="3" numFmtId="49" xfId="0" applyAlignment="1" applyBorder="1" applyFont="1" applyNumberFormat="1">
      <alignment horizontal="center" shrinkToFit="0" vertical="center" wrapText="1"/>
    </xf>
    <xf borderId="3" fillId="3" fontId="7" numFmtId="0" xfId="0" applyAlignment="1" applyBorder="1" applyFont="1">
      <alignment horizontal="center" readingOrder="0" shrinkToFit="0" vertical="center" wrapText="1"/>
    </xf>
    <xf borderId="3" fillId="6" fontId="8" numFmtId="0" xfId="0" applyAlignment="1" applyBorder="1" applyFont="1">
      <alignment horizontal="center" readingOrder="0" shrinkToFit="0" vertical="center" wrapText="0"/>
    </xf>
    <xf borderId="3" fillId="3" fontId="3" numFmtId="167" xfId="0" applyAlignment="1" applyBorder="1" applyFont="1" applyNumberFormat="1">
      <alignment horizontal="center" shrinkToFit="0" vertical="center" wrapText="1"/>
    </xf>
    <xf borderId="3" fillId="3" fontId="7" numFmtId="0" xfId="0" applyAlignment="1" applyBorder="1" applyFont="1">
      <alignment horizontal="center" shrinkToFit="0" vertical="center" wrapText="1"/>
    </xf>
    <xf borderId="3" fillId="3" fontId="10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11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0"/>
    </xf>
    <xf borderId="4" fillId="0" fontId="12" numFmtId="0" xfId="0" applyAlignment="1" applyBorder="1" applyFont="1">
      <alignment horizontal="center" readingOrder="0" shrinkToFit="0" vertical="center" wrapText="0"/>
    </xf>
    <xf borderId="3" fillId="3" fontId="3" numFmtId="49" xfId="0" applyAlignment="1" applyBorder="1" applyFont="1" applyNumberFormat="1">
      <alignment horizontal="center" readingOrder="0" shrinkToFit="0" vertical="center" wrapText="1"/>
    </xf>
    <xf borderId="3" fillId="3" fontId="3" numFmtId="167" xfId="0" applyAlignment="1" applyBorder="1" applyFont="1" applyNumberFormat="1">
      <alignment horizontal="center" readingOrder="0" shrinkToFit="0" vertical="center" wrapText="1"/>
    </xf>
    <xf borderId="3" fillId="3" fontId="1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2" fillId="8" fontId="4" numFmtId="0" xfId="0" applyAlignment="1" applyBorder="1" applyFill="1" applyFont="1">
      <alignment horizontal="center" readingOrder="0" shrinkToFit="0" vertical="center" wrapText="0"/>
    </xf>
    <xf borderId="3" fillId="8" fontId="3" numFmtId="0" xfId="0" applyAlignment="1" applyBorder="1" applyFont="1">
      <alignment horizontal="center" readingOrder="0" shrinkToFit="0" vertical="center" wrapText="1"/>
    </xf>
    <xf borderId="3" fillId="8" fontId="3" numFmtId="164" xfId="0" applyAlignment="1" applyBorder="1" applyFont="1" applyNumberFormat="1">
      <alignment horizontal="center" shrinkToFit="0" vertical="center" wrapText="1"/>
    </xf>
    <xf borderId="3" fillId="8" fontId="3" numFmtId="0" xfId="0" applyAlignment="1" applyBorder="1" applyFont="1">
      <alignment readingOrder="0" shrinkToFit="0" vertical="center" wrapText="1"/>
    </xf>
    <xf borderId="3" fillId="9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4" numFmtId="0" xfId="0" applyFont="1"/>
    <xf borderId="0" fillId="0" fontId="14" numFmtId="165" xfId="0" applyFont="1" applyNumberFormat="1"/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vertical="bottom"/>
    </xf>
    <xf borderId="5" fillId="0" fontId="16" numFmtId="0" xfId="0" applyAlignment="1" applyBorder="1" applyFont="1">
      <alignment vertical="bottom"/>
    </xf>
    <xf borderId="6" fillId="0" fontId="17" numFmtId="0" xfId="0" applyBorder="1" applyFont="1"/>
    <xf borderId="7" fillId="0" fontId="15" numFmtId="0" xfId="0" applyAlignment="1" applyBorder="1" applyFont="1">
      <alignment vertical="bottom"/>
    </xf>
    <xf borderId="8" fillId="0" fontId="16" numFmtId="0" xfId="0" applyAlignment="1" applyBorder="1" applyFont="1">
      <alignment vertical="bottom"/>
    </xf>
    <xf borderId="9" fillId="0" fontId="15" numFmtId="4" xfId="0" applyAlignment="1" applyBorder="1" applyFont="1" applyNumberFormat="1">
      <alignment horizontal="right" vertical="bottom"/>
    </xf>
    <xf borderId="10" fillId="0" fontId="15" numFmtId="0" xfId="0" applyAlignment="1" applyBorder="1" applyFont="1">
      <alignment vertical="bottom"/>
    </xf>
    <xf borderId="0" fillId="0" fontId="14" numFmtId="164" xfId="0" applyFont="1" applyNumberFormat="1"/>
    <xf borderId="11" fillId="0" fontId="15" numFmtId="0" xfId="0" applyAlignment="1" applyBorder="1" applyFont="1">
      <alignment vertical="bottom"/>
    </xf>
    <xf borderId="12" fillId="10" fontId="16" numFmtId="0" xfId="0" applyAlignment="1" applyBorder="1" applyFill="1" applyFont="1">
      <alignment vertical="bottom"/>
    </xf>
    <xf borderId="13" fillId="0" fontId="17" numFmtId="0" xfId="0" applyBorder="1" applyFont="1"/>
    <xf borderId="14" fillId="0" fontId="16" numFmtId="4" xfId="0" applyAlignment="1" applyBorder="1" applyFont="1" applyNumberFormat="1">
      <alignment horizontal="right" vertical="bottom"/>
    </xf>
    <xf borderId="0" fillId="3" fontId="16" numFmtId="0" xfId="0" applyAlignment="1" applyFont="1">
      <alignment shrinkToFit="0" wrapText="1"/>
    </xf>
    <xf borderId="8" fillId="11" fontId="16" numFmtId="0" xfId="0" applyAlignment="1" applyBorder="1" applyFill="1" applyFont="1">
      <alignment vertical="bottom"/>
    </xf>
    <xf borderId="9" fillId="11" fontId="15" numFmtId="10" xfId="0" applyAlignment="1" applyBorder="1" applyFont="1" applyNumberFormat="1">
      <alignment horizontal="right" vertical="bottom"/>
    </xf>
    <xf borderId="0" fillId="0" fontId="15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12" fillId="3" fontId="16" numFmtId="0" xfId="0" applyAlignment="1" applyBorder="1" applyFont="1">
      <alignment vertical="bottom"/>
    </xf>
    <xf borderId="14" fillId="3" fontId="16" numFmtId="4" xfId="0" applyAlignment="1" applyBorder="1" applyFont="1" applyNumberFormat="1">
      <alignment horizontal="right" vertical="bottom"/>
    </xf>
    <xf borderId="9" fillId="12" fontId="15" numFmtId="0" xfId="0" applyAlignment="1" applyBorder="1" applyFill="1" applyFont="1">
      <alignment vertical="bottom"/>
    </xf>
    <xf borderId="9" fillId="12" fontId="18" numFmtId="4" xfId="0" applyAlignment="1" applyBorder="1" applyFont="1" applyNumberFormat="1">
      <alignment horizontal="right" vertical="bottom"/>
    </xf>
    <xf borderId="8" fillId="8" fontId="16" numFmtId="0" xfId="0" applyAlignment="1" applyBorder="1" applyFont="1">
      <alignment vertical="bottom"/>
    </xf>
    <xf borderId="15" fillId="13" fontId="18" numFmtId="0" xfId="0" applyAlignment="1" applyBorder="1" applyFill="1" applyFont="1">
      <alignment vertical="bottom"/>
    </xf>
    <xf borderId="16" fillId="0" fontId="17" numFmtId="0" xfId="0" applyBorder="1" applyFont="1"/>
    <xf borderId="17" fillId="13" fontId="18" numFmtId="4" xfId="0" applyAlignment="1" applyBorder="1" applyFont="1" applyNumberFormat="1">
      <alignment horizontal="right" vertical="bottom"/>
    </xf>
    <xf borderId="9" fillId="14" fontId="19" numFmtId="0" xfId="0" applyAlignment="1" applyBorder="1" applyFill="1" applyFont="1">
      <alignment horizontal="center" vertical="bottom"/>
    </xf>
    <xf borderId="9" fillId="0" fontId="20" numFmtId="164" xfId="0" applyBorder="1" applyFont="1" applyNumberFormat="1"/>
    <xf borderId="9" fillId="0" fontId="18" numFmtId="0" xfId="0" applyAlignment="1" applyBorder="1" applyFont="1">
      <alignment horizontal="center" vertical="bottom"/>
    </xf>
    <xf borderId="9" fillId="0" fontId="14" numFmtId="165" xfId="0" applyBorder="1" applyFont="1" applyNumberFormat="1"/>
    <xf borderId="8" fillId="15" fontId="16" numFmtId="0" xfId="0" applyAlignment="1" applyBorder="1" applyFill="1" applyFont="1">
      <alignment vertical="bottom"/>
    </xf>
    <xf borderId="9" fillId="0" fontId="14" numFmtId="4" xfId="0" applyBorder="1" applyFont="1" applyNumberFormat="1"/>
    <xf borderId="0" fillId="0" fontId="14" numFmtId="10" xfId="0" applyFont="1" applyNumberFormat="1"/>
    <xf borderId="9" fillId="0" fontId="14" numFmtId="164" xfId="0" applyBorder="1" applyFont="1" applyNumberFormat="1"/>
    <xf borderId="9" fillId="0" fontId="18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0A0909"/>
          <bgColor rgb="FF0A090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A0909"/>
        </left>
        <right style="thin">
          <color rgb="FF0A0909"/>
        </right>
        <top style="thin">
          <color rgb="FF0A0909"/>
        </top>
        <bottom style="thin">
          <color rgb="FF0A0909"/>
        </bottom>
      </border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0000FF"/>
          <bgColor rgb="FF0000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1">
    <tableStyle count="4" pivot="0" name="BD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0</xdr:row>
      <xdr:rowOff>95250</xdr:rowOff>
    </xdr:from>
    <xdr:ext cx="7429500" cy="2057400"/>
    <xdr:sp>
      <xdr:nvSpPr>
        <xdr:cNvPr id="3" name="Shape 3"/>
        <xdr:cNvSpPr/>
      </xdr:nvSpPr>
      <xdr:spPr>
        <a:xfrm>
          <a:off x="1645538" y="2760825"/>
          <a:ext cx="7400925" cy="2038350"/>
        </a:xfrm>
        <a:prstGeom prst="roundRect">
          <a:avLst>
            <a:gd fmla="val 16667" name="adj"/>
          </a:avLst>
        </a:prstGeom>
        <a:solidFill>
          <a:srgbClr val="0000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2100"/>
            <a:buFont typeface="Arial"/>
            <a:buNone/>
          </a:pPr>
          <a:r>
            <a:t/>
          </a:r>
          <a:endParaRPr b="1" sz="2100">
            <a:solidFill>
              <a:srgbClr val="FFFFFF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900"/>
            <a:buFont typeface="Arial"/>
            <a:buNone/>
          </a:pPr>
          <a:r>
            <a:rPr b="1" lang="en-US" sz="1900">
              <a:solidFill>
                <a:srgbClr val="FFFFFF"/>
              </a:solidFill>
            </a:rPr>
            <a:t>Projeto - </a:t>
          </a:r>
          <a:r>
            <a:rPr b="1" lang="en-US" sz="1900">
              <a:solidFill>
                <a:srgbClr val="FFFFFF"/>
              </a:solidFill>
            </a:rPr>
            <a:t>Projeto - </a:t>
          </a:r>
          <a:r>
            <a:rPr b="1" lang="en-US" sz="1800">
              <a:solidFill>
                <a:schemeClr val="lt1"/>
              </a:solidFill>
            </a:rPr>
            <a:t>Solara 6bed </a:t>
          </a:r>
          <a:endParaRPr b="1" sz="19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900"/>
            <a:buFont typeface="Arial"/>
            <a:buNone/>
          </a:pPr>
          <a:r>
            <a:t/>
          </a:r>
          <a:endParaRPr b="1" sz="18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rPr b="1" lang="en-US" sz="1700">
              <a:solidFill>
                <a:srgbClr val="D9D9D9"/>
              </a:solidFill>
            </a:rPr>
            <a:t>Cliente: </a:t>
          </a:r>
          <a:r>
            <a:rPr b="1" lang="en-US" sz="1500">
              <a:solidFill>
                <a:srgbClr val="D9D9D9"/>
              </a:solidFill>
            </a:rPr>
            <a:t>SUSANA</a:t>
          </a:r>
          <a:r>
            <a:rPr b="1" lang="en-US" sz="1500">
              <a:solidFill>
                <a:srgbClr val="D9D9D9"/>
              </a:solidFill>
            </a:rPr>
            <a:t> -</a:t>
          </a:r>
          <a:br>
            <a:rPr b="1" lang="en-US" sz="1500">
              <a:solidFill>
                <a:srgbClr val="D9D9D9"/>
              </a:solidFill>
            </a:rPr>
          </a:br>
          <a:r>
            <a:rPr b="1" lang="en-US" sz="1500">
              <a:solidFill>
                <a:srgbClr val="D9D9D9"/>
              </a:solidFill>
              <a:highlight>
                <a:srgbClr val="FF0000"/>
              </a:highlight>
            </a:rPr>
            <a:t>ENTREGA DA OBRA 20 DE DEZEMBRO</a:t>
          </a:r>
          <a:endParaRPr b="1" sz="1500">
            <a:solidFill>
              <a:srgbClr val="D9D9D9"/>
            </a:solidFill>
            <a:highlight>
              <a:srgbClr val="FF0000"/>
            </a:highlight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D9D9D9"/>
            </a:buClr>
            <a:buSzPts val="1500"/>
            <a:buFont typeface="Arial"/>
            <a:buNone/>
          </a:pPr>
          <a:r>
            <a:t/>
          </a:r>
          <a:endParaRPr b="1" sz="1700">
            <a:solidFill>
              <a:srgbClr val="D9D9D9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2:L330" sheet="BD1"/>
  </cacheSource>
  <cacheFields>
    <cacheField name="Ambiente" numFmtId="0">
      <sharedItems containsBlank="1">
        <s v="FOYER"/>
        <s v="KITCHEN Dormem 20 pess"/>
        <s v="LAUNDRY"/>
        <s v="DINING ROOM"/>
        <s v="LIVING ROOM"/>
        <s v="Garagem - Cinema"/>
        <s v="Bedroom Master King"/>
        <s v="Bedroom 02 King"/>
        <s v="Bedroom 04 Harry Potter Full"/>
        <s v=" Bedroom 03 King"/>
        <s v="Bedroom 05 King"/>
        <s v=" Bedroom 06 Minions"/>
        <s v="Bedroom 06 Minions"/>
        <s v="BATHROOM SINGLE 1"/>
        <s v="BATHROOM DUPLO 3"/>
        <s v="LAVABO"/>
        <s v="LANAI"/>
        <s v="GAME ROOM MARIO BROS"/>
        <s v="EXTRAS"/>
        <m/>
      </sharedItems>
    </cacheField>
    <cacheField name="Company" numFmtId="0">
      <sharedItems containsBlank="1">
        <s v="Amazon"/>
        <s v="Home goods"/>
        <s v="EQUIPE NOHA"/>
        <s v="Ingrid"/>
        <s v="Appenin"/>
        <s v="Canvas"/>
        <s v="Meridian"/>
        <s v="Walmart "/>
        <m/>
        <s v="Junior Elegance"/>
        <s v="VIG"/>
        <s v="Polyanna"/>
        <s v="Coaster"/>
        <s v="Trendy Rugs"/>
        <s v="BestBuy"/>
        <s v="WUDSON"/>
        <s v="Universal Studios"/>
        <s v="Diego"/>
        <s v="Whiteline"/>
        <s v="GreenRest"/>
        <s v="Sams"/>
        <s v="Wall Mart"/>
        <s v="Wayfair "/>
        <s v="Sams Club"/>
        <s v="Walmart"/>
        <s v="Ikea"/>
        <s v="Home Goods "/>
        <s v="Ramon"/>
        <s v="Wayfair"/>
        <s v="Lowes"/>
        <s v="At Games"/>
        <s v="Gio Powerhouse"/>
        <s v="Samuel"/>
        <s v="Vinicius"/>
        <s v="Lowes/Home Depot"/>
        <s v="Fotografo"/>
        <s v="Fernanda"/>
        <s v="PVC"/>
      </sharedItems>
    </cacheField>
    <cacheField name="Product" numFmtId="164">
      <sharedItems>
        <s v="Capacho de Porta"/>
        <s v="Deco"/>
        <s v="Instalação de espelho"/>
        <s v="Filtro Ar"/>
        <s v="Fotos"/>
        <s v="Spot"/>
        <s v="Instalação Spot até 5 spots"/>
        <s v="Espelho"/>
        <s v="Marcenaria"/>
        <s v="Quadro "/>
        <s v="Instalação Quadros"/>
        <s v="Utensilios Set"/>
        <s v="Bandejas de Aluminio Grande Pack 2"/>
        <s v="Banqueta"/>
        <s v="Cafeteira "/>
        <s v="Chaleira"/>
        <s v="Coaster Set Pack 16"/>
        <s v="Colher de Pau"/>
        <s v="Pendente "/>
        <s v="Lampada pendente"/>
        <s v="Instalação de pendentes"/>
        <s v="Copo de medida"/>
        <s v="Copos para piscina Pack 16"/>
        <s v="Descanso de panela "/>
        <s v="Escorredor de Macarrao"/>
        <s v="Fruteira"/>
        <s v="Jaras para Sucos"/>
        <s v="Jogo americano Pack 8"/>
        <s v="Jogo de Copos Grandes Pack 8"/>
        <s v="Jogo De Facas"/>
        <s v="Jogo de Panelas"/>
        <s v="Jogo de Pratos Pack 6"/>
        <s v="Jogo de talheres Pack 12"/>
        <s v="Liquidificador"/>
        <s v="Luvas para Forno"/>
        <s v="Napkin 12 unid."/>
        <s v="Panos de Pratos"/>
        <s v="Porta Sabao"/>
        <s v="Porta Talheres"/>
        <s v="Ring p Napkin 12 unid."/>
        <s v="Saca Rolhas"/>
        <s v="Saladeira Grande"/>
        <s v="Suporte papel toalha"/>
        <s v="Tabua de Cortar"/>
        <s v="Taças para Vinho"/>
        <s v="Porta Guardanapo"/>
        <s v="Tostadeira"/>
        <s v="Air Fryer"/>
        <s v="Tupperware"/>
        <s v="Taça de Champagne"/>
        <s v="Tampa para Microondas"/>
        <s v="Aspirador de Pó"/>
        <s v="Desentupidor"/>
        <s v="Ferro de Passar"/>
        <s v="MOP"/>
        <s v="Pá e Escova"/>
        <s v="Tábua de Passar"/>
        <s v="Vassoura "/>
        <s v="Arandela"/>
        <s v="Instalação Arandela"/>
        <s v="Material Cortineiro Dining"/>
        <s v="Mão de obra Cortineiro Dining"/>
        <s v="Pendente Dining"/>
        <s v="Instalação pendente Dining"/>
        <s v="Lampada p Luminaria p Dining"/>
        <s v="Mão de obra Boiserie + pintura"/>
        <s v="Material Boiserie"/>
        <s v="Decoracao mesa jantar"/>
        <s v="Chairs"/>
        <s v="Mesa de Jantar"/>
        <s v="Tampo de Vidro para Mesa Dining"/>
        <s v="Espelho "/>
        <s v="Coffee Table"/>
        <s v="Cortina sem BK (Medida*2.3)"/>
        <s v="Mao de obra cortineiro Living"/>
        <s v="Material Cortineiro Living"/>
        <s v="Luminária Living"/>
        <s v="Instalação Luminaria Living"/>
        <s v="Lampada p luminaria p Living"/>
        <s v="Decoração Painel Living p/ nicho"/>
        <s v="Lareira"/>
        <s v="Filtro de linha pra lareira"/>
        <s v="Livro LV"/>
        <s v="Poltrona"/>
        <s v="Puff"/>
        <s v="Sofa "/>
        <s v="Almofadas de Decoração"/>
        <s v="Tapete 9x12"/>
        <s v="TV 75&quot;"/>
        <s v="Wall Mount"/>
        <s v="Cover Plate"/>
        <s v="Remoção Persiana"/>
        <s v="Fechamento de janela"/>
        <s v="Led e Reator para Painel PVC"/>
        <s v="Mao de obra + material "/>
        <s v="Almofada Sofa "/>
        <s v="Insert Almofada"/>
        <s v="Pipoqueira"/>
        <s v="Decoração"/>
        <s v="TV 85"/>
        <s v="Ar Condicionado Kit"/>
        <s v="Instalacao de Ar Condicionado"/>
        <s v="Abajur"/>
        <s v="Luminaria"/>
        <s v="Instalação Luminária"/>
        <s v="Lampada para Luminaria"/>
        <s v="Bed"/>
        <s v="Night Stand"/>
        <s v="Dresser"/>
        <s v="Cabides"/>
        <s v="Cortina COM BK (medida*2.3)"/>
        <s v="Mão de obra - Cortineiro"/>
        <s v="Material Cortineiro"/>
        <s v="Lençol Extra King"/>
        <s v="Quilt King"/>
        <s v="Manta King "/>
        <s v="Mattress Protector King"/>
        <s v="Mattress King"/>
        <s v="Mattress Box King 3&quot;"/>
        <s v="Pillow King"/>
        <s v="TV 55&quot;"/>
        <s v="Instalação Wall Mount"/>
        <s v="Eletric Extension"/>
        <s v="Lampadas de Abajour"/>
        <s v="Spot Central"/>
        <s v="Instalação spot central"/>
        <s v="Manta King Cinza"/>
        <s v="Mattress Box King 5&quot;"/>
        <s v="Frame King"/>
        <s v="Quadros"/>
        <s v="TV 43&quot;"/>
        <s v="Bed Full"/>
        <s v="Decor Vela"/>
        <s v="Conforter"/>
        <s v="Pillow Standard"/>
        <s v="Decor Chapéu "/>
        <s v="Decor Vassoura"/>
        <s v="Decor"/>
        <s v="Pendente"/>
        <s v="TV 32&quot; "/>
        <s v="Cortina COM BK( Medida*2.3)"/>
        <s v="Mattress Full"/>
        <s v="Mattress Protector Full"/>
        <s v="Pilhas para Luminaria"/>
        <s v="Mattress Box King"/>
        <s v="Piscina de espuma"/>
        <s v="Comforter"/>
        <s v="Plushies"/>
        <s v="Luminaria de Emergencia"/>
        <s v="Bananas Decor"/>
        <s v="Toilet Brush"/>
        <s v="Lixinho"/>
        <s v="Secador de Cabelo"/>
        <s v="Soap Dispenser"/>
        <s v="Tooth Brush Holder"/>
        <s v="Suporte de Toalha"/>
        <s v="Tapetes Kit"/>
        <s v="Toalhas Grande - 6pk"/>
        <s v="Toalhas Media - 12pk"/>
        <s v="Toalhas Pequena - 24pk"/>
        <s v="Toalha de Piscina - Individual"/>
        <s v="Suporte toalha Banheiros - Barra"/>
        <s v="Suporte Papel higienico"/>
        <s v="Instalação suporte de toalha e papel"/>
        <s v="Curtin Bath Rod"/>
        <s v="Curtin Bath Hook"/>
        <s v="Shower Curtin"/>
        <s v="Shower Curtin Linear"/>
        <s v="Suporte Papell Higienico"/>
        <s v="Móvel lateral"/>
        <s v="Almofada espreguicadeira Pack 4 Pillow Cover"/>
        <s v="Pillow Insert 12x20"/>
        <s v="Almofada Sofa Cover"/>
        <s v="Almofada Sofa insert"/>
        <s v="Conjunto Sofá"/>
        <s v="Deco Coffee Table"/>
        <s v="Deco Mesa jantar"/>
        <s v="Espreguicadeira Pack 2"/>
        <s v="Mesa de jantar com cadeiras"/>
        <s v="Ventilador"/>
        <s v="Ventilador Instalação"/>
        <s v="Bóias para piscina"/>
        <s v="Banqueta 2 Pack"/>
        <s v="Arcade de bancada"/>
        <s v="Monitor 32&quot; Arcade"/>
        <s v="Suporte de monitor Arcade"/>
        <s v="FoosBall Table "/>
        <s v="Hockey Table"/>
        <s v="Escorregador"/>
        <s v="Video Game - PS5"/>
        <s v="TV 50&quot; "/>
        <s v="Controle de Video Game"/>
        <s v="Game Chair "/>
        <s v="HDMI"/>
        <s v="Mao de Obra Garagem "/>
        <s v="Material Game Room Garagem "/>
        <s v="Frigobar"/>
        <s v="Marcenaria Pack"/>
        <s v="Painel Ripado - Material "/>
        <s v="Painel Ripado - Instalação "/>
        <s v="Shipping Coaster + Whiteline"/>
        <s v="Pagamento Salario Mes Novembro"/>
        <s v="Material de obra"/>
        <s v="Arvore de Natal"/>
        <s v="Papa Entulho "/>
        <s v="Instalação Cortina"/>
        <s v="Mercado"/>
        <s v="Café"/>
        <s v="Foto e Video 9BED"/>
        <s v="Limpeza e Inventario 9BED"/>
        <s v="decoração arvore de natal"/>
        <s v="telão de led"/>
        <s v="PVC EXTRA"/>
      </sharedItems>
    </cacheField>
    <cacheField name="Category" numFmtId="0">
      <sharedItems>
        <s v="PRODUTOS"/>
        <s v="DECORAÇÃO"/>
        <s v="FIXOS"/>
        <s v="CONSTRUÇÃO"/>
        <s v="MARCENARIA"/>
        <s v="MÓVEIS"/>
        <s v="VIDRO"/>
        <s v="CORTINA"/>
        <s v="PACOTES TEMATICOS"/>
        <s v="AR CONDICIONADO"/>
        <s v="COLCHÃO/VANDERLEI"/>
        <s v="PVC"/>
        <s v="EXTRAS"/>
        <s v="MERCADO"/>
        <s v="CAFÉ"/>
        <s v="FOTOGRÁFO"/>
        <s v="LIMPEZA"/>
        <s v="TELÃO"/>
      </sharedItems>
    </cacheField>
    <cacheField name="LINK">
      <sharedItems containsBlank="1" containsMixedTypes="1" containsNumber="1" containsInteger="1">
        <s v="B07THN5B78"/>
        <m/>
        <s v="Checar Modelo"/>
        <s v="B01KZJ8F34"/>
        <s v="LINK"/>
        <s v="Pack "/>
        <s v="994Taupe-C"/>
        <s v="Pack"/>
        <n v="81678.0"/>
        <s v="498Cream"/>
        <s v="132Cream"/>
        <s v="551594-SET"/>
        <s v="LG"/>
        <s v="B001OCY3RY"/>
        <s v="B07CRWD8DZ"/>
        <n v="610241.0"/>
        <s v="Tem estoque"/>
        <s v="B1208Cream-K"/>
        <s v="NS2020L-LGRY/WLT"/>
        <s v="DR2020-LGRY/WLT"/>
        <s v="11055Cream-C"/>
        <s v="KING"/>
        <s v="Hotel Collection King"/>
        <n v="8.49069896E8"/>
        <s v="B07HKTGGP4"/>
        <n v="80175.0"/>
        <n v="80176.0"/>
        <s v="TCL"/>
        <s v="Serta Standard"/>
        <s v="LINL"/>
        <s v="AbigailCream-K"/>
        <n v="77545.0"/>
        <n v="77544.0"/>
        <s v="B00MW50EDY"/>
        <s v="GeriCream-K"/>
        <s v="NS2055L-LGRY"/>
        <s v="DR2055L-LGRY"/>
        <s v="B003TQPRGY"/>
        <s v="B0D232RB1V"/>
        <s v="B017C0H0ZI"/>
        <s v="B017C13ZG0"/>
        <s v="B07WQV896S"/>
        <s v="B00BD9JR6K"/>
        <s v="B07QJXRRFM"/>
        <s v="B07FCFJ9NF"/>
        <s v="B07SGD4TB4"/>
      </sharedItems>
    </cacheField>
    <cacheField name="Qty" numFmtId="0">
      <sharedItems containsString="0" containsBlank="1" containsNumber="1" containsInteger="1">
        <n v="1.0"/>
        <n v="2.0"/>
        <n v="5.0"/>
        <n v="4.0"/>
        <n v="3.0"/>
        <n v="7.0"/>
        <n v="8.0"/>
        <m/>
        <n v="6.0"/>
        <n v="10.0"/>
      </sharedItems>
    </cacheField>
    <cacheField name="Unit Cost Price" numFmtId="164">
      <sharedItems containsString="0" containsBlank="1" containsNumber="1">
        <n v="23.0"/>
        <n v="240.0"/>
        <n v="50.0"/>
        <n v="20.0"/>
        <n v="5.0"/>
        <n v="210.0"/>
        <n v="110.0"/>
        <n v="0.0"/>
        <n v="200.0"/>
        <n v="17.0"/>
        <n v="43.0"/>
        <n v="30.0"/>
        <n v="111.6"/>
        <n v="59.0"/>
        <n v="8.99"/>
        <n v="11.99"/>
        <n v="15.0"/>
        <n v="62.55"/>
        <n v="6.0"/>
        <n v="80.0"/>
        <n v="24.0"/>
        <n v="9.99"/>
        <n v="19.0"/>
        <n v="16.0"/>
        <n v="17.64"/>
        <n v="230.0"/>
        <n v="57.95"/>
        <n v="74.56"/>
        <n v="7.89"/>
        <n v="9.0"/>
        <n v="14.0"/>
        <n v="7.0"/>
        <n v="4.99"/>
        <n v="34.0"/>
        <n v="33.0"/>
        <m/>
        <n v="69.0"/>
        <n v="37.99"/>
        <n v="6.99"/>
        <n v="54.0"/>
        <n v="7.99"/>
        <n v="49.99"/>
        <n v="13.0"/>
        <n v="103.5"/>
        <n v="100.0"/>
        <n v="140.0"/>
        <n v="159.0"/>
        <n v="95.0"/>
        <n v="500.0"/>
        <n v="300.0"/>
        <n v="135.6"/>
        <n v="1743.58"/>
        <n v="339.9"/>
        <n v="2073.0"/>
        <n v="138.0"/>
        <n v="150.0"/>
        <n v="11.0"/>
        <n v="306.0"/>
        <n v="72.0"/>
        <n v="1738.8"/>
        <n v="700.0"/>
        <n v="598.0"/>
        <n v="22.0"/>
        <n v="3.0"/>
        <n v="115.0"/>
        <n v="8210.0"/>
        <n v="550.8"/>
        <n v="35.0"/>
        <n v="25.0"/>
        <n v="900.0"/>
        <n v="21.0"/>
        <n v="956.0"/>
        <n v="51.0"/>
        <n v="684.0"/>
        <n v="165.6"/>
        <n v="724.8"/>
        <n v="204.0"/>
        <n v="130.0"/>
        <n v="38.0"/>
        <n v="920.0"/>
        <n v="390.0"/>
        <n v="160.0"/>
        <n v="6.2"/>
        <n v="40.0"/>
        <n v="212.06"/>
        <n v="723.5"/>
        <n v="370.0"/>
        <n v="180.0"/>
        <n v="18.0"/>
        <n v="198.0"/>
        <n v="8000.0"/>
        <n v="240.2"/>
        <n v="75.0"/>
        <n v="56.0"/>
        <n v="84.0"/>
        <n v="120.0"/>
        <n v="288.0"/>
        <n v="231.6"/>
        <n v="543.6"/>
        <n v="450.0"/>
        <n v="225.6"/>
        <n v="679.2"/>
        <n v="817.0"/>
        <n v="8200.0"/>
        <n v="170.0"/>
        <n v="2.0"/>
        <n v="10.0"/>
        <n v="9.59"/>
        <n v="27.99"/>
        <n v="18.99"/>
        <n v="13.99"/>
        <n v="6.57"/>
        <n v="400.0"/>
        <n v="220.0"/>
        <n v="1030.0"/>
        <n v="27.0"/>
        <n v="105.0"/>
        <n v="19.97"/>
        <n v="350.0"/>
        <n v="572.0"/>
        <n v="460.0"/>
        <n v="560.0"/>
        <n v="69.99"/>
        <n v="212.0"/>
        <n v="12.0"/>
        <n v="10000.0"/>
        <n v="4000.0"/>
        <n v="188.0"/>
        <n v="9182.68"/>
        <n v="2112.5"/>
        <n v="3000.0"/>
        <n v="1380.0"/>
      </sharedItems>
    </cacheField>
    <cacheField name="Price Cost" numFmtId="164">
      <sharedItems containsString="0" containsBlank="1" containsNumber="1">
        <n v="23.0"/>
        <n v="240.0"/>
        <n v="100.0"/>
        <n v="40.0"/>
        <n v="10.0"/>
        <n v="25.0"/>
        <n v="210.0"/>
        <n v="220.0"/>
        <n v="0.0"/>
        <n v="200.0"/>
        <n v="17.0"/>
        <n v="43.0"/>
        <n v="30.0"/>
        <n v="446.4"/>
        <n v="59.0"/>
        <n v="8.99"/>
        <n v="11.99"/>
        <n v="15.0"/>
        <n v="187.64999999999998"/>
        <n v="18.0"/>
        <n v="6.0"/>
        <n v="24.0"/>
        <n v="9.99"/>
        <n v="19.0"/>
        <n v="50.0"/>
        <n v="32.0"/>
        <n v="90.0"/>
        <n v="17.64"/>
        <n v="230.0"/>
        <n v="320.0"/>
        <n v="115.9"/>
        <n v="74.56"/>
        <n v="7.89"/>
        <n v="9.0"/>
        <n v="14.0"/>
        <n v="7.0"/>
        <n v="4.99"/>
        <n v="34.0"/>
        <n v="33.0"/>
        <m/>
        <n v="69.0"/>
        <n v="37.99"/>
        <n v="6.99"/>
        <n v="54.0"/>
        <n v="20.0"/>
        <n v="7.99"/>
        <n v="49.99"/>
        <n v="13.0"/>
        <n v="108.0"/>
        <n v="207.0"/>
        <n v="140.0"/>
        <n v="159.0"/>
        <n v="95.0"/>
        <n v="35.0"/>
        <n v="500.0"/>
        <n v="300.0"/>
        <n v="1084.8"/>
        <n v="1743.58"/>
        <n v="80.0"/>
        <n v="339.9"/>
        <n v="2073.0"/>
        <n v="138.0"/>
        <n v="150.0"/>
        <n v="11.0"/>
        <n v="306.0"/>
        <n v="144.0"/>
        <n v="1738.8"/>
        <n v="700.0"/>
        <n v="598.0"/>
        <n v="22.0"/>
        <n v="115.0"/>
        <n v="8210.0"/>
        <n v="1101.6"/>
        <n v="70.0"/>
        <n v="48.0"/>
        <n v="125.0"/>
        <n v="900.0"/>
        <n v="21.0"/>
        <n v="956.0"/>
        <n v="51.0"/>
        <n v="684.0"/>
        <n v="331.2"/>
        <n v="724.8"/>
        <n v="204.0"/>
        <n v="130.0"/>
        <n v="38.0"/>
        <n v="920.0"/>
        <n v="60.0"/>
        <n v="390.0"/>
        <n v="160.0"/>
        <n v="44.0"/>
        <n v="5.0"/>
        <n v="6.2"/>
        <n v="424.12"/>
        <n v="723.5"/>
        <n v="370.0"/>
        <n v="360.0"/>
        <n v="36.0"/>
        <n v="198.0"/>
        <n v="8000.0"/>
        <n v="240.2"/>
        <n v="56.0"/>
        <n v="84.0"/>
        <n v="120.0"/>
        <n v="260.0"/>
        <n v="288.0"/>
        <n v="463.2"/>
        <n v="543.6"/>
        <n v="450.0"/>
        <n v="451.2"/>
        <n v="679.2"/>
        <n v="817.0"/>
        <n v="8200.0"/>
        <n v="170.0"/>
        <n v="2.0"/>
        <n v="9.59"/>
        <n v="195.92999999999998"/>
        <n v="75.96"/>
        <n v="27.98"/>
        <n v="18.99"/>
        <n v="6.57"/>
        <n v="45.0"/>
        <n v="28.77"/>
        <n v="75.0"/>
        <n v="180.0"/>
        <n v="400.0"/>
        <n v="1030.0"/>
        <n v="27.0"/>
        <n v="105.0"/>
        <n v="19.97"/>
        <n v="350.0"/>
        <n v="572.0"/>
        <n v="460.0"/>
        <n v="560.0"/>
        <n v="69.99"/>
        <n v="212.0"/>
        <n v="16.0"/>
        <n v="10000.0"/>
        <n v="4000.0"/>
        <n v="188.0"/>
        <n v="9182.68"/>
        <n v="2112.5"/>
        <n v="3000.0"/>
        <n v="1380.0"/>
      </sharedItems>
    </cacheField>
    <cacheField name="Actual Cost" numFmtId="165">
      <sharedItems containsString="0" containsBlank="1" containsNumber="1">
        <n v="18.09"/>
        <n v="4514.8"/>
        <m/>
        <n v="1825.94"/>
        <n v="28.63"/>
        <n v="221.51"/>
        <n v="0.0"/>
        <n v="36.41"/>
        <n v="25.54"/>
        <n v="682.0"/>
        <n v="83.16"/>
        <n v="13.83"/>
        <n v="14.89"/>
        <n v="10.49"/>
        <n v="184.15"/>
        <n v="25.03"/>
        <n v="10.1"/>
        <n v="31.33"/>
        <n v="88.34"/>
        <n v="115.0"/>
        <n v="79.56"/>
        <n v="10.63"/>
        <n v="12.76"/>
        <n v="38.29"/>
        <n v="5.31"/>
        <n v="34.06"/>
        <n v="14.15"/>
        <n v="35.77"/>
        <n v="8.48"/>
        <n v="74.05"/>
        <n v="73.49"/>
        <n v="35.38"/>
        <n v="33.37"/>
        <n v="7.24"/>
        <n v="61.41"/>
        <n v="12.02"/>
        <n v="18.99"/>
        <n v="31.94"/>
        <n v="7.44"/>
        <n v="53.23"/>
        <n v="12.43"/>
        <n v="105.81"/>
        <n v="156.59"/>
        <n v="31.68"/>
        <n v="1300.0"/>
        <n v="350.0"/>
        <n v="212.99"/>
        <n v="339.9"/>
        <n v="4500.0"/>
        <n v="47.21"/>
        <n v="91.02"/>
        <n v="287.5"/>
        <n v="63.63"/>
        <n v="238.7"/>
        <n v="132.0"/>
        <n v="1860.47"/>
        <n v="870.0"/>
        <n v="511.19"/>
        <n v="19.21"/>
        <n v="189.72"/>
        <n v="38500.0"/>
        <n v="970.0"/>
        <n v="52.9"/>
        <n v="149.09"/>
        <n v="745.49"/>
        <n v="1600.0"/>
        <n v="63.89"/>
        <n v="627.0"/>
        <n v="276.0"/>
        <n v="629.0"/>
        <n v="181.5"/>
        <n v="138.45"/>
        <n v="39.54"/>
        <n v="60.7"/>
        <n v="42.58"/>
        <n v="29.75"/>
        <n v="2224.45"/>
        <n v="266.24"/>
        <n v="15.85"/>
        <n v="27.35"/>
        <n v="471.24"/>
        <n v="803.88"/>
        <n v="60.68"/>
        <n v="42.6"/>
        <n v="25.29"/>
        <n v="186.01"/>
        <n v="10.64"/>
        <n v="31.66"/>
        <n v="163.65"/>
        <n v="30.87"/>
        <n v="260.24"/>
        <n v="35.91"/>
        <n v="31.35"/>
        <n v="85.18"/>
        <n v="126.26"/>
        <n v="289.65"/>
        <n v="38.31"/>
        <n v="138.44"/>
        <n v="18.37"/>
        <n v="440.0"/>
        <n v="513.48"/>
        <n v="603.24"/>
        <n v="22.24"/>
        <n v="410.8"/>
        <n v="402.0"/>
        <n v="298.15"/>
        <n v="92.64"/>
        <n v="27.64"/>
        <n v="14.21"/>
        <n v="40.44"/>
        <n v="17.05"/>
        <n v="17.34"/>
        <n v="10.67"/>
        <n v="312.29"/>
        <n v="138.53"/>
        <n v="25.99"/>
        <n v="15.16"/>
        <n v="5.75"/>
        <n v="15.94"/>
        <n v="7.29"/>
        <n v="52.02"/>
        <n v="32.01"/>
        <n v="31.89"/>
        <n v="77.97"/>
        <n v="8.52"/>
        <n v="19.15"/>
        <n v="17.02"/>
        <n v="25.6"/>
        <n v="21.28"/>
        <n v="24.23"/>
        <n v="400.0"/>
        <n v="244.94"/>
        <n v="617.69"/>
        <n v="27.68"/>
        <n v="18.73"/>
        <n v="68.78"/>
        <n v="106.41"/>
        <n v="10.62"/>
        <n v="361.77"/>
        <n v="557.75"/>
        <n v="424.94"/>
        <n v="585.74"/>
        <n v="79.86"/>
        <n v="176.18"/>
        <n v="15.18"/>
        <n v="154.79"/>
        <n v="10632.68"/>
        <n v="1702.39"/>
        <n v="220.16"/>
        <n v="1475.0"/>
        <n v="900.0"/>
        <n v="170.24"/>
        <n v="150.0"/>
        <n v="500.0"/>
        <n v="250.0"/>
        <n v="10000.0"/>
        <n v="106.5"/>
      </sharedItems>
    </cacheField>
    <cacheField name="STATUS" numFmtId="0">
      <sharedItems containsBlank="1">
        <s v="COMPRADO"/>
        <s v="ENTREGUE"/>
        <m/>
      </sharedItems>
    </cacheField>
    <cacheField name="Comentarios" numFmtId="0">
      <sharedItems containsBlank="1">
        <m/>
        <s v="PACK APPENIN"/>
        <s v="Pago $20 de shipping "/>
        <s v="Estoque"/>
        <s v="12 Unidades"/>
        <s v="Kitchen e Dining"/>
        <s v="PACK VALOR TOTAL"/>
        <s v="Living e Master"/>
        <s v="Foi adicionado essa linha - Nao foi provisionado"/>
        <s v="PAGO 50% 19,250.00 PACK TOTAL "/>
        <s v="Almofadas coloridas"/>
        <s v="Cabide para todos os quartos"/>
        <s v="PACK VALOR TOTAL LIVING "/>
        <s v="Valor total todos os colchoes"/>
        <s v="Vai sobrar 1"/>
        <s v="PACK"/>
        <s v="PS. Foi comprado um Monitor 27&quot; no Walmart de $120.53 - essa Tv sera passada pra outra casa "/>
        <s v="Foi adicionado essa linha - Nao Provisionado"/>
        <s v="VALOR TOTAL BED 2"/>
        <s v="NAO PRECISA DE BOX"/>
        <s v="Valor Total Living"/>
        <s v="Foi adicionado Linha - Nao foi provisionado"/>
        <s v="Vai sobrar 2"/>
        <s v="Comprei um kit"/>
        <s v="Total Bath 1"/>
        <s v="Comprei na Amazon"/>
        <s v="PACK TOTAL"/>
        <s v="Prego, parafuso, liquinail, calque, cabos..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3" cacheId="0" dataCaption="" compact="0" compactData="0">
  <location ref="B1:D20" firstHeaderRow="0" firstDataRow="2" firstDataCol="0"/>
  <pivotFields>
    <pivotField name="Amb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Produc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Category" axis="axisRow" compact="0" outline="0" multipleItemSelectionAllowed="1" showAll="0" sortType="ascending">
      <items>
        <item x="9"/>
        <item x="14"/>
        <item x="10"/>
        <item x="3"/>
        <item x="7"/>
        <item x="1"/>
        <item x="12"/>
        <item x="2"/>
        <item x="15"/>
        <item x="16"/>
        <item x="4"/>
        <item x="13"/>
        <item x="5"/>
        <item x="8"/>
        <item x="0"/>
        <item x="11"/>
        <item x="17"/>
        <item x="6"/>
        <item t="default"/>
      </items>
    </pivotField>
    <pivotField name="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Unit Cost Pri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Price Cos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Actual Cos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Comentari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>
    <field x="3"/>
  </rowFields>
  <colFields>
    <field x="-2"/>
  </colFields>
  <dataFields>
    <dataField name="SUM of Price Cost" fld="7" baseField="0"/>
    <dataField name="SUM of Actual Cost" fld="8" baseField="0"/>
  </dataFields>
</pivotTableDefinition>
</file>

<file path=xl/tables/table1.xml><?xml version="1.0" encoding="utf-8"?>
<table xmlns="http://schemas.openxmlformats.org/spreadsheetml/2006/main" ref="B12:L330" displayName="SUSANA_1" name="SUSANA_1" id="1">
  <autoFilter ref="$B$12:$L$330"/>
  <tableColumns count="11">
    <tableColumn name="Ambiente" id="1"/>
    <tableColumn name="Company" id="2"/>
    <tableColumn name="Product" id="3"/>
    <tableColumn name="Category" id="4"/>
    <tableColumn name="LINK" id="5"/>
    <tableColumn name="Qty" id="6"/>
    <tableColumn name="Unit Cost Price" id="7"/>
    <tableColumn name="Price Cost" id="8"/>
    <tableColumn name="Actual Cost" id="9"/>
    <tableColumn name="STATUS" id="10"/>
    <tableColumn name="Comentarios" id="11"/>
  </tableColumns>
  <tableStyleInfo name="BD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KeFanta-Outdoor-Sweeping-Heavy-Duty-Courtyard/dp/B08FR6VFGY/ref=sr_1_1?crid=1U3YXEE228CB4&amp;dib=eyJ2IjoiMSJ9.5GmjyZgW46Pb_GcZGZKHoQ.EXaAIRNssyIR--H6E9sJ53YBrPCn95t0X25pTh-mWW0&amp;dib_tag=se&amp;keywords=B08FR6VFGY&amp;qid=1736280686&amp;s=home-garden&amp;sprefix=b08fr6vfgy%2Cgarden%2C103&amp;sr=1-1" TargetMode="External"/><Relationship Id="rId42" Type="http://schemas.openxmlformats.org/officeDocument/2006/relationships/hyperlink" Target="https://www.amazon.com/BAODEN-7-Lights-Chandelier-Lampshade-Farmhouse/dp/B096MFXJXL/ref=sr_1_106_sspa?crid=13FYU1EY7EI6W&amp;dib=eyJ2IjoiMSJ9.G90UWHUhepgytPTPziwJsS_zLiUDF5fE3OcDzbquhv1QJi_iSF4mB-1Yl2nDvFi9uG-0gQ6UnjptXNCfxab-OrnPRiEyNTW-pdflvFFAYiZoFXZeUL5kW2RyHMk9UnYqSvFDDs8Wx69YBAMIokNHNoz0bU49qQQNST0Em7xNN_fFb9KKj1x87v3ncttDSwHHWd1GXvO1lvh8ZDAUxP5f0SfdzO2iO39P3kaNQDncVb8nEg-pjojFYR5La6hSBUrFqRktxn7J5MUwfSOw0MZj4OfW8Qrh8U2mMNdqx47zjZs.ZgzeUJGxhV_eXAf7v0rThQcXd3POa5tBLl1qbnYkVe0&amp;dib_tag=se&amp;keywords=chandelier%2Bglobe%2Bgold&amp;qid=1756323851&amp;sprefix=chandelier%2Bglobe%2Bgold%2Caps%2C128&amp;sr=8-106-spons&amp;xpid=irJWakicbFe8g&amp;sp_csd=d2lkZ2V0TmFtZT1zcF9tdGY&amp;th=1" TargetMode="External"/><Relationship Id="rId41" Type="http://schemas.openxmlformats.org/officeDocument/2006/relationships/hyperlink" Target="https://www.amazon.com/KCO-Lighting-Hanging-1-Light-Adjustable/dp/B07WDZZYKB/ref=sr_1_34?crid=8O7Y6Z7CJ6R4&amp;dib=eyJ2IjoiMSJ9.8rM0HaK7Sao4WB4264e4xZRvchV2dKP-EbVVLaP3TP2swNdWqN61TcTUE3_kVle98sRTi_GNCNFJZcmAHHxvdWfSpmSWlEpBkwA_i8EKYUs2OC9O7bvmoXLWhM0jt9m5a-TARvtuHFJB312ZB6B_tszhLQT94toQswvZV-anECELeLmGzRiNoNFNqzIMtY9qhJVrjSYqpWySTUsRDybVhw6iz46SEvSaLhfRAppGCEt835ZpJqSHuxdMz1T60QeIh8QauEkd3T53T5BM8h-mKZmfm4rNxWlQP6gPLj-xkrU.Zd3x2rrIdP5mgBTJtYq2YwlIW4BF91Vslz14hLx3iwA&amp;dib_tag=se&amp;keywords=sconce%2Bglobe%2Bgold&amp;qid=1756323498&amp;sprefix=sconce%2Bglobe%2Bgold%2Caps%2C124&amp;sr=8-34&amp;th=1" TargetMode="External"/><Relationship Id="rId44" Type="http://schemas.openxmlformats.org/officeDocument/2006/relationships/hyperlink" Target="https://www.amazon.com/LadyNow-Oversized-Freestanding-Standing-Cloakroom/dp/B0CZ3S3F2V/ref=sr_1_19_sspa?crid=R4DLJUIUXZRR&amp;dib=eyJ2IjoiMSJ9.foX4-Al47ENK4O2JxnlCYCpM4_0mRIVVlPf7uxuCJCdm_sN-Hhjowa8wnU9Q3XFIPIQ9-rv7oCnWXgYpxpDiv4uEH2NOC8r7e1EWTzEPfyuACS3QSwhlmm2_e-JlLJlMov0sbeQCqRfKTdyVYZZU4O6-PCdMaambeuIwwO51Fjy9I3XQuRrKh3wvchvR8WkwaVEXtvrkEtcyHmGkzrZ8pdho6Jt2SXKr3Bcnq-0SFzi_3680yOTM6xSrIdj6bHkW_8-mGSAQoGiIFygodE8CewYqyjKiaC23vC8mN-cnrrQ.wmoGRl0T9BiCEyDR6g6D4hOyh9NVYsS6y0nvm-yhxk4&amp;dib_tag=se&amp;keywords=Mirror&amp;qid=1735946205&amp;sprefix=mirror%2Caps%2C162&amp;sr=8-19-spons&amp;sp_csd=d2lkZ2V0TmFtZT1zcF9tdGY&amp;th=1" TargetMode="External"/><Relationship Id="rId43" Type="http://schemas.openxmlformats.org/officeDocument/2006/relationships/hyperlink" Target="https://www.meridianfurnitureusa.com/sitefiles/product-2297-22105/870-c-taupe.html" TargetMode="External"/><Relationship Id="rId46" Type="http://schemas.openxmlformats.org/officeDocument/2006/relationships/hyperlink" Target="https://www.amazon.com/Electric-Fireplace-Inserts-Mounted-Control/dp/B0CRZFJJVQ/ref=sr_1_1_sspa?crid=3JTLULYUIZ167&amp;dib=eyJ2IjoiMSJ9.a5m1-ZIuVUoFlHNr1FlLeX6W59eKRFDrUbQBl9OwpXN-C5hnx9iUhLo_edrISQtIOEJYr2pZDxpBtemBWXCPmSeytGVDuYUZOo1PyHpX4WWigsqYb6n3VfhOW-Kjtf77zRmCX7rAbxElduXHlVIn6XjdmAcYDALk5E7_VKYcrbX5uQ3H8OPwGyn0BwdOS9-u-nSRkh_V78tDJooGQ4lI_iTQrPVxew7arii3N_-iur1e2pe5--IvtxnuyKKm1SdWpoQHKZj_Q0QH9faa30hdjXlveFUfPdT8nI6JINO9mRk.5SqMbvRrEUyA-xTsAIpKm4qsNLICChhSPEZLRLeCnU8&amp;dib_tag=se&amp;keywords=fireplace&amp;qid=1734316016&amp;sprefix=fireplace%2Caps%2C152&amp;sr=8-1-spons&amp;sp_csd=d2lkZ2V0TmFtZT1zcF9hdGY&amp;th=1" TargetMode="External"/><Relationship Id="rId45" Type="http://schemas.openxmlformats.org/officeDocument/2006/relationships/hyperlink" Target="https://www.amazon.com/Chandelier-KAISITE-Lighting-Chandeliers-Bedroom-10-Lights/dp/B0D2975BHL/ref=sr_1_50?crid=MOMON0Q8F54G&amp;dib=eyJ2IjoiMSJ9.MmJGr4QJ74M-bJICO2IAUHbmH_SVVDV1TX4oojLYhUrkxmDoKuSDdIIzmOPBSXnwreez16XDAdeTygQdhfFOebD5etSyQsQaknXJatKM9h2_uhqkgr2UL-ll3w_40rcnMnF7MmPEhwBYY_-r_FwQh1fDBzOs8fFTHWGzigo41htlrtJkz1yAU6PYCBcnEcsVNDQ7rfy8cVYiqwkXOIFgmS1KRLacNYZ5EnEKnh9WCKZwWxpMMllkNP1S94Mws6BgVpqQydBvXcoWyczkpjiuNJT6jU7cz6ma4Jbjx_Gr6yA.Id_0JrXs5VRyJ4E3Sc1J0JW2d_v20CvokAa1g6no6Q0&amp;dib_tag=se&amp;keywords=LIGHTING%2BPENDANT&amp;qid=1756322347&amp;sprefix=lighting%2Bpendant%2Caps%2C128&amp;sr=8-50&amp;xpid=13hobUZgOMYEk&amp;th=1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s://www.amazon.com/Upstreman-Adjustable-Thermostat-Refrigerator-PRO/dp/B0DW8NGB9X/ref=sr_1_4?crid=DC335YV40PVJ&amp;dib=eyJ2IjoiMSJ9.KUP1y5HBObWaQ5j7VQf-5T2xt5E-zt0gFSkmXaoBTt1CYbIYvpWhgwnZ8D_wdvL_4HdE69RdB_fOJjuajDFbBRT5oMJydMH6OhaGw9tp_SubkCqR7lUHsuYQ6hrN8Frs155qjXdJEs0LePInLxqXBAZOq0fbit3ikd6-Wb_fGLDk9pRilX70x82ASmfNlbIwKGmKlOP5eUEY0fw9odai7WMoZ-uHpg2l9xLtIB5OSyg.1AXg46qLGatjEDx32t50Z3hPuoi6KoypTvQPsyj2PQM&amp;dib_tag=se&amp;keywords=frigobar%2Bred&amp;qid=1759091278&amp;sprefix=frigobar%2Bre%2Caps%2C177&amp;sr=8-4&amp;th=1" TargetMode="External"/><Relationship Id="rId104" Type="http://schemas.openxmlformats.org/officeDocument/2006/relationships/hyperlink" Target="https://www.amazon.com/GTPLAYER-Computer-Footrest-Adjustable-360%C2%B0-Swivel/dp/B0BBPRZHRX/ref=sr_1_6?crid=1Q2GYK7PW1EV9&amp;dib=eyJ2IjoiMSJ9.jCAvT-r6QhSFjAdzVClA1Osa02OUy7yE4GNJql6d32AsIwIfs-vc9nwS-mpISxQ0sJ7QjjBDvWzr2wZiIhBMYOJVm19XNRaz9EuMbDBeN6c95gHrduvousfveysxiXcFb-qhsgtQc1300irXcVhm-5mnzXhbaXZ-1X_BgccHf_AXRxarxa-oE16SKntzSaR78lrH7v5xgcZeg6NwO9-808tQ-rlF-Z0NaPBG0VJII9v_qBxFVR2AWiSjkZFAGK1jzKAJWWj1lrCYE4bK8yDs9vRTUY8CYxzWKCKpyxyzc10.StLIHZKzJSD_dCykh2z23YXBHC2oU49Wc8zrG54GSho&amp;dib_tag=se&amp;keywords=Game%2Bchair&amp;qid=1759019926&amp;sprefix=game%2Bchair%2Caps%2C126&amp;sr=8-6&amp;th=1" TargetMode="External"/><Relationship Id="rId108" Type="http://schemas.openxmlformats.org/officeDocument/2006/relationships/table" Target="../tables/table1.xml"/><Relationship Id="rId48" Type="http://schemas.openxmlformats.org/officeDocument/2006/relationships/hyperlink" Target="https://www.amazon.com/Nostalgia-Popcorn-Maker-Machine-Professional/dp/B0CM7JJ175/ref=sr_1_10?crid=BR3HQ60JRS2U&amp;dib=eyJ2IjoiMSJ9.Yn8jVg99JLfmcm695qDWg-X2saMGll_uAZMpuJn48KUURXeo6i-Tg_DMWO1fkaB-aqoATYM049f2MOwZ5Cn4C7DGth-mK91Tuh9JuZ2KQCzG9NI4pQICpXNZOMWwD9yu7lbOFMYTx3jH0huEQA-CPCY9SFgX1s2xB_Ypm6Im7f0Q9FGEYDRx4cUdigTuesbeLRtNuvvL8sjm0x-a2a_WNiI4KUmw1nUDNvygp2cf0eE.-yhutuMj7pbGPXMcK4f2SvlMgzhgp-qvq5veNBl03sA&amp;dib_tag=se&amp;keywords=popcorn%2Bmachine&amp;qid=1756327669&amp;sprefix=popcorn%2Bmachine%2Caps%2C127&amp;sr=8-10&amp;ufe=app_do%3Aamzn1.fos.9fe8cbfa-bf43-43d1-a707-3f4e65a4b666&amp;th=1" TargetMode="External"/><Relationship Id="rId47" Type="http://schemas.openxmlformats.org/officeDocument/2006/relationships/hyperlink" Target="http://amazon.com/Utopia-Bedding-Decorative-Pillow-Insert/dp/B0714K41PB/ref=sr_1_3_sspa?crid=2G2LYR1C9NTC9&amp;dib=eyJ2IjoiMSJ9.0cp-OrtA_8n7Ve6oOf1gldyE8fF7KSbLdefcTjAj_DuoYW-lv8V0neFW8GHAOdiChESG1AfaaF1LzCBQisg_8s1_cli6dWdIYHn79XxXLrWNbHACyYS0B2kfPIca9MO8P6eSpPIJ3deM-2Eu6vP21Aq6Syz6Xgr48GKEF9ohqoBMM1cvndWMRy3jR6zu0N6pgpAlC4S0NIDuWm3iOdHD6pN1DC5l-dCt-zWe3GvdjREppJtwyG0twMn-pmGcaj4OsRgaYCazzEUWwuD9lMl3_GU8vTXclvMU83rRI2Wvd9w.9D1Ylc8bDY81rbh6-9dawl51baggCOEtpV-NBcygL8c&amp;dib_tag=se&amp;keywords=insert+almohada+18x18&amp;qid=1756328115&amp;sprefix=insert+almofada+18x18%2Caps%2C88&amp;sr=8-3-spons&amp;sp_csd=d2lkZ2V0TmFtZT1zcF9hdGY&amp;psc=1" TargetMode="External"/><Relationship Id="rId49" Type="http://schemas.openxmlformats.org/officeDocument/2006/relationships/hyperlink" Target="https://www.amazon.com/Chandelier-KAISITE-Lighting-Chandeliers-Bedroom-10-Lights/dp/B0CG5YPJ7C/ref=sr_1_50?crid=MOMON0Q8F54G&amp;dib=eyJ2IjoiMSJ9.MmJGr4QJ74M-bJICO2IAUHbmH_SVVDV1TX4oojLYhUrkxmDoKuSDdIIzmOPBSXnwreez16XDAdeTygQdhfFOebD5etSyQsQaknXJatKM9h2_uhqkgr2UL-ll3w_40rcnMnF7MmPEhwBYY_-r_FwQh1fDBzOs8fFTHWGzigo41htlrtJkz1yAU6PYCBcnEcsVNDQ7rfy8cVYiqwkXOIFgmS1KRLacNYZ5EnEKnh9WCKZwWxpMMllkNP1S94Mws6BgVpqQydBvXcoWyczkpjiuNJT6jU7cz6ma4Jbjx_Gr6yA.Id_0JrXs5VRyJ4E3Sc1J0JW2d_v20CvokAa1g6no6Q0&amp;dib_tag=se&amp;keywords=LIGHTING%2BPENDANT&amp;qid=1756322347&amp;sprefix=lighting%2Bpendant%2Caps%2C128&amp;sr=8-50&amp;xpid=13hobUZgOMYEk&amp;th=1" TargetMode="External"/><Relationship Id="rId103" Type="http://schemas.openxmlformats.org/officeDocument/2006/relationships/hyperlink" Target="https://www.amazon.com/Backyard-Discovery-Tall-Spiral-Slide/dp/B085737RCG/ref=sr_1_34?crid=25ZCARSBSGVE9&amp;dib=eyJ2IjoiMSJ9.hTUdAyi_qlKhGjSNyuzH-pSiKbHRl8q0EZMQadbZ1ohY4SJoDbvUD_y68zWcwvuPFgsS86wFc9rko8t-CplI7TcjZOH2h56_vlHCWoFlB0H-5zy3q5BP61FlS-sIsfTOY_meurajaa4fEi3wnQWLLRziqebD-xCTJ4ghKELbQKcMkAUJHOXqVtjNXGs5eKWCKotcXjNnZ-YKkZ0nk0gppfBQblAAS2658p1jbneA-79iIuVoUcrSnwo8e59qpRiO78EvxBQwBPEUO6EGRmbqeHOFP6RwtqKJC-o8CLNul8k.tbJhJyJegje_Im6IY2LjWGJKSFG-guSaTRFswORZsL4&amp;dib_tag=se&amp;keywords=slide&amp;qid=1759019643&amp;sprefix=slide%2B%2Caps%2C158&amp;sr=8-34&amp;th=1" TargetMode="External"/><Relationship Id="rId102" Type="http://schemas.openxmlformats.org/officeDocument/2006/relationships/hyperlink" Target="https://www.amazon.com/dp/B01MREOEQ4/ref=sspa_dk_detail_4?psc=1&amp;pd_rd_i=B01MREOEQ4&amp;pd_rd_w=XtIhF&amp;content-id=amzn1.sym.386c274b-4bfe-4421-9052-a1a56db557ab&amp;pf_rd_p=386c274b-4bfe-4421-9052-a1a56db557ab&amp;pf_rd_r=36GB5PN2HPQY3VX4HM3Q&amp;pd_rd_wg=Cu5vS&amp;pd_rd_r=19cf5de4-5a4b-4ce0-885c-055ac648038a&amp;sp_csd=d2lkZ2V0TmFtZT1zcF9kZXRhaWxfdGhlbWF0aWM" TargetMode="External"/><Relationship Id="rId101" Type="http://schemas.openxmlformats.org/officeDocument/2006/relationships/hyperlink" Target="https://www.amazon.com/BARRINGTON-inch-Richmond-Foosball-Table/dp/B0756PYCPV/ref=sxin_16_pa_sp_search_thematic_sspa?content-id=amzn1.sym.5a2f80d8-3686-499a-bbaa-70664bd0de70%3Aamzn1.sym.5a2f80d8-3686-499a-bbaa-70664bd0de70&amp;crid=1L94SBA8DP7BB&amp;cv_ct_cx=foosball&amp;keywords=foosball&amp;pd_rd_i=B0756PYCPV&amp;pd_rd_r=a70848c3-a11b-4d2f-bfd2-47cfee569a01&amp;pd_rd_w=zLQNc&amp;pd_rd_wg=JEuR4&amp;pf_rd_p=5a2f80d8-3686-499a-bbaa-70664bd0de70&amp;pf_rd_r=VXBY2QDA1W832SAH69XC&amp;qid=1756335522&amp;sbo=RZvfv%2F%2FHxDF%2BO5021pAnSA%3D%3D&amp;sprefix=foosballle%2Caps%2C120&amp;sr=1-3-6024b2a3-78e4-4fed-8fed-e1613be3bcce-spons&amp;xpid=gUPLNfv3k4qs0&amp;sp_csd=d2lkZ2V0TmFtZT1zcF9zZWFyY2hfdGhlbWF0aWM&amp;th=1" TargetMode="External"/><Relationship Id="rId100" Type="http://schemas.openxmlformats.org/officeDocument/2006/relationships/hyperlink" Target="http://amazon.com/FVBADE-Projector-Joystick-Favorite-Category/dp/B091TSPH51/ref=sr_1_14_sspa?crid=25UAIOUQ5WNHC&amp;dib=eyJ2IjoiMSJ9.LwOZ6eQ6xCbuZRy1k3QBX4iZxc76xtdTX5rsekMvynHF0SJmhQTuVPLarGELDeabmh86NWwqwJcfUPyp-kZlJqAGtjZgCTWFhxjRgXr01wgGAid4BCNuk9fAk565pw2ssSL5v6Scf1dy6bADtMJal3noIWuFKOiVJJmgR8xnnzqHEnICdZCnudtHGXm8rnhP4DgGzEAKXol1wRxx-EOx0xBk4WRLWCepJQIF-KdzmUUgmMyiCKwG0gJfZNloFg58jCel6Q-LBdnTqOutT2s8DZk6frLfP1HVuhMDc43KLK0.S-ztQHnI_vipy4HlsUfbzFIOKSU5OxhZtgzge2J2w9M&amp;dib_tag=se&amp;keywords=arcade+game+console+Mario+bros&amp;qid=1756335228&amp;sprefix=arcade+game+console+mario+bros%2Caps%2C114&amp;sr=8-14-spons&amp;xpid=rWoeqjSWk3PaW&amp;sp_csd=d2lkZ2V0TmFtZT1zcF9tdGY&amp;psc=1" TargetMode="External"/><Relationship Id="rId31" Type="http://schemas.openxmlformats.org/officeDocument/2006/relationships/hyperlink" Target="https://amzn.to/4ouwAIW" TargetMode="External"/><Relationship Id="rId30" Type="http://schemas.openxmlformats.org/officeDocument/2006/relationships/hyperlink" Target="https://www.walmart.com/ip/Beautiful-6-Qt-Air-Fryer-with-TurboCrisp-Technology-and-Touch-Activated-Display-White-Icing-by-Drew-Barrymore/597932797?classType=VARIANT&amp;athbdg=L1102" TargetMode="External"/><Relationship Id="rId33" Type="http://schemas.openxmlformats.org/officeDocument/2006/relationships/hyperlink" Target="https://amzn.to/3L4aRcy" TargetMode="External"/><Relationship Id="rId32" Type="http://schemas.openxmlformats.org/officeDocument/2006/relationships/hyperlink" Target="https://amzn.to/3WmXhTX" TargetMode="External"/><Relationship Id="rId35" Type="http://schemas.openxmlformats.org/officeDocument/2006/relationships/hyperlink" Target="https://www.amazon.com/Toilet-Plunger-Heavy-Duty-Bathroom-Compact/dp/B0CLNF6H26/ref=sr_1_1?crid=20S5AFFZW4W3T&amp;dib=eyJ2IjoiMSJ9.k6NdG--VCANoiSFSeqMj0g.swaguh6WSdiIe7iaK8UGI2nta9X8oj3UGTuivaDava0&amp;dib_tag=se&amp;keywords=B0CLNF6H26&amp;qid=1736280622&amp;s=home-garden&amp;sprefix=b0clnf6h26%2Cgarden%2C94&amp;sr=1-1" TargetMode="External"/><Relationship Id="rId34" Type="http://schemas.openxmlformats.org/officeDocument/2006/relationships/hyperlink" Target="https://www.amazon.com/CleanView-Apartments-Lightweight-Removable-3508/dp/B09V5NPHP3/ref=sr_1_1?crid=2I7MZ4AZ03HE&amp;dib=eyJ2IjoiMSJ9.1EpF8SDNSFSxasDYVastrw.9dR20QQhYALBciSBg9jcJOF7F2Bu6b3bUOknJyHEyxg&amp;dib_tag=se&amp;keywords=B09V5NPHP3&amp;qid=1736280609&amp;s=home-garden&amp;sprefix=b09v5nphp3%2Cgarden%2C95&amp;sr=1-1" TargetMode="External"/><Relationship Id="rId37" Type="http://schemas.openxmlformats.org/officeDocument/2006/relationships/hyperlink" Target="https://www.amazon.com/Spinning-Microfiber-Replacement-Stainless-Adjustable/dp/B0BJ2Y81L1/ref=sr_1_1?crid=26TPIZN2EJP7V&amp;dib=eyJ2IjoiMSJ9.TeDxhWDE_seyGX7Cis0ypA.0OdeYnYEDKG4PIwFeFXrwT8JQDBdKSyVTuOX8ISiAK0&amp;dib_tag=se&amp;keywords=B0BJ2Y81L1&amp;qid=1736280650&amp;s=home-garden&amp;sprefix=b0bj2y81l1%2Cgarden%2C92&amp;sr=1-1" TargetMode="External"/><Relationship Id="rId36" Type="http://schemas.openxmlformats.org/officeDocument/2006/relationships/hyperlink" Target="https://www.amazon.com/Black-Decker-IR06V-Steam-Iron/dp/B07FKRJTFZ/ref=sr_1_2?crid=1YNBANUQ37O73&amp;dib=eyJ2IjoiMSJ9.Ixb6eCRDDOsrnxjjwl94pw.x6Q6D-gg4ljpc3HQuyUd5xFKosrxEiAQaOwRg1Ca-cE&amp;dib_tag=se&amp;keywords=B07FKRJTFZ&amp;qid=1736280635&amp;s=home-garden&amp;sprefix=b07fkrjtfz%2Cgarden%2C93&amp;sr=1-2" TargetMode="External"/><Relationship Id="rId39" Type="http://schemas.openxmlformats.org/officeDocument/2006/relationships/hyperlink" Target="https://www.amazon.com/Duwee-Ironing-Resistant-Thicken-Sturdy/dp/B0998MSMZQ/ref=sr_1_1?crid=1IT186BHN4P08&amp;dib=eyJ2IjoiMSJ9.XnJ2Pbt-ZbarW2rt7Dy4uA.8EP2w4gbRzO39IwT0yDj86FUYkihAB2iAIhouenOM2M&amp;dib_tag=se&amp;keywords=B0998MSMZQ&amp;qid=1736280675&amp;s=home-garden&amp;sprefix=b0998msmzq%2Cgarden%2C100&amp;sr=1-1" TargetMode="External"/><Relationship Id="rId38" Type="http://schemas.openxmlformats.org/officeDocument/2006/relationships/hyperlink" Target="https://www.amazon.com/Broom-Dustpan-Small-Kitchen-Necessities/dp/B096RXNDYT/ref=sr_1_1?crid=224RF9YTRVVYZ&amp;dib=eyJ2IjoiMSJ9.pvuSwed6n-oHyYaKXOZrCw.n8AF2hlyWhjlFQfs1kZ22rg05-7WE_4i8Jy0iwUTwx0&amp;dib_tag=se&amp;keywords=B096RXNDYT&amp;qid=1736280662&amp;s=home-garden&amp;sprefix=b096rxndyt%2Cgarden%2C93&amp;sr=1-1" TargetMode="External"/><Relationship Id="rId20" Type="http://schemas.openxmlformats.org/officeDocument/2006/relationships/hyperlink" Target="https://amzn.to/4qJisOb" TargetMode="External"/><Relationship Id="rId22" Type="http://schemas.openxmlformats.org/officeDocument/2006/relationships/hyperlink" Target="https://amzn.to/478w9yk" TargetMode="External"/><Relationship Id="rId21" Type="http://schemas.openxmlformats.org/officeDocument/2006/relationships/hyperlink" Target="https://amzn.to/478vYD9" TargetMode="External"/><Relationship Id="rId24" Type="http://schemas.openxmlformats.org/officeDocument/2006/relationships/hyperlink" Target="https://amzn.to/3IZ1JFy" TargetMode="External"/><Relationship Id="rId23" Type="http://schemas.openxmlformats.org/officeDocument/2006/relationships/hyperlink" Target="https://amzn.to/4qllQhL" TargetMode="External"/><Relationship Id="rId26" Type="http://schemas.openxmlformats.org/officeDocument/2006/relationships/hyperlink" Target="https://amzn.to/42T69Ez" TargetMode="External"/><Relationship Id="rId25" Type="http://schemas.openxmlformats.org/officeDocument/2006/relationships/hyperlink" Target="https://amzn.to/3WmvRha" TargetMode="External"/><Relationship Id="rId28" Type="http://schemas.openxmlformats.org/officeDocument/2006/relationships/hyperlink" Target="https://amzn.to/42Vq7i3" TargetMode="External"/><Relationship Id="rId27" Type="http://schemas.openxmlformats.org/officeDocument/2006/relationships/hyperlink" Target="https://amzn.to/42VcteG" TargetMode="External"/><Relationship Id="rId29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95" Type="http://schemas.openxmlformats.org/officeDocument/2006/relationships/hyperlink" Target="https://www.wayfair.com/outdoor/pdp/lark-manor-alyah-rectangular-8-person-838-long-aluminum-dining-set-w004770254.html" TargetMode="External"/><Relationship Id="rId94" Type="http://schemas.openxmlformats.org/officeDocument/2006/relationships/hyperlink" Target="https://www.wayfair.com/outdoor/pdp/arlmont-co-guyden-6023-long-reclining-single-chaise-w008352471.html?piid=392271229" TargetMode="External"/><Relationship Id="rId97" Type="http://schemas.openxmlformats.org/officeDocument/2006/relationships/hyperlink" Target="https://www.amazon.com/Inflatable-Colorful-FlyfreeU-Changing-Floaties/dp/B0BW83TD8Q/ref=sxin_16_pa_sp_search_thematic_sspa?content-id=amzn1.sym.27b41115-b206-47c3-8621-713097e8442c%3Aamzn1.sym.27b41115-b206-47c3-8621-713097e8442c&amp;crid=1WE4IAP1VOGJQ&amp;cv_ct_cx=boia+de+piscina&amp;keywords=boia+de+piscina&amp;pd_rd_i=B0BW83TD8Q&amp;pd_rd_r=a9a13afc-e30c-427c-bdb4-99e432aa6314&amp;pd_rd_w=N4UKf&amp;pd_rd_wg=i7iwO&amp;pf_rd_p=27b41115-b206-47c3-8621-713097e8442c&amp;pf_rd_r=7EN30CY25PR8X8127R6Q&amp;qid=1735356170&amp;sbo=RZvfv%2F%2FHxDF%2BO5021pAnSA%3D%3D&amp;sprefix=boia+de+piscina%2Caps%2C152&amp;sr=1-2-6024b2a3-78e4-4fed-8fed-e1613be3bcce-spons&amp;sp_csd=d2lkZ2V0TmFtZT1zcF9zZWFyY2hfdGhlbWF0aWM&amp;psc=1" TargetMode="External"/><Relationship Id="rId96" Type="http://schemas.openxmlformats.org/officeDocument/2006/relationships/hyperlink" Target="https://www.lowes.com/pd/Breezary-65-in-Matte-Black-Color-changing-Indoor-Chandelier-Ceiling-Fan-with-Light-and-Remote-5-Blade/5015042387" TargetMode="External"/><Relationship Id="rId11" Type="http://schemas.openxmlformats.org/officeDocument/2006/relationships/hyperlink" Target="https://amzn.to/4ows8JD" TargetMode="External"/><Relationship Id="rId99" Type="http://schemas.openxmlformats.org/officeDocument/2006/relationships/hyperlink" Target="https://www.amazon.com/Roundhill-Furniture-Contemporary-Chrome-Adjustable/dp/B00E3978PY/ref=sr_1_34?crid=1PEZ5RXIXR57U&amp;dib=eyJ2IjoiMSJ9.yvn4nKt_cmpdK1JVd0mXhAt2kJI9ldM0_fQAg8riLZvUKgLmelD824ZpJKrEJ0zcXSrAQF-KHRdjN6_NoRbyUKLuLXxl4Z0QL0wXYNQh1eWSHGSaAS4w_gItY-PdqiyqT9KOnwzjk_tY2gWSrUfmvPZA9E3AUPgz40utmH0z40fzxzhKKLnGXF1zzibNW8V0gb8zJlVZA7E2vNoX8wDhk416LP7Bwg9-TWUqXau6czUU8jV7-MssTbfph0EU9OHE.J3qeWAykp0u5suF2NdEB0Fuo117H6MyJyeO70mVOoTI&amp;dib_tag=se&amp;keywords=Bar%2Bstool%2Bred&amp;qid=1759018711&amp;s=home-garden&amp;sprefix=bar%2Bstool%2Bred%2Cgarden%2C118&amp;sr=1-34&amp;xpid=FuGs8_jlMe0Rm&amp;th=1" TargetMode="External"/><Relationship Id="rId10" Type="http://schemas.openxmlformats.org/officeDocument/2006/relationships/hyperlink" Target="https://amzn.to/3Jg5Q00" TargetMode="External"/><Relationship Id="rId98" Type="http://schemas.openxmlformats.org/officeDocument/2006/relationships/hyperlink" Target="https://www.amazon.com/dp/B0721468V1/ref=sspa_dk_detail_6?pd_rd_i=B0721468V1&amp;pd_rd_w=Zb3wK&amp;content-id=amzn1.sym.386c274b-4bfe-4421-9052-a1a56db557ab&amp;pf_rd_p=386c274b-4bfe-4421-9052-a1a56db557ab&amp;pf_rd_r=3GF65BZANGN5WW0TQC9M&amp;pd_rd_wg=UBdi2&amp;pd_rd_r=9979f7c5-2fb0-4d1c-b252-cbcc8ebd5106&amp;s=sporting-goods&amp;sp_csd=d2lkZ2V0TmFtZT1zcF9kZXRhaWxfdGhlbWF0aWM&amp;th=1" TargetMode="External"/><Relationship Id="rId13" Type="http://schemas.openxmlformats.org/officeDocument/2006/relationships/hyperlink" Target="https://amzn.to/4o7BkEw" TargetMode="External"/><Relationship Id="rId12" Type="http://schemas.openxmlformats.org/officeDocument/2006/relationships/hyperlink" Target="https://amzn.to/3Juf20L" TargetMode="External"/><Relationship Id="rId91" Type="http://schemas.openxmlformats.org/officeDocument/2006/relationships/hyperlink" Target="http://amazon.com/CASAJOY-Resistant-Furniture-Decorative-Waterproof/dp/B0D1NR21K5/ref=sr_1_5_sspa?crid=2G4L0LQIBRPFU&amp;dib=eyJ2IjoiMSJ9.SGM9sQYroAkB3C8OVdrXBA.IeJ9djD0tBbLVPsq_Ip2BG0InAODlTTsJwdfSjLju4M&amp;dib_tag=se&amp;keywords=B0C1TP8NLP&amp;qid=1756334718&amp;sprefix=b0c1tp8nlp%2Caps%2C131&amp;sr=8-5-spons&amp;sp_csd=d2lkZ2V0TmFtZT1zcF9hdGY&amp;psc=1" TargetMode="External"/><Relationship Id="rId90" Type="http://schemas.openxmlformats.org/officeDocument/2006/relationships/hyperlink" Target="https://www.amazon.com/Demetex-Outdoor-Decorative-Waterproof-Pillows/dp/B0B62LZXJP/ref=sr_1_1_sspa?dib=eyJ2IjoiMSJ9.C6JX-lxY5J7I6jCMnBnAaA.S0dmovWWWFp5jSdirsxo9HG4A56kY107oxMsazb0jjY&amp;dib_tag=se&amp;keywords=B0B62LZXJP&amp;qid=1756334694&amp;sr=8-1-spons&amp;sp_csd=d2lkZ2V0TmFtZT1zcF9hdGY&amp;th=1" TargetMode="External"/><Relationship Id="rId93" Type="http://schemas.openxmlformats.org/officeDocument/2006/relationships/hyperlink" Target="https://www.amazon.com/MIULEE-Outdoor-Waterproof-Hypoallergenic-Furniture/dp/B08MTX9YVF/ref=pd_bxgy_d_sccl_1/137-7602536-0262240?pd_rd_w=oQsbc&amp;content-id=amzn1.sym.53b72ea0-a439-4b9d-9319-7c2ee5c88973&amp;pf_rd_p=53b72ea0-a439-4b9d-9319-7c2ee5c88973&amp;pf_rd_r=C32288EDSN9Q6ZH70Z4M&amp;pd_rd_wg=zWgDV&amp;pd_rd_r=4ef12d5d-30a9-453a-b2e7-ec339e8a1163&amp;pd_rd_i=B08MTX9YVF&amp;th=1" TargetMode="External"/><Relationship Id="rId92" Type="http://schemas.openxmlformats.org/officeDocument/2006/relationships/hyperlink" Target="https://www.amazon.com/dp/B09DKB9558/ref=sspa_dk_detail_4?pd_rd_i=B09DKB9558&amp;pd_rd_w=JCtsi&amp;content-id=amzn1.sym.f2f1cf8f-cab4-44dc-82ba-0ca811fb90cc&amp;pf_rd_p=f2f1cf8f-cab4-44dc-82ba-0ca811fb90cc&amp;pf_rd_r=409NB6NDK95QDDQCRRMJ&amp;pd_rd_wg=LJFqL&amp;pd_rd_r=8601c196-2145-4afa-a00f-f5c07975acf9&amp;sp_csd=d2lkZ2V0TmFtZT1zcF9kZXRhaWxfdGhlbWF0aWM&amp;th=1" TargetMode="External"/><Relationship Id="rId15" Type="http://schemas.openxmlformats.org/officeDocument/2006/relationships/hyperlink" Target="https://amzn.to/47hYL8t" TargetMode="External"/><Relationship Id="rId14" Type="http://schemas.openxmlformats.org/officeDocument/2006/relationships/hyperlink" Target="https://amzn.to/43rXr0a" TargetMode="External"/><Relationship Id="rId17" Type="http://schemas.openxmlformats.org/officeDocument/2006/relationships/hyperlink" Target="https://amzn.to/43BOjGh" TargetMode="External"/><Relationship Id="rId16" Type="http://schemas.openxmlformats.org/officeDocument/2006/relationships/hyperlink" Target="https://amzn.to/4oCuQ0u" TargetMode="External"/><Relationship Id="rId19" Type="http://schemas.openxmlformats.org/officeDocument/2006/relationships/hyperlink" Target="https://amzn.to/479Tekd" TargetMode="External"/><Relationship Id="rId18" Type="http://schemas.openxmlformats.org/officeDocument/2006/relationships/hyperlink" Target="https://www.walmart.com/ip/Beautiful-PowerExact-Blender-System-White-Icing-by-Drew-Barrymore/5284775960?classType=VARIANT" TargetMode="External"/><Relationship Id="rId84" Type="http://schemas.openxmlformats.org/officeDocument/2006/relationships/hyperlink" Target="https://www.amazon.com/AmazerBath-Lightweight-Curtain-Rust-Resistant-Waterproof/dp/B082KP92DF/ref=sr_1_1_sspa?crid=5H98IHN692GL&amp;dib=eyJ2IjoiMSJ9.4xkvoYq2LxUlwPeYoZ8G9g.9LfeK0U3668zIXwqJuXQi9q79HRc11_5T-M4PY36HNQ&amp;dib_tag=se&amp;keywords=B082KP92DF&amp;qid=1735355440&amp;sprefix=b082kp92df%2Caps%2C155&amp;sr=8-1-spons&amp;sp_csd=d2lkZ2V0TmFtZT1zcF9hdGY&amp;th=1" TargetMode="External"/><Relationship Id="rId83" Type="http://schemas.openxmlformats.org/officeDocument/2006/relationships/hyperlink" Target="https://www.amazon.com/Barossa-Design-Curtains-Bathroom-Repellent/dp/B0C6SKFWQZ/ref=sr_1_2_sspa?crid=63ZI2T0AU0V7&amp;dib=eyJ2IjoiMSJ9.ds5XC0KhU3adkmFjpUfAZA.zP9j-lY_p07iWSkyCVRYixKffK01mtg1DBx59O3xfzM&amp;dib_tag=se&amp;keywords=B07RGQQ3LG&amp;qid=1735355409&amp;sprefix=b07rgqq3lg%2Caps%2C152&amp;sr=8-2-spons&amp;sp_csd=d2lkZ2V0TmFtZT1zcF9hdGY&amp;th=1" TargetMode="External"/><Relationship Id="rId86" Type="http://schemas.openxmlformats.org/officeDocument/2006/relationships/hyperlink" Target="https://www.ikea.com/us/en/p/snoerpa-pedal-bin-stainless-steel-10511208/" TargetMode="External"/><Relationship Id="rId85" Type="http://schemas.openxmlformats.org/officeDocument/2006/relationships/hyperlink" Target="https://www.ikea.com/us/en/p/bolmen-toilet-brush-holder-white-40574435/" TargetMode="External"/><Relationship Id="rId88" Type="http://schemas.openxmlformats.org/officeDocument/2006/relationships/hyperlink" Target="http://amazon.com/Vuzvuv-Adhesive-Stainless-Waterproof-Bathrooms/dp/B091HY22Y8/ref=sr_1_1?crid=1AJM9FP89C9NH&amp;dib=eyJ2IjoiMSJ9.8RsKZXOJlgn-XLVaFXtYE3AjL5ALtsv0Kn3wVleHVm4.vzj036289JlUQESS_a5HN2GBIOTMRacKEEphZfZf2Zk&amp;dib_tag=se&amp;keywords=B091HY22Y8&amp;qid=1756334165&amp;s=home-garden&amp;sprefix=b091hy22y8%2Cgarden%2C799&amp;sr=1-1" TargetMode="External"/><Relationship Id="rId87" Type="http://schemas.openxmlformats.org/officeDocument/2006/relationships/hyperlink" Target="https://www.amazon.com/REVLON-Essentials-Travel-Ready-Lightweight-Salon-Style/dp/B003TQPRGY/ref=sr_1_6?crid=3JU6FCJY5X5UJ&amp;dib=eyJ2IjoiMSJ9.H3ddTV9oeoOTxHV2yRP8n-ePTUXMZ2LuTvCutqMnt4Q.WhLKIyFDWUehyaNNS6LlGFZZNwR_cBah8NzYWFqbM8I&amp;dib_tag=se&amp;keywords=B003TQPRGY&amp;qid=1735355557&amp;sprefix=b003tqprgy%2Caps%2C151&amp;sr=8-6&amp;th=1" TargetMode="External"/><Relationship Id="rId89" Type="http://schemas.openxmlformats.org/officeDocument/2006/relationships/hyperlink" Target="https://www.amazon.com/Toilet-Holder-Bathroom-Storage-Standing/dp/B0BGX6CH92/ref=sr_1_1?crid=16JWUP0E6FG2B&amp;dib=eyJ2IjoiMSJ9._LVTIltBnMqdgKOP6_CyLA.Q0wO-5A6gMdgXPcfPdbBZaZ15XwAMzBnVDmiCRidQMQ&amp;dib_tag=se&amp;keywords=B0BGX6CH92&amp;qid=1735355654&amp;sprefix=b0bgx6ch92%2Caps%2C161&amp;sr=8-1&amp;th=1" TargetMode="External"/><Relationship Id="rId80" Type="http://schemas.openxmlformats.org/officeDocument/2006/relationships/hyperlink" Target="https://www.ikea.com/us/en/p/bolmen-toilet-brush-holder-white-40574435/" TargetMode="External"/><Relationship Id="rId82" Type="http://schemas.openxmlformats.org/officeDocument/2006/relationships/hyperlink" Target="https://www.amazon.com/Refined-Comfort-Stainless-Decorative-Accessories/dp/B0DDTXZGJS/ref=sr_1_4_sspa?crid=2YSNI18FI2O4N&amp;dib=eyJ2IjoiMSJ9.BE3id0Z21or3u7I5hH3AcEC29yNg0l0MzaiqLNF1AmY9bGmC4vfGLxPQ7FWlEuKHHHY2Hdk11xuT_a1JRq1b4S2zwOsaMzkx1y0urIvKzynjc17631CT-ncl3g3D_Rxe-wVXM6urjT0kgtSFlsvp3ueNYEUvsPmGwxB3Tf-tAclZXMcI5vQrYmEM9xmrelfL04VCZWUbQBmLHCtYmHOMkU_juJXx8TXlrplc3W7WQXxARQLWzrp9Ty3MwoNWvCjYdjL6q_kDTwfjH4E5ko6JeZNtPo7jUCJqMz5p1iBeix4.3mXLx_SejZM2FXqC3kkgbZEirfs7HYTBIBMo2ahZ7CM&amp;dib_tag=se&amp;keywords=curtain+bath+hook&amp;qid=1735355382&amp;sprefix=curtain+bath+hook%2Caps%2C150&amp;sr=8-4-spons&amp;sp_csd=d2lkZ2V0TmFtZT1zcF9hdGY&amp;psc=1" TargetMode="External"/><Relationship Id="rId81" Type="http://schemas.openxmlformats.org/officeDocument/2006/relationships/hyperlink" Target="https://www.ikea.com/us/en/p/snoerpa-pedal-bin-stainless-steel-10511208/" TargetMode="External"/><Relationship Id="rId1" Type="http://schemas.openxmlformats.org/officeDocument/2006/relationships/hyperlink" Target="https://amzn.to/43rUWei" TargetMode="External"/><Relationship Id="rId2" Type="http://schemas.openxmlformats.org/officeDocument/2006/relationships/hyperlink" Target="https://amzn.to/47akgI4" TargetMode="External"/><Relationship Id="rId3" Type="http://schemas.openxmlformats.org/officeDocument/2006/relationships/hyperlink" Target="https://amzn.to/4nFL5sR" TargetMode="External"/><Relationship Id="rId4" Type="http://schemas.openxmlformats.org/officeDocument/2006/relationships/hyperlink" Target="https://www.walmart.com/ip/Beautiful-14-Cup-Programmable-Drip-Coffee-Maker-with-Touch-Activated-Display-White-Icing-by-Drew-Barrymore/770079902?classType=VARIANT" TargetMode="External"/><Relationship Id="rId9" Type="http://schemas.openxmlformats.org/officeDocument/2006/relationships/hyperlink" Target="https://amzn.to/3JkUN5F" TargetMode="External"/><Relationship Id="rId5" Type="http://schemas.openxmlformats.org/officeDocument/2006/relationships/hyperlink" Target="https://amzn.to/477NlUv" TargetMode="External"/><Relationship Id="rId6" Type="http://schemas.openxmlformats.org/officeDocument/2006/relationships/hyperlink" Target="https://amzn.to/4hrPM7N" TargetMode="External"/><Relationship Id="rId7" Type="http://schemas.openxmlformats.org/officeDocument/2006/relationships/hyperlink" Target="https://amzn.to/49i2AeW" TargetMode="External"/><Relationship Id="rId8" Type="http://schemas.openxmlformats.org/officeDocument/2006/relationships/hyperlink" Target="https://amzn.to/4qpWShh" TargetMode="External"/><Relationship Id="rId73" Type="http://schemas.openxmlformats.org/officeDocument/2006/relationships/hyperlink" Target="https://www.amazon.com/Maple-Stone-Lightweight-Bedspread-Ultrasonic/dp/B09P3QKQR8/ref=sr_1_2_sspa?crid=1C61R0WHJSIVV&amp;dib=eyJ2IjoiMSJ9.Q8tWRfz8Y8ozcJHRiLdrnw.cRUUQ4ZFzLyrxjjIgcxpwkDlgfKzCQ_CCUil6V7DD2g&amp;dib_tag=se&amp;keywords=B09P3QKQR8&amp;qid=1736354394&amp;sprefix=b09p3qkqr8%2Caps%2C102&amp;sr=8-2-spons&amp;sp_csd=d2lkZ2V0TmFtZT1zcF9hdGY&amp;th=1" TargetMode="External"/><Relationship Id="rId72" Type="http://schemas.openxmlformats.org/officeDocument/2006/relationships/hyperlink" Target="https://www.amazon.com/King-Size-Sheet-Set-Breathable/dp/B015QL1KMY/ref=sr_1_3_sspa?crid=1IQVBTDEXAW10&amp;dib=eyJ2IjoiMSJ9.BY6575Cf63kPjEHGosYNzxunGCxSMw6ZouNPPZtxYqV5a7zz9dEZbekNpcJ8iOkTyV89a9LwerT3P2o3otIS_nGgg7i4EXNbmOoZv4HDcL2D_lzgre0K5h3DkLjF5FApntWlACfg_u0wC4LZTj0X8lEjlntY5mP9peEDxa8Cc2GQv1wT_boYRwVXXMm0Q1reBgOZX0nEr-qlvUoQN-RQqITOZcLXJAiKos-NwwNc8Z7BnxP7gRxaIAP1aAFloWx4PuKvcxA7WABrcRfvF3CSPp46MFewFchYyKqle1FsJzU.SowLyPGGvF0AIAstUtg5o15YC8X9M-0_Oh64lWIjTaE&amp;dib_tag=se&amp;keywords=sheet%2Bset&amp;qid=1736354515&amp;sprefix=sheet%2Bset%2B%2Caps%2C139&amp;sr=8-3-spons&amp;sp_csd=d2lkZ2V0TmFtZT1zcF9hdGY&amp;th=1" TargetMode="External"/><Relationship Id="rId75" Type="http://schemas.openxmlformats.org/officeDocument/2006/relationships/hyperlink" Target="https://www.amazon.com/Retardant-Trampoline-Gymnastics-Skateboard-Playground/dp/B0CYSWR1KY/ref=sr_1_1_sspa?crid=OL9ZT8I8899E&amp;dib=eyJ2IjoiMSJ9.zIoH2ezC6P-bWtBrA-2Ic1ki0jR-voEMk2V57-LKNxFoZYSELJ0SgrU6_mDJxkm6sRX9bNZ-Ob00c-d6_kWw23EYKWrkiCp4eY8KhP0KmrJYttN-uMG8rCvEFTXItdxcK1EhIl4DuO2UO9VH0wibTRhPZuRGZnCCTdEjCLOnVMJeSk4kIJWVd5UZxfLNzQSlGSZhD4927xWePIbCX9qF6YMFumE27gf8ywsx_mWZ-Czz8Lp_by_CbfHHvKrhftDOUml-bYpGPQJDaQF2zP2x-DBIsrCIFeqDz3SyoL1m4gQ.tImNQEPVgQQ_EKLqMiovBnqZKy7sAajeEiATCptNEdI&amp;dib_tag=se&amp;keywords=foam%2Bcube&amp;qid=1758828462&amp;sprefix=foam%2Bcube%2Caps%2C134&amp;sr=8-1-spons&amp;sp_csd=d2lkZ2V0TmFtZT1zcF9hdGY&amp;th=1" TargetMode="External"/><Relationship Id="rId74" Type="http://schemas.openxmlformats.org/officeDocument/2006/relationships/hyperlink" Target="https://www.amazon.com/Utopia-Bedding-Polar-Fleece-Thermal-Lightweight/dp/B0C96GQJL7/ref=sr_1_1?crid=2XCLP2FEKMSJU&amp;dib=eyJ2IjoiMSJ9.WIJFM6wQstH2Wi5ijw02Eg.JarzzHgPXtoOadSYx8pm8YfU-_ZuLoCeCLYBAgVOi58&amp;dib_tag=se&amp;keywords=B00J7BJJDM&amp;qid=1735352598&amp;sprefix=b00j7bjjdm%2Caps%2C224&amp;sr=8-1&amp;th=1" TargetMode="External"/><Relationship Id="rId77" Type="http://schemas.openxmlformats.org/officeDocument/2006/relationships/hyperlink" Target="https://www.amazon.com/SESIMENT-fixtures-Industrial-Farmhouse-Fixtures/dp/B0F6V8VZG4/ref=sr_1_9?crid=3NZS9NK50D7TN&amp;dib=eyJ2IjoiMSJ9.oKuoe7B12KmZxUjgOK7ZQ671eBROgbCkE1QmU00QA77izO6GFhdc5U7NAJuzLsktSfZ6n1iCjdjY9RjCTPNCda9DeacrTMJ2k5Ox8eRC_ZYcPspVFI_XVsnyhjuW1iUAqOgzZg6zpd9qHLUTLRmWdZdr4WUvm-PMUUg02vqz1MIIoyJfl17Bc9GzW3wa80dRJLjQZVsGTL4KpuCCYtoL1eY81lj3BwSuHN8NqqNe8PoTLRsO18kMUliaDhx8kfvfvpITBsIe5GhstVvKOGGh4cSMO7GaVIOtJcc2n7bEgRU.Yzw19r05MbUOIzPF2rrvYRgUrSGCNy8DkDqA8lxWehU&amp;dib_tag=se&amp;keywords=industrial%2Blighting&amp;qid=1758722342&amp;sprefix=industrial%2Blighting%2Caps%2C110&amp;sr=8-9&amp;th=1" TargetMode="External"/><Relationship Id="rId76" Type="http://schemas.openxmlformats.org/officeDocument/2006/relationships/hyperlink" Target="https://www.amazon.com/Franco-Bedding-Super-Comforter-Minions/dp/B08N5ZZMLC/ref=sr_1_1_sspa?crid=2I863UPXHQZD9&amp;dib=eyJ2IjoiMSJ9.c7Arb9aLrwSljrHk4XSy0_VVp_19U3kNEuMu2DE-eBTZMNIxqHI1tG_cDRx4KmL2YT5jC2n38_C-FAYT-ID6RjSPgiir0-JlsJZuBGEFVkqitSFG4QsxEyLFTRtlGUKxu8PDjIENgUCtFmNz-4T7ceCKwxSudpMH30vGvS0tZ_B_d1AuX6h29K9sTG5c9zHmgI61eEEHUkOFfAJHekE19PpF5uOOx83GYPOt8navHvmzc-DOXpToCdoM05FQ7TWXvNas-Pfa_NPYxE_e8Sr9UtUzHwFbGU5-YE7R5p8p8VY.ZwsBLtZk1P3faEF7_L-lwFRlbHxfalzL62s89WJvmvU&amp;dib_tag=se&amp;keywords=minions%2Bcomforter&amp;qid=1758828228&amp;sprefix=minions%2Bconforte%2Caps%2C116&amp;sr=8-1-spons&amp;sp_csd=d2lkZ2V0TmFtZT1zcF9hdGY&amp;th=1" TargetMode="External"/><Relationship Id="rId79" Type="http://schemas.openxmlformats.org/officeDocument/2006/relationships/hyperlink" Target="https://www.amazon.com/Bedding-Premium-Waterproof-Mattress-Protector/dp/B07PMFVC9X/ref=sr_1_6?crid=RBCVPQ9O6EMM&amp;dib=eyJ2IjoiMSJ9.GdRQqW0Y9vkAJaFAEcCAM5q8-zluE6xdpo_TneBPpOAN_0AezE5PclmK9PRUMmTl5ij3KCsgJgU_l5GQdbVcMOk1Ki4VaOWyWD5GMMbsxsnDw6-l67JkaF2J3C1QJAvfiGU8oiPkvADjQJ0ecOFjt8pMuzl2bikvCJt56VDyPxXznbIWilqX7Ce0AemAAQuj87_ypKyyLwuFgwtF8ZVhwCAZtw8MdRYFh-QnH933Sfdfx1x4QY8x9tfVrsYgMFrx5jYV2GeMS6nihYCFPt9PTzKzvTs8U3o-Gvj3PryK4jQGHsGj55ceWzDggRX5yVjZ5ojlJ7K7a1E0sx-QmfxdyteayVhxJ_dG2l00TxNBXY__Yh8okTa90CFSjI6BfmV4lI2J_OMwLyr5w5Amk3JpIAbA2ubP6buDK5kwEHnAXt-oazfBIeBnsQpl9oIEu8mq.oZG_2VJDmuy9FVHa_d3f08bLGGinVHT21sdro7kqch0&amp;dib_tag=se&amp;keywords=mattress%2Bprotector%2Bfull&amp;qid=1735353718&amp;sprefix=mattress%2Bprotector%2Bfull%2Caps%2C155&amp;sr=8-6&amp;th=1" TargetMode="External"/><Relationship Id="rId78" Type="http://schemas.openxmlformats.org/officeDocument/2006/relationships/hyperlink" Target="https://www.amazon.com/Zinus-Mattress-Fiberglass-Pressure-Certified/dp/B0CKYZHV5D/ref=sr_1_1?crid=GDIIQGZOGXX3&amp;dib=eyJ2IjoiMSJ9.DO_w8f1J0X5rYl6o_167bA.omAaGWjoKmESkuGUxhE9YvSCsTseb2mrjxJRHbPNhx0&amp;dib_tag=se&amp;keywords=B0CKYZHV5D&amp;qid=1736362058&amp;s=home-garden&amp;sprefix=b0ckyzhv5d%2Cgarden%2C158&amp;sr=1-1&amp;th=1" TargetMode="External"/><Relationship Id="rId71" Type="http://schemas.openxmlformats.org/officeDocument/2006/relationships/hyperlink" Target="https://www.amazon.com/Utopia-Bedding-Polar-Fleece-Thermal-Lightweight/dp/B0C96GQJL7/ref=sr_1_1?crid=2XCLP2FEKMSJU&amp;dib=eyJ2IjoiMSJ9.WIJFM6wQstH2Wi5ijw02Eg.JarzzHgPXtoOadSYx8pm8YfU-_ZuLoCeCLYBAgVOi58&amp;dib_tag=se&amp;keywords=B00J7BJJDM&amp;qid=1735352598&amp;sprefix=b00j7bjjdm%2Caps%2C224&amp;sr=8-1&amp;th=1" TargetMode="External"/><Relationship Id="rId70" Type="http://schemas.openxmlformats.org/officeDocument/2006/relationships/hyperlink" Target="https://www.amazon.com/Maple-Stone-Lightweight-Bedspread-Ultrasonic/dp/B09P3QKQR8/ref=sr_1_2_sspa?crid=1C61R0WHJSIVV&amp;dib=eyJ2IjoiMSJ9.Q8tWRfz8Y8ozcJHRiLdrnw.cRUUQ4ZFzLyrxjjIgcxpwkDlgfKzCQ_CCUil6V7DD2g&amp;dib_tag=se&amp;keywords=B09P3QKQR8&amp;qid=1736354394&amp;sprefix=b09p3qkqr8%2Caps%2C102&amp;sr=8-2-spons&amp;sp_csd=d2lkZ2V0TmFtZT1zcF9hdGY&amp;th=1" TargetMode="External"/><Relationship Id="rId62" Type="http://schemas.openxmlformats.org/officeDocument/2006/relationships/hyperlink" Target="https://www.amazon.com/dp/B07K4V9Z9G/ref=twister_B0814BH93Y?_encoding=UTF8&amp;th=1" TargetMode="External"/><Relationship Id="rId61" Type="http://schemas.openxmlformats.org/officeDocument/2006/relationships/hyperlink" Target="https://www.amazon.com/Floating-Flickering-Flameless-Candlesticks-Halloween/dp/B0D31JRGSC/ref=sr_1_1_sspa?crid=2S37WKJEKLB0K&amp;dib=eyJ2IjoiMSJ9.j2WsOBMziaTA4dak2bWcSoTv5zr6PwYi5EqzMU88bZfgJAcjrpfbWqf9o1naG9jiYgoaWSIb2OzQbHxJUCi_aso_T9XB4KsB5rvoidJumJFvcAP4KYwHL-uPp-OnJ_gmUzwk__qarPTUmsN0wVbhyteFt0I7YOULq41p7zdQqTWutQ3y8fm2oy-dTo96BIugDmS6PG-C7ah5lFkdTSSjzpfUfjh70oxleyguYMbWAVDxZZ2R5CHAzfKVfIktik1FIeo9GnjI7gsyQ7pxAInS_uzLCQLXu-JQyhHbi8lqYOQ.7tmjrQ4gd61NFuBM85ePOIQeBl4o-bp7-TMzeI1plTI&amp;dib_tag=se&amp;keywords=harry%2Bpotter%2Bhome%2Bdecor&amp;qid=1759156062&amp;sprefix=harry%2Bpotter%2Caps%2C136&amp;sr=8-1-spons&amp;sp_csd=d2lkZ2V0TmFtZT1zcF9hdGY&amp;th=1" TargetMode="External"/><Relationship Id="rId64" Type="http://schemas.openxmlformats.org/officeDocument/2006/relationships/hyperlink" Target="https://www.amazon.com/Potter-Nimbus-Costume-Accessory-Length/dp/B07KWY4CYK/ref=sr_1_1?crid=3OZLIT80GEP87&amp;dib=eyJ2IjoiMSJ9.hiGhcdGGLlNVFURN8XPo_r1ihUdjptDCTAEp0L3luKLIWa6-zNtno91Az2fuRk_yZ2EUiIUMsJn7u4yAuzT8Z6U583WC4dzaMPd93g4MeypS2y4XEcDTud5PjYdcj8RUk1K2ro93O8iRFlVVvn1HUVou56BYSIHVGggaAhOrG5Y8YyiEcSJJJCxJS5H-HTMGrNkuM4-ExDFjTfFmIau-Xt2F9R7RS3tvORFJtdOV3SylwOrtSptoOwld1rldGUL85hVJOVRS0o3T_L52TpDpvtn_ThKT3yvGwGBG736UWlk.sihOIdhMozI-kO96tTWxyngxYLke0JCbTr9kOGu8mpw&amp;dib_tag=se&amp;keywords=Vassoura+harry+potter&amp;qid=1759156187&amp;sprefix=vassoura+harry+potter%2Caps%2C132&amp;sr=8-1" TargetMode="External"/><Relationship Id="rId63" Type="http://schemas.openxmlformats.org/officeDocument/2006/relationships/hyperlink" Target="https://www.amazon.com/Wizarding-World-Talking-Sorting-Phrases/dp/B08SVXG1XY/ref=sr_1_10?crid=1ABAD02ZEHWVJ&amp;dib=eyJ2IjoiMSJ9.j2WsOBMziaTA4dak2bWcSoTv5zr6PwYi5EqzMU88bZfgJAcjrpfbWqf9o1naG9jiYgoaWSIb2OzQbHxJUCi_aso_T9XB4KsB5rvoidJumJFvcAP4KYwHL-uPp-OnJ_gmUzwk__qarPTUmsN0wVbhyteFt0I7YOULq41p7zdQqTWutQ3y8fm2oy-dTo96BIugDmS6PG-C7ah5lFkdTSSjzpfUfjh70oxleyguYMbWAVDxZZ2R5CHAzfKVfIktik1FIeo9GnjI7gsyQ7pxAInS_uzLCQLXu-JQyhHbi8lqYOQ.7tmjrQ4gd61NFuBM85ePOIQeBl4o-bp7-TMzeI1plTI&amp;dib_tag=se&amp;keywords=harry%2Bpotter%2Bhome%2Bdecor&amp;qid=1759156130&amp;sprefix=harry%2Bpotter%2Bhome%2Bdecor%2Caps%2C151&amp;sr=8-10&amp;th=1" TargetMode="External"/><Relationship Id="rId66" Type="http://schemas.openxmlformats.org/officeDocument/2006/relationships/hyperlink" Target="https://www.walmart.com/ip/TCL-32-Class-S3-32S331-720p-HD-LED-Smart-TV-with-Roku-TV/721539264?classType=REGULAR&amp;athbdg=L1103&amp;adsRedirect=true" TargetMode="External"/><Relationship Id="rId65" Type="http://schemas.openxmlformats.org/officeDocument/2006/relationships/hyperlink" Target="https://www.amazon.com/dp/B0CTHFHVTF/ref=sspa_dk_detail_0?pf_rd_p=f2f1cf8f-cab4-44dc-82ba-0ca811fb90cc&amp;pf_rd_r=6CYS4X3FQAF99MGEXN6F&amp;pd_rd_wg=MsSwM&amp;pd_rd_w=hMUwP&amp;content-id=amzn1.sym.f2f1cf8f-cab4-44dc-82ba-0ca811fb90cc&amp;pd_rd_r=7164e0ff-7d80-49b0-9dd4-e605fc368e22&amp;sp_csd=d2lkZ2V0TmFtZT1zcF9kZXRhaWxfdGhlbWF0aWM&amp;th=1" TargetMode="External"/><Relationship Id="rId68" Type="http://schemas.openxmlformats.org/officeDocument/2006/relationships/hyperlink" Target="https://www.amazon.com/Bedding-Premium-Waterproof-Mattress-Protector/dp/B07PMFVC9X/ref=sr_1_6?crid=RBCVPQ9O6EMM&amp;dib=eyJ2IjoiMSJ9.GdRQqW0Y9vkAJaFAEcCAM5q8-zluE6xdpo_TneBPpOAN_0AezE5PclmK9PRUMmTl5ij3KCsgJgU_l5GQdbVcMOk1Ki4VaOWyWD5GMMbsxsnDw6-l67JkaF2J3C1QJAvfiGU8oiPkvADjQJ0ecOFjt8pMuzl2bikvCJt56VDyPxXznbIWilqX7Ce0AemAAQuj87_ypKyyLwuFgwtF8ZVhwCAZtw8MdRYFh-QnH933Sfdfx1x4QY8x9tfVrsYgMFrx5jYV2GeMS6nihYCFPt9PTzKzvTs8U3o-Gvj3PryK4jQGHsGj55ceWzDggRX5yVjZ5ojlJ7K7a1E0sx-QmfxdyteayVhxJ_dG2l00TxNBXY__Yh8okTa90CFSjI6BfmV4lI2J_OMwLyr5w5Amk3JpIAbA2ubP6buDK5kwEHnAXt-oazfBIeBnsQpl9oIEu8mq.oZG_2VJDmuy9FVHa_d3f08bLGGinVHT21sdro7kqch0&amp;dib_tag=se&amp;keywords=mattress%2Bprotector%2Bfull&amp;qid=1735353718&amp;sprefix=mattress%2Bprotector%2Bfull%2Caps%2C155&amp;sr=8-6&amp;th=1" TargetMode="External"/><Relationship Id="rId67" Type="http://schemas.openxmlformats.org/officeDocument/2006/relationships/hyperlink" Target="https://www.amazon.com/Zinus-Mattress-Fiberglass-Pressure-Certified/dp/B0CKYZHV5D/ref=sr_1_1?crid=GDIIQGZOGXX3&amp;dib=eyJ2IjoiMSJ9.DO_w8f1J0X5rYl6o_167bA.omAaGWjoKmESkuGUxhE9YvSCsTseb2mrjxJRHbPNhx0&amp;dib_tag=se&amp;keywords=B0CKYZHV5D&amp;qid=1736362058&amp;s=home-garden&amp;sprefix=b0ckyzhv5d%2Cgarden%2C158&amp;sr=1-1&amp;th=1" TargetMode="External"/><Relationship Id="rId60" Type="http://schemas.openxmlformats.org/officeDocument/2006/relationships/hyperlink" Target="https://www.wayfair.com/furniture/pdp/sand-stable-scott-desk-w004205752.html?piid=2057961162" TargetMode="External"/><Relationship Id="rId69" Type="http://schemas.openxmlformats.org/officeDocument/2006/relationships/hyperlink" Target="https://www.amazon.com/King-Size-Sheet-Set-Breathable/dp/B015QL1KMY/ref=sr_1_3_sspa?crid=1IQVBTDEXAW10&amp;dib=eyJ2IjoiMSJ9.BY6575Cf63kPjEHGosYNzxunGCxSMw6ZouNPPZtxYqV5a7zz9dEZbekNpcJ8iOkTyV89a9LwerT3P2o3otIS_nGgg7i4EXNbmOoZv4HDcL2D_lzgre0K5h3DkLjF5FApntWlACfg_u0wC4LZTj0X8lEjlntY5mP9peEDxa8Cc2GQv1wT_boYRwVXXMm0Q1reBgOZX0nEr-qlvUoQN-RQqITOZcLXJAiKos-NwwNc8Z7BnxP7gRxaIAP1aAFloWx4PuKvcxA7WABrcRfvF3CSPp46MFewFchYyKqle1FsJzU.SowLyPGGvF0AIAstUtg5o15YC8X9M-0_Oh64lWIjTaE&amp;dib_tag=se&amp;keywords=sheet%2Bset&amp;qid=1736354515&amp;sprefix=sheet%2Bset%2B%2Caps%2C139&amp;sr=8-3-spons&amp;sp_csd=d2lkZ2V0TmFtZT1zcF9hdGY&amp;th=1" TargetMode="External"/><Relationship Id="rId51" Type="http://schemas.openxmlformats.org/officeDocument/2006/relationships/hyperlink" Target="https://www.amazon.com/Amazon-Basics-Non-Slip-Clothes-Hangers/dp/B0756F2CCN/ref=sr_1_2?crid=2Q3E9IZ4OMDBS&amp;dib=eyJ2IjoiMSJ9.iOqyvvRUhr-abhWgNvJ_gQ.VjfV0-jLkuyiXrEDdeC8_c5NMgaC1bWah0xKBlqxLqk&amp;dib_tag=se&amp;keywords=B0756F2CCN&amp;qid=1736354334&amp;s=hi&amp;sprefix=b0756f2ccn%2Ctools%2C145&amp;sr=1-2&amp;th=1" TargetMode="External"/><Relationship Id="rId50" Type="http://schemas.openxmlformats.org/officeDocument/2006/relationships/hyperlink" Target="https://www.amazon.com/HARRITPURE-Full-Length-Mirror-Rectangle/dp/B0D9NGFBRN/ref=sr_1_13_sspa?crid=3T5SQPI39C08N&amp;dib=eyJ2IjoiMSJ9.AFdLfl5hpZmek7cLkteHaq-qDbP9IVycuyewZtkicdlM3BHm0i7IapjyoykJrAJPihPiagtzRkWBkkNITXXYyBJQr7xIOmgP3DAaAdIqSg8ovfhU7ZwgpmTnEpSH9HsqNrBrhWBAxt_hwPogAfV4mJW5-B4_mqmUq3r2onlOPZ2xlHu8afm0_J-S_Y24osfLBnodRjx_G_wz-X2T-vaN3_aMfTrGL7ZlYmalPz2JQjUuEfso-FyaxSEddqpQCQWjRoMT7OibPLe-y9Dkx-kem2ozRpwTSK1MGXOHwDhos0E.PT5dY2nnZJ3xPinzT5cBsC0V3VDRj3wEaQ0VOUwNQ-8&amp;dib_tag=se&amp;keywords=mirror%2Bgold&amp;qid=1756329118&amp;sprefix=mirror%2Bgold%2Caps%2C122&amp;sr=8-13-spons&amp;sp_csd=d2lkZ2V0TmFtZT1zcF9tdGY&amp;th=1" TargetMode="External"/><Relationship Id="rId53" Type="http://schemas.openxmlformats.org/officeDocument/2006/relationships/hyperlink" Target="https://www.amazon.com/Maple-Stone-Lightweight-Bedspread-Ultrasonic/dp/B09P3QKQR8/ref=sr_1_2_sspa?crid=1C61R0WHJSIVV&amp;dib=eyJ2IjoiMSJ9.Q8tWRfz8Y8ozcJHRiLdrnw.cRUUQ4ZFzLyrxjjIgcxpwkDlgfKzCQ_CCUil6V7DD2g&amp;dib_tag=se&amp;keywords=B09P3QKQR8&amp;qid=1736354394&amp;sprefix=b09p3qkqr8%2Caps%2C102&amp;sr=8-2-spons&amp;sp_csd=d2lkZ2V0TmFtZT1zcF9hdGY&amp;th=1" TargetMode="External"/><Relationship Id="rId52" Type="http://schemas.openxmlformats.org/officeDocument/2006/relationships/hyperlink" Target="https://www.amazon.com/King-Size-Sheet-Set-Breathable/dp/B015QL1KMY/ref=sr_1_3_sspa?crid=1IQVBTDEXAW10&amp;dib=eyJ2IjoiMSJ9.BY6575Cf63kPjEHGosYNzxunGCxSMw6ZouNPPZtxYqV5a7zz9dEZbekNpcJ8iOkTyV89a9LwerT3P2o3otIS_nGgg7i4EXNbmOoZv4HDcL2D_lzgre0K5h3DkLjF5FApntWlACfg_u0wC4LZTj0X8lEjlntY5mP9peEDxa8Cc2GQv1wT_boYRwVXXMm0Q1reBgOZX0nEr-qlvUoQN-RQqITOZcLXJAiKos-NwwNc8Z7BnxP7gRxaIAP1aAFloWx4PuKvcxA7WABrcRfvF3CSPp46MFewFchYyKqle1FsJzU.SowLyPGGvF0AIAstUtg5o15YC8X9M-0_Oh64lWIjTaE&amp;dib_tag=se&amp;keywords=sheet%2Bset&amp;qid=1736354515&amp;sprefix=sheet%2Bset%2B%2Caps%2C139&amp;sr=8-3-spons&amp;sp_csd=d2lkZ2V0TmFtZT1zcF9hdGY&amp;th=1%20https://www.amazon.com/Maple-Stone-Lightweight-Bedspread-Ultrasonic/dp/B09P3QKQR8/ref=sr_1_2_sspa?crid=1C61R0WHJSIVV&amp;dib=eyJ2IjoiMSJ9.Q8tWRfz8Y8ozcJHRiLdrnw.cRUUQ4ZFzLyrxjjIgcxpwkDlgfKzCQ_CCUil6V7DD2g&amp;dib_tag=se&amp;keywords=B09P3QKQR8&amp;qid=1736354394&amp;sprefix=b09p3qkqr8%2Caps%2C102&amp;sr=8-2-spons&amp;sp_csd=d2lkZ2V0TmFtZT1zcF9hdGY&amp;th=1%20https://www.amazon.com/Utopia-Bedding-Blanket-Anti-Static-Microfiber/dp/B09STC4MG3/ref=sr_1_6?crid=22S2HFM4KLD14&amp;dib=eyJ2IjoiMSJ9.KQIzx7oS5l6DX-no_CFu2SOJIQT1kffq9i9V5Q4D3y6xqex1MG3eXx2e_VxUQrG2lDnrisTI2nfWUYW0UCg0-2Moq2OsoKea9vE0WBrjUkHBo6IfxtM2TJoN_OYJxq2KcfTjHFTENPDkjIl2Zi7mdp7wm5q0oSQSYTiwtvVlF--L-swIS0g2fs34w2T6Ba5Qr01cBMqH7v8tFzO7TK9rq3JR3J4tTkOWbXdCvl5G4iDbB3lh5gehq5t6PvCnhSUKH_Bzcwy8kZ9Ykr6X2eGgj8gMLQueICV0uCMlS4UAPO8.zA9-tlfwxx3uuRMXS6K_BHkqtB4ulmJoSm5-REyrc9Y&amp;dib_tag=se&amp;keywords=Bedding%2BIvory%2BFleece%2BBlanket%2BKing%2BSize&amp;qid=1756329220&amp;sprefix=bedding%2Bivory%2Bfleece%2Bblanket%2Bking%2Bsize%2Caps%2C148&amp;sr=8-6&amp;th=1%20https://www.amazon.com/Linenspa-Premium-Smooth-Mattress-Protector/dp/B00MW50EDY/ref=sr_1_6?crid=1KD809JY2RNDM&amp;dib=eyJ2IjoiMSJ9.6mVtZC-y3V_lIKegVbsP3A.tiW4P9RXIVO5mZ1wLL8j10ShAp5gwiqa9wdGINpYzM4&amp;dib_tag=se&amp;keywords=B00MW50EDY&amp;qid=1756329362&amp;sprefix=b00mw50edy%2Caps%2C133&amp;sr=8-6&amp;th=1" TargetMode="External"/><Relationship Id="rId55" Type="http://schemas.openxmlformats.org/officeDocument/2006/relationships/hyperlink" Target="https://www.amazon.com/Linenspa-Premium-Smooth-Mattress-Protector/dp/B00MW50EDY/ref=sr_1_6?crid=1KD809JY2RNDM&amp;dib=eyJ2IjoiMSJ9.6mVtZC-y3V_lIKegVbsP3A.tiW4P9RXIVO5mZ1wLL8j10ShAp5gwiqa9wdGINpYzM4&amp;dib_tag=se&amp;keywords=B00MW50EDY&amp;qid=1756329362&amp;sprefix=b00mw50edy%2Caps%2C133&amp;sr=8-6&amp;th=1" TargetMode="External"/><Relationship Id="rId54" Type="http://schemas.openxmlformats.org/officeDocument/2006/relationships/hyperlink" Target="https://www.amazon.com/Utopia-Bedding-Blanket-Anti-Static-Microfiber/dp/B09STC4MG3/ref=sr_1_6?crid=22S2HFM4KLD14&amp;dib=eyJ2IjoiMSJ9.KQIzx7oS5l6DX-no_CFu2SOJIQT1kffq9i9V5Q4D3y6xqex1MG3eXx2e_VxUQrG2lDnrisTI2nfWUYW0UCg0-2Moq2OsoKea9vE0WBrjUkHBo6IfxtM2TJoN_OYJxq2KcfTjHFTENPDkjIl2Zi7mdp7wm5q0oSQSYTiwtvVlF--L-swIS0g2fs34w2T6Ba5Qr01cBMqH7v8tFzO7TK9rq3JR3J4tTkOWbXdCvl5G4iDbB3lh5gehq5t6PvCnhSUKH_Bzcwy8kZ9Ykr6X2eGgj8gMLQueICV0uCMlS4UAPO8.zA9-tlfwxx3uuRMXS6K_BHkqtB4ulmJoSm5-REyrc9Y&amp;dib_tag=se&amp;keywords=Bedding%2BIvory%2BFleece%2BBlanket%2BKing%2BSize&amp;qid=1756329220&amp;sprefix=bedding%2Bivory%2Bfleece%2Bblanket%2Bking%2Bsize%2Caps%2C148&amp;sr=8-6&amp;th=1" TargetMode="External"/><Relationship Id="rId57" Type="http://schemas.openxmlformats.org/officeDocument/2006/relationships/hyperlink" Target="https://www.amazon.com/Maple-Stone-Lightweight-Bedspread-Ultrasonic/dp/B09P3QKQR8/ref=sr_1_2_sspa?crid=1C61R0WHJSIVV&amp;dib=eyJ2IjoiMSJ9.Q8tWRfz8Y8ozcJHRiLdrnw.cRUUQ4ZFzLyrxjjIgcxpwkDlgfKzCQ_CCUil6V7DD2g&amp;dib_tag=se&amp;keywords=B09P3QKQR8&amp;qid=1736354394&amp;sprefix=b09p3qkqr8%2Caps%2C102&amp;sr=8-2-spons&amp;sp_csd=d2lkZ2V0TmFtZT1zcF9hdGY&amp;th=1" TargetMode="External"/><Relationship Id="rId56" Type="http://schemas.openxmlformats.org/officeDocument/2006/relationships/hyperlink" Target="https://www.amazon.com/King-Size-Sheet-Set-Breathable/dp/B015QL1KMY/ref=sr_1_3_sspa?crid=1IQVBTDEXAW10&amp;dib=eyJ2IjoiMSJ9.BY6575Cf63kPjEHGosYNzxunGCxSMw6ZouNPPZtxYqV5a7zz9dEZbekNpcJ8iOkTyV89a9LwerT3P2o3otIS_nGgg7i4EXNbmOoZv4HDcL2D_lzgre0K5h3DkLjF5FApntWlACfg_u0wC4LZTj0X8lEjlntY5mP9peEDxa8Cc2GQv1wT_boYRwVXXMm0Q1reBgOZX0nEr-qlvUoQN-RQqITOZcLXJAiKos-NwwNc8Z7BnxP7gRxaIAP1aAFloWx4PuKvcxA7WABrcRfvF3CSPp46MFewFchYyKqle1FsJzU.SowLyPGGvF0AIAstUtg5o15YC8X9M-0_Oh64lWIjTaE&amp;dib_tag=se&amp;keywords=sheet%2Bset&amp;qid=1736354515&amp;sprefix=sheet%2Bset%2B%2Caps%2C139&amp;sr=8-3-spons&amp;sp_csd=d2lkZ2V0TmFtZT1zcF9hdGY&amp;th=1" TargetMode="External"/><Relationship Id="rId59" Type="http://schemas.openxmlformats.org/officeDocument/2006/relationships/hyperlink" Target="https://www.amazon.com/dp/B00MW50EDY/ref=twister_B0CYCRVKD1?_encoding=UTF8&amp;th=1" TargetMode="External"/><Relationship Id="rId58" Type="http://schemas.openxmlformats.org/officeDocument/2006/relationships/hyperlink" Target="https://www.amazon.com/Utopia-Bedding-Polar-Fleece-Thermal-Lightweight/dp/B0C96GQJL7/ref=sr_1_1?crid=2XCLP2FEKMSJU&amp;dib=eyJ2IjoiMSJ9.WIJFM6wQstH2Wi5ijw02Eg.JarzzHgPXtoOadSYx8pm8YfU-_ZuLoCeCLYBAgVOi58&amp;dib_tag=se&amp;keywords=B00J7BJJDM&amp;qid=1735352598&amp;sprefix=b00j7bjjdm%2Caps%2C224&amp;sr=8-1&amp;th=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0"/>
  <cols>
    <col customWidth="1" min="2" max="2" width="26.5"/>
    <col customWidth="1" min="3" max="3" width="28.13"/>
    <col customWidth="1" min="4" max="4" width="40.0"/>
    <col customWidth="1" min="5" max="5" width="20.25"/>
    <col customWidth="1" min="6" max="6" width="20.13"/>
    <col customWidth="1" min="8" max="8" width="25.63"/>
    <col customWidth="1" min="9" max="9" width="22.38"/>
    <col customWidth="1" min="10" max="10" width="20.38"/>
    <col customWidth="1" min="11" max="11" width="16.5"/>
    <col customWidth="1" min="12" max="12" width="27.75"/>
  </cols>
  <sheetData>
    <row r="1">
      <c r="A1" s="1"/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/>
      <c r="C2" s="3"/>
      <c r="D2" s="3"/>
      <c r="E2" s="4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2"/>
      <c r="C4" s="3"/>
      <c r="D4" s="3"/>
      <c r="E4" s="4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2"/>
      <c r="C5" s="3"/>
      <c r="D5" s="3"/>
      <c r="E5" s="4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5" t="s">
        <v>0</v>
      </c>
      <c r="B6" s="2"/>
      <c r="C6" s="3"/>
      <c r="D6" s="3"/>
      <c r="E6" s="4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2"/>
      <c r="C7" s="3"/>
      <c r="D7" s="3"/>
      <c r="E7" s="4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2"/>
      <c r="C8" s="3"/>
      <c r="D8" s="3"/>
      <c r="E8" s="4"/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2"/>
      <c r="C9" s="3"/>
      <c r="D9" s="3"/>
      <c r="E9" s="4"/>
      <c r="F9" s="3"/>
      <c r="G9" s="3"/>
      <c r="H9" s="3"/>
      <c r="I9" s="3"/>
      <c r="J9" s="3"/>
      <c r="K9" s="3"/>
      <c r="L9" s="3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2.25" customHeight="1">
      <c r="A10" s="1"/>
      <c r="B10" s="2"/>
      <c r="C10" s="3"/>
      <c r="D10" s="3"/>
      <c r="E10" s="4"/>
      <c r="F10" s="3"/>
      <c r="G10" s="3"/>
      <c r="H10" s="3"/>
      <c r="I10" s="3"/>
      <c r="J10" s="3"/>
      <c r="K10" s="3"/>
      <c r="L10" s="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27.75" customHeight="1">
      <c r="A11" s="1"/>
      <c r="B11" s="2"/>
      <c r="C11" s="3"/>
      <c r="D11" s="3"/>
      <c r="E11" s="4"/>
      <c r="F11" s="3"/>
      <c r="G11" s="3"/>
      <c r="H11" s="3"/>
      <c r="I11" s="3"/>
      <c r="J11" s="3"/>
      <c r="K11" s="3"/>
      <c r="L11" s="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21.75" customHeight="1">
      <c r="A12" s="6"/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22.5" customHeight="1">
      <c r="A13" s="1"/>
      <c r="B13" s="8" t="s">
        <v>12</v>
      </c>
      <c r="C13" s="9" t="s">
        <v>13</v>
      </c>
      <c r="D13" s="10" t="s">
        <v>14</v>
      </c>
      <c r="E13" s="11" t="s">
        <v>15</v>
      </c>
      <c r="F13" s="12" t="s">
        <v>16</v>
      </c>
      <c r="G13" s="13">
        <v>1.0</v>
      </c>
      <c r="H13" s="14">
        <v>23.0</v>
      </c>
      <c r="I13" s="14">
        <f t="shared" ref="I13:I23" si="1">G13*H13</f>
        <v>23</v>
      </c>
      <c r="J13" s="15">
        <v>18.09</v>
      </c>
      <c r="K13" s="11" t="s">
        <v>17</v>
      </c>
      <c r="L13" s="1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22.5" customHeight="1">
      <c r="A14" s="1"/>
      <c r="B14" s="8" t="s">
        <v>12</v>
      </c>
      <c r="C14" s="9" t="s">
        <v>18</v>
      </c>
      <c r="D14" s="10" t="s">
        <v>19</v>
      </c>
      <c r="E14" s="11" t="s">
        <v>20</v>
      </c>
      <c r="F14" s="17"/>
      <c r="G14" s="13">
        <v>1.0</v>
      </c>
      <c r="H14" s="18">
        <v>240.0</v>
      </c>
      <c r="I14" s="18">
        <f t="shared" si="1"/>
        <v>240</v>
      </c>
      <c r="J14" s="15">
        <v>4514.8</v>
      </c>
      <c r="K14" s="11" t="s">
        <v>21</v>
      </c>
      <c r="L14" s="1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2.5" customHeight="1">
      <c r="A15" s="1"/>
      <c r="B15" s="8" t="s">
        <v>12</v>
      </c>
      <c r="C15" s="19" t="s">
        <v>22</v>
      </c>
      <c r="D15" s="20" t="s">
        <v>23</v>
      </c>
      <c r="E15" s="21" t="s">
        <v>24</v>
      </c>
      <c r="F15" s="17"/>
      <c r="G15" s="22">
        <v>2.0</v>
      </c>
      <c r="H15" s="23">
        <v>50.0</v>
      </c>
      <c r="I15" s="18">
        <f t="shared" si="1"/>
        <v>100</v>
      </c>
      <c r="J15" s="24"/>
      <c r="K15" s="21" t="s">
        <v>21</v>
      </c>
      <c r="L15" s="2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22.5" customHeight="1">
      <c r="A16" s="1"/>
      <c r="B16" s="8" t="s">
        <v>12</v>
      </c>
      <c r="C16" s="9" t="s">
        <v>13</v>
      </c>
      <c r="D16" s="26" t="s">
        <v>25</v>
      </c>
      <c r="E16" s="27" t="s">
        <v>26</v>
      </c>
      <c r="F16" s="28" t="s">
        <v>27</v>
      </c>
      <c r="G16" s="29">
        <v>2.0</v>
      </c>
      <c r="H16" s="30">
        <v>20.0</v>
      </c>
      <c r="I16" s="18">
        <f t="shared" si="1"/>
        <v>40</v>
      </c>
      <c r="J16" s="31">
        <v>1825.94</v>
      </c>
      <c r="K16" s="32" t="s">
        <v>21</v>
      </c>
      <c r="L16" s="3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2.5" customHeight="1">
      <c r="A17" s="1"/>
      <c r="B17" s="8" t="s">
        <v>12</v>
      </c>
      <c r="C17" s="19" t="s">
        <v>28</v>
      </c>
      <c r="D17" s="10" t="s">
        <v>29</v>
      </c>
      <c r="E17" s="11" t="s">
        <v>20</v>
      </c>
      <c r="F17" s="9"/>
      <c r="G17" s="13">
        <v>2.0</v>
      </c>
      <c r="H17" s="18">
        <v>5.0</v>
      </c>
      <c r="I17" s="18">
        <f t="shared" si="1"/>
        <v>10</v>
      </c>
      <c r="J17" s="18"/>
      <c r="K17" s="11" t="s">
        <v>21</v>
      </c>
      <c r="L17" s="34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2.5" customHeight="1">
      <c r="A18" s="1"/>
      <c r="B18" s="8" t="s">
        <v>12</v>
      </c>
      <c r="C18" s="9" t="s">
        <v>13</v>
      </c>
      <c r="D18" s="10" t="s">
        <v>30</v>
      </c>
      <c r="E18" s="11" t="s">
        <v>15</v>
      </c>
      <c r="F18" s="35" t="s">
        <v>31</v>
      </c>
      <c r="G18" s="13">
        <v>5.0</v>
      </c>
      <c r="H18" s="18">
        <v>5.0</v>
      </c>
      <c r="I18" s="18">
        <f t="shared" si="1"/>
        <v>25</v>
      </c>
      <c r="J18" s="15">
        <v>28.63</v>
      </c>
      <c r="K18" s="11" t="s">
        <v>17</v>
      </c>
      <c r="L18" s="3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2.5" customHeight="1">
      <c r="A19" s="1"/>
      <c r="B19" s="8" t="s">
        <v>12</v>
      </c>
      <c r="C19" s="19" t="s">
        <v>22</v>
      </c>
      <c r="D19" s="10" t="s">
        <v>32</v>
      </c>
      <c r="E19" s="11" t="s">
        <v>24</v>
      </c>
      <c r="F19" s="35"/>
      <c r="G19" s="13">
        <v>1.0</v>
      </c>
      <c r="H19" s="18">
        <v>210.0</v>
      </c>
      <c r="I19" s="18">
        <f t="shared" si="1"/>
        <v>210</v>
      </c>
      <c r="J19" s="18"/>
      <c r="K19" s="11" t="s">
        <v>21</v>
      </c>
      <c r="L19" s="1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2.5" customHeight="1">
      <c r="A20" s="1"/>
      <c r="B20" s="8" t="s">
        <v>12</v>
      </c>
      <c r="C20" s="19" t="s">
        <v>13</v>
      </c>
      <c r="D20" s="26" t="s">
        <v>33</v>
      </c>
      <c r="E20" s="27" t="s">
        <v>15</v>
      </c>
      <c r="F20" s="37" t="s">
        <v>5</v>
      </c>
      <c r="G20" s="29">
        <v>2.0</v>
      </c>
      <c r="H20" s="30">
        <v>110.0</v>
      </c>
      <c r="I20" s="18">
        <f t="shared" si="1"/>
        <v>220</v>
      </c>
      <c r="J20" s="31">
        <v>221.51</v>
      </c>
      <c r="K20" s="32" t="s">
        <v>17</v>
      </c>
      <c r="L20" s="33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2.5" customHeight="1">
      <c r="A21" s="1"/>
      <c r="B21" s="8" t="s">
        <v>12</v>
      </c>
      <c r="C21" s="9" t="s">
        <v>34</v>
      </c>
      <c r="D21" s="10" t="s">
        <v>35</v>
      </c>
      <c r="E21" s="11" t="s">
        <v>36</v>
      </c>
      <c r="F21" s="35" t="s">
        <v>37</v>
      </c>
      <c r="G21" s="13">
        <v>1.0</v>
      </c>
      <c r="H21" s="18">
        <v>0.0</v>
      </c>
      <c r="I21" s="18">
        <f t="shared" si="1"/>
        <v>0</v>
      </c>
      <c r="J21" s="15">
        <v>0.0</v>
      </c>
      <c r="K21" s="11" t="s">
        <v>17</v>
      </c>
      <c r="L21" s="36" t="s">
        <v>38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2.5" customHeight="1">
      <c r="A22" s="1"/>
      <c r="B22" s="8" t="s">
        <v>12</v>
      </c>
      <c r="C22" s="9" t="s">
        <v>39</v>
      </c>
      <c r="D22" s="10" t="s">
        <v>40</v>
      </c>
      <c r="E22" s="11" t="s">
        <v>20</v>
      </c>
      <c r="F22" s="35"/>
      <c r="G22" s="13">
        <v>1.0</v>
      </c>
      <c r="H22" s="18">
        <v>200.0</v>
      </c>
      <c r="I22" s="18">
        <f t="shared" si="1"/>
        <v>200</v>
      </c>
      <c r="J22" s="18"/>
      <c r="K22" s="11" t="s">
        <v>21</v>
      </c>
      <c r="L22" s="1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2.5" customHeight="1">
      <c r="A23" s="1"/>
      <c r="B23" s="8" t="s">
        <v>12</v>
      </c>
      <c r="C23" s="19" t="s">
        <v>22</v>
      </c>
      <c r="D23" s="10" t="s">
        <v>41</v>
      </c>
      <c r="E23" s="11" t="s">
        <v>24</v>
      </c>
      <c r="F23" s="35"/>
      <c r="G23" s="13">
        <v>1.0</v>
      </c>
      <c r="H23" s="18">
        <v>17.0</v>
      </c>
      <c r="I23" s="18">
        <f t="shared" si="1"/>
        <v>17</v>
      </c>
      <c r="J23" s="18"/>
      <c r="K23" s="11" t="s">
        <v>21</v>
      </c>
      <c r="L23" s="1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2.5" customHeight="1">
      <c r="A24" s="1"/>
      <c r="B24" s="38" t="s">
        <v>42</v>
      </c>
      <c r="C24" s="9" t="s">
        <v>13</v>
      </c>
      <c r="D24" s="10" t="s">
        <v>43</v>
      </c>
      <c r="E24" s="39" t="s">
        <v>15</v>
      </c>
      <c r="F24" s="37" t="s">
        <v>44</v>
      </c>
      <c r="G24" s="13">
        <v>1.0</v>
      </c>
      <c r="H24" s="18">
        <v>43.0</v>
      </c>
      <c r="I24" s="18">
        <v>43.0</v>
      </c>
      <c r="J24" s="15">
        <v>36.41</v>
      </c>
      <c r="K24" s="11" t="s">
        <v>17</v>
      </c>
      <c r="L24" s="1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2.5" customHeight="1">
      <c r="A25" s="1"/>
      <c r="B25" s="38" t="s">
        <v>42</v>
      </c>
      <c r="C25" s="9" t="s">
        <v>13</v>
      </c>
      <c r="D25" s="10" t="s">
        <v>45</v>
      </c>
      <c r="E25" s="39" t="s">
        <v>15</v>
      </c>
      <c r="F25" s="37" t="s">
        <v>44</v>
      </c>
      <c r="G25" s="13">
        <v>1.0</v>
      </c>
      <c r="H25" s="18">
        <v>30.0</v>
      </c>
      <c r="I25" s="18">
        <v>30.0</v>
      </c>
      <c r="J25" s="15">
        <v>25.54</v>
      </c>
      <c r="K25" s="11" t="s">
        <v>17</v>
      </c>
      <c r="L25" s="1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2.5" customHeight="1">
      <c r="A26" s="1"/>
      <c r="B26" s="38" t="s">
        <v>42</v>
      </c>
      <c r="C26" s="9" t="s">
        <v>46</v>
      </c>
      <c r="D26" s="10" t="s">
        <v>47</v>
      </c>
      <c r="E26" s="11" t="s">
        <v>48</v>
      </c>
      <c r="F26" s="40" t="s">
        <v>49</v>
      </c>
      <c r="G26" s="13">
        <v>4.0</v>
      </c>
      <c r="H26" s="18">
        <v>111.6</v>
      </c>
      <c r="I26" s="18">
        <v>446.4</v>
      </c>
      <c r="J26" s="15">
        <v>682.0</v>
      </c>
      <c r="K26" s="11" t="s">
        <v>17</v>
      </c>
      <c r="L26" s="1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2.5" customHeight="1">
      <c r="A27" s="1"/>
      <c r="B27" s="38" t="s">
        <v>42</v>
      </c>
      <c r="C27" s="19" t="s">
        <v>50</v>
      </c>
      <c r="D27" s="10" t="s">
        <v>51</v>
      </c>
      <c r="E27" s="39" t="s">
        <v>15</v>
      </c>
      <c r="F27" s="37" t="s">
        <v>44</v>
      </c>
      <c r="G27" s="13">
        <v>1.0</v>
      </c>
      <c r="H27" s="18">
        <v>59.0</v>
      </c>
      <c r="I27" s="18">
        <v>59.0</v>
      </c>
      <c r="J27" s="15">
        <v>83.16</v>
      </c>
      <c r="K27" s="11" t="s">
        <v>17</v>
      </c>
      <c r="L27" s="36" t="s">
        <v>52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2.5" customHeight="1">
      <c r="A28" s="1"/>
      <c r="B28" s="38" t="s">
        <v>42</v>
      </c>
      <c r="C28" s="9" t="s">
        <v>13</v>
      </c>
      <c r="D28" s="10" t="s">
        <v>53</v>
      </c>
      <c r="E28" s="39" t="s">
        <v>15</v>
      </c>
      <c r="F28" s="37" t="s">
        <v>44</v>
      </c>
      <c r="G28" s="13">
        <v>1.0</v>
      </c>
      <c r="H28" s="18">
        <v>8.99</v>
      </c>
      <c r="I28" s="18">
        <v>8.99</v>
      </c>
      <c r="J28" s="15">
        <v>13.83</v>
      </c>
      <c r="K28" s="11" t="s">
        <v>17</v>
      </c>
      <c r="L28" s="1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2.5" customHeight="1">
      <c r="A29" s="1"/>
      <c r="B29" s="38" t="s">
        <v>42</v>
      </c>
      <c r="C29" s="9" t="s">
        <v>13</v>
      </c>
      <c r="D29" s="10" t="s">
        <v>54</v>
      </c>
      <c r="E29" s="39" t="s">
        <v>15</v>
      </c>
      <c r="F29" s="37" t="s">
        <v>44</v>
      </c>
      <c r="G29" s="13">
        <v>1.0</v>
      </c>
      <c r="H29" s="18">
        <v>11.99</v>
      </c>
      <c r="I29" s="18">
        <v>11.99</v>
      </c>
      <c r="J29" s="15">
        <v>14.89</v>
      </c>
      <c r="K29" s="11" t="s">
        <v>17</v>
      </c>
      <c r="L29" s="1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2.5" customHeight="1">
      <c r="A30" s="1"/>
      <c r="B30" s="38" t="s">
        <v>42</v>
      </c>
      <c r="C30" s="9" t="s">
        <v>13</v>
      </c>
      <c r="D30" s="10" t="s">
        <v>55</v>
      </c>
      <c r="E30" s="39" t="s">
        <v>15</v>
      </c>
      <c r="F30" s="37" t="s">
        <v>44</v>
      </c>
      <c r="G30" s="13">
        <v>1.0</v>
      </c>
      <c r="H30" s="18">
        <v>15.0</v>
      </c>
      <c r="I30" s="18">
        <v>15.0</v>
      </c>
      <c r="J30" s="15">
        <v>10.49</v>
      </c>
      <c r="K30" s="11" t="s">
        <v>17</v>
      </c>
      <c r="L30" s="1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2.5" customHeight="1">
      <c r="A31" s="1"/>
      <c r="B31" s="38" t="s">
        <v>42</v>
      </c>
      <c r="C31" s="9" t="s">
        <v>13</v>
      </c>
      <c r="D31" s="10" t="s">
        <v>56</v>
      </c>
      <c r="E31" s="41" t="s">
        <v>15</v>
      </c>
      <c r="F31" s="37" t="s">
        <v>44</v>
      </c>
      <c r="G31" s="13">
        <v>3.0</v>
      </c>
      <c r="H31" s="18">
        <v>62.55</v>
      </c>
      <c r="I31" s="18">
        <v>187.64999999999998</v>
      </c>
      <c r="J31" s="15">
        <v>184.15</v>
      </c>
      <c r="K31" s="11" t="s">
        <v>17</v>
      </c>
      <c r="L31" s="1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2.5" customHeight="1">
      <c r="A32" s="1"/>
      <c r="B32" s="38" t="s">
        <v>42</v>
      </c>
      <c r="C32" s="9" t="s">
        <v>13</v>
      </c>
      <c r="D32" s="10" t="s">
        <v>57</v>
      </c>
      <c r="E32" s="41" t="s">
        <v>15</v>
      </c>
      <c r="F32" s="19"/>
      <c r="G32" s="13">
        <v>3.0</v>
      </c>
      <c r="H32" s="18">
        <v>6.0</v>
      </c>
      <c r="I32" s="18">
        <v>18.0</v>
      </c>
      <c r="J32" s="18"/>
      <c r="K32" s="11" t="s">
        <v>17</v>
      </c>
      <c r="L32" s="1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2.5" customHeight="1">
      <c r="A33" s="1"/>
      <c r="B33" s="38" t="s">
        <v>42</v>
      </c>
      <c r="C33" s="19" t="s">
        <v>22</v>
      </c>
      <c r="D33" s="10" t="s">
        <v>58</v>
      </c>
      <c r="E33" s="21" t="s">
        <v>24</v>
      </c>
      <c r="F33" s="19"/>
      <c r="G33" s="13">
        <v>3.0</v>
      </c>
      <c r="H33" s="18">
        <v>80.0</v>
      </c>
      <c r="I33" s="18">
        <v>240.0</v>
      </c>
      <c r="J33" s="18"/>
      <c r="K33" s="11" t="s">
        <v>21</v>
      </c>
      <c r="L33" s="1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2.5" customHeight="1">
      <c r="A34" s="1"/>
      <c r="B34" s="38" t="s">
        <v>42</v>
      </c>
      <c r="C34" s="9" t="s">
        <v>59</v>
      </c>
      <c r="D34" s="10" t="s">
        <v>60</v>
      </c>
      <c r="E34" s="11" t="s">
        <v>15</v>
      </c>
      <c r="F34" s="19"/>
      <c r="G34" s="13">
        <v>1.0</v>
      </c>
      <c r="H34" s="18">
        <v>6.0</v>
      </c>
      <c r="I34" s="18">
        <v>6.0</v>
      </c>
      <c r="J34" s="15">
        <v>0.0</v>
      </c>
      <c r="K34" s="11" t="s">
        <v>21</v>
      </c>
      <c r="L34" s="36" t="s">
        <v>61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2.5" customHeight="1">
      <c r="A35" s="1"/>
      <c r="B35" s="38" t="s">
        <v>42</v>
      </c>
      <c r="C35" s="9" t="s">
        <v>13</v>
      </c>
      <c r="D35" s="10" t="s">
        <v>62</v>
      </c>
      <c r="E35" s="39" t="s">
        <v>15</v>
      </c>
      <c r="F35" s="37" t="s">
        <v>44</v>
      </c>
      <c r="G35" s="13">
        <v>1.0</v>
      </c>
      <c r="H35" s="18">
        <v>24.0</v>
      </c>
      <c r="I35" s="18">
        <v>24.0</v>
      </c>
      <c r="J35" s="15">
        <v>25.03</v>
      </c>
      <c r="K35" s="11" t="s">
        <v>17</v>
      </c>
      <c r="L35" s="1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2.5" customHeight="1">
      <c r="A36" s="1"/>
      <c r="B36" s="38" t="s">
        <v>42</v>
      </c>
      <c r="C36" s="9" t="s">
        <v>13</v>
      </c>
      <c r="D36" s="10" t="s">
        <v>63</v>
      </c>
      <c r="E36" s="39" t="s">
        <v>15</v>
      </c>
      <c r="F36" s="37" t="s">
        <v>44</v>
      </c>
      <c r="G36" s="13">
        <v>1.0</v>
      </c>
      <c r="H36" s="18">
        <v>9.99</v>
      </c>
      <c r="I36" s="18">
        <v>9.99</v>
      </c>
      <c r="J36" s="15">
        <v>10.1</v>
      </c>
      <c r="K36" s="11" t="s">
        <v>17</v>
      </c>
      <c r="L36" s="1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2.5" customHeight="1">
      <c r="A37" s="1"/>
      <c r="B37" s="38" t="s">
        <v>42</v>
      </c>
      <c r="C37" s="9" t="s">
        <v>13</v>
      </c>
      <c r="D37" s="10" t="s">
        <v>64</v>
      </c>
      <c r="E37" s="39" t="s">
        <v>15</v>
      </c>
      <c r="F37" s="37" t="s">
        <v>44</v>
      </c>
      <c r="G37" s="13">
        <v>1.0</v>
      </c>
      <c r="H37" s="18">
        <v>19.0</v>
      </c>
      <c r="I37" s="18">
        <v>19.0</v>
      </c>
      <c r="J37" s="15">
        <v>14.89</v>
      </c>
      <c r="K37" s="11" t="s">
        <v>17</v>
      </c>
      <c r="L37" s="1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2.5" customHeight="1">
      <c r="A38" s="1"/>
      <c r="B38" s="38" t="s">
        <v>42</v>
      </c>
      <c r="C38" s="9" t="s">
        <v>59</v>
      </c>
      <c r="D38" s="10" t="s">
        <v>65</v>
      </c>
      <c r="E38" s="11" t="s">
        <v>20</v>
      </c>
      <c r="F38" s="19"/>
      <c r="G38" s="13">
        <v>1.0</v>
      </c>
      <c r="H38" s="18">
        <v>50.0</v>
      </c>
      <c r="I38" s="18">
        <v>50.0</v>
      </c>
      <c r="J38" s="18"/>
      <c r="K38" s="11" t="s">
        <v>21</v>
      </c>
      <c r="L38" s="1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2.5" customHeight="1">
      <c r="A39" s="1"/>
      <c r="B39" s="38" t="s">
        <v>42</v>
      </c>
      <c r="C39" s="9" t="s">
        <v>59</v>
      </c>
      <c r="D39" s="10" t="s">
        <v>66</v>
      </c>
      <c r="E39" s="11" t="s">
        <v>15</v>
      </c>
      <c r="F39" s="19"/>
      <c r="G39" s="13">
        <v>1.0</v>
      </c>
      <c r="H39" s="18">
        <v>15.0</v>
      </c>
      <c r="I39" s="18">
        <v>15.0</v>
      </c>
      <c r="J39" s="15">
        <v>0.0</v>
      </c>
      <c r="K39" s="11" t="s">
        <v>21</v>
      </c>
      <c r="L39" s="36" t="s">
        <v>61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2.5" customHeight="1">
      <c r="A40" s="1"/>
      <c r="B40" s="38" t="s">
        <v>42</v>
      </c>
      <c r="C40" s="9" t="s">
        <v>13</v>
      </c>
      <c r="D40" s="10" t="s">
        <v>67</v>
      </c>
      <c r="E40" s="39" t="s">
        <v>15</v>
      </c>
      <c r="F40" s="37" t="s">
        <v>44</v>
      </c>
      <c r="G40" s="13">
        <v>2.0</v>
      </c>
      <c r="H40" s="18">
        <v>16.0</v>
      </c>
      <c r="I40" s="18">
        <v>32.0</v>
      </c>
      <c r="J40" s="15">
        <v>31.33</v>
      </c>
      <c r="K40" s="11" t="s">
        <v>17</v>
      </c>
      <c r="L40" s="1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2.5" customHeight="1">
      <c r="A41" s="1"/>
      <c r="B41" s="38" t="s">
        <v>42</v>
      </c>
      <c r="C41" s="9" t="s">
        <v>13</v>
      </c>
      <c r="D41" s="10" t="s">
        <v>68</v>
      </c>
      <c r="E41" s="39" t="s">
        <v>15</v>
      </c>
      <c r="F41" s="37" t="s">
        <v>44</v>
      </c>
      <c r="G41" s="13">
        <v>3.0</v>
      </c>
      <c r="H41" s="18">
        <v>30.0</v>
      </c>
      <c r="I41" s="18">
        <v>90.0</v>
      </c>
      <c r="J41" s="15">
        <v>88.34</v>
      </c>
      <c r="K41" s="11" t="s">
        <v>17</v>
      </c>
      <c r="L41" s="1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2.5" customHeight="1">
      <c r="A42" s="1"/>
      <c r="B42" s="38" t="s">
        <v>42</v>
      </c>
      <c r="C42" s="9" t="s">
        <v>13</v>
      </c>
      <c r="D42" s="10" t="s">
        <v>69</v>
      </c>
      <c r="E42" s="39" t="s">
        <v>15</v>
      </c>
      <c r="F42" s="37" t="s">
        <v>44</v>
      </c>
      <c r="G42" s="13">
        <v>1.0</v>
      </c>
      <c r="H42" s="18">
        <v>17.64</v>
      </c>
      <c r="I42" s="18">
        <v>17.64</v>
      </c>
      <c r="J42" s="18"/>
      <c r="K42" s="11" t="s">
        <v>17</v>
      </c>
      <c r="L42" s="1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2.5" customHeight="1">
      <c r="A43" s="1"/>
      <c r="B43" s="38" t="s">
        <v>42</v>
      </c>
      <c r="C43" s="9" t="s">
        <v>13</v>
      </c>
      <c r="D43" s="10" t="s">
        <v>70</v>
      </c>
      <c r="E43" s="39" t="s">
        <v>15</v>
      </c>
      <c r="F43" s="37" t="s">
        <v>44</v>
      </c>
      <c r="G43" s="13">
        <v>1.0</v>
      </c>
      <c r="H43" s="18">
        <v>230.0</v>
      </c>
      <c r="I43" s="18">
        <v>230.0</v>
      </c>
      <c r="J43" s="18"/>
      <c r="K43" s="11" t="s">
        <v>17</v>
      </c>
      <c r="L43" s="1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2.5" customHeight="1">
      <c r="A44" s="1"/>
      <c r="B44" s="38" t="s">
        <v>42</v>
      </c>
      <c r="C44" s="9" t="s">
        <v>13</v>
      </c>
      <c r="D44" s="10" t="s">
        <v>71</v>
      </c>
      <c r="E44" s="39" t="s">
        <v>15</v>
      </c>
      <c r="F44" s="37" t="s">
        <v>44</v>
      </c>
      <c r="G44" s="13">
        <v>4.0</v>
      </c>
      <c r="H44" s="18">
        <v>80.0</v>
      </c>
      <c r="I44" s="18">
        <v>320.0</v>
      </c>
      <c r="J44" s="18"/>
      <c r="K44" s="11" t="s">
        <v>17</v>
      </c>
      <c r="L44" s="16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2.5" customHeight="1">
      <c r="A45" s="1"/>
      <c r="B45" s="38" t="s">
        <v>42</v>
      </c>
      <c r="C45" s="9" t="s">
        <v>13</v>
      </c>
      <c r="D45" s="10" t="s">
        <v>72</v>
      </c>
      <c r="E45" s="39" t="s">
        <v>15</v>
      </c>
      <c r="F45" s="37" t="s">
        <v>44</v>
      </c>
      <c r="G45" s="13">
        <v>2.0</v>
      </c>
      <c r="H45" s="18">
        <v>57.95</v>
      </c>
      <c r="I45" s="18">
        <v>115.9</v>
      </c>
      <c r="J45" s="15">
        <v>115.0</v>
      </c>
      <c r="K45" s="11" t="s">
        <v>17</v>
      </c>
      <c r="L45" s="16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2.5" customHeight="1">
      <c r="A46" s="1"/>
      <c r="B46" s="38" t="s">
        <v>42</v>
      </c>
      <c r="C46" s="9" t="s">
        <v>50</v>
      </c>
      <c r="D46" s="10" t="s">
        <v>73</v>
      </c>
      <c r="E46" s="39" t="s">
        <v>15</v>
      </c>
      <c r="F46" s="37" t="s">
        <v>44</v>
      </c>
      <c r="G46" s="13">
        <v>1.0</v>
      </c>
      <c r="H46" s="18">
        <v>74.56</v>
      </c>
      <c r="I46" s="18">
        <v>74.56</v>
      </c>
      <c r="J46" s="15">
        <v>79.56</v>
      </c>
      <c r="K46" s="11" t="s">
        <v>17</v>
      </c>
      <c r="L46" s="16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2.5" customHeight="1">
      <c r="A47" s="1"/>
      <c r="B47" s="38" t="s">
        <v>42</v>
      </c>
      <c r="C47" s="9" t="s">
        <v>13</v>
      </c>
      <c r="D47" s="10" t="s">
        <v>74</v>
      </c>
      <c r="E47" s="39" t="s">
        <v>15</v>
      </c>
      <c r="F47" s="37" t="s">
        <v>44</v>
      </c>
      <c r="G47" s="13">
        <v>1.0</v>
      </c>
      <c r="H47" s="18">
        <v>7.89</v>
      </c>
      <c r="I47" s="18">
        <v>7.89</v>
      </c>
      <c r="J47" s="15">
        <v>10.63</v>
      </c>
      <c r="K47" s="11" t="s">
        <v>17</v>
      </c>
      <c r="L47" s="16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2.5" customHeight="1">
      <c r="A48" s="1"/>
      <c r="B48" s="38" t="s">
        <v>42</v>
      </c>
      <c r="C48" s="9" t="s">
        <v>13</v>
      </c>
      <c r="D48" s="10" t="s">
        <v>75</v>
      </c>
      <c r="E48" s="39" t="s">
        <v>15</v>
      </c>
      <c r="F48" s="37" t="s">
        <v>44</v>
      </c>
      <c r="G48" s="13">
        <v>1.0</v>
      </c>
      <c r="H48" s="18">
        <v>9.0</v>
      </c>
      <c r="I48" s="18">
        <v>9.0</v>
      </c>
      <c r="J48" s="15">
        <v>12.76</v>
      </c>
      <c r="K48" s="11" t="s">
        <v>17</v>
      </c>
      <c r="L48" s="16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2.5" customHeight="1">
      <c r="A49" s="1"/>
      <c r="B49" s="38" t="s">
        <v>42</v>
      </c>
      <c r="C49" s="9" t="s">
        <v>13</v>
      </c>
      <c r="D49" s="10" t="s">
        <v>76</v>
      </c>
      <c r="E49" s="39" t="s">
        <v>15</v>
      </c>
      <c r="F49" s="37" t="s">
        <v>44</v>
      </c>
      <c r="G49" s="13">
        <v>1.0</v>
      </c>
      <c r="H49" s="18">
        <v>14.0</v>
      </c>
      <c r="I49" s="18">
        <v>14.0</v>
      </c>
      <c r="J49" s="18"/>
      <c r="K49" s="11" t="s">
        <v>17</v>
      </c>
      <c r="L49" s="16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2.5" customHeight="1">
      <c r="A50" s="1"/>
      <c r="B50" s="38" t="s">
        <v>42</v>
      </c>
      <c r="C50" s="9" t="s">
        <v>59</v>
      </c>
      <c r="D50" s="10" t="s">
        <v>77</v>
      </c>
      <c r="E50" s="11" t="s">
        <v>20</v>
      </c>
      <c r="F50" s="19"/>
      <c r="G50" s="13">
        <v>1.0</v>
      </c>
      <c r="H50" s="18">
        <v>15.0</v>
      </c>
      <c r="I50" s="18">
        <v>15.0</v>
      </c>
      <c r="J50" s="18"/>
      <c r="K50" s="11" t="s">
        <v>21</v>
      </c>
      <c r="L50" s="1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2.5" customHeight="1">
      <c r="A51" s="1"/>
      <c r="B51" s="38" t="s">
        <v>42</v>
      </c>
      <c r="C51" s="9" t="s">
        <v>13</v>
      </c>
      <c r="D51" s="10" t="s">
        <v>78</v>
      </c>
      <c r="E51" s="39" t="s">
        <v>15</v>
      </c>
      <c r="F51" s="37" t="s">
        <v>44</v>
      </c>
      <c r="G51" s="13">
        <v>2.0</v>
      </c>
      <c r="H51" s="18">
        <v>20.0</v>
      </c>
      <c r="I51" s="18">
        <v>40.0</v>
      </c>
      <c r="J51" s="15">
        <v>38.29</v>
      </c>
      <c r="K51" s="11" t="s">
        <v>17</v>
      </c>
      <c r="L51" s="1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2.5" customHeight="1">
      <c r="A52" s="1"/>
      <c r="B52" s="38" t="s">
        <v>42</v>
      </c>
      <c r="C52" s="9" t="s">
        <v>13</v>
      </c>
      <c r="D52" s="10" t="s">
        <v>79</v>
      </c>
      <c r="E52" s="39" t="s">
        <v>15</v>
      </c>
      <c r="F52" s="37" t="s">
        <v>44</v>
      </c>
      <c r="G52" s="13">
        <v>1.0</v>
      </c>
      <c r="H52" s="18">
        <v>7.0</v>
      </c>
      <c r="I52" s="18">
        <v>7.0</v>
      </c>
      <c r="J52" s="18"/>
      <c r="K52" s="11" t="s">
        <v>17</v>
      </c>
      <c r="L52" s="16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2.5" customHeight="1">
      <c r="A53" s="1"/>
      <c r="B53" s="38" t="s">
        <v>42</v>
      </c>
      <c r="C53" s="9" t="s">
        <v>13</v>
      </c>
      <c r="D53" s="10" t="s">
        <v>80</v>
      </c>
      <c r="E53" s="39" t="s">
        <v>15</v>
      </c>
      <c r="F53" s="37" t="s">
        <v>44</v>
      </c>
      <c r="G53" s="13">
        <v>1.0</v>
      </c>
      <c r="H53" s="18">
        <v>4.99</v>
      </c>
      <c r="I53" s="18">
        <v>4.99</v>
      </c>
      <c r="J53" s="15">
        <v>5.31</v>
      </c>
      <c r="K53" s="11" t="s">
        <v>17</v>
      </c>
      <c r="L53" s="16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2.5" customHeight="1">
      <c r="A54" s="1"/>
      <c r="B54" s="38" t="s">
        <v>42</v>
      </c>
      <c r="C54" s="9" t="s">
        <v>13</v>
      </c>
      <c r="D54" s="10" t="s">
        <v>81</v>
      </c>
      <c r="E54" s="39" t="s">
        <v>15</v>
      </c>
      <c r="F54" s="37" t="s">
        <v>44</v>
      </c>
      <c r="G54" s="13">
        <v>1.0</v>
      </c>
      <c r="H54" s="18">
        <v>34.0</v>
      </c>
      <c r="I54" s="18">
        <v>34.0</v>
      </c>
      <c r="J54" s="15">
        <v>34.06</v>
      </c>
      <c r="K54" s="11" t="s">
        <v>17</v>
      </c>
      <c r="L54" s="16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2.5" customHeight="1">
      <c r="A55" s="1"/>
      <c r="B55" s="38" t="s">
        <v>42</v>
      </c>
      <c r="C55" s="9" t="s">
        <v>13</v>
      </c>
      <c r="D55" s="10" t="s">
        <v>82</v>
      </c>
      <c r="E55" s="39" t="s">
        <v>15</v>
      </c>
      <c r="F55" s="37" t="s">
        <v>44</v>
      </c>
      <c r="G55" s="13">
        <v>1.0</v>
      </c>
      <c r="H55" s="18">
        <v>14.0</v>
      </c>
      <c r="I55" s="18">
        <v>14.0</v>
      </c>
      <c r="J55" s="15">
        <v>14.15</v>
      </c>
      <c r="K55" s="11" t="s">
        <v>17</v>
      </c>
      <c r="L55" s="16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2.5" customHeight="1">
      <c r="A56" s="1"/>
      <c r="B56" s="38" t="s">
        <v>42</v>
      </c>
      <c r="C56" s="9" t="s">
        <v>13</v>
      </c>
      <c r="D56" s="10" t="s">
        <v>83</v>
      </c>
      <c r="E56" s="39" t="s">
        <v>15</v>
      </c>
      <c r="F56" s="37" t="s">
        <v>44</v>
      </c>
      <c r="G56" s="13">
        <v>1.0</v>
      </c>
      <c r="H56" s="18">
        <v>14.0</v>
      </c>
      <c r="I56" s="18">
        <v>14.0</v>
      </c>
      <c r="J56" s="15">
        <v>14.89</v>
      </c>
      <c r="K56" s="11" t="s">
        <v>17</v>
      </c>
      <c r="L56" s="16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2.5" customHeight="1">
      <c r="A57" s="1"/>
      <c r="B57" s="38" t="s">
        <v>42</v>
      </c>
      <c r="C57" s="9" t="s">
        <v>13</v>
      </c>
      <c r="D57" s="10" t="s">
        <v>84</v>
      </c>
      <c r="E57" s="39" t="s">
        <v>15</v>
      </c>
      <c r="F57" s="37" t="s">
        <v>44</v>
      </c>
      <c r="G57" s="13">
        <v>1.0</v>
      </c>
      <c r="H57" s="18">
        <v>33.0</v>
      </c>
      <c r="I57" s="18">
        <v>33.0</v>
      </c>
      <c r="J57" s="15">
        <v>35.77</v>
      </c>
      <c r="K57" s="11" t="s">
        <v>17</v>
      </c>
      <c r="L57" s="36" t="s">
        <v>85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2.5" customHeight="1">
      <c r="A58" s="1"/>
      <c r="B58" s="38" t="s">
        <v>42</v>
      </c>
      <c r="C58" s="19" t="s">
        <v>13</v>
      </c>
      <c r="D58" s="42" t="s">
        <v>86</v>
      </c>
      <c r="E58" s="11" t="s">
        <v>15</v>
      </c>
      <c r="F58" s="43"/>
      <c r="G58" s="44">
        <v>1.0</v>
      </c>
      <c r="H58" s="18"/>
      <c r="I58" s="18"/>
      <c r="J58" s="15">
        <v>8.48</v>
      </c>
      <c r="K58" s="11" t="s">
        <v>17</v>
      </c>
      <c r="L58" s="36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2.5" customHeight="1">
      <c r="A59" s="1"/>
      <c r="B59" s="38" t="s">
        <v>42</v>
      </c>
      <c r="C59" s="9" t="s">
        <v>50</v>
      </c>
      <c r="D59" s="10" t="s">
        <v>87</v>
      </c>
      <c r="E59" s="39" t="s">
        <v>15</v>
      </c>
      <c r="F59" s="37" t="s">
        <v>44</v>
      </c>
      <c r="G59" s="13">
        <v>1.0</v>
      </c>
      <c r="H59" s="18">
        <v>69.0</v>
      </c>
      <c r="I59" s="18">
        <v>69.0</v>
      </c>
      <c r="J59" s="15">
        <v>74.05</v>
      </c>
      <c r="K59" s="11" t="s">
        <v>17</v>
      </c>
      <c r="L59" s="16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2.5" customHeight="1">
      <c r="A60" s="1"/>
      <c r="B60" s="38" t="s">
        <v>42</v>
      </c>
      <c r="C60" s="9" t="s">
        <v>50</v>
      </c>
      <c r="D60" s="10" t="s">
        <v>88</v>
      </c>
      <c r="E60" s="39" t="s">
        <v>15</v>
      </c>
      <c r="F60" s="37" t="s">
        <v>44</v>
      </c>
      <c r="G60" s="13">
        <v>1.0</v>
      </c>
      <c r="H60" s="18">
        <v>69.0</v>
      </c>
      <c r="I60" s="18">
        <v>69.0</v>
      </c>
      <c r="J60" s="15">
        <v>73.49</v>
      </c>
      <c r="K60" s="11" t="s">
        <v>17</v>
      </c>
      <c r="L60" s="16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2.5" customHeight="1">
      <c r="A61" s="1"/>
      <c r="B61" s="38" t="s">
        <v>42</v>
      </c>
      <c r="C61" s="9" t="s">
        <v>13</v>
      </c>
      <c r="D61" s="42" t="s">
        <v>89</v>
      </c>
      <c r="E61" s="39" t="s">
        <v>15</v>
      </c>
      <c r="F61" s="37" t="s">
        <v>44</v>
      </c>
      <c r="G61" s="13">
        <v>1.0</v>
      </c>
      <c r="H61" s="18">
        <v>37.99</v>
      </c>
      <c r="I61" s="18">
        <v>37.99</v>
      </c>
      <c r="J61" s="15">
        <v>35.38</v>
      </c>
      <c r="K61" s="11" t="s">
        <v>17</v>
      </c>
      <c r="L61" s="1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2.5" customHeight="1">
      <c r="A62" s="1"/>
      <c r="B62" s="38" t="s">
        <v>42</v>
      </c>
      <c r="C62" s="9" t="s">
        <v>13</v>
      </c>
      <c r="D62" s="10" t="s">
        <v>90</v>
      </c>
      <c r="E62" s="39" t="s">
        <v>15</v>
      </c>
      <c r="F62" s="37" t="s">
        <v>44</v>
      </c>
      <c r="G62" s="13">
        <v>1.0</v>
      </c>
      <c r="H62" s="18">
        <v>33.0</v>
      </c>
      <c r="I62" s="18">
        <v>33.0</v>
      </c>
      <c r="J62" s="15">
        <v>33.37</v>
      </c>
      <c r="K62" s="11" t="s">
        <v>17</v>
      </c>
      <c r="L62" s="1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2.5" customHeight="1">
      <c r="A63" s="1"/>
      <c r="B63" s="38" t="s">
        <v>42</v>
      </c>
      <c r="C63" s="9" t="s">
        <v>13</v>
      </c>
      <c r="D63" s="10" t="s">
        <v>91</v>
      </c>
      <c r="E63" s="39" t="s">
        <v>15</v>
      </c>
      <c r="F63" s="37" t="s">
        <v>44</v>
      </c>
      <c r="G63" s="13">
        <v>1.0</v>
      </c>
      <c r="H63" s="18">
        <v>6.99</v>
      </c>
      <c r="I63" s="18">
        <v>6.99</v>
      </c>
      <c r="J63" s="15">
        <v>7.24</v>
      </c>
      <c r="K63" s="11" t="s">
        <v>17</v>
      </c>
      <c r="L63" s="1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2.5" customHeight="1">
      <c r="A64" s="1"/>
      <c r="B64" s="38" t="s">
        <v>92</v>
      </c>
      <c r="C64" s="9" t="s">
        <v>13</v>
      </c>
      <c r="D64" s="10" t="s">
        <v>93</v>
      </c>
      <c r="E64" s="39" t="s">
        <v>15</v>
      </c>
      <c r="F64" s="37" t="s">
        <v>44</v>
      </c>
      <c r="G64" s="13">
        <v>1.0</v>
      </c>
      <c r="H64" s="18">
        <v>54.0</v>
      </c>
      <c r="I64" s="18">
        <v>54.0</v>
      </c>
      <c r="J64" s="15">
        <v>61.41</v>
      </c>
      <c r="K64" s="11" t="s">
        <v>17</v>
      </c>
      <c r="L64" s="16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2.5" customHeight="1">
      <c r="A65" s="1"/>
      <c r="B65" s="38" t="s">
        <v>92</v>
      </c>
      <c r="C65" s="9" t="s">
        <v>13</v>
      </c>
      <c r="D65" s="10" t="s">
        <v>94</v>
      </c>
      <c r="E65" s="39" t="s">
        <v>15</v>
      </c>
      <c r="F65" s="37" t="s">
        <v>44</v>
      </c>
      <c r="G65" s="13">
        <v>1.0</v>
      </c>
      <c r="H65" s="18">
        <v>15.0</v>
      </c>
      <c r="I65" s="18">
        <v>15.0</v>
      </c>
      <c r="J65" s="15">
        <v>12.02</v>
      </c>
      <c r="K65" s="11" t="s">
        <v>17</v>
      </c>
      <c r="L65" s="16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2.5" customHeight="1">
      <c r="A66" s="1"/>
      <c r="B66" s="38" t="s">
        <v>92</v>
      </c>
      <c r="C66" s="9" t="s">
        <v>13</v>
      </c>
      <c r="D66" s="10" t="s">
        <v>95</v>
      </c>
      <c r="E66" s="39" t="s">
        <v>15</v>
      </c>
      <c r="F66" s="37" t="s">
        <v>44</v>
      </c>
      <c r="G66" s="13">
        <v>1.0</v>
      </c>
      <c r="H66" s="18">
        <v>20.0</v>
      </c>
      <c r="I66" s="18">
        <v>20.0</v>
      </c>
      <c r="J66" s="15">
        <v>18.99</v>
      </c>
      <c r="K66" s="11" t="s">
        <v>17</v>
      </c>
      <c r="L66" s="16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2.5" customHeight="1">
      <c r="A67" s="1"/>
      <c r="B67" s="38" t="s">
        <v>92</v>
      </c>
      <c r="C67" s="9" t="s">
        <v>13</v>
      </c>
      <c r="D67" s="10" t="s">
        <v>96</v>
      </c>
      <c r="E67" s="39" t="s">
        <v>15</v>
      </c>
      <c r="F67" s="37" t="s">
        <v>44</v>
      </c>
      <c r="G67" s="13">
        <v>1.0</v>
      </c>
      <c r="H67" s="18">
        <v>30.0</v>
      </c>
      <c r="I67" s="18">
        <v>30.0</v>
      </c>
      <c r="J67" s="15">
        <v>31.94</v>
      </c>
      <c r="K67" s="11" t="s">
        <v>17</v>
      </c>
      <c r="L67" s="16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2.5" customHeight="1">
      <c r="A68" s="1"/>
      <c r="B68" s="38" t="s">
        <v>92</v>
      </c>
      <c r="C68" s="9" t="s">
        <v>13</v>
      </c>
      <c r="D68" s="10" t="s">
        <v>97</v>
      </c>
      <c r="E68" s="39" t="s">
        <v>15</v>
      </c>
      <c r="F68" s="37" t="s">
        <v>44</v>
      </c>
      <c r="G68" s="13">
        <v>1.0</v>
      </c>
      <c r="H68" s="18">
        <v>7.99</v>
      </c>
      <c r="I68" s="18">
        <v>7.99</v>
      </c>
      <c r="J68" s="15">
        <v>7.44</v>
      </c>
      <c r="K68" s="11" t="s">
        <v>17</v>
      </c>
      <c r="L68" s="16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2.5" customHeight="1">
      <c r="A69" s="1"/>
      <c r="B69" s="38" t="s">
        <v>92</v>
      </c>
      <c r="C69" s="9" t="s">
        <v>13</v>
      </c>
      <c r="D69" s="10" t="s">
        <v>98</v>
      </c>
      <c r="E69" s="39" t="s">
        <v>15</v>
      </c>
      <c r="F69" s="37" t="s">
        <v>44</v>
      </c>
      <c r="G69" s="13">
        <v>1.0</v>
      </c>
      <c r="H69" s="18">
        <v>49.99</v>
      </c>
      <c r="I69" s="18">
        <v>49.99</v>
      </c>
      <c r="J69" s="15">
        <v>53.23</v>
      </c>
      <c r="K69" s="11" t="s">
        <v>17</v>
      </c>
      <c r="L69" s="16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2.5" customHeight="1">
      <c r="A70" s="1"/>
      <c r="B70" s="38" t="s">
        <v>92</v>
      </c>
      <c r="C70" s="9" t="s">
        <v>13</v>
      </c>
      <c r="D70" s="10" t="s">
        <v>99</v>
      </c>
      <c r="E70" s="39" t="s">
        <v>15</v>
      </c>
      <c r="F70" s="37" t="s">
        <v>44</v>
      </c>
      <c r="G70" s="13">
        <v>1.0</v>
      </c>
      <c r="H70" s="18">
        <v>13.0</v>
      </c>
      <c r="I70" s="18">
        <v>13.0</v>
      </c>
      <c r="J70" s="15">
        <v>12.43</v>
      </c>
      <c r="K70" s="11" t="s">
        <v>17</v>
      </c>
      <c r="L70" s="16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2.5" customHeight="1">
      <c r="A71" s="1"/>
      <c r="B71" s="38" t="s">
        <v>100</v>
      </c>
      <c r="C71" s="9" t="s">
        <v>13</v>
      </c>
      <c r="D71" s="45" t="s">
        <v>101</v>
      </c>
      <c r="E71" s="41" t="s">
        <v>15</v>
      </c>
      <c r="F71" s="37" t="s">
        <v>44</v>
      </c>
      <c r="G71" s="13">
        <v>2.0</v>
      </c>
      <c r="H71" s="18">
        <v>54.0</v>
      </c>
      <c r="I71" s="18">
        <v>108.0</v>
      </c>
      <c r="J71" s="15">
        <v>105.81</v>
      </c>
      <c r="K71" s="11" t="s">
        <v>17</v>
      </c>
      <c r="L71" s="16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2.5" customHeight="1">
      <c r="A72" s="1"/>
      <c r="B72" s="38" t="s">
        <v>100</v>
      </c>
      <c r="C72" s="19" t="s">
        <v>22</v>
      </c>
      <c r="D72" s="45" t="s">
        <v>102</v>
      </c>
      <c r="E72" s="21" t="s">
        <v>24</v>
      </c>
      <c r="F72" s="17"/>
      <c r="G72" s="13">
        <v>2.0</v>
      </c>
      <c r="H72" s="18">
        <v>103.5</v>
      </c>
      <c r="I72" s="18">
        <v>207.0</v>
      </c>
      <c r="J72" s="15"/>
      <c r="K72" s="11" t="s">
        <v>21</v>
      </c>
      <c r="L72" s="3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2.5" customHeight="1">
      <c r="A73" s="1"/>
      <c r="B73" s="38" t="s">
        <v>100</v>
      </c>
      <c r="C73" s="9"/>
      <c r="D73" s="10" t="s">
        <v>103</v>
      </c>
      <c r="E73" s="41" t="s">
        <v>26</v>
      </c>
      <c r="F73" s="17"/>
      <c r="G73" s="13">
        <v>1.0</v>
      </c>
      <c r="H73" s="18">
        <v>100.0</v>
      </c>
      <c r="I73" s="18">
        <v>100.0</v>
      </c>
      <c r="J73" s="18"/>
      <c r="K73" s="11" t="s">
        <v>21</v>
      </c>
      <c r="L73" s="16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2.5" customHeight="1">
      <c r="A74" s="1"/>
      <c r="B74" s="38" t="s">
        <v>100</v>
      </c>
      <c r="C74" s="19" t="s">
        <v>22</v>
      </c>
      <c r="D74" s="10" t="s">
        <v>104</v>
      </c>
      <c r="E74" s="21" t="s">
        <v>24</v>
      </c>
      <c r="F74" s="17"/>
      <c r="G74" s="13">
        <v>1.0</v>
      </c>
      <c r="H74" s="18">
        <v>140.0</v>
      </c>
      <c r="I74" s="18">
        <v>140.0</v>
      </c>
      <c r="J74" s="18"/>
      <c r="K74" s="11" t="s">
        <v>21</v>
      </c>
      <c r="L74" s="16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22.5" customHeight="1">
      <c r="A75" s="1"/>
      <c r="B75" s="38" t="s">
        <v>100</v>
      </c>
      <c r="C75" s="9" t="s">
        <v>13</v>
      </c>
      <c r="D75" s="10" t="s">
        <v>105</v>
      </c>
      <c r="E75" s="41" t="s">
        <v>15</v>
      </c>
      <c r="F75" s="37" t="s">
        <v>44</v>
      </c>
      <c r="G75" s="13">
        <v>1.0</v>
      </c>
      <c r="H75" s="18">
        <v>159.0</v>
      </c>
      <c r="I75" s="18">
        <v>159.0</v>
      </c>
      <c r="J75" s="15">
        <v>156.59</v>
      </c>
      <c r="K75" s="11" t="s">
        <v>17</v>
      </c>
      <c r="L75" s="16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22.5" customHeight="1">
      <c r="A76" s="1"/>
      <c r="B76" s="38" t="s">
        <v>100</v>
      </c>
      <c r="C76" s="19" t="s">
        <v>22</v>
      </c>
      <c r="D76" s="45" t="s">
        <v>106</v>
      </c>
      <c r="E76" s="21" t="s">
        <v>24</v>
      </c>
      <c r="F76" s="17"/>
      <c r="G76" s="13">
        <v>1.0</v>
      </c>
      <c r="H76" s="18">
        <v>95.0</v>
      </c>
      <c r="I76" s="18">
        <v>95.0</v>
      </c>
      <c r="J76" s="18"/>
      <c r="K76" s="11" t="s">
        <v>21</v>
      </c>
      <c r="L76" s="16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22.5" customHeight="1">
      <c r="A77" s="1"/>
      <c r="B77" s="38" t="s">
        <v>100</v>
      </c>
      <c r="C77" s="9" t="s">
        <v>13</v>
      </c>
      <c r="D77" s="45" t="s">
        <v>107</v>
      </c>
      <c r="E77" s="41" t="s">
        <v>15</v>
      </c>
      <c r="F77" s="17"/>
      <c r="G77" s="13">
        <v>7.0</v>
      </c>
      <c r="H77" s="18">
        <v>5.0</v>
      </c>
      <c r="I77" s="18">
        <v>35.0</v>
      </c>
      <c r="J77" s="15">
        <v>31.68</v>
      </c>
      <c r="K77" s="11" t="s">
        <v>17</v>
      </c>
      <c r="L77" s="36" t="s">
        <v>108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22.5" customHeight="1">
      <c r="A78" s="1"/>
      <c r="B78" s="38" t="s">
        <v>100</v>
      </c>
      <c r="C78" s="19" t="s">
        <v>22</v>
      </c>
      <c r="D78" s="45" t="s">
        <v>109</v>
      </c>
      <c r="E78" s="21" t="s">
        <v>24</v>
      </c>
      <c r="F78" s="17"/>
      <c r="G78" s="13">
        <v>1.0</v>
      </c>
      <c r="H78" s="18">
        <v>500.0</v>
      </c>
      <c r="I78" s="18">
        <v>500.0</v>
      </c>
      <c r="J78" s="18"/>
      <c r="K78" s="11" t="s">
        <v>21</v>
      </c>
      <c r="L78" s="16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22.5" customHeight="1">
      <c r="A79" s="1"/>
      <c r="B79" s="38" t="s">
        <v>100</v>
      </c>
      <c r="C79" s="9"/>
      <c r="D79" s="45" t="s">
        <v>110</v>
      </c>
      <c r="E79" s="41" t="s">
        <v>26</v>
      </c>
      <c r="F79" s="17"/>
      <c r="G79" s="13">
        <v>1.0</v>
      </c>
      <c r="H79" s="18">
        <v>300.0</v>
      </c>
      <c r="I79" s="18">
        <v>300.0</v>
      </c>
      <c r="J79" s="18"/>
      <c r="K79" s="11" t="s">
        <v>21</v>
      </c>
      <c r="L79" s="16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22.5" customHeight="1">
      <c r="A80" s="1"/>
      <c r="B80" s="38" t="s">
        <v>100</v>
      </c>
      <c r="C80" s="19" t="s">
        <v>28</v>
      </c>
      <c r="D80" s="10" t="s">
        <v>111</v>
      </c>
      <c r="E80" s="11" t="s">
        <v>20</v>
      </c>
      <c r="F80" s="17"/>
      <c r="G80" s="13">
        <v>1.0</v>
      </c>
      <c r="H80" s="18">
        <v>100.0</v>
      </c>
      <c r="I80" s="18">
        <v>100.0</v>
      </c>
      <c r="J80" s="18"/>
      <c r="K80" s="11" t="s">
        <v>21</v>
      </c>
      <c r="L80" s="16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22.5" customHeight="1">
      <c r="A81" s="1"/>
      <c r="B81" s="38" t="s">
        <v>100</v>
      </c>
      <c r="C81" s="9" t="s">
        <v>46</v>
      </c>
      <c r="D81" s="10" t="s">
        <v>112</v>
      </c>
      <c r="E81" s="11" t="s">
        <v>48</v>
      </c>
      <c r="F81" s="37" t="s">
        <v>44</v>
      </c>
      <c r="G81" s="13">
        <v>8.0</v>
      </c>
      <c r="H81" s="18">
        <v>135.6</v>
      </c>
      <c r="I81" s="18">
        <v>1084.8</v>
      </c>
      <c r="J81" s="15">
        <v>1300.0</v>
      </c>
      <c r="K81" s="11" t="s">
        <v>17</v>
      </c>
      <c r="L81" s="16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22.5" customHeight="1">
      <c r="A82" s="1"/>
      <c r="B82" s="38" t="s">
        <v>100</v>
      </c>
      <c r="C82" s="19" t="s">
        <v>34</v>
      </c>
      <c r="D82" s="10" t="s">
        <v>113</v>
      </c>
      <c r="E82" s="11" t="s">
        <v>48</v>
      </c>
      <c r="F82" s="46" t="s">
        <v>114</v>
      </c>
      <c r="G82" s="13">
        <v>1.0</v>
      </c>
      <c r="H82" s="18">
        <v>1743.58</v>
      </c>
      <c r="I82" s="18">
        <v>1743.58</v>
      </c>
      <c r="J82" s="15">
        <v>0.0</v>
      </c>
      <c r="K82" s="11" t="s">
        <v>17</v>
      </c>
      <c r="L82" s="36" t="s">
        <v>38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22.5" customHeight="1">
      <c r="A83" s="1"/>
      <c r="B83" s="38" t="s">
        <v>100</v>
      </c>
      <c r="C83" s="47" t="s">
        <v>115</v>
      </c>
      <c r="D83" s="10" t="s">
        <v>116</v>
      </c>
      <c r="E83" s="11" t="s">
        <v>117</v>
      </c>
      <c r="F83" s="17"/>
      <c r="G83" s="13">
        <v>1.0</v>
      </c>
      <c r="H83" s="18">
        <v>500.0</v>
      </c>
      <c r="I83" s="18">
        <v>500.0</v>
      </c>
      <c r="J83" s="15">
        <v>350.0</v>
      </c>
      <c r="K83" s="11" t="s">
        <v>17</v>
      </c>
      <c r="L83" s="16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22.5" customHeight="1">
      <c r="A84" s="1"/>
      <c r="B84" s="38" t="s">
        <v>100</v>
      </c>
      <c r="C84" s="9" t="s">
        <v>13</v>
      </c>
      <c r="D84" s="48" t="s">
        <v>118</v>
      </c>
      <c r="E84" s="41" t="s">
        <v>15</v>
      </c>
      <c r="F84" s="37" t="s">
        <v>44</v>
      </c>
      <c r="G84" s="13">
        <v>1.0</v>
      </c>
      <c r="H84" s="18">
        <v>200.0</v>
      </c>
      <c r="I84" s="18">
        <v>200.0</v>
      </c>
      <c r="J84" s="15">
        <v>212.99</v>
      </c>
      <c r="K84" s="11" t="s">
        <v>17</v>
      </c>
      <c r="L84" s="16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22.5" customHeight="1">
      <c r="A85" s="1"/>
      <c r="B85" s="38" t="s">
        <v>100</v>
      </c>
      <c r="C85" s="42" t="s">
        <v>22</v>
      </c>
      <c r="D85" s="48" t="s">
        <v>23</v>
      </c>
      <c r="E85" s="21" t="s">
        <v>24</v>
      </c>
      <c r="F85" s="9"/>
      <c r="G85" s="13">
        <v>1.0</v>
      </c>
      <c r="H85" s="18">
        <v>80.0</v>
      </c>
      <c r="I85" s="18">
        <v>80.0</v>
      </c>
      <c r="J85" s="18"/>
      <c r="K85" s="11" t="s">
        <v>21</v>
      </c>
      <c r="L85" s="16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22.5" customHeight="1">
      <c r="A86" s="1"/>
      <c r="B86" s="38" t="s">
        <v>119</v>
      </c>
      <c r="C86" s="10" t="s">
        <v>120</v>
      </c>
      <c r="D86" s="10" t="s">
        <v>121</v>
      </c>
      <c r="E86" s="11" t="s">
        <v>48</v>
      </c>
      <c r="F86" s="49">
        <v>81678.0</v>
      </c>
      <c r="G86" s="13">
        <v>1.0</v>
      </c>
      <c r="H86" s="18">
        <v>339.9</v>
      </c>
      <c r="I86" s="18">
        <v>339.9</v>
      </c>
      <c r="J86" s="15">
        <v>339.9</v>
      </c>
      <c r="K86" s="11" t="s">
        <v>17</v>
      </c>
      <c r="L86" s="16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2.5" customHeight="1">
      <c r="A87" s="1"/>
      <c r="B87" s="38" t="s">
        <v>119</v>
      </c>
      <c r="C87" s="10" t="s">
        <v>122</v>
      </c>
      <c r="D87" s="10" t="s">
        <v>123</v>
      </c>
      <c r="E87" s="11" t="s">
        <v>124</v>
      </c>
      <c r="F87" s="17"/>
      <c r="G87" s="13">
        <v>1.0</v>
      </c>
      <c r="H87" s="18">
        <v>2073.0</v>
      </c>
      <c r="I87" s="18">
        <v>2073.0</v>
      </c>
      <c r="J87" s="15">
        <v>4500.0</v>
      </c>
      <c r="K87" s="11" t="s">
        <v>17</v>
      </c>
      <c r="L87" s="36" t="s">
        <v>125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22.5" customHeight="1">
      <c r="A88" s="1"/>
      <c r="B88" s="38" t="s">
        <v>119</v>
      </c>
      <c r="C88" s="42" t="s">
        <v>22</v>
      </c>
      <c r="D88" s="10" t="s">
        <v>126</v>
      </c>
      <c r="E88" s="21" t="s">
        <v>24</v>
      </c>
      <c r="F88" s="9"/>
      <c r="G88" s="13">
        <v>1.0</v>
      </c>
      <c r="H88" s="18">
        <v>138.0</v>
      </c>
      <c r="I88" s="18">
        <v>138.0</v>
      </c>
      <c r="J88" s="18"/>
      <c r="K88" s="11" t="s">
        <v>21</v>
      </c>
      <c r="L88" s="16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22.5" customHeight="1">
      <c r="A89" s="1"/>
      <c r="B89" s="38" t="s">
        <v>119</v>
      </c>
      <c r="C89" s="10"/>
      <c r="D89" s="10" t="s">
        <v>127</v>
      </c>
      <c r="E89" s="41" t="s">
        <v>26</v>
      </c>
      <c r="F89" s="17"/>
      <c r="G89" s="13">
        <v>1.0</v>
      </c>
      <c r="H89" s="18">
        <v>150.0</v>
      </c>
      <c r="I89" s="18">
        <v>150.0</v>
      </c>
      <c r="J89" s="18"/>
      <c r="K89" s="11" t="s">
        <v>21</v>
      </c>
      <c r="L89" s="16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22.5" customHeight="1">
      <c r="A90" s="1"/>
      <c r="B90" s="38" t="s">
        <v>119</v>
      </c>
      <c r="C90" s="10" t="s">
        <v>13</v>
      </c>
      <c r="D90" s="10" t="s">
        <v>128</v>
      </c>
      <c r="E90" s="41" t="s">
        <v>15</v>
      </c>
      <c r="F90" s="50" t="s">
        <v>44</v>
      </c>
      <c r="G90" s="13">
        <v>1.0</v>
      </c>
      <c r="H90" s="18">
        <v>54.0</v>
      </c>
      <c r="I90" s="18">
        <v>54.0</v>
      </c>
      <c r="J90" s="15">
        <v>47.21</v>
      </c>
      <c r="K90" s="11" t="s">
        <v>17</v>
      </c>
      <c r="L90" s="16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22.5" customHeight="1">
      <c r="A91" s="1"/>
      <c r="B91" s="38" t="s">
        <v>119</v>
      </c>
      <c r="C91" s="19" t="s">
        <v>22</v>
      </c>
      <c r="D91" s="9" t="s">
        <v>129</v>
      </c>
      <c r="E91" s="21" t="s">
        <v>24</v>
      </c>
      <c r="F91" s="17"/>
      <c r="G91" s="13">
        <v>1.0</v>
      </c>
      <c r="H91" s="18">
        <v>95.0</v>
      </c>
      <c r="I91" s="18">
        <v>95.0</v>
      </c>
      <c r="J91" s="18"/>
      <c r="K91" s="11" t="s">
        <v>21</v>
      </c>
      <c r="L91" s="16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22.5" customHeight="1">
      <c r="A92" s="1"/>
      <c r="B92" s="38" t="s">
        <v>119</v>
      </c>
      <c r="C92" s="9" t="s">
        <v>13</v>
      </c>
      <c r="D92" s="9" t="s">
        <v>130</v>
      </c>
      <c r="E92" s="41" t="s">
        <v>15</v>
      </c>
      <c r="F92" s="17"/>
      <c r="G92" s="13">
        <v>8.0</v>
      </c>
      <c r="H92" s="18">
        <v>5.0</v>
      </c>
      <c r="I92" s="18">
        <v>40.0</v>
      </c>
      <c r="J92" s="15">
        <v>91.02</v>
      </c>
      <c r="K92" s="11" t="s">
        <v>17</v>
      </c>
      <c r="L92" s="36" t="s">
        <v>131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2.5" customHeight="1">
      <c r="A93" s="1"/>
      <c r="B93" s="38" t="s">
        <v>119</v>
      </c>
      <c r="C93" s="9"/>
      <c r="D93" s="10" t="s">
        <v>132</v>
      </c>
      <c r="E93" s="11" t="s">
        <v>20</v>
      </c>
      <c r="F93" s="17"/>
      <c r="G93" s="13">
        <v>1.0</v>
      </c>
      <c r="H93" s="18">
        <v>200.0</v>
      </c>
      <c r="I93" s="18">
        <v>200.0</v>
      </c>
      <c r="J93" s="18"/>
      <c r="K93" s="11" t="s">
        <v>21</v>
      </c>
      <c r="L93" s="16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2.5" customHeight="1">
      <c r="A94" s="1"/>
      <c r="B94" s="38" t="s">
        <v>119</v>
      </c>
      <c r="C94" s="9" t="s">
        <v>13</v>
      </c>
      <c r="D94" s="45" t="s">
        <v>133</v>
      </c>
      <c r="E94" s="41" t="s">
        <v>15</v>
      </c>
      <c r="F94" s="50" t="s">
        <v>44</v>
      </c>
      <c r="G94" s="13">
        <v>1.0</v>
      </c>
      <c r="H94" s="18">
        <v>300.0</v>
      </c>
      <c r="I94" s="18">
        <v>300.0</v>
      </c>
      <c r="J94" s="15">
        <v>287.5</v>
      </c>
      <c r="K94" s="11" t="s">
        <v>17</v>
      </c>
      <c r="L94" s="16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2.5" customHeight="1">
      <c r="A95" s="1"/>
      <c r="B95" s="38" t="s">
        <v>119</v>
      </c>
      <c r="C95" s="9" t="s">
        <v>13</v>
      </c>
      <c r="D95" s="45" t="s">
        <v>134</v>
      </c>
      <c r="E95" s="41" t="s">
        <v>26</v>
      </c>
      <c r="F95" s="17"/>
      <c r="G95" s="13">
        <v>1.0</v>
      </c>
      <c r="H95" s="18">
        <v>11.0</v>
      </c>
      <c r="I95" s="18">
        <v>11.0</v>
      </c>
      <c r="J95" s="18"/>
      <c r="K95" s="11" t="s">
        <v>21</v>
      </c>
      <c r="L95" s="16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2.5" customHeight="1">
      <c r="A96" s="1"/>
      <c r="B96" s="38" t="s">
        <v>119</v>
      </c>
      <c r="C96" s="9" t="s">
        <v>13</v>
      </c>
      <c r="D96" s="42" t="s">
        <v>135</v>
      </c>
      <c r="E96" s="39" t="s">
        <v>15</v>
      </c>
      <c r="F96" s="17"/>
      <c r="G96" s="13">
        <v>1.0</v>
      </c>
      <c r="H96" s="18">
        <v>80.0</v>
      </c>
      <c r="I96" s="18">
        <v>80.0</v>
      </c>
      <c r="J96" s="15">
        <v>63.63</v>
      </c>
      <c r="K96" s="11" t="s">
        <v>17</v>
      </c>
      <c r="L96" s="16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2.5" customHeight="1">
      <c r="A97" s="1"/>
      <c r="B97" s="38" t="s">
        <v>119</v>
      </c>
      <c r="C97" s="9" t="s">
        <v>34</v>
      </c>
      <c r="D97" s="10" t="s">
        <v>35</v>
      </c>
      <c r="E97" s="41" t="s">
        <v>36</v>
      </c>
      <c r="F97" s="49" t="s">
        <v>37</v>
      </c>
      <c r="G97" s="13">
        <v>1.0</v>
      </c>
      <c r="H97" s="18">
        <v>0.0</v>
      </c>
      <c r="I97" s="18">
        <v>0.0</v>
      </c>
      <c r="J97" s="15">
        <v>0.0</v>
      </c>
      <c r="K97" s="11" t="s">
        <v>17</v>
      </c>
      <c r="L97" s="36" t="s">
        <v>38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2.5" customHeight="1">
      <c r="A98" s="1"/>
      <c r="B98" s="38" t="s">
        <v>119</v>
      </c>
      <c r="C98" s="9" t="s">
        <v>46</v>
      </c>
      <c r="D98" s="10" t="s">
        <v>136</v>
      </c>
      <c r="E98" s="11" t="s">
        <v>48</v>
      </c>
      <c r="F98" s="49" t="s">
        <v>137</v>
      </c>
      <c r="G98" s="13">
        <v>1.0</v>
      </c>
      <c r="H98" s="18">
        <v>306.0</v>
      </c>
      <c r="I98" s="18">
        <v>306.0</v>
      </c>
      <c r="J98" s="15">
        <v>238.7</v>
      </c>
      <c r="K98" s="11" t="s">
        <v>17</v>
      </c>
      <c r="L98" s="16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2.5" customHeight="1">
      <c r="A99" s="1"/>
      <c r="B99" s="38" t="s">
        <v>119</v>
      </c>
      <c r="C99" s="9" t="s">
        <v>46</v>
      </c>
      <c r="D99" s="10" t="s">
        <v>138</v>
      </c>
      <c r="E99" s="11" t="s">
        <v>48</v>
      </c>
      <c r="F99" s="49" t="s">
        <v>139</v>
      </c>
      <c r="G99" s="13">
        <v>2.0</v>
      </c>
      <c r="H99" s="18">
        <v>72.0</v>
      </c>
      <c r="I99" s="18">
        <v>144.0</v>
      </c>
      <c r="J99" s="15">
        <v>132.0</v>
      </c>
      <c r="K99" s="11" t="s">
        <v>17</v>
      </c>
      <c r="L99" s="16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2.5" customHeight="1">
      <c r="A100" s="1"/>
      <c r="B100" s="38" t="s">
        <v>119</v>
      </c>
      <c r="C100" s="9" t="s">
        <v>140</v>
      </c>
      <c r="D100" s="10" t="s">
        <v>141</v>
      </c>
      <c r="E100" s="11" t="s">
        <v>48</v>
      </c>
      <c r="F100" s="49" t="s">
        <v>142</v>
      </c>
      <c r="G100" s="13">
        <v>1.0</v>
      </c>
      <c r="H100" s="18">
        <v>1738.8</v>
      </c>
      <c r="I100" s="18">
        <v>1738.8</v>
      </c>
      <c r="J100" s="15">
        <v>1860.47</v>
      </c>
      <c r="K100" s="11" t="s">
        <v>17</v>
      </c>
      <c r="L100" s="16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2.5" customHeight="1">
      <c r="A101" s="1"/>
      <c r="B101" s="38" t="s">
        <v>119</v>
      </c>
      <c r="C101" s="9" t="s">
        <v>59</v>
      </c>
      <c r="D101" s="10" t="s">
        <v>143</v>
      </c>
      <c r="E101" s="11" t="s">
        <v>20</v>
      </c>
      <c r="F101" s="17"/>
      <c r="G101" s="13">
        <v>3.0</v>
      </c>
      <c r="H101" s="18">
        <v>50.0</v>
      </c>
      <c r="I101" s="18">
        <v>150.0</v>
      </c>
      <c r="J101" s="18"/>
      <c r="K101" s="11" t="s">
        <v>21</v>
      </c>
      <c r="L101" s="16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2.5" customHeight="1">
      <c r="A102" s="1"/>
      <c r="B102" s="38" t="s">
        <v>119</v>
      </c>
      <c r="C102" s="9" t="s">
        <v>144</v>
      </c>
      <c r="D102" s="45" t="s">
        <v>145</v>
      </c>
      <c r="E102" s="11" t="s">
        <v>48</v>
      </c>
      <c r="F102" s="17"/>
      <c r="G102" s="13">
        <v>1.0</v>
      </c>
      <c r="H102" s="18">
        <v>700.0</v>
      </c>
      <c r="I102" s="18">
        <v>700.0</v>
      </c>
      <c r="J102" s="15">
        <v>870.0</v>
      </c>
      <c r="K102" s="11" t="s">
        <v>17</v>
      </c>
      <c r="L102" s="16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2.5" customHeight="1">
      <c r="A103" s="1"/>
      <c r="B103" s="38" t="s">
        <v>119</v>
      </c>
      <c r="C103" s="9" t="s">
        <v>146</v>
      </c>
      <c r="D103" s="10" t="s">
        <v>147</v>
      </c>
      <c r="E103" s="41" t="s">
        <v>15</v>
      </c>
      <c r="F103" s="49" t="s">
        <v>148</v>
      </c>
      <c r="G103" s="13">
        <v>1.0</v>
      </c>
      <c r="H103" s="18">
        <v>598.0</v>
      </c>
      <c r="I103" s="18">
        <v>598.0</v>
      </c>
      <c r="J103" s="15">
        <v>511.19</v>
      </c>
      <c r="K103" s="11" t="s">
        <v>17</v>
      </c>
      <c r="L103" s="16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2.5" customHeight="1">
      <c r="A104" s="1"/>
      <c r="B104" s="38" t="s">
        <v>119</v>
      </c>
      <c r="C104" s="9" t="s">
        <v>13</v>
      </c>
      <c r="D104" s="10" t="s">
        <v>149</v>
      </c>
      <c r="E104" s="41" t="s">
        <v>15</v>
      </c>
      <c r="F104" s="49" t="s">
        <v>150</v>
      </c>
      <c r="G104" s="13">
        <v>1.0</v>
      </c>
      <c r="H104" s="18">
        <v>22.0</v>
      </c>
      <c r="I104" s="18">
        <v>22.0</v>
      </c>
      <c r="J104" s="15">
        <v>19.21</v>
      </c>
      <c r="K104" s="11" t="s">
        <v>17</v>
      </c>
      <c r="L104" s="1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2.5" customHeight="1">
      <c r="A105" s="1"/>
      <c r="B105" s="38" t="s">
        <v>119</v>
      </c>
      <c r="C105" s="9" t="s">
        <v>13</v>
      </c>
      <c r="D105" s="10" t="s">
        <v>151</v>
      </c>
      <c r="E105" s="41" t="s">
        <v>15</v>
      </c>
      <c r="F105" s="49" t="s">
        <v>152</v>
      </c>
      <c r="G105" s="13">
        <v>2.0</v>
      </c>
      <c r="H105" s="18">
        <v>3.0</v>
      </c>
      <c r="I105" s="18">
        <v>6.0</v>
      </c>
      <c r="J105" s="15">
        <v>0.0</v>
      </c>
      <c r="K105" s="11" t="s">
        <v>17</v>
      </c>
      <c r="L105" s="16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2.5" customHeight="1">
      <c r="A106" s="1"/>
      <c r="B106" s="38" t="s">
        <v>119</v>
      </c>
      <c r="C106" s="19" t="s">
        <v>22</v>
      </c>
      <c r="D106" s="10" t="s">
        <v>153</v>
      </c>
      <c r="E106" s="21" t="s">
        <v>24</v>
      </c>
      <c r="F106" s="17"/>
      <c r="G106" s="13">
        <v>1.0</v>
      </c>
      <c r="H106" s="18">
        <v>115.0</v>
      </c>
      <c r="I106" s="18">
        <v>115.0</v>
      </c>
      <c r="J106" s="18"/>
      <c r="K106" s="11" t="s">
        <v>21</v>
      </c>
      <c r="L106" s="16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2.5" customHeight="1">
      <c r="A107" s="1"/>
      <c r="B107" s="38" t="s">
        <v>119</v>
      </c>
      <c r="C107" s="19" t="s">
        <v>22</v>
      </c>
      <c r="D107" s="10" t="s">
        <v>154</v>
      </c>
      <c r="E107" s="21" t="s">
        <v>24</v>
      </c>
      <c r="F107" s="17"/>
      <c r="G107" s="13">
        <v>1.0</v>
      </c>
      <c r="H107" s="18">
        <v>115.0</v>
      </c>
      <c r="I107" s="18">
        <v>115.0</v>
      </c>
      <c r="J107" s="18"/>
      <c r="K107" s="11" t="s">
        <v>21</v>
      </c>
      <c r="L107" s="16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2.5" customHeight="1">
      <c r="A108" s="1"/>
      <c r="B108" s="38" t="s">
        <v>119</v>
      </c>
      <c r="C108" s="19" t="s">
        <v>13</v>
      </c>
      <c r="D108" s="42" t="s">
        <v>155</v>
      </c>
      <c r="E108" s="21" t="s">
        <v>15</v>
      </c>
      <c r="F108" s="17"/>
      <c r="G108" s="13"/>
      <c r="H108" s="18"/>
      <c r="I108" s="15"/>
      <c r="J108" s="15">
        <v>189.72</v>
      </c>
      <c r="K108" s="11" t="s">
        <v>17</v>
      </c>
      <c r="L108" s="36" t="s">
        <v>156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2.5" customHeight="1">
      <c r="A109" s="1"/>
      <c r="B109" s="38" t="s">
        <v>157</v>
      </c>
      <c r="C109" s="19" t="s">
        <v>158</v>
      </c>
      <c r="D109" s="10" t="s">
        <v>159</v>
      </c>
      <c r="E109" s="21" t="s">
        <v>160</v>
      </c>
      <c r="F109" s="17"/>
      <c r="G109" s="13">
        <v>1.0</v>
      </c>
      <c r="H109" s="15">
        <v>8210.0</v>
      </c>
      <c r="I109" s="15">
        <v>8210.0</v>
      </c>
      <c r="J109" s="15">
        <v>38500.0</v>
      </c>
      <c r="K109" s="11" t="s">
        <v>17</v>
      </c>
      <c r="L109" s="36" t="s">
        <v>161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2.5" customHeight="1">
      <c r="A110" s="1"/>
      <c r="B110" s="38" t="s">
        <v>157</v>
      </c>
      <c r="C110" s="9" t="s">
        <v>140</v>
      </c>
      <c r="D110" s="45" t="s">
        <v>141</v>
      </c>
      <c r="E110" s="11" t="s">
        <v>48</v>
      </c>
      <c r="F110" s="49">
        <v>610241.0</v>
      </c>
      <c r="G110" s="13">
        <v>2.0</v>
      </c>
      <c r="H110" s="18">
        <v>550.8</v>
      </c>
      <c r="I110" s="18">
        <v>1101.6</v>
      </c>
      <c r="J110" s="15">
        <v>970.0</v>
      </c>
      <c r="K110" s="11" t="s">
        <v>17</v>
      </c>
      <c r="L110" s="16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2.5" customHeight="1">
      <c r="A111" s="1"/>
      <c r="B111" s="38" t="s">
        <v>157</v>
      </c>
      <c r="C111" s="9" t="s">
        <v>13</v>
      </c>
      <c r="D111" s="10" t="s">
        <v>162</v>
      </c>
      <c r="E111" s="41" t="s">
        <v>15</v>
      </c>
      <c r="F111" s="19" t="s">
        <v>163</v>
      </c>
      <c r="G111" s="13">
        <v>2.0</v>
      </c>
      <c r="H111" s="18">
        <v>35.0</v>
      </c>
      <c r="I111" s="18">
        <v>70.0</v>
      </c>
      <c r="J111" s="15">
        <v>0.0</v>
      </c>
      <c r="K111" s="11" t="s">
        <v>21</v>
      </c>
      <c r="L111" s="36" t="s">
        <v>164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2.5" customHeight="1">
      <c r="A112" s="1"/>
      <c r="B112" s="38" t="s">
        <v>157</v>
      </c>
      <c r="C112" s="9" t="s">
        <v>13</v>
      </c>
      <c r="D112" s="10" t="s">
        <v>165</v>
      </c>
      <c r="E112" s="41" t="s">
        <v>15</v>
      </c>
      <c r="F112" s="37" t="s">
        <v>44</v>
      </c>
      <c r="G112" s="13">
        <v>2.0</v>
      </c>
      <c r="H112" s="18">
        <v>24.0</v>
      </c>
      <c r="I112" s="18">
        <v>48.0</v>
      </c>
      <c r="J112" s="15">
        <v>52.9</v>
      </c>
      <c r="K112" s="11" t="s">
        <v>17</v>
      </c>
      <c r="L112" s="16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2.5" customHeight="1">
      <c r="A113" s="1"/>
      <c r="B113" s="38" t="s">
        <v>157</v>
      </c>
      <c r="C113" s="9" t="s">
        <v>13</v>
      </c>
      <c r="D113" s="45" t="s">
        <v>166</v>
      </c>
      <c r="E113" s="11" t="s">
        <v>15</v>
      </c>
      <c r="F113" s="37" t="s">
        <v>44</v>
      </c>
      <c r="G113" s="13">
        <v>1.0</v>
      </c>
      <c r="H113" s="15">
        <v>100.0</v>
      </c>
      <c r="I113" s="15">
        <v>100.0</v>
      </c>
      <c r="J113" s="15">
        <v>149.09</v>
      </c>
      <c r="K113" s="11" t="s">
        <v>17</v>
      </c>
      <c r="L113" s="16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2.5" customHeight="1">
      <c r="A114" s="1"/>
      <c r="B114" s="38" t="s">
        <v>157</v>
      </c>
      <c r="C114" s="9" t="s">
        <v>167</v>
      </c>
      <c r="D114" s="45" t="s">
        <v>168</v>
      </c>
      <c r="E114" s="11" t="s">
        <v>20</v>
      </c>
      <c r="F114" s="17"/>
      <c r="G114" s="13">
        <v>5.0</v>
      </c>
      <c r="H114" s="18">
        <v>25.0</v>
      </c>
      <c r="I114" s="18">
        <v>125.0</v>
      </c>
      <c r="J114" s="18"/>
      <c r="K114" s="11" t="s">
        <v>21</v>
      </c>
      <c r="L114" s="16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2.5" customHeight="1">
      <c r="A115" s="1"/>
      <c r="B115" s="38" t="s">
        <v>157</v>
      </c>
      <c r="C115" s="9" t="s">
        <v>146</v>
      </c>
      <c r="D115" s="10" t="s">
        <v>169</v>
      </c>
      <c r="E115" s="41" t="s">
        <v>15</v>
      </c>
      <c r="F115" s="19" t="s">
        <v>148</v>
      </c>
      <c r="G115" s="13">
        <v>1.0</v>
      </c>
      <c r="H115" s="18">
        <v>900.0</v>
      </c>
      <c r="I115" s="18">
        <v>900.0</v>
      </c>
      <c r="J115" s="15">
        <v>745.49</v>
      </c>
      <c r="K115" s="11" t="s">
        <v>17</v>
      </c>
      <c r="L115" s="16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2.5" customHeight="1">
      <c r="A116" s="1"/>
      <c r="B116" s="38" t="s">
        <v>157</v>
      </c>
      <c r="C116" s="9" t="s">
        <v>13</v>
      </c>
      <c r="D116" s="10" t="s">
        <v>149</v>
      </c>
      <c r="E116" s="41" t="s">
        <v>15</v>
      </c>
      <c r="F116" s="51" t="s">
        <v>150</v>
      </c>
      <c r="G116" s="13">
        <v>1.0</v>
      </c>
      <c r="H116" s="18">
        <v>21.0</v>
      </c>
      <c r="I116" s="18">
        <v>21.0</v>
      </c>
      <c r="J116" s="15">
        <v>19.21</v>
      </c>
      <c r="K116" s="11" t="s">
        <v>17</v>
      </c>
      <c r="L116" s="34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2.5" customHeight="1">
      <c r="A117" s="1"/>
      <c r="B117" s="38" t="s">
        <v>157</v>
      </c>
      <c r="C117" s="9" t="s">
        <v>13</v>
      </c>
      <c r="D117" s="10" t="s">
        <v>170</v>
      </c>
      <c r="E117" s="41" t="s">
        <v>15</v>
      </c>
      <c r="F117" s="52" t="s">
        <v>152</v>
      </c>
      <c r="G117" s="13">
        <v>2.0</v>
      </c>
      <c r="H117" s="18">
        <v>3.0</v>
      </c>
      <c r="I117" s="18">
        <v>6.0</v>
      </c>
      <c r="J117" s="15">
        <v>0.0</v>
      </c>
      <c r="K117" s="11" t="s">
        <v>17</v>
      </c>
      <c r="L117" s="16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2.5" customHeight="1">
      <c r="A118" s="1"/>
      <c r="B118" s="38" t="s">
        <v>157</v>
      </c>
      <c r="C118" s="19" t="s">
        <v>171</v>
      </c>
      <c r="D118" s="10" t="s">
        <v>172</v>
      </c>
      <c r="E118" s="41" t="s">
        <v>173</v>
      </c>
      <c r="F118" s="9"/>
      <c r="G118" s="53">
        <v>1.0</v>
      </c>
      <c r="H118" s="18">
        <v>956.0</v>
      </c>
      <c r="I118" s="18">
        <v>956.0</v>
      </c>
      <c r="J118" s="15">
        <v>1600.0</v>
      </c>
      <c r="K118" s="11" t="s">
        <v>17</v>
      </c>
      <c r="L118" s="16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22.5" customHeight="1">
      <c r="A119" s="1"/>
      <c r="B119" s="38" t="s">
        <v>157</v>
      </c>
      <c r="C119" s="19" t="s">
        <v>171</v>
      </c>
      <c r="D119" s="10" t="s">
        <v>174</v>
      </c>
      <c r="E119" s="41" t="s">
        <v>173</v>
      </c>
      <c r="F119" s="9"/>
      <c r="G119" s="53">
        <v>1.0</v>
      </c>
      <c r="H119" s="15">
        <v>900.0</v>
      </c>
      <c r="I119" s="15">
        <v>900.0</v>
      </c>
      <c r="J119" s="18"/>
      <c r="K119" s="11" t="s">
        <v>17</v>
      </c>
      <c r="L119" s="16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22.5" customHeight="1">
      <c r="A120" s="1"/>
      <c r="B120" s="38" t="s">
        <v>175</v>
      </c>
      <c r="C120" s="19" t="s">
        <v>28</v>
      </c>
      <c r="D120" s="45" t="s">
        <v>176</v>
      </c>
      <c r="E120" s="11" t="s">
        <v>20</v>
      </c>
      <c r="F120" s="9"/>
      <c r="G120" s="13">
        <v>2.0</v>
      </c>
      <c r="H120" s="18">
        <v>100.0</v>
      </c>
      <c r="I120" s="18">
        <v>200.0</v>
      </c>
      <c r="J120" s="18"/>
      <c r="K120" s="11" t="s">
        <v>21</v>
      </c>
      <c r="L120" s="16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22.5" customHeight="1">
      <c r="A121" s="1"/>
      <c r="B121" s="38" t="s">
        <v>175</v>
      </c>
      <c r="C121" s="9" t="s">
        <v>13</v>
      </c>
      <c r="D121" s="10" t="s">
        <v>177</v>
      </c>
      <c r="E121" s="41" t="s">
        <v>15</v>
      </c>
      <c r="F121" s="50" t="s">
        <v>44</v>
      </c>
      <c r="G121" s="13">
        <v>1.0</v>
      </c>
      <c r="H121" s="18">
        <v>51.0</v>
      </c>
      <c r="I121" s="18">
        <v>51.0</v>
      </c>
      <c r="J121" s="15">
        <v>63.89</v>
      </c>
      <c r="K121" s="11" t="s">
        <v>17</v>
      </c>
      <c r="L121" s="16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22.5" customHeight="1">
      <c r="A122" s="1"/>
      <c r="B122" s="38" t="s">
        <v>175</v>
      </c>
      <c r="C122" s="19" t="s">
        <v>22</v>
      </c>
      <c r="D122" s="10" t="s">
        <v>178</v>
      </c>
      <c r="E122" s="21" t="s">
        <v>24</v>
      </c>
      <c r="F122" s="9"/>
      <c r="G122" s="13">
        <v>1.0</v>
      </c>
      <c r="H122" s="18">
        <v>95.0</v>
      </c>
      <c r="I122" s="18">
        <v>95.0</v>
      </c>
      <c r="J122" s="15"/>
      <c r="K122" s="11" t="s">
        <v>21</v>
      </c>
      <c r="L122" s="16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22.5" customHeight="1">
      <c r="A123" s="1"/>
      <c r="B123" s="38" t="s">
        <v>175</v>
      </c>
      <c r="C123" s="9" t="s">
        <v>13</v>
      </c>
      <c r="D123" s="10" t="s">
        <v>179</v>
      </c>
      <c r="E123" s="41" t="s">
        <v>26</v>
      </c>
      <c r="F123" s="9"/>
      <c r="G123" s="13">
        <v>6.0</v>
      </c>
      <c r="H123" s="18">
        <v>5.0</v>
      </c>
      <c r="I123" s="18">
        <v>30.0</v>
      </c>
      <c r="J123" s="18"/>
      <c r="K123" s="11" t="s">
        <v>21</v>
      </c>
      <c r="L123" s="16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22.5" customHeight="1">
      <c r="A124" s="1"/>
      <c r="B124" s="38" t="s">
        <v>175</v>
      </c>
      <c r="C124" s="9" t="s">
        <v>46</v>
      </c>
      <c r="D124" s="10" t="s">
        <v>180</v>
      </c>
      <c r="E124" s="11" t="s">
        <v>48</v>
      </c>
      <c r="F124" s="49" t="s">
        <v>181</v>
      </c>
      <c r="G124" s="13">
        <v>1.0</v>
      </c>
      <c r="H124" s="18">
        <v>684.0</v>
      </c>
      <c r="I124" s="18">
        <v>684.0</v>
      </c>
      <c r="J124" s="15">
        <v>627.0</v>
      </c>
      <c r="K124" s="11" t="s">
        <v>17</v>
      </c>
      <c r="L124" s="16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22.5" customHeight="1">
      <c r="A125" s="1"/>
      <c r="B125" s="38" t="s">
        <v>175</v>
      </c>
      <c r="C125" s="9" t="s">
        <v>182</v>
      </c>
      <c r="D125" s="45" t="s">
        <v>183</v>
      </c>
      <c r="E125" s="11" t="s">
        <v>48</v>
      </c>
      <c r="F125" s="49" t="s">
        <v>184</v>
      </c>
      <c r="G125" s="13">
        <v>2.0</v>
      </c>
      <c r="H125" s="18">
        <v>165.6</v>
      </c>
      <c r="I125" s="18">
        <v>331.2</v>
      </c>
      <c r="J125" s="15">
        <v>276.0</v>
      </c>
      <c r="K125" s="11" t="s">
        <v>17</v>
      </c>
      <c r="L125" s="16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22.5" customHeight="1">
      <c r="A126" s="1"/>
      <c r="B126" s="38" t="s">
        <v>175</v>
      </c>
      <c r="C126" s="9" t="s">
        <v>182</v>
      </c>
      <c r="D126" s="45" t="s">
        <v>185</v>
      </c>
      <c r="E126" s="11" t="s">
        <v>48</v>
      </c>
      <c r="F126" s="49" t="s">
        <v>186</v>
      </c>
      <c r="G126" s="13">
        <v>1.0</v>
      </c>
      <c r="H126" s="18">
        <v>724.8</v>
      </c>
      <c r="I126" s="18">
        <v>724.8</v>
      </c>
      <c r="J126" s="15">
        <v>629.0</v>
      </c>
      <c r="K126" s="11" t="s">
        <v>17</v>
      </c>
      <c r="L126" s="16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22.5" customHeight="1">
      <c r="A127" s="1"/>
      <c r="B127" s="38" t="s">
        <v>175</v>
      </c>
      <c r="C127" s="9" t="s">
        <v>46</v>
      </c>
      <c r="D127" s="10" t="s">
        <v>136</v>
      </c>
      <c r="E127" s="11" t="s">
        <v>48</v>
      </c>
      <c r="F127" s="49" t="s">
        <v>187</v>
      </c>
      <c r="G127" s="13">
        <v>1.0</v>
      </c>
      <c r="H127" s="18">
        <v>204.0</v>
      </c>
      <c r="I127" s="18">
        <v>204.0</v>
      </c>
      <c r="J127" s="15">
        <v>181.5</v>
      </c>
      <c r="K127" s="11" t="s">
        <v>17</v>
      </c>
      <c r="L127" s="16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22.5" customHeight="1">
      <c r="A128" s="1"/>
      <c r="B128" s="38" t="s">
        <v>175</v>
      </c>
      <c r="C128" s="9" t="s">
        <v>13</v>
      </c>
      <c r="D128" s="10" t="s">
        <v>33</v>
      </c>
      <c r="E128" s="11" t="s">
        <v>48</v>
      </c>
      <c r="F128" s="50" t="s">
        <v>44</v>
      </c>
      <c r="G128" s="13">
        <v>1.0</v>
      </c>
      <c r="H128" s="18">
        <v>130.0</v>
      </c>
      <c r="I128" s="18">
        <v>130.0</v>
      </c>
      <c r="J128" s="15">
        <v>138.45</v>
      </c>
      <c r="K128" s="11" t="s">
        <v>17</v>
      </c>
      <c r="L128" s="16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22.5" customHeight="1">
      <c r="A129" s="1"/>
      <c r="B129" s="38" t="s">
        <v>175</v>
      </c>
      <c r="C129" s="9" t="s">
        <v>13</v>
      </c>
      <c r="D129" s="10" t="s">
        <v>188</v>
      </c>
      <c r="E129" s="39" t="s">
        <v>15</v>
      </c>
      <c r="F129" s="50" t="s">
        <v>44</v>
      </c>
      <c r="G129" s="13">
        <v>1.0</v>
      </c>
      <c r="H129" s="18">
        <v>38.0</v>
      </c>
      <c r="I129" s="18">
        <v>38.0</v>
      </c>
      <c r="J129" s="15">
        <v>39.54</v>
      </c>
      <c r="K129" s="11" t="s">
        <v>17</v>
      </c>
      <c r="L129" s="36" t="s">
        <v>189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22.5" customHeight="1">
      <c r="A130" s="1"/>
      <c r="B130" s="38" t="s">
        <v>175</v>
      </c>
      <c r="C130" s="9" t="s">
        <v>122</v>
      </c>
      <c r="D130" s="10" t="s">
        <v>190</v>
      </c>
      <c r="E130" s="11" t="s">
        <v>124</v>
      </c>
      <c r="F130" s="9"/>
      <c r="G130" s="13">
        <v>1.0</v>
      </c>
      <c r="H130" s="18">
        <v>920.0</v>
      </c>
      <c r="I130" s="18">
        <v>920.0</v>
      </c>
      <c r="J130" s="15">
        <v>0.0</v>
      </c>
      <c r="K130" s="11" t="s">
        <v>17</v>
      </c>
      <c r="L130" s="36" t="s">
        <v>191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22.5" customHeight="1">
      <c r="A131" s="1"/>
      <c r="B131" s="38" t="s">
        <v>175</v>
      </c>
      <c r="C131" s="19" t="s">
        <v>22</v>
      </c>
      <c r="D131" s="10" t="s">
        <v>192</v>
      </c>
      <c r="E131" s="21" t="s">
        <v>24</v>
      </c>
      <c r="F131" s="9"/>
      <c r="G131" s="13">
        <v>1.0</v>
      </c>
      <c r="H131" s="18">
        <v>100.0</v>
      </c>
      <c r="I131" s="18">
        <v>100.0</v>
      </c>
      <c r="J131" s="15"/>
      <c r="K131" s="11" t="s">
        <v>21</v>
      </c>
      <c r="L131" s="16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22.5" customHeight="1">
      <c r="A132" s="1"/>
      <c r="B132" s="38" t="s">
        <v>175</v>
      </c>
      <c r="C132" s="9"/>
      <c r="D132" s="10" t="s">
        <v>193</v>
      </c>
      <c r="E132" s="41" t="s">
        <v>26</v>
      </c>
      <c r="F132" s="9"/>
      <c r="G132" s="13">
        <v>1.0</v>
      </c>
      <c r="H132" s="18">
        <v>35.0</v>
      </c>
      <c r="I132" s="18">
        <v>35.0</v>
      </c>
      <c r="J132" s="18"/>
      <c r="K132" s="11" t="s">
        <v>21</v>
      </c>
      <c r="L132" s="16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22.5" customHeight="1">
      <c r="A133" s="1"/>
      <c r="B133" s="38" t="s">
        <v>175</v>
      </c>
      <c r="C133" s="9" t="s">
        <v>13</v>
      </c>
      <c r="D133" s="10" t="s">
        <v>194</v>
      </c>
      <c r="E133" s="39" t="s">
        <v>15</v>
      </c>
      <c r="F133" s="50" t="s">
        <v>44</v>
      </c>
      <c r="G133" s="13">
        <v>2.0</v>
      </c>
      <c r="H133" s="18">
        <v>30.0</v>
      </c>
      <c r="I133" s="18">
        <v>60.0</v>
      </c>
      <c r="J133" s="15">
        <v>60.7</v>
      </c>
      <c r="K133" s="11" t="s">
        <v>17</v>
      </c>
      <c r="L133" s="16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22.5" customHeight="1">
      <c r="A134" s="1"/>
      <c r="B134" s="38" t="s">
        <v>175</v>
      </c>
      <c r="C134" s="9" t="s">
        <v>13</v>
      </c>
      <c r="D134" s="10" t="s">
        <v>195</v>
      </c>
      <c r="E134" s="39" t="s">
        <v>15</v>
      </c>
      <c r="F134" s="50" t="s">
        <v>44</v>
      </c>
      <c r="G134" s="13">
        <v>1.0</v>
      </c>
      <c r="H134" s="18">
        <v>43.0</v>
      </c>
      <c r="I134" s="18">
        <v>43.0</v>
      </c>
      <c r="J134" s="15">
        <v>42.58</v>
      </c>
      <c r="K134" s="11" t="s">
        <v>17</v>
      </c>
      <c r="L134" s="16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22.5" customHeight="1">
      <c r="A135" s="1"/>
      <c r="B135" s="38" t="s">
        <v>175</v>
      </c>
      <c r="C135" s="9" t="s">
        <v>13</v>
      </c>
      <c r="D135" s="10" t="s">
        <v>196</v>
      </c>
      <c r="E135" s="39" t="s">
        <v>15</v>
      </c>
      <c r="F135" s="50" t="s">
        <v>44</v>
      </c>
      <c r="G135" s="13">
        <v>1.0</v>
      </c>
      <c r="H135" s="18">
        <v>25.0</v>
      </c>
      <c r="I135" s="18">
        <v>25.0</v>
      </c>
      <c r="J135" s="15">
        <v>29.75</v>
      </c>
      <c r="K135" s="11" t="s">
        <v>17</v>
      </c>
      <c r="L135" s="16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22.5" customHeight="1">
      <c r="A136" s="1"/>
      <c r="B136" s="38" t="s">
        <v>175</v>
      </c>
      <c r="C136" s="9" t="s">
        <v>13</v>
      </c>
      <c r="D136" s="10" t="s">
        <v>197</v>
      </c>
      <c r="E136" s="39" t="s">
        <v>15</v>
      </c>
      <c r="F136" s="50" t="s">
        <v>44</v>
      </c>
      <c r="G136" s="13">
        <v>1.0</v>
      </c>
      <c r="H136" s="18">
        <v>20.0</v>
      </c>
      <c r="I136" s="18">
        <v>20.0</v>
      </c>
      <c r="J136" s="15">
        <v>18.09</v>
      </c>
      <c r="K136" s="11" t="s">
        <v>17</v>
      </c>
      <c r="L136" s="16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22.5" customHeight="1">
      <c r="A137" s="1"/>
      <c r="B137" s="38" t="s">
        <v>175</v>
      </c>
      <c r="C137" s="19" t="s">
        <v>198</v>
      </c>
      <c r="D137" s="10" t="s">
        <v>199</v>
      </c>
      <c r="E137" s="11" t="s">
        <v>200</v>
      </c>
      <c r="F137" s="49" t="s">
        <v>201</v>
      </c>
      <c r="G137" s="13">
        <v>1.0</v>
      </c>
      <c r="H137" s="18">
        <v>390.0</v>
      </c>
      <c r="I137" s="18">
        <v>390.0</v>
      </c>
      <c r="J137" s="15">
        <v>2224.45</v>
      </c>
      <c r="K137" s="11" t="s">
        <v>17</v>
      </c>
      <c r="L137" s="36" t="s">
        <v>202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22.5" customHeight="1">
      <c r="A138" s="1"/>
      <c r="B138" s="38" t="s">
        <v>175</v>
      </c>
      <c r="C138" s="19" t="s">
        <v>198</v>
      </c>
      <c r="D138" s="42" t="s">
        <v>203</v>
      </c>
      <c r="E138" s="11" t="s">
        <v>200</v>
      </c>
      <c r="F138" s="49" t="s">
        <v>201</v>
      </c>
      <c r="G138" s="13">
        <v>1.0</v>
      </c>
      <c r="H138" s="18">
        <v>160.0</v>
      </c>
      <c r="I138" s="18">
        <v>160.0</v>
      </c>
      <c r="J138" s="15">
        <v>0.0</v>
      </c>
      <c r="K138" s="11" t="s">
        <v>17</v>
      </c>
      <c r="L138" s="34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22.5" customHeight="1">
      <c r="A139" s="1"/>
      <c r="B139" s="38" t="s">
        <v>175</v>
      </c>
      <c r="C139" s="9" t="s">
        <v>204</v>
      </c>
      <c r="D139" s="10" t="s">
        <v>205</v>
      </c>
      <c r="E139" s="11" t="s">
        <v>26</v>
      </c>
      <c r="F139" s="49" t="s">
        <v>206</v>
      </c>
      <c r="G139" s="13">
        <v>4.0</v>
      </c>
      <c r="H139" s="18">
        <v>11.0</v>
      </c>
      <c r="I139" s="18">
        <v>44.0</v>
      </c>
      <c r="J139" s="18"/>
      <c r="K139" s="11" t="s">
        <v>21</v>
      </c>
      <c r="L139" s="16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22.5" customHeight="1">
      <c r="A140" s="1"/>
      <c r="B140" s="38" t="s">
        <v>175</v>
      </c>
      <c r="C140" s="9" t="s">
        <v>146</v>
      </c>
      <c r="D140" s="10" t="s">
        <v>207</v>
      </c>
      <c r="E140" s="41" t="s">
        <v>15</v>
      </c>
      <c r="F140" s="49" t="s">
        <v>148</v>
      </c>
      <c r="G140" s="13">
        <v>1.0</v>
      </c>
      <c r="H140" s="18">
        <v>300.0</v>
      </c>
      <c r="I140" s="18">
        <v>300.0</v>
      </c>
      <c r="J140" s="15">
        <v>266.24</v>
      </c>
      <c r="K140" s="11" t="s">
        <v>17</v>
      </c>
      <c r="L140" s="16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22.5" customHeight="1">
      <c r="A141" s="1"/>
      <c r="B141" s="38" t="s">
        <v>175</v>
      </c>
      <c r="C141" s="9" t="s">
        <v>13</v>
      </c>
      <c r="D141" s="10" t="s">
        <v>149</v>
      </c>
      <c r="E141" s="41" t="s">
        <v>15</v>
      </c>
      <c r="F141" s="49" t="s">
        <v>150</v>
      </c>
      <c r="G141" s="13">
        <v>1.0</v>
      </c>
      <c r="H141" s="18">
        <v>21.0</v>
      </c>
      <c r="I141" s="18">
        <v>21.0</v>
      </c>
      <c r="J141" s="15">
        <v>15.85</v>
      </c>
      <c r="K141" s="11" t="s">
        <v>17</v>
      </c>
      <c r="L141" s="16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22.5" customHeight="1">
      <c r="A142" s="1"/>
      <c r="B142" s="38" t="s">
        <v>175</v>
      </c>
      <c r="C142" s="19" t="s">
        <v>22</v>
      </c>
      <c r="D142" s="10" t="s">
        <v>208</v>
      </c>
      <c r="E142" s="21" t="s">
        <v>24</v>
      </c>
      <c r="F142" s="52"/>
      <c r="G142" s="13">
        <v>1.0</v>
      </c>
      <c r="H142" s="18">
        <v>80.0</v>
      </c>
      <c r="I142" s="18">
        <v>80.0</v>
      </c>
      <c r="J142" s="18"/>
      <c r="K142" s="11" t="s">
        <v>21</v>
      </c>
      <c r="L142" s="34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22.5" customHeight="1">
      <c r="A143" s="1"/>
      <c r="B143" s="38" t="s">
        <v>175</v>
      </c>
      <c r="C143" s="9" t="s">
        <v>209</v>
      </c>
      <c r="D143" s="10" t="s">
        <v>210</v>
      </c>
      <c r="E143" s="41" t="s">
        <v>15</v>
      </c>
      <c r="F143" s="49">
        <v>8.49069896E8</v>
      </c>
      <c r="G143" s="13">
        <v>1.0</v>
      </c>
      <c r="H143" s="18">
        <v>5.0</v>
      </c>
      <c r="I143" s="18">
        <v>5.0</v>
      </c>
      <c r="J143" s="18"/>
      <c r="K143" s="11" t="s">
        <v>17</v>
      </c>
      <c r="L143" s="16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22.5" customHeight="1">
      <c r="A144" s="1"/>
      <c r="B144" s="38" t="s">
        <v>175</v>
      </c>
      <c r="C144" s="9" t="s">
        <v>13</v>
      </c>
      <c r="D144" s="10" t="s">
        <v>170</v>
      </c>
      <c r="E144" s="41" t="s">
        <v>15</v>
      </c>
      <c r="F144" s="49" t="s">
        <v>152</v>
      </c>
      <c r="G144" s="13">
        <v>2.0</v>
      </c>
      <c r="H144" s="18">
        <v>3.0</v>
      </c>
      <c r="I144" s="18">
        <v>6.0</v>
      </c>
      <c r="J144" s="18"/>
      <c r="K144" s="11" t="s">
        <v>17</v>
      </c>
      <c r="L144" s="16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22.5" customHeight="1">
      <c r="A145" s="1"/>
      <c r="B145" s="38" t="s">
        <v>211</v>
      </c>
      <c r="C145" s="19" t="s">
        <v>28</v>
      </c>
      <c r="D145" s="10" t="s">
        <v>176</v>
      </c>
      <c r="E145" s="11" t="s">
        <v>20</v>
      </c>
      <c r="F145" s="9"/>
      <c r="G145" s="13">
        <v>2.0</v>
      </c>
      <c r="H145" s="18">
        <v>100.0</v>
      </c>
      <c r="I145" s="18">
        <v>200.0</v>
      </c>
      <c r="J145" s="18"/>
      <c r="K145" s="11" t="s">
        <v>21</v>
      </c>
      <c r="L145" s="16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22.5" customHeight="1">
      <c r="A146" s="1"/>
      <c r="B146" s="38" t="s">
        <v>211</v>
      </c>
      <c r="C146" s="9" t="s">
        <v>13</v>
      </c>
      <c r="D146" s="10" t="s">
        <v>212</v>
      </c>
      <c r="E146" s="41" t="s">
        <v>26</v>
      </c>
      <c r="F146" s="17"/>
      <c r="G146" s="13">
        <v>2.0</v>
      </c>
      <c r="H146" s="18">
        <v>5.0</v>
      </c>
      <c r="I146" s="18">
        <v>10.0</v>
      </c>
      <c r="J146" s="18"/>
      <c r="K146" s="11" t="s">
        <v>21</v>
      </c>
      <c r="L146" s="16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22.5" customHeight="1">
      <c r="A147" s="1"/>
      <c r="B147" s="38" t="s">
        <v>211</v>
      </c>
      <c r="C147" s="9" t="s">
        <v>13</v>
      </c>
      <c r="D147" s="10" t="s">
        <v>213</v>
      </c>
      <c r="E147" s="41" t="s">
        <v>15</v>
      </c>
      <c r="F147" s="49" t="s">
        <v>214</v>
      </c>
      <c r="G147" s="13">
        <v>1.0</v>
      </c>
      <c r="H147" s="18">
        <v>6.2</v>
      </c>
      <c r="I147" s="18">
        <v>6.2</v>
      </c>
      <c r="J147" s="15">
        <v>27.35</v>
      </c>
      <c r="K147" s="11" t="s">
        <v>17</v>
      </c>
      <c r="L147" s="36" t="s">
        <v>215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22.5" customHeight="1">
      <c r="A148" s="1"/>
      <c r="B148" s="38" t="s">
        <v>211</v>
      </c>
      <c r="C148" s="19" t="s">
        <v>22</v>
      </c>
      <c r="D148" s="10" t="s">
        <v>216</v>
      </c>
      <c r="E148" s="21" t="s">
        <v>24</v>
      </c>
      <c r="F148" s="51"/>
      <c r="G148" s="13">
        <v>1.0</v>
      </c>
      <c r="H148" s="18">
        <v>40.0</v>
      </c>
      <c r="I148" s="18">
        <v>40.0</v>
      </c>
      <c r="J148" s="18"/>
      <c r="K148" s="11" t="s">
        <v>21</v>
      </c>
      <c r="L148" s="16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22.5" customHeight="1">
      <c r="A149" s="1"/>
      <c r="B149" s="38" t="s">
        <v>211</v>
      </c>
      <c r="C149" s="9" t="s">
        <v>120</v>
      </c>
      <c r="D149" s="45" t="s">
        <v>183</v>
      </c>
      <c r="E149" s="11" t="s">
        <v>48</v>
      </c>
      <c r="F149" s="49">
        <v>80175.0</v>
      </c>
      <c r="G149" s="13">
        <v>2.0</v>
      </c>
      <c r="H149" s="18">
        <v>212.06</v>
      </c>
      <c r="I149" s="18">
        <v>424.12</v>
      </c>
      <c r="J149" s="15">
        <v>471.24</v>
      </c>
      <c r="K149" s="11" t="s">
        <v>17</v>
      </c>
      <c r="L149" s="16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22.5" customHeight="1">
      <c r="A150" s="1"/>
      <c r="B150" s="38" t="s">
        <v>211</v>
      </c>
      <c r="C150" s="9" t="s">
        <v>120</v>
      </c>
      <c r="D150" s="45" t="s">
        <v>185</v>
      </c>
      <c r="E150" s="11" t="s">
        <v>48</v>
      </c>
      <c r="F150" s="49">
        <v>80176.0</v>
      </c>
      <c r="G150" s="13">
        <v>1.0</v>
      </c>
      <c r="H150" s="18">
        <v>723.5</v>
      </c>
      <c r="I150" s="18">
        <v>723.5</v>
      </c>
      <c r="J150" s="15">
        <v>803.88</v>
      </c>
      <c r="K150" s="11" t="s">
        <v>17</v>
      </c>
      <c r="L150" s="16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22.5" customHeight="1">
      <c r="A151" s="1"/>
      <c r="B151" s="38" t="s">
        <v>211</v>
      </c>
      <c r="C151" s="9" t="s">
        <v>122</v>
      </c>
      <c r="D151" s="10" t="s">
        <v>190</v>
      </c>
      <c r="E151" s="11" t="s">
        <v>124</v>
      </c>
      <c r="F151" s="17"/>
      <c r="G151" s="13">
        <v>1.0</v>
      </c>
      <c r="H151" s="18">
        <v>300.0</v>
      </c>
      <c r="I151" s="18">
        <v>300.0</v>
      </c>
      <c r="J151" s="15">
        <v>0.0</v>
      </c>
      <c r="K151" s="11" t="s">
        <v>17</v>
      </c>
      <c r="L151" s="36" t="s">
        <v>191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22.5" customHeight="1">
      <c r="A152" s="1"/>
      <c r="B152" s="38" t="s">
        <v>211</v>
      </c>
      <c r="C152" s="19" t="s">
        <v>22</v>
      </c>
      <c r="D152" s="10" t="s">
        <v>192</v>
      </c>
      <c r="E152" s="21" t="s">
        <v>24</v>
      </c>
      <c r="F152" s="17"/>
      <c r="G152" s="13">
        <v>1.0</v>
      </c>
      <c r="H152" s="18">
        <v>80.0</v>
      </c>
      <c r="I152" s="18">
        <v>80.0</v>
      </c>
      <c r="J152" s="18"/>
      <c r="K152" s="11" t="s">
        <v>21</v>
      </c>
      <c r="L152" s="1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22.5" customHeight="1">
      <c r="A153" s="1"/>
      <c r="B153" s="38" t="s">
        <v>211</v>
      </c>
      <c r="C153" s="9"/>
      <c r="D153" s="10" t="s">
        <v>193</v>
      </c>
      <c r="E153" s="41" t="s">
        <v>26</v>
      </c>
      <c r="F153" s="17"/>
      <c r="G153" s="13">
        <v>1.0</v>
      </c>
      <c r="H153" s="18">
        <v>35.0</v>
      </c>
      <c r="I153" s="18">
        <v>35.0</v>
      </c>
      <c r="J153" s="18"/>
      <c r="K153" s="11" t="s">
        <v>21</v>
      </c>
      <c r="L153" s="16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22.5" customHeight="1">
      <c r="A154" s="1"/>
      <c r="B154" s="38" t="s">
        <v>211</v>
      </c>
      <c r="C154" s="9" t="s">
        <v>13</v>
      </c>
      <c r="D154" s="45" t="s">
        <v>194</v>
      </c>
      <c r="E154" s="39" t="s">
        <v>15</v>
      </c>
      <c r="F154" s="50" t="s">
        <v>44</v>
      </c>
      <c r="G154" s="13">
        <v>2.0</v>
      </c>
      <c r="H154" s="18">
        <v>40.0</v>
      </c>
      <c r="I154" s="18">
        <v>80.0</v>
      </c>
      <c r="J154" s="15">
        <v>60.68</v>
      </c>
      <c r="K154" s="11" t="s">
        <v>17</v>
      </c>
      <c r="L154" s="16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22.5" customHeight="1">
      <c r="A155" s="1"/>
      <c r="B155" s="38" t="s">
        <v>211</v>
      </c>
      <c r="C155" s="9" t="s">
        <v>13</v>
      </c>
      <c r="D155" s="45" t="s">
        <v>195</v>
      </c>
      <c r="E155" s="39" t="s">
        <v>15</v>
      </c>
      <c r="F155" s="50" t="s">
        <v>44</v>
      </c>
      <c r="G155" s="13">
        <v>1.0</v>
      </c>
      <c r="H155" s="18">
        <v>43.0</v>
      </c>
      <c r="I155" s="18">
        <v>43.0</v>
      </c>
      <c r="J155" s="15">
        <v>42.6</v>
      </c>
      <c r="K155" s="11" t="s">
        <v>17</v>
      </c>
      <c r="L155" s="16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22.5" customHeight="1">
      <c r="A156" s="1"/>
      <c r="B156" s="38" t="s">
        <v>211</v>
      </c>
      <c r="C156" s="9" t="s">
        <v>13</v>
      </c>
      <c r="D156" s="45" t="s">
        <v>217</v>
      </c>
      <c r="E156" s="39" t="s">
        <v>15</v>
      </c>
      <c r="F156" s="54" t="s">
        <v>5</v>
      </c>
      <c r="G156" s="13">
        <v>1.0</v>
      </c>
      <c r="H156" s="18">
        <v>25.0</v>
      </c>
      <c r="I156" s="18">
        <v>25.0</v>
      </c>
      <c r="J156" s="15">
        <v>25.29</v>
      </c>
      <c r="K156" s="11" t="s">
        <v>17</v>
      </c>
      <c r="L156" s="16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22.5" customHeight="1">
      <c r="A157" s="1"/>
      <c r="B157" s="38" t="s">
        <v>211</v>
      </c>
      <c r="C157" s="19" t="s">
        <v>198</v>
      </c>
      <c r="D157" s="45" t="s">
        <v>199</v>
      </c>
      <c r="E157" s="11" t="s">
        <v>200</v>
      </c>
      <c r="F157" s="49" t="s">
        <v>201</v>
      </c>
      <c r="G157" s="13">
        <v>1.0</v>
      </c>
      <c r="H157" s="18">
        <v>370.0</v>
      </c>
      <c r="I157" s="18">
        <v>370.0</v>
      </c>
      <c r="J157" s="15">
        <v>0.0</v>
      </c>
      <c r="K157" s="11" t="s">
        <v>17</v>
      </c>
      <c r="L157" s="16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22.5" customHeight="1">
      <c r="A158" s="1"/>
      <c r="B158" s="38" t="s">
        <v>211</v>
      </c>
      <c r="C158" s="19" t="s">
        <v>198</v>
      </c>
      <c r="D158" s="55" t="s">
        <v>218</v>
      </c>
      <c r="E158" s="11" t="s">
        <v>200</v>
      </c>
      <c r="F158" s="49" t="s">
        <v>201</v>
      </c>
      <c r="G158" s="13">
        <v>1.0</v>
      </c>
      <c r="H158" s="18">
        <v>160.0</v>
      </c>
      <c r="I158" s="18">
        <v>160.0</v>
      </c>
      <c r="J158" s="15">
        <v>0.0</v>
      </c>
      <c r="K158" s="11" t="s">
        <v>17</v>
      </c>
      <c r="L158" s="16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22.5" customHeight="1">
      <c r="A159" s="1"/>
      <c r="B159" s="38" t="s">
        <v>211</v>
      </c>
      <c r="C159" s="19" t="s">
        <v>198</v>
      </c>
      <c r="D159" s="45" t="s">
        <v>219</v>
      </c>
      <c r="E159" s="11" t="s">
        <v>200</v>
      </c>
      <c r="F159" s="49" t="s">
        <v>201</v>
      </c>
      <c r="G159" s="13">
        <v>1.0</v>
      </c>
      <c r="H159" s="18">
        <v>100.0</v>
      </c>
      <c r="I159" s="18">
        <v>100.0</v>
      </c>
      <c r="J159" s="18"/>
      <c r="K159" s="11" t="s">
        <v>17</v>
      </c>
      <c r="L159" s="16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22.5" customHeight="1">
      <c r="A160" s="1"/>
      <c r="B160" s="38" t="s">
        <v>211</v>
      </c>
      <c r="C160" s="9" t="s">
        <v>13</v>
      </c>
      <c r="D160" s="10" t="s">
        <v>197</v>
      </c>
      <c r="E160" s="39" t="s">
        <v>15</v>
      </c>
      <c r="F160" s="50" t="s">
        <v>44</v>
      </c>
      <c r="G160" s="13">
        <v>1.0</v>
      </c>
      <c r="H160" s="18">
        <v>19.0</v>
      </c>
      <c r="I160" s="18">
        <v>19.0</v>
      </c>
      <c r="J160" s="15">
        <v>18.09</v>
      </c>
      <c r="K160" s="11" t="s">
        <v>17</v>
      </c>
      <c r="L160" s="16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22.5" customHeight="1">
      <c r="A161" s="1"/>
      <c r="B161" s="38" t="s">
        <v>211</v>
      </c>
      <c r="C161" s="9" t="s">
        <v>204</v>
      </c>
      <c r="D161" s="45" t="s">
        <v>205</v>
      </c>
      <c r="E161" s="11" t="s">
        <v>26</v>
      </c>
      <c r="F161" s="49" t="s">
        <v>206</v>
      </c>
      <c r="G161" s="13">
        <v>4.0</v>
      </c>
      <c r="H161" s="18">
        <v>11.0</v>
      </c>
      <c r="I161" s="18">
        <v>44.0</v>
      </c>
      <c r="J161" s="18"/>
      <c r="K161" s="11" t="s">
        <v>21</v>
      </c>
      <c r="L161" s="16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22.5" customHeight="1">
      <c r="A162" s="1"/>
      <c r="B162" s="38" t="s">
        <v>211</v>
      </c>
      <c r="C162" s="19" t="s">
        <v>28</v>
      </c>
      <c r="D162" s="10" t="s">
        <v>220</v>
      </c>
      <c r="E162" s="11" t="s">
        <v>20</v>
      </c>
      <c r="F162" s="9"/>
      <c r="G162" s="13">
        <v>2.0</v>
      </c>
      <c r="H162" s="18">
        <v>180.0</v>
      </c>
      <c r="I162" s="18">
        <v>360.0</v>
      </c>
      <c r="J162" s="18"/>
      <c r="K162" s="11" t="s">
        <v>21</v>
      </c>
      <c r="L162" s="16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22.5" customHeight="1">
      <c r="A163" s="1"/>
      <c r="B163" s="38" t="s">
        <v>211</v>
      </c>
      <c r="C163" s="19" t="s">
        <v>22</v>
      </c>
      <c r="D163" s="10" t="s">
        <v>41</v>
      </c>
      <c r="E163" s="21" t="s">
        <v>24</v>
      </c>
      <c r="F163" s="9"/>
      <c r="G163" s="13">
        <v>2.0</v>
      </c>
      <c r="H163" s="18">
        <v>18.0</v>
      </c>
      <c r="I163" s="18">
        <v>36.0</v>
      </c>
      <c r="J163" s="18"/>
      <c r="K163" s="11" t="s">
        <v>21</v>
      </c>
      <c r="L163" s="16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22.5" customHeight="1">
      <c r="A164" s="1"/>
      <c r="B164" s="38" t="s">
        <v>211</v>
      </c>
      <c r="C164" s="9" t="s">
        <v>146</v>
      </c>
      <c r="D164" s="10" t="s">
        <v>221</v>
      </c>
      <c r="E164" s="41" t="s">
        <v>15</v>
      </c>
      <c r="F164" s="49" t="s">
        <v>222</v>
      </c>
      <c r="G164" s="13">
        <v>1.0</v>
      </c>
      <c r="H164" s="18">
        <v>198.0</v>
      </c>
      <c r="I164" s="18">
        <v>198.0</v>
      </c>
      <c r="J164" s="15">
        <v>186.01</v>
      </c>
      <c r="K164" s="11" t="s">
        <v>17</v>
      </c>
      <c r="L164" s="16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22.5" customHeight="1">
      <c r="A165" s="1"/>
      <c r="B165" s="38" t="s">
        <v>211</v>
      </c>
      <c r="C165" s="9" t="s">
        <v>13</v>
      </c>
      <c r="D165" s="10" t="s">
        <v>149</v>
      </c>
      <c r="E165" s="41" t="s">
        <v>15</v>
      </c>
      <c r="F165" s="49" t="s">
        <v>150</v>
      </c>
      <c r="G165" s="13">
        <v>1.0</v>
      </c>
      <c r="H165" s="18">
        <v>21.0</v>
      </c>
      <c r="I165" s="18">
        <v>21.0</v>
      </c>
      <c r="J165" s="15">
        <v>10.64</v>
      </c>
      <c r="K165" s="11" t="s">
        <v>17</v>
      </c>
      <c r="L165" s="16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22.5" customHeight="1">
      <c r="A166" s="1"/>
      <c r="B166" s="38" t="s">
        <v>211</v>
      </c>
      <c r="C166" s="19" t="s">
        <v>22</v>
      </c>
      <c r="D166" s="10" t="s">
        <v>208</v>
      </c>
      <c r="E166" s="21" t="s">
        <v>24</v>
      </c>
      <c r="F166" s="52"/>
      <c r="G166" s="13">
        <v>1.0</v>
      </c>
      <c r="H166" s="18">
        <v>80.0</v>
      </c>
      <c r="I166" s="18">
        <v>80.0</v>
      </c>
      <c r="J166" s="18"/>
      <c r="K166" s="11" t="s">
        <v>21</v>
      </c>
      <c r="L166" s="16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22.5" customHeight="1">
      <c r="A167" s="1"/>
      <c r="B167" s="38" t="s">
        <v>211</v>
      </c>
      <c r="C167" s="9" t="s">
        <v>13</v>
      </c>
      <c r="D167" s="10" t="s">
        <v>170</v>
      </c>
      <c r="E167" s="41" t="s">
        <v>15</v>
      </c>
      <c r="F167" s="49" t="s">
        <v>152</v>
      </c>
      <c r="G167" s="13">
        <v>2.0</v>
      </c>
      <c r="H167" s="18">
        <v>3.0</v>
      </c>
      <c r="I167" s="18">
        <v>6.0</v>
      </c>
      <c r="J167" s="15">
        <v>31.66</v>
      </c>
      <c r="K167" s="11" t="s">
        <v>17</v>
      </c>
      <c r="L167" s="16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22.5" customHeight="1">
      <c r="A168" s="1"/>
      <c r="B168" s="38" t="s">
        <v>223</v>
      </c>
      <c r="C168" s="19" t="s">
        <v>158</v>
      </c>
      <c r="D168" s="10" t="s">
        <v>224</v>
      </c>
      <c r="E168" s="11" t="s">
        <v>160</v>
      </c>
      <c r="F168" s="17"/>
      <c r="G168" s="13">
        <v>1.0</v>
      </c>
      <c r="H168" s="18">
        <v>8000.0</v>
      </c>
      <c r="I168" s="18">
        <f t="shared" ref="I168:I185" si="2">G168*H168</f>
        <v>8000</v>
      </c>
      <c r="J168" s="15">
        <v>0.0</v>
      </c>
      <c r="K168" s="11" t="s">
        <v>17</v>
      </c>
      <c r="L168" s="36" t="s">
        <v>225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22.5" customHeight="1">
      <c r="A169" s="1"/>
      <c r="B169" s="38" t="s">
        <v>223</v>
      </c>
      <c r="C169" s="56" t="s">
        <v>226</v>
      </c>
      <c r="D169" s="10" t="s">
        <v>185</v>
      </c>
      <c r="E169" s="11" t="s">
        <v>48</v>
      </c>
      <c r="F169" s="57" t="s">
        <v>5</v>
      </c>
      <c r="G169" s="13">
        <v>1.0</v>
      </c>
      <c r="H169" s="18">
        <v>240.2</v>
      </c>
      <c r="I169" s="18">
        <f t="shared" si="2"/>
        <v>240.2</v>
      </c>
      <c r="J169" s="15">
        <v>163.65</v>
      </c>
      <c r="K169" s="11" t="s">
        <v>17</v>
      </c>
      <c r="L169" s="16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22.5" customHeight="1">
      <c r="A170" s="1"/>
      <c r="B170" s="38" t="s">
        <v>223</v>
      </c>
      <c r="C170" s="9" t="s">
        <v>13</v>
      </c>
      <c r="D170" s="10" t="s">
        <v>227</v>
      </c>
      <c r="E170" s="39" t="s">
        <v>15</v>
      </c>
      <c r="F170" s="57" t="s">
        <v>5</v>
      </c>
      <c r="G170" s="13">
        <v>1.0</v>
      </c>
      <c r="H170" s="18">
        <v>30.0</v>
      </c>
      <c r="I170" s="18">
        <f t="shared" si="2"/>
        <v>30</v>
      </c>
      <c r="J170" s="15">
        <v>30.87</v>
      </c>
      <c r="K170" s="11" t="s">
        <v>17</v>
      </c>
      <c r="L170" s="16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22.5" customHeight="1">
      <c r="A171" s="1"/>
      <c r="B171" s="38" t="s">
        <v>223</v>
      </c>
      <c r="C171" s="9" t="s">
        <v>13</v>
      </c>
      <c r="D171" s="10" t="s">
        <v>228</v>
      </c>
      <c r="E171" s="39" t="s">
        <v>15</v>
      </c>
      <c r="F171" s="57" t="s">
        <v>5</v>
      </c>
      <c r="G171" s="13">
        <v>4.0</v>
      </c>
      <c r="H171" s="18">
        <v>75.0</v>
      </c>
      <c r="I171" s="18">
        <f t="shared" si="2"/>
        <v>300</v>
      </c>
      <c r="J171" s="15">
        <v>260.24</v>
      </c>
      <c r="K171" s="11" t="s">
        <v>17</v>
      </c>
      <c r="L171" s="16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22.5" customHeight="1">
      <c r="A172" s="1"/>
      <c r="B172" s="38" t="s">
        <v>223</v>
      </c>
      <c r="C172" s="9" t="s">
        <v>229</v>
      </c>
      <c r="D172" s="10" t="s">
        <v>230</v>
      </c>
      <c r="E172" s="11" t="s">
        <v>26</v>
      </c>
      <c r="F172" s="49" t="s">
        <v>231</v>
      </c>
      <c r="G172" s="13">
        <v>8.0</v>
      </c>
      <c r="H172" s="18">
        <v>6.0</v>
      </c>
      <c r="I172" s="18">
        <f t="shared" si="2"/>
        <v>48</v>
      </c>
      <c r="J172" s="18"/>
      <c r="K172" s="11" t="s">
        <v>21</v>
      </c>
      <c r="L172" s="16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22.5" customHeight="1">
      <c r="A173" s="1"/>
      <c r="B173" s="38" t="s">
        <v>223</v>
      </c>
      <c r="C173" s="9" t="s">
        <v>13</v>
      </c>
      <c r="D173" s="10" t="s">
        <v>232</v>
      </c>
      <c r="E173" s="39" t="s">
        <v>15</v>
      </c>
      <c r="F173" s="37" t="s">
        <v>233</v>
      </c>
      <c r="G173" s="13">
        <v>1.0</v>
      </c>
      <c r="H173" s="18">
        <v>40.0</v>
      </c>
      <c r="I173" s="18">
        <f t="shared" si="2"/>
        <v>40</v>
      </c>
      <c r="J173" s="15">
        <v>35.91</v>
      </c>
      <c r="K173" s="11" t="s">
        <v>17</v>
      </c>
      <c r="L173" s="16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22.5" customHeight="1">
      <c r="A174" s="1"/>
      <c r="B174" s="38" t="s">
        <v>223</v>
      </c>
      <c r="C174" s="9" t="s">
        <v>13</v>
      </c>
      <c r="D174" s="10" t="s">
        <v>234</v>
      </c>
      <c r="E174" s="39" t="s">
        <v>15</v>
      </c>
      <c r="F174" s="37" t="s">
        <v>5</v>
      </c>
      <c r="G174" s="13">
        <v>1.0</v>
      </c>
      <c r="H174" s="18">
        <v>40.0</v>
      </c>
      <c r="I174" s="18">
        <f t="shared" si="2"/>
        <v>40</v>
      </c>
      <c r="J174" s="15">
        <v>31.35</v>
      </c>
      <c r="K174" s="11" t="s">
        <v>17</v>
      </c>
      <c r="L174" s="16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22.5" customHeight="1">
      <c r="A175" s="1"/>
      <c r="B175" s="38" t="s">
        <v>223</v>
      </c>
      <c r="C175" s="19" t="s">
        <v>28</v>
      </c>
      <c r="D175" s="10" t="s">
        <v>235</v>
      </c>
      <c r="E175" s="11" t="s">
        <v>20</v>
      </c>
      <c r="F175" s="17"/>
      <c r="G175" s="13">
        <v>1.0</v>
      </c>
      <c r="H175" s="18">
        <v>56.0</v>
      </c>
      <c r="I175" s="18">
        <f t="shared" si="2"/>
        <v>56</v>
      </c>
      <c r="J175" s="18"/>
      <c r="K175" s="11" t="s">
        <v>21</v>
      </c>
      <c r="L175" s="16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22.5" customHeight="1">
      <c r="A176" s="1"/>
      <c r="B176" s="38" t="s">
        <v>223</v>
      </c>
      <c r="C176" s="9" t="s">
        <v>13</v>
      </c>
      <c r="D176" s="10" t="s">
        <v>236</v>
      </c>
      <c r="E176" s="11" t="s">
        <v>15</v>
      </c>
      <c r="F176" s="37" t="s">
        <v>5</v>
      </c>
      <c r="G176" s="13">
        <v>1.0</v>
      </c>
      <c r="H176" s="18">
        <v>84.0</v>
      </c>
      <c r="I176" s="18">
        <f t="shared" si="2"/>
        <v>84</v>
      </c>
      <c r="J176" s="15">
        <v>85.18</v>
      </c>
      <c r="K176" s="11" t="s">
        <v>17</v>
      </c>
      <c r="L176" s="16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22.5" customHeight="1">
      <c r="A177" s="1"/>
      <c r="B177" s="38" t="s">
        <v>223</v>
      </c>
      <c r="C177" s="9" t="s">
        <v>237</v>
      </c>
      <c r="D177" s="10" t="s">
        <v>238</v>
      </c>
      <c r="E177" s="39" t="s">
        <v>15</v>
      </c>
      <c r="F177" s="50" t="s">
        <v>5</v>
      </c>
      <c r="G177" s="13">
        <v>1.0</v>
      </c>
      <c r="H177" s="18">
        <v>120.0</v>
      </c>
      <c r="I177" s="18">
        <f t="shared" si="2"/>
        <v>120</v>
      </c>
      <c r="J177" s="15">
        <v>126.26</v>
      </c>
      <c r="K177" s="11" t="s">
        <v>17</v>
      </c>
      <c r="L177" s="36" t="s">
        <v>239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22.5" customHeight="1">
      <c r="A178" s="1"/>
      <c r="B178" s="38" t="s">
        <v>223</v>
      </c>
      <c r="C178" s="9" t="s">
        <v>122</v>
      </c>
      <c r="D178" s="10" t="s">
        <v>240</v>
      </c>
      <c r="E178" s="11" t="s">
        <v>124</v>
      </c>
      <c r="F178" s="58"/>
      <c r="G178" s="13">
        <v>1.0</v>
      </c>
      <c r="H178" s="18">
        <v>300.0</v>
      </c>
      <c r="I178" s="18">
        <f t="shared" si="2"/>
        <v>300</v>
      </c>
      <c r="J178" s="15">
        <v>0.0</v>
      </c>
      <c r="K178" s="11" t="s">
        <v>17</v>
      </c>
      <c r="L178" s="36" t="s">
        <v>191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22.5" customHeight="1">
      <c r="A179" s="1"/>
      <c r="B179" s="38" t="s">
        <v>223</v>
      </c>
      <c r="C179" s="9" t="s">
        <v>13</v>
      </c>
      <c r="D179" s="10" t="s">
        <v>241</v>
      </c>
      <c r="E179" s="41" t="s">
        <v>15</v>
      </c>
      <c r="F179" s="57" t="s">
        <v>5</v>
      </c>
      <c r="G179" s="13">
        <v>2.0</v>
      </c>
      <c r="H179" s="18">
        <v>130.0</v>
      </c>
      <c r="I179" s="18">
        <f t="shared" si="2"/>
        <v>260</v>
      </c>
      <c r="J179" s="15">
        <v>289.65</v>
      </c>
      <c r="K179" s="11" t="s">
        <v>17</v>
      </c>
      <c r="L179" s="16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22.5" customHeight="1">
      <c r="A180" s="1"/>
      <c r="B180" s="38" t="s">
        <v>223</v>
      </c>
      <c r="C180" s="9" t="s">
        <v>13</v>
      </c>
      <c r="D180" s="10" t="s">
        <v>242</v>
      </c>
      <c r="E180" s="41" t="s">
        <v>15</v>
      </c>
      <c r="F180" s="57" t="s">
        <v>5</v>
      </c>
      <c r="G180" s="13">
        <v>2.0</v>
      </c>
      <c r="H180" s="18">
        <v>19.0</v>
      </c>
      <c r="I180" s="18">
        <f t="shared" si="2"/>
        <v>38</v>
      </c>
      <c r="J180" s="15">
        <v>38.31</v>
      </c>
      <c r="K180" s="11" t="s">
        <v>17</v>
      </c>
      <c r="L180" s="16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22.5" customHeight="1">
      <c r="A181" s="1"/>
      <c r="B181" s="38" t="s">
        <v>223</v>
      </c>
      <c r="C181" s="9" t="s">
        <v>146</v>
      </c>
      <c r="D181" s="10" t="s">
        <v>221</v>
      </c>
      <c r="E181" s="41" t="s">
        <v>15</v>
      </c>
      <c r="F181" s="49" t="s">
        <v>222</v>
      </c>
      <c r="G181" s="13">
        <v>1.0</v>
      </c>
      <c r="H181" s="18">
        <v>198.0</v>
      </c>
      <c r="I181" s="18">
        <f t="shared" si="2"/>
        <v>198</v>
      </c>
      <c r="J181" s="15">
        <v>138.44</v>
      </c>
      <c r="K181" s="11" t="s">
        <v>17</v>
      </c>
      <c r="L181" s="16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22.5" customHeight="1">
      <c r="A182" s="1"/>
      <c r="B182" s="38" t="s">
        <v>223</v>
      </c>
      <c r="C182" s="9" t="s">
        <v>13</v>
      </c>
      <c r="D182" s="10" t="s">
        <v>149</v>
      </c>
      <c r="E182" s="41" t="s">
        <v>15</v>
      </c>
      <c r="F182" s="49" t="s">
        <v>150</v>
      </c>
      <c r="G182" s="13">
        <v>1.0</v>
      </c>
      <c r="H182" s="18">
        <v>50.0</v>
      </c>
      <c r="I182" s="18">
        <f t="shared" si="2"/>
        <v>50</v>
      </c>
      <c r="J182" s="15">
        <v>10.64</v>
      </c>
      <c r="K182" s="11" t="s">
        <v>17</v>
      </c>
      <c r="L182" s="16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22.5" customHeight="1">
      <c r="A183" s="1"/>
      <c r="B183" s="38" t="s">
        <v>223</v>
      </c>
      <c r="C183" s="9" t="s">
        <v>13</v>
      </c>
      <c r="D183" s="10" t="s">
        <v>210</v>
      </c>
      <c r="E183" s="11" t="s">
        <v>15</v>
      </c>
      <c r="F183" s="17">
        <v>8.49069896E8</v>
      </c>
      <c r="G183" s="13">
        <v>1.0</v>
      </c>
      <c r="H183" s="18">
        <v>5.0</v>
      </c>
      <c r="I183" s="18">
        <f t="shared" si="2"/>
        <v>5</v>
      </c>
      <c r="J183" s="18"/>
      <c r="K183" s="11" t="s">
        <v>17</v>
      </c>
      <c r="L183" s="16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22.5" customHeight="1">
      <c r="A184" s="1"/>
      <c r="B184" s="38" t="s">
        <v>223</v>
      </c>
      <c r="C184" s="9" t="s">
        <v>13</v>
      </c>
      <c r="D184" s="10" t="s">
        <v>170</v>
      </c>
      <c r="E184" s="11" t="s">
        <v>15</v>
      </c>
      <c r="F184" s="17" t="s">
        <v>152</v>
      </c>
      <c r="G184" s="13">
        <v>2.0</v>
      </c>
      <c r="H184" s="18">
        <v>3.0</v>
      </c>
      <c r="I184" s="18">
        <f t="shared" si="2"/>
        <v>6</v>
      </c>
      <c r="J184" s="18"/>
      <c r="K184" s="11" t="s">
        <v>17</v>
      </c>
      <c r="L184" s="16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22.5" customHeight="1">
      <c r="A185" s="1"/>
      <c r="B185" s="38" t="s">
        <v>223</v>
      </c>
      <c r="C185" s="19" t="s">
        <v>13</v>
      </c>
      <c r="D185" s="42" t="s">
        <v>243</v>
      </c>
      <c r="E185" s="11" t="s">
        <v>15</v>
      </c>
      <c r="F185" s="17"/>
      <c r="G185" s="44">
        <v>1.0</v>
      </c>
      <c r="H185" s="18"/>
      <c r="I185" s="18">
        <f t="shared" si="2"/>
        <v>0</v>
      </c>
      <c r="J185" s="15">
        <v>18.37</v>
      </c>
      <c r="K185" s="11" t="s">
        <v>17</v>
      </c>
      <c r="L185" s="36" t="s">
        <v>244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22.5" customHeight="1">
      <c r="A186" s="1"/>
      <c r="B186" s="38" t="s">
        <v>245</v>
      </c>
      <c r="C186" s="19" t="s">
        <v>28</v>
      </c>
      <c r="D186" s="10" t="s">
        <v>176</v>
      </c>
      <c r="E186" s="11" t="s">
        <v>20</v>
      </c>
      <c r="F186" s="17"/>
      <c r="G186" s="13">
        <v>2.0</v>
      </c>
      <c r="H186" s="18">
        <v>100.0</v>
      </c>
      <c r="I186" s="18">
        <v>200.0</v>
      </c>
      <c r="J186" s="18"/>
      <c r="K186" s="11" t="s">
        <v>21</v>
      </c>
      <c r="L186" s="16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22.5" customHeight="1">
      <c r="A187" s="1"/>
      <c r="B187" s="38" t="s">
        <v>245</v>
      </c>
      <c r="C187" s="9" t="s">
        <v>13</v>
      </c>
      <c r="D187" s="10" t="s">
        <v>212</v>
      </c>
      <c r="E187" s="41" t="s">
        <v>26</v>
      </c>
      <c r="F187" s="17"/>
      <c r="G187" s="13">
        <v>2.0</v>
      </c>
      <c r="H187" s="18">
        <v>5.0</v>
      </c>
      <c r="I187" s="18">
        <v>10.0</v>
      </c>
      <c r="J187" s="18"/>
      <c r="K187" s="11" t="s">
        <v>21</v>
      </c>
      <c r="L187" s="16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22.5" customHeight="1">
      <c r="A188" s="1"/>
      <c r="B188" s="38" t="s">
        <v>245</v>
      </c>
      <c r="C188" s="9" t="s">
        <v>13</v>
      </c>
      <c r="D188" s="10" t="s">
        <v>213</v>
      </c>
      <c r="E188" s="41" t="s">
        <v>15</v>
      </c>
      <c r="F188" s="59" t="s">
        <v>214</v>
      </c>
      <c r="G188" s="13">
        <v>1.0</v>
      </c>
      <c r="H188" s="18">
        <v>6.2</v>
      </c>
      <c r="I188" s="18">
        <v>6.2</v>
      </c>
      <c r="J188" s="15">
        <v>0.0</v>
      </c>
      <c r="K188" s="11" t="s">
        <v>17</v>
      </c>
      <c r="L188" s="36" t="s">
        <v>246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22.5" customHeight="1">
      <c r="A189" s="1"/>
      <c r="B189" s="38" t="s">
        <v>245</v>
      </c>
      <c r="C189" s="19" t="s">
        <v>22</v>
      </c>
      <c r="D189" s="10" t="s">
        <v>216</v>
      </c>
      <c r="E189" s="21" t="s">
        <v>24</v>
      </c>
      <c r="F189" s="59"/>
      <c r="G189" s="13">
        <v>1.0</v>
      </c>
      <c r="H189" s="18">
        <v>40.0</v>
      </c>
      <c r="I189" s="18">
        <v>40.0</v>
      </c>
      <c r="J189" s="18"/>
      <c r="K189" s="11" t="s">
        <v>21</v>
      </c>
      <c r="L189" s="16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22.5" customHeight="1">
      <c r="A190" s="1"/>
      <c r="B190" s="38" t="s">
        <v>245</v>
      </c>
      <c r="C190" s="9" t="s">
        <v>46</v>
      </c>
      <c r="D190" s="10" t="s">
        <v>180</v>
      </c>
      <c r="E190" s="11" t="s">
        <v>48</v>
      </c>
      <c r="F190" s="59" t="s">
        <v>247</v>
      </c>
      <c r="G190" s="13">
        <v>1.0</v>
      </c>
      <c r="H190" s="18">
        <v>288.0</v>
      </c>
      <c r="I190" s="18">
        <v>288.0</v>
      </c>
      <c r="J190" s="15">
        <v>440.0</v>
      </c>
      <c r="K190" s="11" t="s">
        <v>17</v>
      </c>
      <c r="L190" s="16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22.5" customHeight="1">
      <c r="A191" s="1"/>
      <c r="B191" s="38" t="s">
        <v>245</v>
      </c>
      <c r="C191" s="9" t="s">
        <v>120</v>
      </c>
      <c r="D191" s="45" t="s">
        <v>183</v>
      </c>
      <c r="E191" s="11" t="s">
        <v>48</v>
      </c>
      <c r="F191" s="49">
        <v>77545.0</v>
      </c>
      <c r="G191" s="13">
        <v>2.0</v>
      </c>
      <c r="H191" s="18">
        <v>231.6</v>
      </c>
      <c r="I191" s="18">
        <v>463.2</v>
      </c>
      <c r="J191" s="15">
        <v>513.48</v>
      </c>
      <c r="K191" s="11" t="s">
        <v>17</v>
      </c>
      <c r="L191" s="16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22.5" customHeight="1">
      <c r="A192" s="1"/>
      <c r="B192" s="38" t="s">
        <v>245</v>
      </c>
      <c r="C192" s="9" t="s">
        <v>120</v>
      </c>
      <c r="D192" s="45" t="s">
        <v>185</v>
      </c>
      <c r="E192" s="11" t="s">
        <v>48</v>
      </c>
      <c r="F192" s="49">
        <v>77544.0</v>
      </c>
      <c r="G192" s="13">
        <v>1.0</v>
      </c>
      <c r="H192" s="18">
        <v>543.6</v>
      </c>
      <c r="I192" s="18">
        <v>543.6</v>
      </c>
      <c r="J192" s="15">
        <v>603.24</v>
      </c>
      <c r="K192" s="11" t="s">
        <v>17</v>
      </c>
      <c r="L192" s="16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22.5" customHeight="1">
      <c r="A193" s="1"/>
      <c r="B193" s="38" t="s">
        <v>245</v>
      </c>
      <c r="C193" s="9" t="s">
        <v>122</v>
      </c>
      <c r="D193" s="10" t="s">
        <v>190</v>
      </c>
      <c r="E193" s="11" t="s">
        <v>124</v>
      </c>
      <c r="F193" s="17"/>
      <c r="G193" s="13">
        <v>1.0</v>
      </c>
      <c r="H193" s="18">
        <v>300.0</v>
      </c>
      <c r="I193" s="18">
        <v>300.0</v>
      </c>
      <c r="J193" s="15">
        <v>0.0</v>
      </c>
      <c r="K193" s="11" t="s">
        <v>17</v>
      </c>
      <c r="L193" s="36" t="s">
        <v>191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22.5" customHeight="1">
      <c r="A194" s="1"/>
      <c r="B194" s="38" t="s">
        <v>245</v>
      </c>
      <c r="C194" s="19" t="s">
        <v>22</v>
      </c>
      <c r="D194" s="10" t="s">
        <v>192</v>
      </c>
      <c r="E194" s="21" t="s">
        <v>24</v>
      </c>
      <c r="F194" s="9"/>
      <c r="G194" s="13">
        <v>1.0</v>
      </c>
      <c r="H194" s="18">
        <v>80.0</v>
      </c>
      <c r="I194" s="18">
        <v>80.0</v>
      </c>
      <c r="J194" s="18"/>
      <c r="K194" s="11" t="s">
        <v>21</v>
      </c>
      <c r="L194" s="16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22.5" customHeight="1">
      <c r="A195" s="1"/>
      <c r="B195" s="38" t="s">
        <v>245</v>
      </c>
      <c r="C195" s="9"/>
      <c r="D195" s="10" t="s">
        <v>193</v>
      </c>
      <c r="E195" s="41" t="s">
        <v>26</v>
      </c>
      <c r="F195" s="9"/>
      <c r="G195" s="13">
        <v>1.0</v>
      </c>
      <c r="H195" s="18">
        <v>35.0</v>
      </c>
      <c r="I195" s="18">
        <v>35.0</v>
      </c>
      <c r="J195" s="18"/>
      <c r="K195" s="11" t="s">
        <v>21</v>
      </c>
      <c r="L195" s="16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22.5" customHeight="1">
      <c r="A196" s="1"/>
      <c r="B196" s="38" t="s">
        <v>245</v>
      </c>
      <c r="C196" s="9" t="s">
        <v>13</v>
      </c>
      <c r="D196" s="45" t="s">
        <v>194</v>
      </c>
      <c r="E196" s="39" t="s">
        <v>15</v>
      </c>
      <c r="F196" s="50" t="s">
        <v>44</v>
      </c>
      <c r="G196" s="13">
        <v>2.0</v>
      </c>
      <c r="H196" s="18">
        <v>30.0</v>
      </c>
      <c r="I196" s="18">
        <v>60.0</v>
      </c>
      <c r="J196" s="15">
        <v>60.68</v>
      </c>
      <c r="K196" s="11" t="s">
        <v>17</v>
      </c>
      <c r="L196" s="16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22.5" customHeight="1">
      <c r="A197" s="1"/>
      <c r="B197" s="38" t="s">
        <v>245</v>
      </c>
      <c r="C197" s="9" t="s">
        <v>13</v>
      </c>
      <c r="D197" s="45" t="s">
        <v>195</v>
      </c>
      <c r="E197" s="39" t="s">
        <v>15</v>
      </c>
      <c r="F197" s="50" t="s">
        <v>44</v>
      </c>
      <c r="G197" s="13">
        <v>1.0</v>
      </c>
      <c r="H197" s="18">
        <v>43.0</v>
      </c>
      <c r="I197" s="18">
        <v>43.0</v>
      </c>
      <c r="J197" s="15">
        <v>42.6</v>
      </c>
      <c r="K197" s="11" t="s">
        <v>17</v>
      </c>
      <c r="L197" s="16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22.5" customHeight="1">
      <c r="A198" s="1"/>
      <c r="B198" s="38" t="s">
        <v>245</v>
      </c>
      <c r="C198" s="9" t="s">
        <v>13</v>
      </c>
      <c r="D198" s="45" t="s">
        <v>217</v>
      </c>
      <c r="E198" s="39" t="s">
        <v>15</v>
      </c>
      <c r="F198" s="50" t="s">
        <v>44</v>
      </c>
      <c r="G198" s="13">
        <v>1.0</v>
      </c>
      <c r="H198" s="18">
        <v>25.0</v>
      </c>
      <c r="I198" s="18">
        <v>25.0</v>
      </c>
      <c r="J198" s="15">
        <v>22.24</v>
      </c>
      <c r="K198" s="11" t="s">
        <v>17</v>
      </c>
      <c r="L198" s="16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22.5" customHeight="1">
      <c r="A199" s="1"/>
      <c r="B199" s="38" t="s">
        <v>245</v>
      </c>
      <c r="C199" s="9" t="s">
        <v>13</v>
      </c>
      <c r="D199" s="10" t="s">
        <v>197</v>
      </c>
      <c r="E199" s="39" t="s">
        <v>15</v>
      </c>
      <c r="F199" s="51" t="s">
        <v>248</v>
      </c>
      <c r="G199" s="13">
        <v>1.0</v>
      </c>
      <c r="H199" s="18">
        <v>20.0</v>
      </c>
      <c r="I199" s="18">
        <v>20.0</v>
      </c>
      <c r="J199" s="15">
        <v>18.09</v>
      </c>
      <c r="K199" s="11" t="s">
        <v>17</v>
      </c>
      <c r="L199" s="16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22.5" customHeight="1">
      <c r="A200" s="1"/>
      <c r="B200" s="38" t="s">
        <v>245</v>
      </c>
      <c r="C200" s="19" t="s">
        <v>198</v>
      </c>
      <c r="D200" s="10" t="s">
        <v>199</v>
      </c>
      <c r="E200" s="11" t="s">
        <v>200</v>
      </c>
      <c r="F200" s="51" t="s">
        <v>201</v>
      </c>
      <c r="G200" s="13">
        <v>1.0</v>
      </c>
      <c r="H200" s="18">
        <v>390.0</v>
      </c>
      <c r="I200" s="18">
        <v>390.0</v>
      </c>
      <c r="J200" s="15">
        <v>0.0</v>
      </c>
      <c r="K200" s="11" t="s">
        <v>17</v>
      </c>
      <c r="L200" s="16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22.5" customHeight="1">
      <c r="A201" s="1"/>
      <c r="B201" s="60" t="s">
        <v>245</v>
      </c>
      <c r="C201" s="61" t="s">
        <v>198</v>
      </c>
      <c r="D201" s="62" t="s">
        <v>249</v>
      </c>
      <c r="E201" s="63" t="s">
        <v>200</v>
      </c>
      <c r="F201" s="51" t="s">
        <v>201</v>
      </c>
      <c r="G201" s="13">
        <v>1.0</v>
      </c>
      <c r="H201" s="18">
        <v>160.0</v>
      </c>
      <c r="I201" s="18">
        <v>160.0</v>
      </c>
      <c r="J201" s="18"/>
      <c r="K201" s="39"/>
      <c r="L201" s="36" t="s">
        <v>250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22.5" customHeight="1">
      <c r="A202" s="1"/>
      <c r="B202" s="38" t="s">
        <v>245</v>
      </c>
      <c r="C202" s="9" t="s">
        <v>204</v>
      </c>
      <c r="D202" s="10" t="s">
        <v>205</v>
      </c>
      <c r="E202" s="11" t="s">
        <v>26</v>
      </c>
      <c r="F202" s="64" t="s">
        <v>206</v>
      </c>
      <c r="G202" s="13">
        <v>4.0</v>
      </c>
      <c r="H202" s="18">
        <v>11.0</v>
      </c>
      <c r="I202" s="18">
        <v>44.0</v>
      </c>
      <c r="J202" s="18"/>
      <c r="K202" s="11" t="s">
        <v>21</v>
      </c>
      <c r="L202" s="16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22.5" customHeight="1">
      <c r="A203" s="1"/>
      <c r="B203" s="38" t="s">
        <v>245</v>
      </c>
      <c r="C203" s="19" t="s">
        <v>28</v>
      </c>
      <c r="D203" s="10" t="s">
        <v>220</v>
      </c>
      <c r="E203" s="11" t="s">
        <v>20</v>
      </c>
      <c r="F203" s="52"/>
      <c r="G203" s="13">
        <v>2.0</v>
      </c>
      <c r="H203" s="18">
        <v>180.0</v>
      </c>
      <c r="I203" s="18">
        <v>360.0</v>
      </c>
      <c r="J203" s="18"/>
      <c r="K203" s="11" t="s">
        <v>21</v>
      </c>
      <c r="L203" s="16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22.5" customHeight="1">
      <c r="A204" s="1"/>
      <c r="B204" s="38" t="s">
        <v>245</v>
      </c>
      <c r="C204" s="19" t="s">
        <v>22</v>
      </c>
      <c r="D204" s="10" t="s">
        <v>41</v>
      </c>
      <c r="E204" s="21" t="s">
        <v>24</v>
      </c>
      <c r="F204" s="52"/>
      <c r="G204" s="13">
        <v>2.0</v>
      </c>
      <c r="H204" s="18">
        <v>18.0</v>
      </c>
      <c r="I204" s="18">
        <v>36.0</v>
      </c>
      <c r="J204" s="18"/>
      <c r="K204" s="11" t="s">
        <v>21</v>
      </c>
      <c r="L204" s="16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22.5" customHeight="1">
      <c r="A205" s="1"/>
      <c r="B205" s="38" t="s">
        <v>245</v>
      </c>
      <c r="C205" s="9" t="s">
        <v>146</v>
      </c>
      <c r="D205" s="10" t="s">
        <v>221</v>
      </c>
      <c r="E205" s="41" t="s">
        <v>15</v>
      </c>
      <c r="F205" s="51" t="s">
        <v>222</v>
      </c>
      <c r="G205" s="13">
        <v>1.0</v>
      </c>
      <c r="H205" s="18">
        <v>198.0</v>
      </c>
      <c r="I205" s="18">
        <v>198.0</v>
      </c>
      <c r="J205" s="15">
        <v>138.44</v>
      </c>
      <c r="K205" s="11" t="s">
        <v>17</v>
      </c>
      <c r="L205" s="16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22.5" customHeight="1">
      <c r="A206" s="1"/>
      <c r="B206" s="38" t="s">
        <v>245</v>
      </c>
      <c r="C206" s="9" t="s">
        <v>13</v>
      </c>
      <c r="D206" s="10" t="s">
        <v>149</v>
      </c>
      <c r="E206" s="41" t="s">
        <v>15</v>
      </c>
      <c r="F206" s="51" t="s">
        <v>150</v>
      </c>
      <c r="G206" s="13">
        <v>1.0</v>
      </c>
      <c r="H206" s="18">
        <v>21.0</v>
      </c>
      <c r="I206" s="18">
        <v>21.0</v>
      </c>
      <c r="J206" s="15">
        <v>10.64</v>
      </c>
      <c r="K206" s="11" t="s">
        <v>17</v>
      </c>
      <c r="L206" s="16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22.5" customHeight="1">
      <c r="A207" s="1"/>
      <c r="B207" s="38" t="s">
        <v>245</v>
      </c>
      <c r="C207" s="19" t="s">
        <v>22</v>
      </c>
      <c r="D207" s="10" t="s">
        <v>208</v>
      </c>
      <c r="E207" s="21" t="s">
        <v>24</v>
      </c>
      <c r="F207" s="51"/>
      <c r="G207" s="13">
        <v>1.0</v>
      </c>
      <c r="H207" s="18">
        <v>80.0</v>
      </c>
      <c r="I207" s="18">
        <v>80.0</v>
      </c>
      <c r="J207" s="18"/>
      <c r="K207" s="11" t="s">
        <v>21</v>
      </c>
      <c r="L207" s="16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22.5" customHeight="1">
      <c r="A208" s="1"/>
      <c r="B208" s="38" t="s">
        <v>245</v>
      </c>
      <c r="C208" s="9" t="s">
        <v>13</v>
      </c>
      <c r="D208" s="10" t="s">
        <v>170</v>
      </c>
      <c r="E208" s="41" t="s">
        <v>15</v>
      </c>
      <c r="F208" s="51" t="s">
        <v>152</v>
      </c>
      <c r="G208" s="13">
        <v>2.0</v>
      </c>
      <c r="H208" s="18">
        <v>3.0</v>
      </c>
      <c r="I208" s="18">
        <v>6.0</v>
      </c>
      <c r="J208" s="18"/>
      <c r="K208" s="11" t="s">
        <v>17</v>
      </c>
      <c r="L208" s="16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22.5" customHeight="1">
      <c r="A209" s="1"/>
      <c r="B209" s="38" t="s">
        <v>251</v>
      </c>
      <c r="C209" s="19" t="s">
        <v>28</v>
      </c>
      <c r="D209" s="10" t="s">
        <v>176</v>
      </c>
      <c r="E209" s="11" t="s">
        <v>20</v>
      </c>
      <c r="F209" s="9"/>
      <c r="G209" s="13">
        <v>2.0</v>
      </c>
      <c r="H209" s="18">
        <v>100.0</v>
      </c>
      <c r="I209" s="18">
        <v>200.0</v>
      </c>
      <c r="J209" s="18"/>
      <c r="K209" s="11" t="s">
        <v>21</v>
      </c>
      <c r="L209" s="16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22.5" customHeight="1">
      <c r="A210" s="1"/>
      <c r="B210" s="38" t="s">
        <v>251</v>
      </c>
      <c r="C210" s="9" t="s">
        <v>13</v>
      </c>
      <c r="D210" s="10" t="s">
        <v>212</v>
      </c>
      <c r="E210" s="41" t="s">
        <v>26</v>
      </c>
      <c r="F210" s="9"/>
      <c r="G210" s="13">
        <v>2.0</v>
      </c>
      <c r="H210" s="18">
        <v>5.0</v>
      </c>
      <c r="I210" s="18">
        <v>10.0</v>
      </c>
      <c r="J210" s="18"/>
      <c r="K210" s="11" t="s">
        <v>21</v>
      </c>
      <c r="L210" s="16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22.5" customHeight="1">
      <c r="A211" s="1"/>
      <c r="B211" s="38" t="s">
        <v>251</v>
      </c>
      <c r="C211" s="9" t="s">
        <v>13</v>
      </c>
      <c r="D211" s="10" t="s">
        <v>213</v>
      </c>
      <c r="E211" s="41" t="s">
        <v>15</v>
      </c>
      <c r="F211" s="59" t="s">
        <v>214</v>
      </c>
      <c r="G211" s="13">
        <v>1.0</v>
      </c>
      <c r="H211" s="18">
        <v>6.2</v>
      </c>
      <c r="I211" s="18">
        <v>6.2</v>
      </c>
      <c r="J211" s="15">
        <v>0.0</v>
      </c>
      <c r="K211" s="11" t="s">
        <v>17</v>
      </c>
      <c r="L211" s="36" t="s">
        <v>246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22.5" customHeight="1">
      <c r="A212" s="1"/>
      <c r="B212" s="38" t="s">
        <v>251</v>
      </c>
      <c r="C212" s="19" t="s">
        <v>22</v>
      </c>
      <c r="D212" s="10" t="s">
        <v>216</v>
      </c>
      <c r="E212" s="21" t="s">
        <v>24</v>
      </c>
      <c r="F212" s="59"/>
      <c r="G212" s="13">
        <v>1.0</v>
      </c>
      <c r="H212" s="18">
        <v>40.0</v>
      </c>
      <c r="I212" s="18">
        <v>40.0</v>
      </c>
      <c r="J212" s="18"/>
      <c r="K212" s="11" t="s">
        <v>21</v>
      </c>
      <c r="L212" s="16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22.5" customHeight="1">
      <c r="A213" s="1"/>
      <c r="B213" s="38" t="s">
        <v>251</v>
      </c>
      <c r="C213" s="9" t="s">
        <v>46</v>
      </c>
      <c r="D213" s="10" t="s">
        <v>180</v>
      </c>
      <c r="E213" s="11" t="s">
        <v>48</v>
      </c>
      <c r="F213" s="49" t="s">
        <v>252</v>
      </c>
      <c r="G213" s="13">
        <v>1.0</v>
      </c>
      <c r="H213" s="18">
        <v>450.0</v>
      </c>
      <c r="I213" s="18">
        <v>450.0</v>
      </c>
      <c r="J213" s="15">
        <v>410.8</v>
      </c>
      <c r="K213" s="11" t="s">
        <v>17</v>
      </c>
      <c r="L213" s="34" t="s">
        <v>253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22.5" customHeight="1">
      <c r="A214" s="1"/>
      <c r="B214" s="38" t="s">
        <v>251</v>
      </c>
      <c r="C214" s="9" t="s">
        <v>182</v>
      </c>
      <c r="D214" s="45" t="s">
        <v>183</v>
      </c>
      <c r="E214" s="11" t="s">
        <v>48</v>
      </c>
      <c r="F214" s="59" t="s">
        <v>254</v>
      </c>
      <c r="G214" s="13">
        <v>2.0</v>
      </c>
      <c r="H214" s="18">
        <v>225.6</v>
      </c>
      <c r="I214" s="18">
        <v>451.2</v>
      </c>
      <c r="J214" s="15">
        <v>402.0</v>
      </c>
      <c r="K214" s="11" t="s">
        <v>17</v>
      </c>
      <c r="L214" s="16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22.5" customHeight="1">
      <c r="A215" s="1"/>
      <c r="B215" s="38" t="s">
        <v>251</v>
      </c>
      <c r="C215" s="9" t="s">
        <v>182</v>
      </c>
      <c r="D215" s="45" t="s">
        <v>185</v>
      </c>
      <c r="E215" s="11" t="s">
        <v>48</v>
      </c>
      <c r="F215" s="59" t="s">
        <v>255</v>
      </c>
      <c r="G215" s="13">
        <v>1.0</v>
      </c>
      <c r="H215" s="18">
        <v>679.2</v>
      </c>
      <c r="I215" s="18">
        <v>679.2</v>
      </c>
      <c r="J215" s="15">
        <v>629.0</v>
      </c>
      <c r="K215" s="11" t="s">
        <v>17</v>
      </c>
      <c r="L215" s="16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22.5" customHeight="1">
      <c r="A216" s="1"/>
      <c r="B216" s="38" t="s">
        <v>251</v>
      </c>
      <c r="C216" s="9" t="s">
        <v>122</v>
      </c>
      <c r="D216" s="10" t="s">
        <v>190</v>
      </c>
      <c r="E216" s="11" t="s">
        <v>124</v>
      </c>
      <c r="F216" s="17"/>
      <c r="G216" s="13">
        <v>1.0</v>
      </c>
      <c r="H216" s="18">
        <v>817.0</v>
      </c>
      <c r="I216" s="18">
        <v>817.0</v>
      </c>
      <c r="J216" s="15">
        <v>0.0</v>
      </c>
      <c r="K216" s="11" t="s">
        <v>17</v>
      </c>
      <c r="L216" s="36" t="s">
        <v>191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22.5" customHeight="1">
      <c r="A217" s="1"/>
      <c r="B217" s="38" t="s">
        <v>251</v>
      </c>
      <c r="C217" s="19" t="s">
        <v>22</v>
      </c>
      <c r="D217" s="10" t="s">
        <v>192</v>
      </c>
      <c r="E217" s="21" t="s">
        <v>24</v>
      </c>
      <c r="F217" s="9"/>
      <c r="G217" s="13">
        <v>1.0</v>
      </c>
      <c r="H217" s="18">
        <v>80.0</v>
      </c>
      <c r="I217" s="18">
        <v>80.0</v>
      </c>
      <c r="J217" s="18"/>
      <c r="K217" s="11" t="s">
        <v>21</v>
      </c>
      <c r="L217" s="16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22.5" customHeight="1">
      <c r="A218" s="1"/>
      <c r="B218" s="38" t="s">
        <v>251</v>
      </c>
      <c r="C218" s="9"/>
      <c r="D218" s="10" t="s">
        <v>193</v>
      </c>
      <c r="E218" s="41" t="s">
        <v>26</v>
      </c>
      <c r="F218" s="17"/>
      <c r="G218" s="13">
        <v>1.0</v>
      </c>
      <c r="H218" s="18">
        <v>35.0</v>
      </c>
      <c r="I218" s="18">
        <v>35.0</v>
      </c>
      <c r="J218" s="18"/>
      <c r="K218" s="11" t="s">
        <v>21</v>
      </c>
      <c r="L218" s="16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22.5" customHeight="1">
      <c r="A219" s="1"/>
      <c r="B219" s="38" t="s">
        <v>251</v>
      </c>
      <c r="C219" s="9" t="s">
        <v>13</v>
      </c>
      <c r="D219" s="45" t="s">
        <v>194</v>
      </c>
      <c r="E219" s="39" t="s">
        <v>15</v>
      </c>
      <c r="F219" s="50" t="s">
        <v>44</v>
      </c>
      <c r="G219" s="13">
        <v>2.0</v>
      </c>
      <c r="H219" s="18">
        <v>30.0</v>
      </c>
      <c r="I219" s="18">
        <v>60.0</v>
      </c>
      <c r="J219" s="15">
        <v>60.68</v>
      </c>
      <c r="K219" s="11" t="s">
        <v>17</v>
      </c>
      <c r="L219" s="16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22.5" customHeight="1">
      <c r="A220" s="1"/>
      <c r="B220" s="38" t="s">
        <v>251</v>
      </c>
      <c r="C220" s="9" t="s">
        <v>13</v>
      </c>
      <c r="D220" s="45" t="s">
        <v>195</v>
      </c>
      <c r="E220" s="39" t="s">
        <v>15</v>
      </c>
      <c r="F220" s="50" t="s">
        <v>44</v>
      </c>
      <c r="G220" s="13">
        <v>1.0</v>
      </c>
      <c r="H220" s="18">
        <v>43.0</v>
      </c>
      <c r="I220" s="18">
        <v>43.0</v>
      </c>
      <c r="J220" s="15">
        <v>42.6</v>
      </c>
      <c r="K220" s="11" t="s">
        <v>17</v>
      </c>
      <c r="L220" s="16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22.5" customHeight="1">
      <c r="A221" s="1"/>
      <c r="B221" s="38" t="s">
        <v>251</v>
      </c>
      <c r="C221" s="9" t="s">
        <v>13</v>
      </c>
      <c r="D221" s="45" t="s">
        <v>217</v>
      </c>
      <c r="E221" s="39" t="s">
        <v>15</v>
      </c>
      <c r="F221" s="50" t="s">
        <v>44</v>
      </c>
      <c r="G221" s="13">
        <v>1.0</v>
      </c>
      <c r="H221" s="18">
        <v>25.0</v>
      </c>
      <c r="I221" s="18">
        <v>25.0</v>
      </c>
      <c r="J221" s="15">
        <v>22.24</v>
      </c>
      <c r="K221" s="11" t="s">
        <v>17</v>
      </c>
      <c r="L221" s="16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22.5" customHeight="1">
      <c r="A222" s="1"/>
      <c r="B222" s="38" t="s">
        <v>251</v>
      </c>
      <c r="C222" s="9" t="s">
        <v>13</v>
      </c>
      <c r="D222" s="10" t="s">
        <v>197</v>
      </c>
      <c r="E222" s="39" t="s">
        <v>15</v>
      </c>
      <c r="F222" s="49" t="s">
        <v>248</v>
      </c>
      <c r="G222" s="13">
        <v>1.0</v>
      </c>
      <c r="H222" s="18">
        <v>20.0</v>
      </c>
      <c r="I222" s="18">
        <v>20.0</v>
      </c>
      <c r="J222" s="15">
        <v>18.09</v>
      </c>
      <c r="K222" s="11" t="s">
        <v>17</v>
      </c>
      <c r="L222" s="16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22.5" customHeight="1">
      <c r="A223" s="1"/>
      <c r="B223" s="38" t="s">
        <v>251</v>
      </c>
      <c r="C223" s="19" t="s">
        <v>198</v>
      </c>
      <c r="D223" s="10" t="s">
        <v>199</v>
      </c>
      <c r="E223" s="11" t="s">
        <v>200</v>
      </c>
      <c r="F223" s="49" t="s">
        <v>201</v>
      </c>
      <c r="G223" s="13">
        <v>1.0</v>
      </c>
      <c r="H223" s="18">
        <v>390.0</v>
      </c>
      <c r="I223" s="18">
        <v>390.0</v>
      </c>
      <c r="J223" s="15">
        <v>0.0</v>
      </c>
      <c r="K223" s="11" t="s">
        <v>17</v>
      </c>
      <c r="L223" s="16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22.5" customHeight="1">
      <c r="A224" s="1"/>
      <c r="B224" s="60" t="s">
        <v>251</v>
      </c>
      <c r="C224" s="61" t="s">
        <v>198</v>
      </c>
      <c r="D224" s="62" t="s">
        <v>249</v>
      </c>
      <c r="E224" s="63" t="s">
        <v>200</v>
      </c>
      <c r="F224" s="49" t="s">
        <v>201</v>
      </c>
      <c r="G224" s="13">
        <v>1.0</v>
      </c>
      <c r="H224" s="18">
        <v>160.0</v>
      </c>
      <c r="I224" s="18">
        <v>160.0</v>
      </c>
      <c r="J224" s="18"/>
      <c r="K224" s="39"/>
      <c r="L224" s="36" t="s">
        <v>250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22.5" customHeight="1">
      <c r="A225" s="1"/>
      <c r="B225" s="38" t="s">
        <v>251</v>
      </c>
      <c r="C225" s="9" t="s">
        <v>204</v>
      </c>
      <c r="D225" s="10" t="s">
        <v>205</v>
      </c>
      <c r="E225" s="11" t="s">
        <v>26</v>
      </c>
      <c r="F225" s="49" t="s">
        <v>206</v>
      </c>
      <c r="G225" s="13">
        <v>4.0</v>
      </c>
      <c r="H225" s="18">
        <v>11.0</v>
      </c>
      <c r="I225" s="18">
        <v>44.0</v>
      </c>
      <c r="J225" s="18"/>
      <c r="K225" s="11" t="s">
        <v>21</v>
      </c>
      <c r="L225" s="16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22.5" customHeight="1">
      <c r="A226" s="1"/>
      <c r="B226" s="38" t="s">
        <v>251</v>
      </c>
      <c r="C226" s="19" t="s">
        <v>28</v>
      </c>
      <c r="D226" s="10" t="s">
        <v>220</v>
      </c>
      <c r="E226" s="11" t="s">
        <v>20</v>
      </c>
      <c r="F226" s="49"/>
      <c r="G226" s="13">
        <v>2.0</v>
      </c>
      <c r="H226" s="18">
        <v>180.0</v>
      </c>
      <c r="I226" s="18">
        <v>360.0</v>
      </c>
      <c r="J226" s="18"/>
      <c r="K226" s="11" t="s">
        <v>21</v>
      </c>
      <c r="L226" s="16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22.5" customHeight="1">
      <c r="A227" s="1"/>
      <c r="B227" s="38" t="s">
        <v>251</v>
      </c>
      <c r="C227" s="19" t="s">
        <v>22</v>
      </c>
      <c r="D227" s="10" t="s">
        <v>41</v>
      </c>
      <c r="E227" s="21" t="s">
        <v>24</v>
      </c>
      <c r="F227" s="49"/>
      <c r="G227" s="13">
        <v>2.0</v>
      </c>
      <c r="H227" s="18">
        <v>18.0</v>
      </c>
      <c r="I227" s="18">
        <v>36.0</v>
      </c>
      <c r="J227" s="18"/>
      <c r="K227" s="11" t="s">
        <v>21</v>
      </c>
      <c r="L227" s="16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22.5" customHeight="1">
      <c r="A228" s="1"/>
      <c r="B228" s="38" t="s">
        <v>251</v>
      </c>
      <c r="C228" s="9" t="s">
        <v>146</v>
      </c>
      <c r="D228" s="10" t="s">
        <v>221</v>
      </c>
      <c r="E228" s="41" t="s">
        <v>15</v>
      </c>
      <c r="F228" s="49" t="s">
        <v>222</v>
      </c>
      <c r="G228" s="13">
        <v>1.0</v>
      </c>
      <c r="H228" s="18">
        <v>198.0</v>
      </c>
      <c r="I228" s="18">
        <v>198.0</v>
      </c>
      <c r="J228" s="15">
        <v>138.44</v>
      </c>
      <c r="K228" s="11" t="s">
        <v>17</v>
      </c>
      <c r="L228" s="16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22.5" customHeight="1">
      <c r="A229" s="1"/>
      <c r="B229" s="38" t="s">
        <v>251</v>
      </c>
      <c r="C229" s="9" t="s">
        <v>13</v>
      </c>
      <c r="D229" s="10" t="s">
        <v>149</v>
      </c>
      <c r="E229" s="41" t="s">
        <v>15</v>
      </c>
      <c r="F229" s="59" t="s">
        <v>150</v>
      </c>
      <c r="G229" s="13">
        <v>1.0</v>
      </c>
      <c r="H229" s="18">
        <v>21.0</v>
      </c>
      <c r="I229" s="18">
        <v>21.0</v>
      </c>
      <c r="J229" s="18"/>
      <c r="K229" s="11" t="s">
        <v>17</v>
      </c>
      <c r="L229" s="16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22.5" customHeight="1">
      <c r="A230" s="1"/>
      <c r="B230" s="38" t="s">
        <v>251</v>
      </c>
      <c r="C230" s="19" t="s">
        <v>22</v>
      </c>
      <c r="D230" s="10" t="s">
        <v>208</v>
      </c>
      <c r="E230" s="21" t="s">
        <v>24</v>
      </c>
      <c r="F230" s="59"/>
      <c r="G230" s="13">
        <v>1.0</v>
      </c>
      <c r="H230" s="18">
        <v>80.0</v>
      </c>
      <c r="I230" s="18">
        <v>80.0</v>
      </c>
      <c r="J230" s="18"/>
      <c r="K230" s="11" t="s">
        <v>21</v>
      </c>
      <c r="L230" s="16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22.5" customHeight="1">
      <c r="A231" s="1"/>
      <c r="B231" s="38" t="s">
        <v>251</v>
      </c>
      <c r="C231" s="9" t="s">
        <v>13</v>
      </c>
      <c r="D231" s="10" t="s">
        <v>170</v>
      </c>
      <c r="E231" s="41" t="s">
        <v>15</v>
      </c>
      <c r="F231" s="59" t="s">
        <v>152</v>
      </c>
      <c r="G231" s="13">
        <v>2.0</v>
      </c>
      <c r="H231" s="18">
        <v>3.0</v>
      </c>
      <c r="I231" s="18">
        <v>6.0</v>
      </c>
      <c r="J231" s="18"/>
      <c r="K231" s="11" t="s">
        <v>17</v>
      </c>
      <c r="L231" s="16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22.5" customHeight="1">
      <c r="A232" s="1"/>
      <c r="B232" s="38" t="s">
        <v>256</v>
      </c>
      <c r="C232" s="19" t="s">
        <v>158</v>
      </c>
      <c r="D232" s="10" t="s">
        <v>224</v>
      </c>
      <c r="E232" s="11" t="s">
        <v>160</v>
      </c>
      <c r="F232" s="9"/>
      <c r="G232" s="13">
        <v>1.0</v>
      </c>
      <c r="H232" s="18">
        <v>8200.0</v>
      </c>
      <c r="I232" s="18">
        <f t="shared" ref="I232:I246" si="3">H232*G232</f>
        <v>8200</v>
      </c>
      <c r="J232" s="15">
        <v>0.0</v>
      </c>
      <c r="K232" s="11" t="s">
        <v>17</v>
      </c>
      <c r="L232" s="36" t="s">
        <v>225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22.5" customHeight="1">
      <c r="A233" s="1"/>
      <c r="B233" s="38" t="s">
        <v>256</v>
      </c>
      <c r="C233" s="48" t="s">
        <v>13</v>
      </c>
      <c r="D233" s="10" t="s">
        <v>257</v>
      </c>
      <c r="E233" s="39" t="s">
        <v>15</v>
      </c>
      <c r="F233" s="50" t="s">
        <v>5</v>
      </c>
      <c r="G233" s="13">
        <v>1.0</v>
      </c>
      <c r="H233" s="18">
        <v>120.0</v>
      </c>
      <c r="I233" s="18">
        <f t="shared" si="3"/>
        <v>120</v>
      </c>
      <c r="J233" s="15">
        <v>0.0</v>
      </c>
      <c r="K233" s="11" t="s">
        <v>21</v>
      </c>
      <c r="L233" s="36" t="s">
        <v>258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22.5" customHeight="1">
      <c r="A234" s="1"/>
      <c r="B234" s="38" t="s">
        <v>256</v>
      </c>
      <c r="C234" s="9" t="s">
        <v>13</v>
      </c>
      <c r="D234" s="42" t="s">
        <v>259</v>
      </c>
      <c r="E234" s="39" t="s">
        <v>15</v>
      </c>
      <c r="F234" s="37" t="s">
        <v>5</v>
      </c>
      <c r="G234" s="13">
        <v>4.0</v>
      </c>
      <c r="H234" s="18">
        <v>80.0</v>
      </c>
      <c r="I234" s="18">
        <f t="shared" si="3"/>
        <v>320</v>
      </c>
      <c r="J234" s="15">
        <v>298.15</v>
      </c>
      <c r="K234" s="11" t="s">
        <v>17</v>
      </c>
      <c r="L234" s="16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22.5" customHeight="1">
      <c r="A235" s="1"/>
      <c r="B235" s="38" t="s">
        <v>256</v>
      </c>
      <c r="C235" s="9" t="s">
        <v>229</v>
      </c>
      <c r="D235" s="10" t="s">
        <v>230</v>
      </c>
      <c r="E235" s="11" t="s">
        <v>26</v>
      </c>
      <c r="F235" s="51" t="s">
        <v>231</v>
      </c>
      <c r="G235" s="13">
        <v>8.0</v>
      </c>
      <c r="H235" s="18">
        <v>6.0</v>
      </c>
      <c r="I235" s="18">
        <f t="shared" si="3"/>
        <v>48</v>
      </c>
      <c r="J235" s="18"/>
      <c r="K235" s="11" t="s">
        <v>21</v>
      </c>
      <c r="L235" s="16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22.5" customHeight="1">
      <c r="A236" s="1"/>
      <c r="B236" s="38" t="s">
        <v>256</v>
      </c>
      <c r="C236" s="9" t="s">
        <v>13</v>
      </c>
      <c r="D236" s="10" t="s">
        <v>236</v>
      </c>
      <c r="E236" s="39" t="s">
        <v>15</v>
      </c>
      <c r="F236" s="37" t="s">
        <v>5</v>
      </c>
      <c r="G236" s="13">
        <v>1.0</v>
      </c>
      <c r="H236" s="18">
        <v>95.0</v>
      </c>
      <c r="I236" s="18">
        <f t="shared" si="3"/>
        <v>95</v>
      </c>
      <c r="J236" s="15">
        <v>92.64</v>
      </c>
      <c r="K236" s="11" t="s">
        <v>17</v>
      </c>
      <c r="L236" s="16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22.5" customHeight="1">
      <c r="A237" s="1"/>
      <c r="B237" s="38" t="s">
        <v>256</v>
      </c>
      <c r="C237" s="19" t="s">
        <v>28</v>
      </c>
      <c r="D237" s="10" t="s">
        <v>260</v>
      </c>
      <c r="E237" s="11" t="s">
        <v>20</v>
      </c>
      <c r="F237" s="17"/>
      <c r="G237" s="13">
        <v>1.0</v>
      </c>
      <c r="H237" s="18">
        <v>170.0</v>
      </c>
      <c r="I237" s="18">
        <f t="shared" si="3"/>
        <v>170</v>
      </c>
      <c r="J237" s="18"/>
      <c r="K237" s="11" t="s">
        <v>21</v>
      </c>
      <c r="L237" s="16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22.5" customHeight="1">
      <c r="A238" s="1"/>
      <c r="B238" s="38" t="s">
        <v>256</v>
      </c>
      <c r="C238" s="9" t="s">
        <v>122</v>
      </c>
      <c r="D238" s="10" t="s">
        <v>240</v>
      </c>
      <c r="E238" s="11" t="s">
        <v>124</v>
      </c>
      <c r="F238" s="17"/>
      <c r="G238" s="13">
        <v>1.0</v>
      </c>
      <c r="H238" s="18">
        <v>300.0</v>
      </c>
      <c r="I238" s="18">
        <f t="shared" si="3"/>
        <v>300</v>
      </c>
      <c r="J238" s="15">
        <v>0.0</v>
      </c>
      <c r="K238" s="11" t="s">
        <v>17</v>
      </c>
      <c r="L238" s="36" t="s">
        <v>191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22.5" customHeight="1">
      <c r="A239" s="1"/>
      <c r="B239" s="38" t="s">
        <v>256</v>
      </c>
      <c r="C239" s="9" t="s">
        <v>13</v>
      </c>
      <c r="D239" s="10" t="s">
        <v>241</v>
      </c>
      <c r="E239" s="11" t="s">
        <v>15</v>
      </c>
      <c r="F239" s="37" t="s">
        <v>5</v>
      </c>
      <c r="G239" s="13">
        <v>2.0</v>
      </c>
      <c r="H239" s="18">
        <v>130.0</v>
      </c>
      <c r="I239" s="18">
        <f t="shared" si="3"/>
        <v>260</v>
      </c>
      <c r="J239" s="15">
        <v>289.65</v>
      </c>
      <c r="K239" s="11" t="s">
        <v>17</v>
      </c>
      <c r="L239" s="16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22.5" customHeight="1">
      <c r="A240" s="1"/>
      <c r="B240" s="38" t="s">
        <v>256</v>
      </c>
      <c r="C240" s="9" t="s">
        <v>13</v>
      </c>
      <c r="D240" s="10" t="s">
        <v>242</v>
      </c>
      <c r="E240" s="11" t="s">
        <v>15</v>
      </c>
      <c r="F240" s="50" t="s">
        <v>5</v>
      </c>
      <c r="G240" s="13">
        <v>2.0</v>
      </c>
      <c r="H240" s="18">
        <v>17.0</v>
      </c>
      <c r="I240" s="18">
        <f t="shared" si="3"/>
        <v>34</v>
      </c>
      <c r="J240" s="15">
        <v>27.64</v>
      </c>
      <c r="K240" s="11" t="s">
        <v>17</v>
      </c>
      <c r="L240" s="16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22.5" customHeight="1">
      <c r="A241" s="1"/>
      <c r="B241" s="38" t="s">
        <v>256</v>
      </c>
      <c r="C241" s="9" t="s">
        <v>146</v>
      </c>
      <c r="D241" s="10" t="s">
        <v>221</v>
      </c>
      <c r="E241" s="39" t="s">
        <v>15</v>
      </c>
      <c r="F241" s="58" t="s">
        <v>222</v>
      </c>
      <c r="G241" s="13">
        <v>1.0</v>
      </c>
      <c r="H241" s="18">
        <v>198.0</v>
      </c>
      <c r="I241" s="18">
        <f t="shared" si="3"/>
        <v>198</v>
      </c>
      <c r="J241" s="15">
        <v>138.44</v>
      </c>
      <c r="K241" s="11" t="s">
        <v>17</v>
      </c>
      <c r="L241" s="16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22.5" customHeight="1">
      <c r="A242" s="1"/>
      <c r="B242" s="38" t="s">
        <v>256</v>
      </c>
      <c r="C242" s="9" t="s">
        <v>13</v>
      </c>
      <c r="D242" s="10" t="s">
        <v>149</v>
      </c>
      <c r="E242" s="41" t="s">
        <v>15</v>
      </c>
      <c r="F242" s="52" t="s">
        <v>150</v>
      </c>
      <c r="G242" s="13">
        <v>1.0</v>
      </c>
      <c r="H242" s="18">
        <v>50.0</v>
      </c>
      <c r="I242" s="18">
        <f t="shared" si="3"/>
        <v>50</v>
      </c>
      <c r="J242" s="15">
        <v>10.64</v>
      </c>
      <c r="K242" s="11" t="s">
        <v>17</v>
      </c>
      <c r="L242" s="16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22.5" customHeight="1">
      <c r="A243" s="1"/>
      <c r="B243" s="38" t="s">
        <v>256</v>
      </c>
      <c r="C243" s="9" t="s">
        <v>13</v>
      </c>
      <c r="D243" s="10" t="s">
        <v>210</v>
      </c>
      <c r="E243" s="41" t="s">
        <v>15</v>
      </c>
      <c r="F243" s="52">
        <v>8.49069896E8</v>
      </c>
      <c r="G243" s="13">
        <v>1.0</v>
      </c>
      <c r="H243" s="18">
        <v>5.0</v>
      </c>
      <c r="I243" s="18">
        <f t="shared" si="3"/>
        <v>5</v>
      </c>
      <c r="J243" s="15">
        <v>0.0</v>
      </c>
      <c r="K243" s="11" t="s">
        <v>17</v>
      </c>
      <c r="L243" s="16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22.5" customHeight="1">
      <c r="A244" s="1"/>
      <c r="B244" s="38" t="s">
        <v>256</v>
      </c>
      <c r="C244" s="9" t="s">
        <v>13</v>
      </c>
      <c r="D244" s="10" t="s">
        <v>170</v>
      </c>
      <c r="E244" s="41" t="s">
        <v>15</v>
      </c>
      <c r="F244" s="52" t="s">
        <v>152</v>
      </c>
      <c r="G244" s="13">
        <v>2.0</v>
      </c>
      <c r="H244" s="18">
        <v>3.0</v>
      </c>
      <c r="I244" s="18">
        <f t="shared" si="3"/>
        <v>6</v>
      </c>
      <c r="J244" s="15">
        <v>0.0</v>
      </c>
      <c r="K244" s="11" t="s">
        <v>17</v>
      </c>
      <c r="L244" s="16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22.5" customHeight="1">
      <c r="A245" s="1"/>
      <c r="B245" s="38" t="s">
        <v>261</v>
      </c>
      <c r="C245" s="19" t="s">
        <v>13</v>
      </c>
      <c r="D245" s="42" t="s">
        <v>262</v>
      </c>
      <c r="E245" s="41" t="s">
        <v>15</v>
      </c>
      <c r="F245" s="52"/>
      <c r="G245" s="44">
        <v>1.0</v>
      </c>
      <c r="H245" s="18"/>
      <c r="I245" s="18">
        <f t="shared" si="3"/>
        <v>0</v>
      </c>
      <c r="J245" s="15">
        <v>14.21</v>
      </c>
      <c r="K245" s="11" t="s">
        <v>17</v>
      </c>
      <c r="L245" s="36" t="s">
        <v>263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22.5" customHeight="1">
      <c r="A246" s="1"/>
      <c r="B246" s="38" t="s">
        <v>261</v>
      </c>
      <c r="C246" s="19" t="s">
        <v>13</v>
      </c>
      <c r="D246" s="42" t="s">
        <v>264</v>
      </c>
      <c r="E246" s="41" t="s">
        <v>15</v>
      </c>
      <c r="F246" s="52"/>
      <c r="G246" s="44"/>
      <c r="H246" s="18"/>
      <c r="I246" s="18">
        <f t="shared" si="3"/>
        <v>0</v>
      </c>
      <c r="J246" s="15">
        <v>40.44</v>
      </c>
      <c r="K246" s="11" t="s">
        <v>17</v>
      </c>
      <c r="L246" s="36" t="s">
        <v>263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22.5" customHeight="1">
      <c r="A247" s="1"/>
      <c r="B247" s="38" t="s">
        <v>265</v>
      </c>
      <c r="C247" s="9" t="s">
        <v>266</v>
      </c>
      <c r="D247" s="10" t="s">
        <v>267</v>
      </c>
      <c r="E247" s="39" t="s">
        <v>15</v>
      </c>
      <c r="F247" s="37" t="s">
        <v>44</v>
      </c>
      <c r="G247" s="13">
        <v>1.0</v>
      </c>
      <c r="H247" s="18">
        <v>2.0</v>
      </c>
      <c r="I247" s="18">
        <v>2.0</v>
      </c>
      <c r="J247" s="15">
        <v>17.05</v>
      </c>
      <c r="K247" s="11" t="s">
        <v>17</v>
      </c>
      <c r="L247" s="36" t="s">
        <v>268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22.5" customHeight="1">
      <c r="A248" s="1"/>
      <c r="B248" s="38" t="s">
        <v>265</v>
      </c>
      <c r="C248" s="9" t="s">
        <v>269</v>
      </c>
      <c r="D248" s="10" t="s">
        <v>270</v>
      </c>
      <c r="E248" s="39" t="s">
        <v>15</v>
      </c>
      <c r="F248" s="37" t="s">
        <v>44</v>
      </c>
      <c r="G248" s="13">
        <v>1.0</v>
      </c>
      <c r="H248" s="18">
        <v>15.0</v>
      </c>
      <c r="I248" s="18">
        <v>15.0</v>
      </c>
      <c r="J248" s="15">
        <v>17.34</v>
      </c>
      <c r="K248" s="11" t="s">
        <v>17</v>
      </c>
      <c r="L248" s="16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22.5" customHeight="1">
      <c r="A249" s="1"/>
      <c r="B249" s="38" t="s">
        <v>265</v>
      </c>
      <c r="C249" s="9" t="s">
        <v>13</v>
      </c>
      <c r="D249" s="42" t="s">
        <v>271</v>
      </c>
      <c r="E249" s="39" t="s">
        <v>15</v>
      </c>
      <c r="F249" s="51" t="s">
        <v>272</v>
      </c>
      <c r="G249" s="13">
        <v>1.0</v>
      </c>
      <c r="H249" s="18">
        <v>11.0</v>
      </c>
      <c r="I249" s="18">
        <v>11.0</v>
      </c>
      <c r="J249" s="15">
        <v>10.67</v>
      </c>
      <c r="K249" s="11" t="s">
        <v>17</v>
      </c>
      <c r="L249" s="16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22.5" customHeight="1">
      <c r="A250" s="1"/>
      <c r="B250" s="38" t="s">
        <v>265</v>
      </c>
      <c r="C250" s="9" t="s">
        <v>59</v>
      </c>
      <c r="D250" s="10" t="s">
        <v>273</v>
      </c>
      <c r="E250" s="11" t="s">
        <v>20</v>
      </c>
      <c r="F250" s="51"/>
      <c r="G250" s="13">
        <v>1.0</v>
      </c>
      <c r="H250" s="18">
        <v>10.0</v>
      </c>
      <c r="I250" s="18">
        <v>10.0</v>
      </c>
      <c r="J250" s="18"/>
      <c r="K250" s="11" t="s">
        <v>21</v>
      </c>
      <c r="L250" s="16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22.5" customHeight="1">
      <c r="A251" s="1"/>
      <c r="B251" s="38" t="s">
        <v>265</v>
      </c>
      <c r="C251" s="9" t="s">
        <v>59</v>
      </c>
      <c r="D251" s="10" t="s">
        <v>274</v>
      </c>
      <c r="E251" s="11" t="s">
        <v>20</v>
      </c>
      <c r="F251" s="51"/>
      <c r="G251" s="13">
        <v>1.0</v>
      </c>
      <c r="H251" s="18">
        <v>10.0</v>
      </c>
      <c r="I251" s="18">
        <v>10.0</v>
      </c>
      <c r="J251" s="18"/>
      <c r="K251" s="11" t="s">
        <v>21</v>
      </c>
      <c r="L251" s="16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22.5" customHeight="1">
      <c r="A252" s="1"/>
      <c r="B252" s="38" t="s">
        <v>265</v>
      </c>
      <c r="C252" s="9" t="s">
        <v>13</v>
      </c>
      <c r="D252" s="10" t="s">
        <v>275</v>
      </c>
      <c r="E252" s="39" t="s">
        <v>15</v>
      </c>
      <c r="F252" s="51" t="s">
        <v>276</v>
      </c>
      <c r="G252" s="13">
        <v>1.0</v>
      </c>
      <c r="H252" s="18">
        <v>9.59</v>
      </c>
      <c r="I252" s="18">
        <v>9.59</v>
      </c>
      <c r="J252" s="15">
        <v>10.63</v>
      </c>
      <c r="K252" s="11" t="s">
        <v>17</v>
      </c>
      <c r="L252" s="16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22.5" customHeight="1">
      <c r="A253" s="1"/>
      <c r="B253" s="38" t="s">
        <v>265</v>
      </c>
      <c r="C253" s="19" t="s">
        <v>28</v>
      </c>
      <c r="D253" s="10" t="s">
        <v>277</v>
      </c>
      <c r="E253" s="11" t="s">
        <v>20</v>
      </c>
      <c r="F253" s="51"/>
      <c r="G253" s="13">
        <v>1.0</v>
      </c>
      <c r="H253" s="18">
        <v>20.0</v>
      </c>
      <c r="I253" s="18">
        <v>20.0</v>
      </c>
      <c r="J253" s="18"/>
      <c r="K253" s="11" t="s">
        <v>21</v>
      </c>
      <c r="L253" s="16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22.5" customHeight="1">
      <c r="A254" s="1"/>
      <c r="B254" s="38" t="s">
        <v>265</v>
      </c>
      <c r="C254" s="9" t="s">
        <v>229</v>
      </c>
      <c r="D254" s="10" t="s">
        <v>278</v>
      </c>
      <c r="E254" s="39" t="s">
        <v>15</v>
      </c>
      <c r="F254" s="51"/>
      <c r="G254" s="13">
        <v>7.0</v>
      </c>
      <c r="H254" s="18">
        <v>27.99</v>
      </c>
      <c r="I254" s="18">
        <v>195.92999999999998</v>
      </c>
      <c r="J254" s="15">
        <v>312.29</v>
      </c>
      <c r="K254" s="11" t="s">
        <v>17</v>
      </c>
      <c r="L254" s="16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22.5" customHeight="1">
      <c r="A255" s="1"/>
      <c r="B255" s="38" t="s">
        <v>265</v>
      </c>
      <c r="C255" s="9" t="s">
        <v>229</v>
      </c>
      <c r="D255" s="10" t="s">
        <v>279</v>
      </c>
      <c r="E255" s="39" t="s">
        <v>15</v>
      </c>
      <c r="F255" s="51"/>
      <c r="G255" s="13">
        <v>4.0</v>
      </c>
      <c r="H255" s="18">
        <v>18.99</v>
      </c>
      <c r="I255" s="18">
        <v>75.96</v>
      </c>
      <c r="J255" s="15">
        <v>0.0</v>
      </c>
      <c r="K255" s="11" t="s">
        <v>17</v>
      </c>
      <c r="L255" s="16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22.5" customHeight="1">
      <c r="A256" s="1"/>
      <c r="B256" s="38" t="s">
        <v>265</v>
      </c>
      <c r="C256" s="9" t="s">
        <v>229</v>
      </c>
      <c r="D256" s="10" t="s">
        <v>280</v>
      </c>
      <c r="E256" s="39" t="s">
        <v>15</v>
      </c>
      <c r="F256" s="51"/>
      <c r="G256" s="13">
        <v>2.0</v>
      </c>
      <c r="H256" s="18">
        <v>13.99</v>
      </c>
      <c r="I256" s="18">
        <v>27.98</v>
      </c>
      <c r="J256" s="15">
        <v>0.0</v>
      </c>
      <c r="K256" s="11" t="s">
        <v>17</v>
      </c>
      <c r="L256" s="16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22.5" customHeight="1">
      <c r="A257" s="1"/>
      <c r="B257" s="38" t="s">
        <v>265</v>
      </c>
      <c r="C257" s="19" t="s">
        <v>13</v>
      </c>
      <c r="D257" s="10" t="s">
        <v>281</v>
      </c>
      <c r="E257" s="39" t="s">
        <v>15</v>
      </c>
      <c r="F257" s="51"/>
      <c r="G257" s="13">
        <v>10.0</v>
      </c>
      <c r="H257" s="18">
        <v>20.0</v>
      </c>
      <c r="I257" s="18">
        <v>200.0</v>
      </c>
      <c r="J257" s="15">
        <v>138.53</v>
      </c>
      <c r="K257" s="11" t="s">
        <v>17</v>
      </c>
      <c r="L257" s="16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22.5" customHeight="1">
      <c r="A258" s="1"/>
      <c r="B258" s="38" t="s">
        <v>265</v>
      </c>
      <c r="C258" s="9" t="s">
        <v>13</v>
      </c>
      <c r="D258" s="10" t="s">
        <v>282</v>
      </c>
      <c r="E258" s="41" t="s">
        <v>15</v>
      </c>
      <c r="F258" s="51" t="s">
        <v>283</v>
      </c>
      <c r="G258" s="13">
        <v>1.0</v>
      </c>
      <c r="H258" s="18">
        <v>25.0</v>
      </c>
      <c r="I258" s="18">
        <v>25.0</v>
      </c>
      <c r="J258" s="15">
        <v>25.99</v>
      </c>
      <c r="K258" s="11" t="s">
        <v>17</v>
      </c>
      <c r="L258" s="16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22.5" customHeight="1">
      <c r="A259" s="1"/>
      <c r="B259" s="38" t="s">
        <v>265</v>
      </c>
      <c r="C259" s="9" t="s">
        <v>13</v>
      </c>
      <c r="D259" s="10" t="s">
        <v>284</v>
      </c>
      <c r="E259" s="41" t="s">
        <v>15</v>
      </c>
      <c r="F259" s="51" t="s">
        <v>285</v>
      </c>
      <c r="G259" s="13">
        <v>1.0</v>
      </c>
      <c r="H259" s="18">
        <v>20.0</v>
      </c>
      <c r="I259" s="18">
        <v>20.0</v>
      </c>
      <c r="J259" s="15">
        <v>0.0</v>
      </c>
      <c r="K259" s="11" t="s">
        <v>17</v>
      </c>
      <c r="L259" s="36" t="s">
        <v>286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22.5" customHeight="1">
      <c r="A260" s="1"/>
      <c r="B260" s="38" t="s">
        <v>265</v>
      </c>
      <c r="C260" s="19" t="s">
        <v>22</v>
      </c>
      <c r="D260" s="10" t="s">
        <v>287</v>
      </c>
      <c r="E260" s="21" t="s">
        <v>24</v>
      </c>
      <c r="F260" s="17"/>
      <c r="G260" s="13">
        <v>2.0</v>
      </c>
      <c r="H260" s="18">
        <v>25.0</v>
      </c>
      <c r="I260" s="18">
        <v>50.0</v>
      </c>
      <c r="J260" s="18"/>
      <c r="K260" s="11" t="s">
        <v>21</v>
      </c>
      <c r="L260" s="16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22.5" customHeight="1">
      <c r="A261" s="1"/>
      <c r="B261" s="38" t="s">
        <v>288</v>
      </c>
      <c r="C261" s="9" t="s">
        <v>13</v>
      </c>
      <c r="D261" s="10" t="s">
        <v>289</v>
      </c>
      <c r="E261" s="39" t="s">
        <v>15</v>
      </c>
      <c r="F261" s="52" t="s">
        <v>290</v>
      </c>
      <c r="G261" s="13">
        <v>1.0</v>
      </c>
      <c r="H261" s="18">
        <v>18.99</v>
      </c>
      <c r="I261" s="18">
        <v>18.99</v>
      </c>
      <c r="J261" s="15">
        <v>15.16</v>
      </c>
      <c r="K261" s="11" t="s">
        <v>17</v>
      </c>
      <c r="L261" s="16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22.5" customHeight="1">
      <c r="A262" s="1"/>
      <c r="B262" s="38" t="s">
        <v>288</v>
      </c>
      <c r="C262" s="9" t="s">
        <v>13</v>
      </c>
      <c r="D262" s="10" t="s">
        <v>291</v>
      </c>
      <c r="E262" s="39" t="s">
        <v>15</v>
      </c>
      <c r="F262" s="37" t="s">
        <v>44</v>
      </c>
      <c r="G262" s="13">
        <v>1.0</v>
      </c>
      <c r="H262" s="18">
        <v>6.57</v>
      </c>
      <c r="I262" s="18">
        <v>6.57</v>
      </c>
      <c r="J262" s="15">
        <v>5.75</v>
      </c>
      <c r="K262" s="11" t="s">
        <v>17</v>
      </c>
      <c r="L262" s="16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22.5" customHeight="1">
      <c r="A263" s="1"/>
      <c r="B263" s="38" t="s">
        <v>288</v>
      </c>
      <c r="C263" s="9" t="s">
        <v>13</v>
      </c>
      <c r="D263" s="10" t="s">
        <v>292</v>
      </c>
      <c r="E263" s="39" t="s">
        <v>15</v>
      </c>
      <c r="F263" s="37" t="s">
        <v>44</v>
      </c>
      <c r="G263" s="13">
        <v>1.0</v>
      </c>
      <c r="H263" s="18">
        <v>15.0</v>
      </c>
      <c r="I263" s="18">
        <v>15.0</v>
      </c>
      <c r="J263" s="15">
        <v>15.94</v>
      </c>
      <c r="K263" s="11" t="s">
        <v>17</v>
      </c>
      <c r="L263" s="16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22.5" customHeight="1">
      <c r="A264" s="1"/>
      <c r="B264" s="38" t="s">
        <v>288</v>
      </c>
      <c r="C264" s="9" t="s">
        <v>13</v>
      </c>
      <c r="D264" s="10" t="s">
        <v>293</v>
      </c>
      <c r="E264" s="39" t="s">
        <v>15</v>
      </c>
      <c r="F264" s="37" t="s">
        <v>44</v>
      </c>
      <c r="G264" s="13">
        <v>1.0</v>
      </c>
      <c r="H264" s="18">
        <v>7.0</v>
      </c>
      <c r="I264" s="18">
        <v>7.0</v>
      </c>
      <c r="J264" s="15">
        <v>7.29</v>
      </c>
      <c r="K264" s="11" t="s">
        <v>17</v>
      </c>
      <c r="L264" s="16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22.5" customHeight="1">
      <c r="A265" s="1"/>
      <c r="B265" s="38" t="s">
        <v>288</v>
      </c>
      <c r="C265" s="9" t="s">
        <v>294</v>
      </c>
      <c r="D265" s="10" t="s">
        <v>267</v>
      </c>
      <c r="E265" s="39" t="s">
        <v>15</v>
      </c>
      <c r="F265" s="37" t="s">
        <v>44</v>
      </c>
      <c r="G265" s="13">
        <v>3.0</v>
      </c>
      <c r="H265" s="18">
        <v>2.0</v>
      </c>
      <c r="I265" s="18">
        <v>6.0</v>
      </c>
      <c r="J265" s="15">
        <v>0.0</v>
      </c>
      <c r="K265" s="11" t="s">
        <v>17</v>
      </c>
      <c r="L265" s="36" t="s">
        <v>295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22.5" customHeight="1">
      <c r="A266" s="1"/>
      <c r="B266" s="38" t="s">
        <v>288</v>
      </c>
      <c r="C266" s="9" t="s">
        <v>294</v>
      </c>
      <c r="D266" s="10" t="s">
        <v>270</v>
      </c>
      <c r="E266" s="39" t="s">
        <v>15</v>
      </c>
      <c r="F266" s="37" t="s">
        <v>44</v>
      </c>
      <c r="G266" s="13">
        <v>3.0</v>
      </c>
      <c r="H266" s="18">
        <v>15.0</v>
      </c>
      <c r="I266" s="18">
        <v>45.0</v>
      </c>
      <c r="J266" s="15">
        <v>52.02</v>
      </c>
      <c r="K266" s="11" t="s">
        <v>17</v>
      </c>
      <c r="L266" s="16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22.5" customHeight="1">
      <c r="A267" s="1"/>
      <c r="B267" s="38" t="s">
        <v>288</v>
      </c>
      <c r="C267" s="9" t="s">
        <v>13</v>
      </c>
      <c r="D267" s="10" t="s">
        <v>271</v>
      </c>
      <c r="E267" s="39" t="s">
        <v>15</v>
      </c>
      <c r="F267" s="37" t="s">
        <v>44</v>
      </c>
      <c r="G267" s="13">
        <v>3.0</v>
      </c>
      <c r="H267" s="18">
        <v>11.0</v>
      </c>
      <c r="I267" s="18">
        <v>33.0</v>
      </c>
      <c r="J267" s="15">
        <v>32.01</v>
      </c>
      <c r="K267" s="11" t="s">
        <v>17</v>
      </c>
      <c r="L267" s="16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22.5" customHeight="1">
      <c r="A268" s="1"/>
      <c r="B268" s="38" t="s">
        <v>288</v>
      </c>
      <c r="C268" s="19" t="s">
        <v>28</v>
      </c>
      <c r="D268" s="10" t="s">
        <v>273</v>
      </c>
      <c r="E268" s="11" t="s">
        <v>20</v>
      </c>
      <c r="F268" s="17"/>
      <c r="G268" s="13">
        <v>6.0</v>
      </c>
      <c r="H268" s="18">
        <v>10.0</v>
      </c>
      <c r="I268" s="18">
        <v>60.0</v>
      </c>
      <c r="J268" s="18"/>
      <c r="K268" s="11" t="s">
        <v>21</v>
      </c>
      <c r="L268" s="16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22.5" customHeight="1">
      <c r="A269" s="1"/>
      <c r="B269" s="38" t="s">
        <v>288</v>
      </c>
      <c r="C269" s="19" t="s">
        <v>28</v>
      </c>
      <c r="D269" s="10" t="s">
        <v>274</v>
      </c>
      <c r="E269" s="11" t="s">
        <v>20</v>
      </c>
      <c r="F269" s="17"/>
      <c r="G269" s="13">
        <v>6.0</v>
      </c>
      <c r="H269" s="18">
        <v>10.0</v>
      </c>
      <c r="I269" s="18">
        <v>60.0</v>
      </c>
      <c r="J269" s="18"/>
      <c r="K269" s="11" t="s">
        <v>21</v>
      </c>
      <c r="L269" s="16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22.5" customHeight="1">
      <c r="A270" s="1"/>
      <c r="B270" s="38" t="s">
        <v>288</v>
      </c>
      <c r="C270" s="9" t="s">
        <v>13</v>
      </c>
      <c r="D270" s="10" t="s">
        <v>275</v>
      </c>
      <c r="E270" s="39" t="s">
        <v>15</v>
      </c>
      <c r="F270" s="51" t="s">
        <v>276</v>
      </c>
      <c r="G270" s="13">
        <v>3.0</v>
      </c>
      <c r="H270" s="18">
        <v>9.59</v>
      </c>
      <c r="I270" s="18">
        <v>28.77</v>
      </c>
      <c r="J270" s="15">
        <v>31.89</v>
      </c>
      <c r="K270" s="11" t="s">
        <v>17</v>
      </c>
      <c r="L270" s="16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ht="22.5" customHeight="1">
      <c r="A271" s="1"/>
      <c r="B271" s="38" t="s">
        <v>288</v>
      </c>
      <c r="C271" s="19" t="s">
        <v>28</v>
      </c>
      <c r="D271" s="10" t="s">
        <v>277</v>
      </c>
      <c r="E271" s="11" t="s">
        <v>20</v>
      </c>
      <c r="F271" s="52"/>
      <c r="G271" s="13">
        <v>6.0</v>
      </c>
      <c r="H271" s="18">
        <v>20.0</v>
      </c>
      <c r="I271" s="18">
        <v>120.0</v>
      </c>
      <c r="J271" s="18"/>
      <c r="K271" s="11" t="s">
        <v>21</v>
      </c>
      <c r="L271" s="16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ht="22.5" customHeight="1">
      <c r="A272" s="1"/>
      <c r="B272" s="38" t="s">
        <v>288</v>
      </c>
      <c r="C272" s="9" t="s">
        <v>13</v>
      </c>
      <c r="D272" s="10" t="s">
        <v>282</v>
      </c>
      <c r="E272" s="41" t="s">
        <v>15</v>
      </c>
      <c r="F272" s="52" t="s">
        <v>283</v>
      </c>
      <c r="G272" s="13">
        <v>3.0</v>
      </c>
      <c r="H272" s="18">
        <v>25.0</v>
      </c>
      <c r="I272" s="18">
        <v>75.0</v>
      </c>
      <c r="J272" s="15">
        <v>77.97</v>
      </c>
      <c r="K272" s="11" t="s">
        <v>17</v>
      </c>
      <c r="L272" s="16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ht="22.5" customHeight="1">
      <c r="A273" s="1"/>
      <c r="B273" s="38" t="s">
        <v>288</v>
      </c>
      <c r="C273" s="9" t="s">
        <v>13</v>
      </c>
      <c r="D273" s="10" t="s">
        <v>284</v>
      </c>
      <c r="E273" s="41" t="s">
        <v>15</v>
      </c>
      <c r="F273" s="52" t="s">
        <v>285</v>
      </c>
      <c r="G273" s="13">
        <v>3.0</v>
      </c>
      <c r="H273" s="18">
        <v>20.0</v>
      </c>
      <c r="I273" s="18">
        <v>60.0</v>
      </c>
      <c r="J273" s="15">
        <v>0.0</v>
      </c>
      <c r="K273" s="11" t="s">
        <v>17</v>
      </c>
      <c r="L273" s="36" t="s">
        <v>286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ht="22.5" customHeight="1">
      <c r="A274" s="1"/>
      <c r="B274" s="38" t="s">
        <v>288</v>
      </c>
      <c r="C274" s="19" t="s">
        <v>22</v>
      </c>
      <c r="D274" s="10" t="s">
        <v>287</v>
      </c>
      <c r="E274" s="21" t="s">
        <v>24</v>
      </c>
      <c r="F274" s="17"/>
      <c r="G274" s="13">
        <v>6.0</v>
      </c>
      <c r="H274" s="18">
        <v>25.0</v>
      </c>
      <c r="I274" s="18">
        <v>150.0</v>
      </c>
      <c r="J274" s="18"/>
      <c r="K274" s="11" t="s">
        <v>21</v>
      </c>
      <c r="L274" s="16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ht="22.5" customHeight="1">
      <c r="A275" s="1"/>
      <c r="B275" s="38" t="s">
        <v>296</v>
      </c>
      <c r="C275" s="19" t="s">
        <v>28</v>
      </c>
      <c r="D275" s="10" t="s">
        <v>220</v>
      </c>
      <c r="E275" s="11" t="s">
        <v>20</v>
      </c>
      <c r="F275" s="17"/>
      <c r="G275" s="13">
        <v>1.0</v>
      </c>
      <c r="H275" s="18">
        <v>180.0</v>
      </c>
      <c r="I275" s="18">
        <v>180.0</v>
      </c>
      <c r="J275" s="18"/>
      <c r="K275" s="11" t="s">
        <v>21</v>
      </c>
      <c r="L275" s="16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ht="22.5" customHeight="1">
      <c r="A276" s="1"/>
      <c r="B276" s="38" t="s">
        <v>296</v>
      </c>
      <c r="C276" s="19" t="s">
        <v>22</v>
      </c>
      <c r="D276" s="10" t="s">
        <v>41</v>
      </c>
      <c r="E276" s="21" t="s">
        <v>24</v>
      </c>
      <c r="F276" s="17"/>
      <c r="G276" s="13">
        <v>1.0</v>
      </c>
      <c r="H276" s="18">
        <v>18.0</v>
      </c>
      <c r="I276" s="18">
        <v>18.0</v>
      </c>
      <c r="J276" s="18"/>
      <c r="K276" s="11" t="s">
        <v>21</v>
      </c>
      <c r="L276" s="16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ht="22.5" customHeight="1">
      <c r="A277" s="1"/>
      <c r="B277" s="38" t="s">
        <v>296</v>
      </c>
      <c r="C277" s="19" t="s">
        <v>28</v>
      </c>
      <c r="D277" s="10" t="s">
        <v>273</v>
      </c>
      <c r="E277" s="11" t="s">
        <v>20</v>
      </c>
      <c r="F277" s="9"/>
      <c r="G277" s="13">
        <v>1.0</v>
      </c>
      <c r="H277" s="18">
        <v>10.0</v>
      </c>
      <c r="I277" s="18">
        <v>10.0</v>
      </c>
      <c r="J277" s="18"/>
      <c r="K277" s="11" t="s">
        <v>21</v>
      </c>
      <c r="L277" s="16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ht="22.5" customHeight="1">
      <c r="A278" s="1"/>
      <c r="B278" s="38" t="s">
        <v>296</v>
      </c>
      <c r="C278" s="9" t="s">
        <v>13</v>
      </c>
      <c r="D278" s="10" t="s">
        <v>275</v>
      </c>
      <c r="E278" s="39" t="s">
        <v>15</v>
      </c>
      <c r="F278" s="37" t="s">
        <v>44</v>
      </c>
      <c r="G278" s="13">
        <v>1.0</v>
      </c>
      <c r="H278" s="18">
        <v>10.0</v>
      </c>
      <c r="I278" s="18">
        <v>10.0</v>
      </c>
      <c r="J278" s="15">
        <v>8.52</v>
      </c>
      <c r="K278" s="11" t="s">
        <v>17</v>
      </c>
      <c r="L278" s="16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ht="22.5" customHeight="1">
      <c r="A279" s="1"/>
      <c r="B279" s="38" t="s">
        <v>296</v>
      </c>
      <c r="C279" s="19" t="s">
        <v>28</v>
      </c>
      <c r="D279" s="10" t="s">
        <v>277</v>
      </c>
      <c r="E279" s="11" t="s">
        <v>20</v>
      </c>
      <c r="F279" s="9"/>
      <c r="G279" s="13">
        <v>1.0</v>
      </c>
      <c r="H279" s="18">
        <v>20.0</v>
      </c>
      <c r="I279" s="18">
        <v>20.0</v>
      </c>
      <c r="J279" s="18"/>
      <c r="K279" s="11" t="s">
        <v>21</v>
      </c>
      <c r="L279" s="16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ht="22.5" customHeight="1">
      <c r="A280" s="1"/>
      <c r="B280" s="38" t="s">
        <v>296</v>
      </c>
      <c r="C280" s="9" t="s">
        <v>13</v>
      </c>
      <c r="D280" s="10" t="s">
        <v>297</v>
      </c>
      <c r="E280" s="41" t="s">
        <v>15</v>
      </c>
      <c r="F280" s="37" t="s">
        <v>44</v>
      </c>
      <c r="G280" s="13">
        <v>1.0</v>
      </c>
      <c r="H280" s="18">
        <v>20.0</v>
      </c>
      <c r="I280" s="18">
        <v>20.0</v>
      </c>
      <c r="J280" s="15">
        <v>19.15</v>
      </c>
      <c r="K280" s="11" t="s">
        <v>17</v>
      </c>
      <c r="L280" s="16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ht="22.5" customHeight="1">
      <c r="A281" s="1"/>
      <c r="B281" s="38" t="s">
        <v>296</v>
      </c>
      <c r="C281" s="19" t="s">
        <v>28</v>
      </c>
      <c r="D281" s="10" t="s">
        <v>168</v>
      </c>
      <c r="E281" s="41" t="s">
        <v>20</v>
      </c>
      <c r="F281" s="17"/>
      <c r="G281" s="13">
        <v>1.0</v>
      </c>
      <c r="H281" s="18">
        <v>100.0</v>
      </c>
      <c r="I281" s="18">
        <v>100.0</v>
      </c>
      <c r="J281" s="18"/>
      <c r="K281" s="11" t="s">
        <v>21</v>
      </c>
      <c r="L281" s="16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ht="22.5" customHeight="1">
      <c r="A282" s="1"/>
      <c r="B282" s="38" t="s">
        <v>296</v>
      </c>
      <c r="C282" s="19" t="s">
        <v>298</v>
      </c>
      <c r="D282" s="10" t="s">
        <v>299</v>
      </c>
      <c r="E282" s="41" t="s">
        <v>20</v>
      </c>
      <c r="F282" s="17"/>
      <c r="G282" s="13">
        <v>1.0</v>
      </c>
      <c r="H282" s="18">
        <v>150.0</v>
      </c>
      <c r="I282" s="18">
        <v>150.0</v>
      </c>
      <c r="J282" s="18"/>
      <c r="K282" s="11" t="s">
        <v>21</v>
      </c>
      <c r="L282" s="16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ht="22.5" customHeight="1">
      <c r="A283" s="1"/>
      <c r="B283" s="38" t="s">
        <v>300</v>
      </c>
      <c r="C283" s="9" t="s">
        <v>13</v>
      </c>
      <c r="D283" s="10" t="s">
        <v>301</v>
      </c>
      <c r="E283" s="39" t="s">
        <v>15</v>
      </c>
      <c r="F283" s="50" t="s">
        <v>44</v>
      </c>
      <c r="G283" s="13">
        <v>1.0</v>
      </c>
      <c r="H283" s="18">
        <v>20.0</v>
      </c>
      <c r="I283" s="18">
        <v>20.0</v>
      </c>
      <c r="J283" s="15">
        <v>17.02</v>
      </c>
      <c r="K283" s="11" t="s">
        <v>17</v>
      </c>
      <c r="L283" s="16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ht="22.5" customHeight="1">
      <c r="A284" s="1"/>
      <c r="B284" s="38" t="s">
        <v>300</v>
      </c>
      <c r="C284" s="9" t="s">
        <v>13</v>
      </c>
      <c r="D284" s="10" t="s">
        <v>302</v>
      </c>
      <c r="E284" s="39" t="s">
        <v>15</v>
      </c>
      <c r="F284" s="50" t="s">
        <v>44</v>
      </c>
      <c r="G284" s="13">
        <v>1.0</v>
      </c>
      <c r="H284" s="18">
        <v>30.0</v>
      </c>
      <c r="I284" s="18">
        <v>30.0</v>
      </c>
      <c r="J284" s="15">
        <v>25.6</v>
      </c>
      <c r="K284" s="11" t="s">
        <v>17</v>
      </c>
      <c r="L284" s="16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ht="22.5" customHeight="1">
      <c r="A285" s="1"/>
      <c r="B285" s="38" t="s">
        <v>300</v>
      </c>
      <c r="C285" s="9" t="s">
        <v>13</v>
      </c>
      <c r="D285" s="10" t="s">
        <v>303</v>
      </c>
      <c r="E285" s="39" t="s">
        <v>15</v>
      </c>
      <c r="F285" s="50" t="s">
        <v>44</v>
      </c>
      <c r="G285" s="13">
        <v>1.0</v>
      </c>
      <c r="H285" s="18">
        <v>20.0</v>
      </c>
      <c r="I285" s="18">
        <v>20.0</v>
      </c>
      <c r="J285" s="15">
        <v>21.28</v>
      </c>
      <c r="K285" s="11" t="s">
        <v>17</v>
      </c>
      <c r="L285" s="16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ht="22.5" customHeight="1">
      <c r="A286" s="1"/>
      <c r="B286" s="38" t="s">
        <v>300</v>
      </c>
      <c r="C286" s="9" t="s">
        <v>13</v>
      </c>
      <c r="D286" s="10" t="s">
        <v>304</v>
      </c>
      <c r="E286" s="39" t="s">
        <v>15</v>
      </c>
      <c r="F286" s="50" t="s">
        <v>44</v>
      </c>
      <c r="G286" s="13">
        <v>1.0</v>
      </c>
      <c r="H286" s="18">
        <v>23.0</v>
      </c>
      <c r="I286" s="18">
        <v>23.0</v>
      </c>
      <c r="J286" s="15">
        <v>24.23</v>
      </c>
      <c r="K286" s="11" t="s">
        <v>17</v>
      </c>
      <c r="L286" s="16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ht="22.5" customHeight="1">
      <c r="A287" s="1"/>
      <c r="B287" s="38" t="s">
        <v>300</v>
      </c>
      <c r="C287" s="9" t="s">
        <v>305</v>
      </c>
      <c r="D287" s="10" t="s">
        <v>306</v>
      </c>
      <c r="E287" s="11" t="s">
        <v>48</v>
      </c>
      <c r="F287" s="17"/>
      <c r="G287" s="13">
        <v>1.0</v>
      </c>
      <c r="H287" s="18">
        <v>400.0</v>
      </c>
      <c r="I287" s="18">
        <v>400.0</v>
      </c>
      <c r="J287" s="15">
        <v>400.0</v>
      </c>
      <c r="K287" s="11" t="s">
        <v>17</v>
      </c>
      <c r="L287" s="16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ht="22.5" customHeight="1">
      <c r="A288" s="1"/>
      <c r="B288" s="38" t="s">
        <v>300</v>
      </c>
      <c r="C288" s="19" t="s">
        <v>28</v>
      </c>
      <c r="D288" s="10" t="s">
        <v>307</v>
      </c>
      <c r="E288" s="11" t="s">
        <v>20</v>
      </c>
      <c r="F288" s="9"/>
      <c r="G288" s="13">
        <v>2.0</v>
      </c>
      <c r="H288" s="18">
        <v>50.0</v>
      </c>
      <c r="I288" s="18">
        <v>100.0</v>
      </c>
      <c r="J288" s="18"/>
      <c r="K288" s="11" t="s">
        <v>21</v>
      </c>
      <c r="L288" s="16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ht="22.5" customHeight="1">
      <c r="A289" s="1"/>
      <c r="B289" s="38" t="s">
        <v>300</v>
      </c>
      <c r="C289" s="19" t="s">
        <v>28</v>
      </c>
      <c r="D289" s="10" t="s">
        <v>308</v>
      </c>
      <c r="E289" s="11" t="s">
        <v>20</v>
      </c>
      <c r="F289" s="17"/>
      <c r="G289" s="13">
        <v>1.0</v>
      </c>
      <c r="H289" s="18">
        <v>100.0</v>
      </c>
      <c r="I289" s="18">
        <v>100.0</v>
      </c>
      <c r="J289" s="18"/>
      <c r="K289" s="11" t="s">
        <v>21</v>
      </c>
      <c r="L289" s="16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ht="22.5" customHeight="1">
      <c r="A290" s="1"/>
      <c r="B290" s="38" t="s">
        <v>300</v>
      </c>
      <c r="C290" s="9" t="s">
        <v>309</v>
      </c>
      <c r="D290" s="10" t="s">
        <v>310</v>
      </c>
      <c r="E290" s="11" t="s">
        <v>48</v>
      </c>
      <c r="F290" s="50" t="s">
        <v>44</v>
      </c>
      <c r="G290" s="13">
        <v>1.0</v>
      </c>
      <c r="H290" s="18">
        <v>220.0</v>
      </c>
      <c r="I290" s="18">
        <v>220.0</v>
      </c>
      <c r="J290" s="15">
        <v>244.94</v>
      </c>
      <c r="K290" s="11" t="s">
        <v>17</v>
      </c>
      <c r="L290" s="16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ht="22.5" customHeight="1">
      <c r="A291" s="1"/>
      <c r="B291" s="38" t="s">
        <v>300</v>
      </c>
      <c r="C291" s="9" t="s">
        <v>309</v>
      </c>
      <c r="D291" s="10" t="s">
        <v>311</v>
      </c>
      <c r="E291" s="11" t="s">
        <v>48</v>
      </c>
      <c r="F291" s="50" t="s">
        <v>44</v>
      </c>
      <c r="G291" s="13">
        <v>1.0</v>
      </c>
      <c r="H291" s="18">
        <v>1030.0</v>
      </c>
      <c r="I291" s="18">
        <v>1030.0</v>
      </c>
      <c r="J291" s="15">
        <v>617.69</v>
      </c>
      <c r="K291" s="11" t="s">
        <v>17</v>
      </c>
      <c r="L291" s="16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ht="22.5" customHeight="1">
      <c r="A292" s="1"/>
      <c r="B292" s="38" t="s">
        <v>300</v>
      </c>
      <c r="C292" s="9" t="s">
        <v>312</v>
      </c>
      <c r="D292" s="10" t="s">
        <v>313</v>
      </c>
      <c r="E292" s="41" t="s">
        <v>15</v>
      </c>
      <c r="F292" s="50" t="s">
        <v>44</v>
      </c>
      <c r="G292" s="13">
        <v>1.0</v>
      </c>
      <c r="H292" s="18">
        <v>140.0</v>
      </c>
      <c r="I292" s="18">
        <v>140.0</v>
      </c>
      <c r="J292" s="15">
        <v>149.09</v>
      </c>
      <c r="K292" s="11" t="s">
        <v>17</v>
      </c>
      <c r="L292" s="36" t="s">
        <v>314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ht="22.5" customHeight="1">
      <c r="A293" s="1"/>
      <c r="B293" s="38" t="s">
        <v>300</v>
      </c>
      <c r="C293" s="42" t="s">
        <v>22</v>
      </c>
      <c r="D293" s="10" t="s">
        <v>315</v>
      </c>
      <c r="E293" s="21" t="s">
        <v>24</v>
      </c>
      <c r="F293" s="17"/>
      <c r="G293" s="13">
        <v>1.0</v>
      </c>
      <c r="H293" s="18">
        <v>150.0</v>
      </c>
      <c r="I293" s="18">
        <v>150.0</v>
      </c>
      <c r="J293" s="15"/>
      <c r="K293" s="11" t="s">
        <v>21</v>
      </c>
      <c r="L293" s="16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ht="22.5" customHeight="1">
      <c r="A294" s="1"/>
      <c r="B294" s="38" t="s">
        <v>300</v>
      </c>
      <c r="C294" s="10" t="s">
        <v>13</v>
      </c>
      <c r="D294" s="10" t="s">
        <v>316</v>
      </c>
      <c r="E294" s="39" t="s">
        <v>15</v>
      </c>
      <c r="F294" s="50" t="s">
        <v>44</v>
      </c>
      <c r="G294" s="13">
        <v>1.0</v>
      </c>
      <c r="H294" s="18">
        <v>27.0</v>
      </c>
      <c r="I294" s="18">
        <v>27.0</v>
      </c>
      <c r="J294" s="15">
        <v>27.68</v>
      </c>
      <c r="K294" s="11" t="s">
        <v>17</v>
      </c>
      <c r="L294" s="16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ht="22.5" customHeight="1">
      <c r="A295" s="1"/>
      <c r="B295" s="38" t="s">
        <v>300</v>
      </c>
      <c r="C295" s="10" t="s">
        <v>13</v>
      </c>
      <c r="D295" s="10" t="s">
        <v>316</v>
      </c>
      <c r="E295" s="39" t="s">
        <v>15</v>
      </c>
      <c r="F295" s="50" t="s">
        <v>44</v>
      </c>
      <c r="G295" s="13">
        <v>1.0</v>
      </c>
      <c r="H295" s="18">
        <v>20.0</v>
      </c>
      <c r="I295" s="18">
        <v>20.0</v>
      </c>
      <c r="J295" s="15">
        <v>18.73</v>
      </c>
      <c r="K295" s="11" t="s">
        <v>17</v>
      </c>
      <c r="L295" s="16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ht="22.5" customHeight="1">
      <c r="A296" s="1"/>
      <c r="B296" s="38" t="s">
        <v>317</v>
      </c>
      <c r="C296" s="10" t="s">
        <v>13</v>
      </c>
      <c r="D296" s="10" t="s">
        <v>318</v>
      </c>
      <c r="E296" s="39" t="s">
        <v>15</v>
      </c>
      <c r="F296" s="57" t="s">
        <v>5</v>
      </c>
      <c r="G296" s="13">
        <v>1.0</v>
      </c>
      <c r="H296" s="18">
        <v>105.0</v>
      </c>
      <c r="I296" s="18">
        <f t="shared" ref="I296:I327" si="4">G296*H296</f>
        <v>105</v>
      </c>
      <c r="J296" s="15">
        <v>68.78</v>
      </c>
      <c r="K296" s="11" t="s">
        <v>17</v>
      </c>
      <c r="L296" s="16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ht="22.5" customHeight="1">
      <c r="A297" s="1"/>
      <c r="B297" s="38" t="s">
        <v>317</v>
      </c>
      <c r="C297" s="10" t="s">
        <v>319</v>
      </c>
      <c r="D297" s="10" t="s">
        <v>320</v>
      </c>
      <c r="E297" s="39" t="s">
        <v>15</v>
      </c>
      <c r="F297" s="37" t="s">
        <v>5</v>
      </c>
      <c r="G297" s="13">
        <v>1.0</v>
      </c>
      <c r="H297" s="18">
        <v>130.0</v>
      </c>
      <c r="I297" s="18">
        <f t="shared" si="4"/>
        <v>130</v>
      </c>
      <c r="J297" s="15">
        <v>106.41</v>
      </c>
      <c r="K297" s="11" t="s">
        <v>17</v>
      </c>
      <c r="L297" s="16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ht="22.5" customHeight="1">
      <c r="A298" s="1"/>
      <c r="B298" s="38" t="s">
        <v>317</v>
      </c>
      <c r="C298" s="10" t="s">
        <v>146</v>
      </c>
      <c r="D298" s="10" t="s">
        <v>321</v>
      </c>
      <c r="E298" s="39" t="s">
        <v>15</v>
      </c>
      <c r="F298" s="19" t="s">
        <v>222</v>
      </c>
      <c r="G298" s="13">
        <v>1.0</v>
      </c>
      <c r="H298" s="18">
        <v>300.0</v>
      </c>
      <c r="I298" s="18">
        <f t="shared" si="4"/>
        <v>300</v>
      </c>
      <c r="J298" s="15">
        <v>126.26</v>
      </c>
      <c r="K298" s="11" t="s">
        <v>17</v>
      </c>
      <c r="L298" s="16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ht="22.5" customHeight="1">
      <c r="A299" s="1"/>
      <c r="B299" s="38" t="s">
        <v>317</v>
      </c>
      <c r="C299" s="10" t="s">
        <v>13</v>
      </c>
      <c r="D299" s="10" t="s">
        <v>322</v>
      </c>
      <c r="E299" s="39" t="s">
        <v>15</v>
      </c>
      <c r="F299" s="51" t="s">
        <v>323</v>
      </c>
      <c r="G299" s="13">
        <v>1.0</v>
      </c>
      <c r="H299" s="18">
        <v>19.97</v>
      </c>
      <c r="I299" s="18">
        <f t="shared" si="4"/>
        <v>19.97</v>
      </c>
      <c r="J299" s="15">
        <v>10.62</v>
      </c>
      <c r="K299" s="11" t="s">
        <v>17</v>
      </c>
      <c r="L299" s="16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ht="22.5" customHeight="1">
      <c r="A300" s="1"/>
      <c r="B300" s="38" t="s">
        <v>317</v>
      </c>
      <c r="C300" s="9" t="s">
        <v>13</v>
      </c>
      <c r="D300" s="45" t="s">
        <v>324</v>
      </c>
      <c r="E300" s="39" t="s">
        <v>15</v>
      </c>
      <c r="F300" s="37" t="s">
        <v>5</v>
      </c>
      <c r="G300" s="13">
        <v>1.0</v>
      </c>
      <c r="H300" s="18">
        <v>350.0</v>
      </c>
      <c r="I300" s="18">
        <f t="shared" si="4"/>
        <v>350</v>
      </c>
      <c r="J300" s="15">
        <v>361.77</v>
      </c>
      <c r="K300" s="11" t="s">
        <v>17</v>
      </c>
      <c r="L300" s="16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ht="22.5" customHeight="1">
      <c r="A301" s="1"/>
      <c r="B301" s="38" t="s">
        <v>317</v>
      </c>
      <c r="C301" s="9" t="s">
        <v>13</v>
      </c>
      <c r="D301" s="10" t="s">
        <v>325</v>
      </c>
      <c r="E301" s="39" t="s">
        <v>15</v>
      </c>
      <c r="F301" s="37" t="s">
        <v>5</v>
      </c>
      <c r="G301" s="13">
        <v>1.0</v>
      </c>
      <c r="H301" s="18">
        <v>572.0</v>
      </c>
      <c r="I301" s="18">
        <f t="shared" si="4"/>
        <v>572</v>
      </c>
      <c r="J301" s="15">
        <v>557.75</v>
      </c>
      <c r="K301" s="11" t="s">
        <v>17</v>
      </c>
      <c r="L301" s="16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ht="22.5" customHeight="1">
      <c r="A302" s="1"/>
      <c r="B302" s="38" t="s">
        <v>317</v>
      </c>
      <c r="C302" s="9" t="s">
        <v>13</v>
      </c>
      <c r="D302" s="10" t="s">
        <v>326</v>
      </c>
      <c r="E302" s="39" t="s">
        <v>15</v>
      </c>
      <c r="F302" s="37" t="s">
        <v>5</v>
      </c>
      <c r="G302" s="13">
        <v>1.0</v>
      </c>
      <c r="H302" s="18">
        <v>460.0</v>
      </c>
      <c r="I302" s="18">
        <f t="shared" si="4"/>
        <v>460</v>
      </c>
      <c r="J302" s="15">
        <v>424.94</v>
      </c>
      <c r="K302" s="11" t="s">
        <v>17</v>
      </c>
      <c r="L302" s="16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ht="22.5" customHeight="1">
      <c r="A303" s="1"/>
      <c r="B303" s="38" t="s">
        <v>317</v>
      </c>
      <c r="C303" s="9" t="s">
        <v>146</v>
      </c>
      <c r="D303" s="10" t="s">
        <v>327</v>
      </c>
      <c r="E303" s="39" t="s">
        <v>15</v>
      </c>
      <c r="F303" s="9"/>
      <c r="G303" s="13">
        <v>1.0</v>
      </c>
      <c r="H303" s="18">
        <v>560.0</v>
      </c>
      <c r="I303" s="18">
        <f t="shared" si="4"/>
        <v>560</v>
      </c>
      <c r="J303" s="15">
        <v>585.74</v>
      </c>
      <c r="K303" s="11" t="s">
        <v>17</v>
      </c>
      <c r="L303" s="16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ht="22.5" customHeight="1">
      <c r="A304" s="1"/>
      <c r="B304" s="38" t="s">
        <v>317</v>
      </c>
      <c r="C304" s="9" t="s">
        <v>146</v>
      </c>
      <c r="D304" s="10" t="s">
        <v>328</v>
      </c>
      <c r="E304" s="39" t="s">
        <v>15</v>
      </c>
      <c r="F304" s="51" t="s">
        <v>148</v>
      </c>
      <c r="G304" s="13">
        <v>1.0</v>
      </c>
      <c r="H304" s="18">
        <v>300.0</v>
      </c>
      <c r="I304" s="18">
        <f t="shared" si="4"/>
        <v>300</v>
      </c>
      <c r="J304" s="15">
        <v>244.94</v>
      </c>
      <c r="K304" s="11" t="s">
        <v>17</v>
      </c>
      <c r="L304" s="16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ht="22.5" customHeight="1">
      <c r="A305" s="1"/>
      <c r="B305" s="38" t="s">
        <v>317</v>
      </c>
      <c r="C305" s="9" t="s">
        <v>146</v>
      </c>
      <c r="D305" s="10" t="s">
        <v>329</v>
      </c>
      <c r="E305" s="39" t="s">
        <v>15</v>
      </c>
      <c r="F305" s="9"/>
      <c r="G305" s="13">
        <v>1.0</v>
      </c>
      <c r="H305" s="18">
        <v>69.99</v>
      </c>
      <c r="I305" s="18">
        <f t="shared" si="4"/>
        <v>69.99</v>
      </c>
      <c r="J305" s="15">
        <v>79.86</v>
      </c>
      <c r="K305" s="11" t="s">
        <v>17</v>
      </c>
      <c r="L305" s="16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ht="22.5" customHeight="1">
      <c r="A306" s="1"/>
      <c r="B306" s="38" t="s">
        <v>317</v>
      </c>
      <c r="C306" s="9" t="s">
        <v>13</v>
      </c>
      <c r="D306" s="10" t="s">
        <v>330</v>
      </c>
      <c r="E306" s="39" t="s">
        <v>15</v>
      </c>
      <c r="F306" s="37" t="s">
        <v>5</v>
      </c>
      <c r="G306" s="13">
        <v>2.0</v>
      </c>
      <c r="H306" s="18">
        <v>110.0</v>
      </c>
      <c r="I306" s="18">
        <f t="shared" si="4"/>
        <v>220</v>
      </c>
      <c r="J306" s="15">
        <v>176.18</v>
      </c>
      <c r="K306" s="11" t="s">
        <v>17</v>
      </c>
      <c r="L306" s="16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ht="22.5" customHeight="1">
      <c r="A307" s="1"/>
      <c r="B307" s="38" t="s">
        <v>317</v>
      </c>
      <c r="C307" s="9" t="s">
        <v>13</v>
      </c>
      <c r="D307" s="10" t="s">
        <v>151</v>
      </c>
      <c r="E307" s="41" t="s">
        <v>15</v>
      </c>
      <c r="F307" s="49" t="s">
        <v>331</v>
      </c>
      <c r="G307" s="13">
        <v>2.0</v>
      </c>
      <c r="H307" s="18">
        <v>3.0</v>
      </c>
      <c r="I307" s="18">
        <f t="shared" si="4"/>
        <v>6</v>
      </c>
      <c r="J307" s="15">
        <v>0.0</v>
      </c>
      <c r="K307" s="11" t="s">
        <v>17</v>
      </c>
      <c r="L307" s="16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ht="22.5" customHeight="1">
      <c r="A308" s="1"/>
      <c r="B308" s="38" t="s">
        <v>317</v>
      </c>
      <c r="C308" s="19" t="s">
        <v>28</v>
      </c>
      <c r="D308" s="10" t="s">
        <v>235</v>
      </c>
      <c r="E308" s="41" t="s">
        <v>20</v>
      </c>
      <c r="F308" s="49"/>
      <c r="G308" s="13">
        <v>1.0</v>
      </c>
      <c r="H308" s="18">
        <v>212.0</v>
      </c>
      <c r="I308" s="18">
        <f t="shared" si="4"/>
        <v>212</v>
      </c>
      <c r="J308" s="18"/>
      <c r="K308" s="11" t="s">
        <v>21</v>
      </c>
      <c r="L308" s="16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ht="22.5" customHeight="1">
      <c r="A309" s="1"/>
      <c r="B309" s="38" t="s">
        <v>317</v>
      </c>
      <c r="C309" s="9" t="s">
        <v>13</v>
      </c>
      <c r="D309" s="10" t="s">
        <v>332</v>
      </c>
      <c r="E309" s="41" t="s">
        <v>15</v>
      </c>
      <c r="F309" s="49" t="s">
        <v>333</v>
      </c>
      <c r="G309" s="13">
        <v>2.0</v>
      </c>
      <c r="H309" s="18">
        <v>12.0</v>
      </c>
      <c r="I309" s="18">
        <f t="shared" si="4"/>
        <v>24</v>
      </c>
      <c r="J309" s="15">
        <v>0.0</v>
      </c>
      <c r="K309" s="11" t="s">
        <v>17</v>
      </c>
      <c r="L309" s="16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ht="22.5" customHeight="1">
      <c r="A310" s="1"/>
      <c r="B310" s="38" t="s">
        <v>317</v>
      </c>
      <c r="C310" s="9" t="s">
        <v>13</v>
      </c>
      <c r="D310" s="10" t="s">
        <v>149</v>
      </c>
      <c r="E310" s="41" t="s">
        <v>15</v>
      </c>
      <c r="F310" s="49" t="s">
        <v>334</v>
      </c>
      <c r="G310" s="13">
        <v>1.0</v>
      </c>
      <c r="H310" s="18">
        <v>16.0</v>
      </c>
      <c r="I310" s="18">
        <f t="shared" si="4"/>
        <v>16</v>
      </c>
      <c r="J310" s="15">
        <v>15.18</v>
      </c>
      <c r="K310" s="11" t="s">
        <v>17</v>
      </c>
      <c r="L310" s="16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ht="22.5" customHeight="1">
      <c r="A311" s="1"/>
      <c r="B311" s="38" t="s">
        <v>317</v>
      </c>
      <c r="C311" s="19" t="s">
        <v>158</v>
      </c>
      <c r="D311" s="10" t="s">
        <v>335</v>
      </c>
      <c r="E311" s="41" t="s">
        <v>160</v>
      </c>
      <c r="F311" s="49"/>
      <c r="G311" s="13">
        <v>1.0</v>
      </c>
      <c r="H311" s="18">
        <v>10000.0</v>
      </c>
      <c r="I311" s="18">
        <f t="shared" si="4"/>
        <v>10000</v>
      </c>
      <c r="J311" s="15">
        <v>0.0</v>
      </c>
      <c r="K311" s="11" t="s">
        <v>17</v>
      </c>
      <c r="L311" s="36" t="s">
        <v>225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ht="22.5" customHeight="1">
      <c r="A312" s="1"/>
      <c r="B312" s="38" t="s">
        <v>317</v>
      </c>
      <c r="C312" s="65"/>
      <c r="D312" s="10" t="s">
        <v>336</v>
      </c>
      <c r="E312" s="11" t="s">
        <v>160</v>
      </c>
      <c r="F312" s="17"/>
      <c r="G312" s="13">
        <v>1.0</v>
      </c>
      <c r="H312" s="18">
        <v>4000.0</v>
      </c>
      <c r="I312" s="18">
        <f t="shared" si="4"/>
        <v>4000</v>
      </c>
      <c r="J312" s="18"/>
      <c r="K312" s="11" t="s">
        <v>17</v>
      </c>
      <c r="L312" s="16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ht="22.5" customHeight="1">
      <c r="A313" s="1"/>
      <c r="B313" s="38" t="s">
        <v>317</v>
      </c>
      <c r="C313" s="9" t="s">
        <v>13</v>
      </c>
      <c r="D313" s="10" t="s">
        <v>337</v>
      </c>
      <c r="E313" s="41" t="s">
        <v>15</v>
      </c>
      <c r="F313" s="37" t="s">
        <v>5</v>
      </c>
      <c r="G313" s="13">
        <v>1.0</v>
      </c>
      <c r="H313" s="18">
        <v>188.0</v>
      </c>
      <c r="I313" s="18">
        <f t="shared" si="4"/>
        <v>188</v>
      </c>
      <c r="J313" s="15">
        <v>154.79</v>
      </c>
      <c r="K313" s="11" t="s">
        <v>17</v>
      </c>
      <c r="L313" s="16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ht="22.5" customHeight="1">
      <c r="A314" s="1"/>
      <c r="B314" s="38" t="s">
        <v>338</v>
      </c>
      <c r="C314" s="9" t="s">
        <v>34</v>
      </c>
      <c r="D314" s="10" t="s">
        <v>339</v>
      </c>
      <c r="E314" s="41" t="s">
        <v>36</v>
      </c>
      <c r="F314" s="17"/>
      <c r="G314" s="13">
        <v>1.0</v>
      </c>
      <c r="H314" s="18">
        <v>9182.68</v>
      </c>
      <c r="I314" s="18">
        <f t="shared" si="4"/>
        <v>9182.68</v>
      </c>
      <c r="J314" s="15">
        <v>10632.68</v>
      </c>
      <c r="K314" s="11" t="s">
        <v>17</v>
      </c>
      <c r="L314" s="36" t="s">
        <v>340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ht="22.5" customHeight="1">
      <c r="A315" s="1"/>
      <c r="B315" s="38" t="s">
        <v>338</v>
      </c>
      <c r="C315" s="9"/>
      <c r="D315" s="10" t="s">
        <v>341</v>
      </c>
      <c r="E315" s="11" t="s">
        <v>342</v>
      </c>
      <c r="F315" s="17"/>
      <c r="G315" s="13">
        <v>1.0</v>
      </c>
      <c r="H315" s="18">
        <v>2112.5</v>
      </c>
      <c r="I315" s="18">
        <f t="shared" si="4"/>
        <v>2112.5</v>
      </c>
      <c r="J315" s="15">
        <v>1702.39</v>
      </c>
      <c r="K315" s="11" t="s">
        <v>17</v>
      </c>
      <c r="L315" s="16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ht="22.5" customHeight="1">
      <c r="A316" s="1"/>
      <c r="B316" s="38" t="s">
        <v>338</v>
      </c>
      <c r="C316" s="19" t="s">
        <v>22</v>
      </c>
      <c r="D316" s="10" t="s">
        <v>343</v>
      </c>
      <c r="E316" s="21" t="s">
        <v>24</v>
      </c>
      <c r="F316" s="17"/>
      <c r="G316" s="13">
        <v>3.0</v>
      </c>
      <c r="H316" s="18">
        <v>300.0</v>
      </c>
      <c r="I316" s="18">
        <f t="shared" si="4"/>
        <v>900</v>
      </c>
      <c r="J316" s="15"/>
      <c r="K316" s="11" t="s">
        <v>21</v>
      </c>
      <c r="L316" s="16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ht="22.5" customHeight="1">
      <c r="A317" s="1"/>
      <c r="B317" s="38" t="s">
        <v>338</v>
      </c>
      <c r="C317" s="19" t="s">
        <v>344</v>
      </c>
      <c r="D317" s="42" t="s">
        <v>345</v>
      </c>
      <c r="E317" s="21" t="s">
        <v>338</v>
      </c>
      <c r="F317" s="17"/>
      <c r="G317" s="13"/>
      <c r="H317" s="18"/>
      <c r="I317" s="18">
        <f t="shared" si="4"/>
        <v>0</v>
      </c>
      <c r="J317" s="15">
        <v>220.16</v>
      </c>
      <c r="K317" s="11" t="s">
        <v>21</v>
      </c>
      <c r="L317" s="16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ht="22.5" customHeight="1">
      <c r="A318" s="1"/>
      <c r="B318" s="38" t="s">
        <v>338</v>
      </c>
      <c r="C318" s="19" t="s">
        <v>346</v>
      </c>
      <c r="D318" s="42" t="s">
        <v>347</v>
      </c>
      <c r="E318" s="21" t="s">
        <v>24</v>
      </c>
      <c r="F318" s="17"/>
      <c r="G318" s="13"/>
      <c r="H318" s="18"/>
      <c r="I318" s="18">
        <f t="shared" si="4"/>
        <v>0</v>
      </c>
      <c r="J318" s="15">
        <v>1475.0</v>
      </c>
      <c r="K318" s="11" t="s">
        <v>21</v>
      </c>
      <c r="L318" s="16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ht="22.5" customHeight="1">
      <c r="A319" s="1"/>
      <c r="B319" s="38" t="s">
        <v>338</v>
      </c>
      <c r="C319" s="19" t="s">
        <v>348</v>
      </c>
      <c r="D319" s="42" t="s">
        <v>347</v>
      </c>
      <c r="E319" s="21" t="s">
        <v>24</v>
      </c>
      <c r="F319" s="17"/>
      <c r="G319" s="13"/>
      <c r="H319" s="18"/>
      <c r="I319" s="18">
        <f t="shared" si="4"/>
        <v>0</v>
      </c>
      <c r="J319" s="15">
        <v>900.0</v>
      </c>
      <c r="K319" s="11" t="s">
        <v>21</v>
      </c>
      <c r="L319" s="16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ht="22.5" customHeight="1">
      <c r="A320" s="1"/>
      <c r="B320" s="38" t="s">
        <v>338</v>
      </c>
      <c r="C320" s="19" t="s">
        <v>349</v>
      </c>
      <c r="D320" s="10" t="s">
        <v>350</v>
      </c>
      <c r="E320" s="11" t="s">
        <v>26</v>
      </c>
      <c r="F320" s="17"/>
      <c r="G320" s="13">
        <v>1.0</v>
      </c>
      <c r="H320" s="18">
        <v>3000.0</v>
      </c>
      <c r="I320" s="18">
        <f t="shared" si="4"/>
        <v>3000</v>
      </c>
      <c r="J320" s="18"/>
      <c r="K320" s="11" t="s">
        <v>21</v>
      </c>
      <c r="L320" s="36" t="s">
        <v>351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ht="22.5" customHeight="1">
      <c r="A321" s="1"/>
      <c r="B321" s="38" t="s">
        <v>338</v>
      </c>
      <c r="C321" s="19" t="s">
        <v>13</v>
      </c>
      <c r="D321" s="42" t="s">
        <v>352</v>
      </c>
      <c r="E321" s="11" t="s">
        <v>338</v>
      </c>
      <c r="F321" s="17"/>
      <c r="G321" s="13"/>
      <c r="H321" s="18"/>
      <c r="I321" s="18">
        <f t="shared" si="4"/>
        <v>0</v>
      </c>
      <c r="J321" s="15">
        <v>170.24</v>
      </c>
      <c r="K321" s="11" t="s">
        <v>17</v>
      </c>
      <c r="L321" s="36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ht="22.5" customHeight="1">
      <c r="A322" s="1"/>
      <c r="B322" s="38" t="s">
        <v>338</v>
      </c>
      <c r="C322" s="19"/>
      <c r="D322" s="42" t="s">
        <v>353</v>
      </c>
      <c r="E322" s="11" t="s">
        <v>338</v>
      </c>
      <c r="F322" s="17"/>
      <c r="G322" s="44">
        <v>1.0</v>
      </c>
      <c r="H322" s="18"/>
      <c r="I322" s="18">
        <f t="shared" si="4"/>
        <v>0</v>
      </c>
      <c r="J322" s="15">
        <v>150.0</v>
      </c>
      <c r="K322" s="11" t="s">
        <v>17</v>
      </c>
      <c r="L322" s="36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ht="22.5" customHeight="1">
      <c r="A323" s="1"/>
      <c r="B323" s="38" t="s">
        <v>338</v>
      </c>
      <c r="C323" s="9"/>
      <c r="D323" s="10" t="s">
        <v>354</v>
      </c>
      <c r="E323" s="11" t="s">
        <v>124</v>
      </c>
      <c r="F323" s="17"/>
      <c r="G323" s="13">
        <v>1.0</v>
      </c>
      <c r="H323" s="18">
        <v>400.0</v>
      </c>
      <c r="I323" s="18">
        <f t="shared" si="4"/>
        <v>400</v>
      </c>
      <c r="J323" s="18"/>
      <c r="K323" s="11" t="s">
        <v>17</v>
      </c>
      <c r="L323" s="16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ht="22.5" customHeight="1">
      <c r="A324" s="1"/>
      <c r="B324" s="38" t="s">
        <v>338</v>
      </c>
      <c r="C324" s="19" t="s">
        <v>28</v>
      </c>
      <c r="D324" s="10" t="s">
        <v>355</v>
      </c>
      <c r="E324" s="11" t="s">
        <v>356</v>
      </c>
      <c r="F324" s="17"/>
      <c r="G324" s="13">
        <v>1.0</v>
      </c>
      <c r="H324" s="18">
        <v>200.0</v>
      </c>
      <c r="I324" s="18">
        <f t="shared" si="4"/>
        <v>200</v>
      </c>
      <c r="J324" s="18"/>
      <c r="K324" s="39"/>
      <c r="L324" s="16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ht="22.5" customHeight="1">
      <c r="A325" s="1"/>
      <c r="B325" s="38" t="s">
        <v>338</v>
      </c>
      <c r="C325" s="9" t="s">
        <v>357</v>
      </c>
      <c r="D325" s="10" t="s">
        <v>358</v>
      </c>
      <c r="E325" s="11" t="s">
        <v>359</v>
      </c>
      <c r="F325" s="17"/>
      <c r="G325" s="13">
        <v>1.0</v>
      </c>
      <c r="H325" s="18">
        <v>350.0</v>
      </c>
      <c r="I325" s="18">
        <f t="shared" si="4"/>
        <v>350</v>
      </c>
      <c r="J325" s="15">
        <v>350.0</v>
      </c>
      <c r="K325" s="11" t="s">
        <v>21</v>
      </c>
      <c r="L325" s="16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ht="22.5" customHeight="1">
      <c r="A326" s="1"/>
      <c r="B326" s="38" t="s">
        <v>338</v>
      </c>
      <c r="C326" s="9"/>
      <c r="D326" s="10" t="s">
        <v>360</v>
      </c>
      <c r="E326" s="11" t="s">
        <v>361</v>
      </c>
      <c r="F326" s="17"/>
      <c r="G326" s="13">
        <v>1.0</v>
      </c>
      <c r="H326" s="18">
        <v>500.0</v>
      </c>
      <c r="I326" s="18">
        <f t="shared" si="4"/>
        <v>500</v>
      </c>
      <c r="J326" s="15">
        <v>500.0</v>
      </c>
      <c r="K326" s="11" t="s">
        <v>21</v>
      </c>
      <c r="L326" s="16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ht="22.5" customHeight="1">
      <c r="A327" s="1"/>
      <c r="B327" s="38" t="s">
        <v>338</v>
      </c>
      <c r="C327" s="19" t="s">
        <v>362</v>
      </c>
      <c r="D327" s="10" t="s">
        <v>363</v>
      </c>
      <c r="E327" s="11" t="s">
        <v>364</v>
      </c>
      <c r="F327" s="17"/>
      <c r="G327" s="13">
        <v>1.0</v>
      </c>
      <c r="H327" s="18">
        <v>1380.0</v>
      </c>
      <c r="I327" s="18">
        <f t="shared" si="4"/>
        <v>1380</v>
      </c>
      <c r="J327" s="15">
        <v>900.0</v>
      </c>
      <c r="K327" s="11" t="s">
        <v>17</v>
      </c>
      <c r="L327" s="16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ht="22.5" customHeight="1">
      <c r="A328" s="1"/>
      <c r="B328" s="38"/>
      <c r="C328" s="19"/>
      <c r="D328" s="42" t="s">
        <v>365</v>
      </c>
      <c r="E328" s="11" t="s">
        <v>338</v>
      </c>
      <c r="F328" s="17"/>
      <c r="G328" s="13"/>
      <c r="H328" s="15">
        <v>0.0</v>
      </c>
      <c r="I328" s="15">
        <v>0.0</v>
      </c>
      <c r="J328" s="15">
        <v>250.0</v>
      </c>
      <c r="K328" s="11" t="s">
        <v>21</v>
      </c>
      <c r="L328" s="16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ht="22.5" customHeight="1">
      <c r="A329" s="1"/>
      <c r="B329" s="38" t="s">
        <v>338</v>
      </c>
      <c r="C329" s="19"/>
      <c r="D329" s="42" t="s">
        <v>366</v>
      </c>
      <c r="E329" s="11" t="s">
        <v>367</v>
      </c>
      <c r="F329" s="17"/>
      <c r="G329" s="13"/>
      <c r="H329" s="15"/>
      <c r="I329" s="15">
        <v>10000.0</v>
      </c>
      <c r="J329" s="15">
        <v>10000.0</v>
      </c>
      <c r="K329" s="11" t="s">
        <v>17</v>
      </c>
      <c r="L329" s="16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ht="22.5" customHeight="1">
      <c r="A330" s="1"/>
      <c r="B330" s="38" t="s">
        <v>338</v>
      </c>
      <c r="C330" s="19" t="s">
        <v>342</v>
      </c>
      <c r="D330" s="42" t="s">
        <v>368</v>
      </c>
      <c r="E330" s="11" t="s">
        <v>338</v>
      </c>
      <c r="F330" s="17"/>
      <c r="G330" s="13">
        <v>1.0</v>
      </c>
      <c r="H330" s="15">
        <v>0.0</v>
      </c>
      <c r="I330" s="15">
        <v>0.0</v>
      </c>
      <c r="J330" s="15">
        <v>106.5</v>
      </c>
      <c r="K330" s="11" t="s">
        <v>17</v>
      </c>
      <c r="L330" s="16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6"/>
      <c r="C331" s="1"/>
      <c r="D331" s="1"/>
      <c r="E331" s="6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6"/>
      <c r="C332" s="1"/>
      <c r="D332" s="1"/>
      <c r="E332" s="6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6"/>
      <c r="C333" s="1"/>
      <c r="D333" s="1"/>
      <c r="E333" s="6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6"/>
      <c r="C334" s="1"/>
      <c r="D334" s="1"/>
      <c r="E334" s="6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6"/>
      <c r="C335" s="1"/>
      <c r="D335" s="1"/>
      <c r="E335" s="6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6"/>
      <c r="C336" s="1"/>
      <c r="D336" s="1"/>
      <c r="E336" s="6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6"/>
      <c r="C337" s="1"/>
      <c r="D337" s="1"/>
      <c r="E337" s="6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6"/>
      <c r="C338" s="1"/>
      <c r="D338" s="1"/>
      <c r="E338" s="6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6"/>
      <c r="C339" s="1"/>
      <c r="D339" s="1"/>
      <c r="E339" s="6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6"/>
      <c r="C340" s="1"/>
      <c r="D340" s="1"/>
      <c r="E340" s="6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6"/>
      <c r="C341" s="1"/>
      <c r="D341" s="1"/>
      <c r="E341" s="6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6"/>
      <c r="C342" s="1"/>
      <c r="D342" s="1"/>
      <c r="E342" s="6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6"/>
      <c r="C343" s="1"/>
      <c r="D343" s="1"/>
      <c r="E343" s="6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6"/>
      <c r="C344" s="1"/>
      <c r="D344" s="1"/>
      <c r="E344" s="6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6"/>
      <c r="C345" s="1"/>
      <c r="D345" s="1"/>
      <c r="E345" s="6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6"/>
      <c r="C346" s="1"/>
      <c r="D346" s="1"/>
      <c r="E346" s="6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6"/>
      <c r="C347" s="1"/>
      <c r="D347" s="1"/>
      <c r="E347" s="6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6"/>
      <c r="C348" s="1"/>
      <c r="D348" s="1"/>
      <c r="E348" s="6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6"/>
      <c r="C349" s="1"/>
      <c r="D349" s="1"/>
      <c r="E349" s="6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6"/>
      <c r="C350" s="1"/>
      <c r="D350" s="1"/>
      <c r="E350" s="6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6"/>
      <c r="C351" s="1"/>
      <c r="D351" s="1"/>
      <c r="E351" s="6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6"/>
      <c r="C352" s="1"/>
      <c r="D352" s="1"/>
      <c r="E352" s="6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6"/>
      <c r="C353" s="1"/>
      <c r="D353" s="1"/>
      <c r="E353" s="66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6"/>
      <c r="C354" s="1"/>
      <c r="D354" s="1"/>
      <c r="E354" s="66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6"/>
      <c r="C355" s="1"/>
      <c r="D355" s="1"/>
      <c r="E355" s="66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6"/>
      <c r="C356" s="1"/>
      <c r="D356" s="1"/>
      <c r="E356" s="66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6"/>
      <c r="C357" s="1"/>
      <c r="D357" s="1"/>
      <c r="E357" s="66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6"/>
      <c r="C358" s="1"/>
      <c r="D358" s="1"/>
      <c r="E358" s="66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6"/>
      <c r="C359" s="1"/>
      <c r="D359" s="1"/>
      <c r="E359" s="66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6"/>
      <c r="C360" s="1"/>
      <c r="D360" s="1"/>
      <c r="E360" s="66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6"/>
      <c r="C361" s="1"/>
      <c r="D361" s="1"/>
      <c r="E361" s="66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6"/>
      <c r="C362" s="1"/>
      <c r="D362" s="1"/>
      <c r="E362" s="66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6"/>
      <c r="C363" s="1"/>
      <c r="D363" s="1"/>
      <c r="E363" s="66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6"/>
      <c r="C364" s="1"/>
      <c r="D364" s="1"/>
      <c r="E364" s="66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6"/>
      <c r="C365" s="1"/>
      <c r="D365" s="1"/>
      <c r="E365" s="66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6"/>
      <c r="C366" s="1"/>
      <c r="D366" s="1"/>
      <c r="E366" s="66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6"/>
      <c r="C367" s="1"/>
      <c r="D367" s="1"/>
      <c r="E367" s="66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6"/>
      <c r="C368" s="1"/>
      <c r="D368" s="1"/>
      <c r="E368" s="66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6"/>
      <c r="C369" s="1"/>
      <c r="D369" s="1"/>
      <c r="E369" s="66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6"/>
      <c r="C370" s="1"/>
      <c r="D370" s="1"/>
      <c r="E370" s="66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6"/>
      <c r="C371" s="1"/>
      <c r="D371" s="1"/>
      <c r="E371" s="66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6"/>
      <c r="C372" s="1"/>
      <c r="D372" s="1"/>
      <c r="E372" s="66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6"/>
      <c r="C373" s="1"/>
      <c r="D373" s="1"/>
      <c r="E373" s="66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6"/>
      <c r="C374" s="1"/>
      <c r="D374" s="1"/>
      <c r="E374" s="66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6"/>
      <c r="C375" s="1"/>
      <c r="D375" s="1"/>
      <c r="E375" s="66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6"/>
      <c r="C376" s="1"/>
      <c r="D376" s="1"/>
      <c r="E376" s="66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6"/>
      <c r="C377" s="1"/>
      <c r="D377" s="1"/>
      <c r="E377" s="66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6"/>
      <c r="C378" s="1"/>
      <c r="D378" s="1"/>
      <c r="E378" s="66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6"/>
      <c r="C379" s="1"/>
      <c r="D379" s="1"/>
      <c r="E379" s="66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6"/>
      <c r="C380" s="1"/>
      <c r="D380" s="1"/>
      <c r="E380" s="66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6"/>
      <c r="C381" s="1"/>
      <c r="D381" s="1"/>
      <c r="E381" s="66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6"/>
      <c r="C382" s="1"/>
      <c r="D382" s="1"/>
      <c r="E382" s="66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6"/>
      <c r="C383" s="1"/>
      <c r="D383" s="1"/>
      <c r="E383" s="66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6"/>
      <c r="C384" s="1"/>
      <c r="D384" s="1"/>
      <c r="E384" s="66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6"/>
      <c r="C385" s="1"/>
      <c r="D385" s="1"/>
      <c r="E385" s="66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6"/>
      <c r="C386" s="1"/>
      <c r="D386" s="1"/>
      <c r="E386" s="66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6"/>
      <c r="C387" s="1"/>
      <c r="D387" s="1"/>
      <c r="E387" s="66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6"/>
      <c r="C388" s="1"/>
      <c r="D388" s="1"/>
      <c r="E388" s="66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6"/>
      <c r="C389" s="1"/>
      <c r="D389" s="1"/>
      <c r="E389" s="66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6"/>
      <c r="C390" s="1"/>
      <c r="D390" s="1"/>
      <c r="E390" s="66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6"/>
      <c r="C391" s="1"/>
      <c r="D391" s="1"/>
      <c r="E391" s="66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6"/>
      <c r="C392" s="1"/>
      <c r="D392" s="1"/>
      <c r="E392" s="66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6"/>
      <c r="C393" s="1"/>
      <c r="D393" s="1"/>
      <c r="E393" s="66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6"/>
      <c r="C394" s="1"/>
      <c r="D394" s="1"/>
      <c r="E394" s="66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6"/>
      <c r="C395" s="1"/>
      <c r="D395" s="1"/>
      <c r="E395" s="66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6"/>
      <c r="C396" s="1"/>
      <c r="D396" s="1"/>
      <c r="E396" s="66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6"/>
      <c r="C397" s="1"/>
      <c r="D397" s="1"/>
      <c r="E397" s="66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6"/>
      <c r="C398" s="1"/>
      <c r="D398" s="1"/>
      <c r="E398" s="66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6"/>
      <c r="C399" s="1"/>
      <c r="D399" s="1"/>
      <c r="E399" s="66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6"/>
      <c r="C400" s="1"/>
      <c r="D400" s="1"/>
      <c r="E400" s="66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6"/>
      <c r="C401" s="1"/>
      <c r="D401" s="1"/>
      <c r="E401" s="66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6"/>
      <c r="C402" s="1"/>
      <c r="D402" s="1"/>
      <c r="E402" s="66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6"/>
      <c r="C403" s="1"/>
      <c r="D403" s="1"/>
      <c r="E403" s="66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6"/>
      <c r="C404" s="1"/>
      <c r="D404" s="1"/>
      <c r="E404" s="66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6"/>
      <c r="C405" s="1"/>
      <c r="D405" s="1"/>
      <c r="E405" s="66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6"/>
      <c r="C406" s="1"/>
      <c r="D406" s="1"/>
      <c r="E406" s="66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6"/>
      <c r="C407" s="1"/>
      <c r="D407" s="1"/>
      <c r="E407" s="66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6"/>
      <c r="C408" s="1"/>
      <c r="D408" s="1"/>
      <c r="E408" s="66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6"/>
      <c r="C409" s="1"/>
      <c r="D409" s="1"/>
      <c r="E409" s="66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6"/>
      <c r="C410" s="1"/>
      <c r="D410" s="1"/>
      <c r="E410" s="66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6"/>
      <c r="C411" s="1"/>
      <c r="D411" s="1"/>
      <c r="E411" s="66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6"/>
      <c r="C412" s="1"/>
      <c r="D412" s="1"/>
      <c r="E412" s="66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6"/>
      <c r="C413" s="1"/>
      <c r="D413" s="1"/>
      <c r="E413" s="66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6"/>
      <c r="C414" s="1"/>
      <c r="D414" s="1"/>
      <c r="E414" s="66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6"/>
      <c r="C415" s="1"/>
      <c r="D415" s="1"/>
      <c r="E415" s="66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6"/>
      <c r="C416" s="1"/>
      <c r="D416" s="1"/>
      <c r="E416" s="66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6"/>
      <c r="C417" s="1"/>
      <c r="D417" s="1"/>
      <c r="E417" s="66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6"/>
      <c r="C418" s="1"/>
      <c r="D418" s="1"/>
      <c r="E418" s="66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6"/>
      <c r="C419" s="1"/>
      <c r="D419" s="1"/>
      <c r="E419" s="66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6"/>
      <c r="C420" s="1"/>
      <c r="D420" s="1"/>
      <c r="E420" s="66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6"/>
      <c r="C421" s="1"/>
      <c r="D421" s="1"/>
      <c r="E421" s="66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6"/>
      <c r="C422" s="1"/>
      <c r="D422" s="1"/>
      <c r="E422" s="66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6"/>
      <c r="C423" s="1"/>
      <c r="D423" s="1"/>
      <c r="E423" s="66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6"/>
      <c r="C424" s="1"/>
      <c r="D424" s="1"/>
      <c r="E424" s="66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6"/>
      <c r="C425" s="1"/>
      <c r="D425" s="1"/>
      <c r="E425" s="66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6"/>
      <c r="C426" s="1"/>
      <c r="D426" s="1"/>
      <c r="E426" s="66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6"/>
      <c r="C427" s="1"/>
      <c r="D427" s="1"/>
      <c r="E427" s="66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6"/>
      <c r="C428" s="1"/>
      <c r="D428" s="1"/>
      <c r="E428" s="66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6"/>
      <c r="C429" s="1"/>
      <c r="D429" s="1"/>
      <c r="E429" s="66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6"/>
      <c r="C430" s="1"/>
      <c r="D430" s="1"/>
      <c r="E430" s="66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6"/>
      <c r="C431" s="1"/>
      <c r="D431" s="1"/>
      <c r="E431" s="66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6"/>
      <c r="C432" s="1"/>
      <c r="D432" s="1"/>
      <c r="E432" s="66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6"/>
      <c r="C433" s="1"/>
      <c r="D433" s="1"/>
      <c r="E433" s="66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6"/>
      <c r="C434" s="1"/>
      <c r="D434" s="1"/>
      <c r="E434" s="66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6"/>
      <c r="C435" s="1"/>
      <c r="D435" s="1"/>
      <c r="E435" s="66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6"/>
      <c r="C436" s="1"/>
      <c r="D436" s="1"/>
      <c r="E436" s="66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6"/>
      <c r="C437" s="1"/>
      <c r="D437" s="1"/>
      <c r="E437" s="66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6"/>
      <c r="C438" s="1"/>
      <c r="D438" s="1"/>
      <c r="E438" s="66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6"/>
      <c r="C439" s="1"/>
      <c r="D439" s="1"/>
      <c r="E439" s="66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6"/>
      <c r="C440" s="1"/>
      <c r="D440" s="1"/>
      <c r="E440" s="66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6"/>
      <c r="C441" s="1"/>
      <c r="D441" s="1"/>
      <c r="E441" s="66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6"/>
      <c r="C442" s="1"/>
      <c r="D442" s="1"/>
      <c r="E442" s="66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6"/>
      <c r="C443" s="1"/>
      <c r="D443" s="1"/>
      <c r="E443" s="66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6"/>
      <c r="C444" s="1"/>
      <c r="D444" s="1"/>
      <c r="E444" s="66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6"/>
      <c r="C445" s="1"/>
      <c r="D445" s="1"/>
      <c r="E445" s="66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6"/>
      <c r="C446" s="1"/>
      <c r="D446" s="1"/>
      <c r="E446" s="66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6"/>
      <c r="C447" s="1"/>
      <c r="D447" s="1"/>
      <c r="E447" s="66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6"/>
      <c r="C448" s="1"/>
      <c r="D448" s="1"/>
      <c r="E448" s="66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6"/>
      <c r="C449" s="1"/>
      <c r="D449" s="1"/>
      <c r="E449" s="66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6"/>
      <c r="C450" s="1"/>
      <c r="D450" s="1"/>
      <c r="E450" s="66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6"/>
      <c r="C451" s="1"/>
      <c r="D451" s="1"/>
      <c r="E451" s="66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6"/>
      <c r="C452" s="1"/>
      <c r="D452" s="1"/>
      <c r="E452" s="66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6"/>
      <c r="C453" s="1"/>
      <c r="D453" s="1"/>
      <c r="E453" s="66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6"/>
      <c r="C454" s="1"/>
      <c r="D454" s="1"/>
      <c r="E454" s="66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6"/>
      <c r="C455" s="1"/>
      <c r="D455" s="1"/>
      <c r="E455" s="66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6"/>
      <c r="C456" s="1"/>
      <c r="D456" s="1"/>
      <c r="E456" s="66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6"/>
      <c r="C457" s="1"/>
      <c r="D457" s="1"/>
      <c r="E457" s="66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6"/>
      <c r="C458" s="1"/>
      <c r="D458" s="1"/>
      <c r="E458" s="66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6"/>
      <c r="C459" s="1"/>
      <c r="D459" s="1"/>
      <c r="E459" s="66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6"/>
      <c r="C460" s="1"/>
      <c r="D460" s="1"/>
      <c r="E460" s="66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6"/>
      <c r="C461" s="1"/>
      <c r="D461" s="1"/>
      <c r="E461" s="66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6"/>
      <c r="C462" s="1"/>
      <c r="D462" s="1"/>
      <c r="E462" s="66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6"/>
      <c r="C463" s="1"/>
      <c r="D463" s="1"/>
      <c r="E463" s="66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6"/>
      <c r="C464" s="1"/>
      <c r="D464" s="1"/>
      <c r="E464" s="66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6"/>
      <c r="C465" s="1"/>
      <c r="D465" s="1"/>
      <c r="E465" s="66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6"/>
      <c r="C466" s="1"/>
      <c r="D466" s="1"/>
      <c r="E466" s="66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6"/>
      <c r="C467" s="1"/>
      <c r="D467" s="1"/>
      <c r="E467" s="66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6"/>
      <c r="C468" s="1"/>
      <c r="D468" s="1"/>
      <c r="E468" s="66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6"/>
      <c r="C469" s="1"/>
      <c r="D469" s="1"/>
      <c r="E469" s="66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6"/>
      <c r="C470" s="1"/>
      <c r="D470" s="1"/>
      <c r="E470" s="66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6"/>
      <c r="C471" s="1"/>
      <c r="D471" s="1"/>
      <c r="E471" s="66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6"/>
      <c r="C472" s="1"/>
      <c r="D472" s="1"/>
      <c r="E472" s="66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6"/>
      <c r="C473" s="1"/>
      <c r="D473" s="1"/>
      <c r="E473" s="66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6"/>
      <c r="C474" s="1"/>
      <c r="D474" s="1"/>
      <c r="E474" s="66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6"/>
      <c r="C475" s="1"/>
      <c r="D475" s="1"/>
      <c r="E475" s="66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6"/>
      <c r="C476" s="1"/>
      <c r="D476" s="1"/>
      <c r="E476" s="66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6"/>
      <c r="C477" s="1"/>
      <c r="D477" s="1"/>
      <c r="E477" s="66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6"/>
      <c r="C478" s="1"/>
      <c r="D478" s="1"/>
      <c r="E478" s="66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6"/>
      <c r="C479" s="1"/>
      <c r="D479" s="1"/>
      <c r="E479" s="66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6"/>
      <c r="C480" s="1"/>
      <c r="D480" s="1"/>
      <c r="E480" s="66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6"/>
      <c r="C481" s="1"/>
      <c r="D481" s="1"/>
      <c r="E481" s="66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6"/>
      <c r="C482" s="1"/>
      <c r="D482" s="1"/>
      <c r="E482" s="66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6"/>
      <c r="C483" s="1"/>
      <c r="D483" s="1"/>
      <c r="E483" s="66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6"/>
      <c r="C484" s="1"/>
      <c r="D484" s="1"/>
      <c r="E484" s="66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6"/>
      <c r="C485" s="1"/>
      <c r="D485" s="1"/>
      <c r="E485" s="66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6"/>
      <c r="C486" s="1"/>
      <c r="D486" s="1"/>
      <c r="E486" s="66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6"/>
      <c r="C487" s="1"/>
      <c r="D487" s="1"/>
      <c r="E487" s="66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6"/>
      <c r="C488" s="1"/>
      <c r="D488" s="1"/>
      <c r="E488" s="66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6"/>
      <c r="C489" s="1"/>
      <c r="D489" s="1"/>
      <c r="E489" s="66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6"/>
      <c r="C490" s="1"/>
      <c r="D490" s="1"/>
      <c r="E490" s="66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6"/>
      <c r="C491" s="1"/>
      <c r="D491" s="1"/>
      <c r="E491" s="66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6"/>
      <c r="C492" s="1"/>
      <c r="D492" s="1"/>
      <c r="E492" s="66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6"/>
      <c r="C493" s="1"/>
      <c r="D493" s="1"/>
      <c r="E493" s="66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6"/>
      <c r="C494" s="1"/>
      <c r="D494" s="1"/>
      <c r="E494" s="66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6"/>
      <c r="C495" s="1"/>
      <c r="D495" s="1"/>
      <c r="E495" s="66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6"/>
      <c r="C496" s="1"/>
      <c r="D496" s="1"/>
      <c r="E496" s="66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6"/>
      <c r="C497" s="1"/>
      <c r="D497" s="1"/>
      <c r="E497" s="66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6"/>
      <c r="C498" s="1"/>
      <c r="D498" s="1"/>
      <c r="E498" s="66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6"/>
      <c r="C499" s="1"/>
      <c r="D499" s="1"/>
      <c r="E499" s="66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6"/>
      <c r="C500" s="1"/>
      <c r="D500" s="1"/>
      <c r="E500" s="66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6"/>
      <c r="C501" s="1"/>
      <c r="D501" s="1"/>
      <c r="E501" s="66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6"/>
      <c r="C502" s="1"/>
      <c r="D502" s="1"/>
      <c r="E502" s="66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6"/>
      <c r="C503" s="1"/>
      <c r="D503" s="1"/>
      <c r="E503" s="66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6"/>
      <c r="C504" s="1"/>
      <c r="D504" s="1"/>
      <c r="E504" s="66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6"/>
      <c r="C505" s="1"/>
      <c r="D505" s="1"/>
      <c r="E505" s="66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6"/>
      <c r="C506" s="1"/>
      <c r="D506" s="1"/>
      <c r="E506" s="66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6"/>
      <c r="C507" s="1"/>
      <c r="D507" s="1"/>
      <c r="E507" s="66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6"/>
      <c r="C508" s="1"/>
      <c r="D508" s="1"/>
      <c r="E508" s="66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6"/>
      <c r="C509" s="1"/>
      <c r="D509" s="1"/>
      <c r="E509" s="66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6"/>
      <c r="C510" s="1"/>
      <c r="D510" s="1"/>
      <c r="E510" s="66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6"/>
      <c r="C511" s="1"/>
      <c r="D511" s="1"/>
      <c r="E511" s="66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6"/>
      <c r="C512" s="1"/>
      <c r="D512" s="1"/>
      <c r="E512" s="66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6"/>
      <c r="C513" s="1"/>
      <c r="D513" s="1"/>
      <c r="E513" s="66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6"/>
      <c r="C514" s="1"/>
      <c r="D514" s="1"/>
      <c r="E514" s="66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6"/>
      <c r="C515" s="1"/>
      <c r="D515" s="1"/>
      <c r="E515" s="66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6"/>
      <c r="C516" s="1"/>
      <c r="D516" s="1"/>
      <c r="E516" s="66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6"/>
      <c r="C517" s="1"/>
      <c r="D517" s="1"/>
      <c r="E517" s="66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6"/>
      <c r="C518" s="1"/>
      <c r="D518" s="1"/>
      <c r="E518" s="66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6"/>
      <c r="C519" s="1"/>
      <c r="D519" s="1"/>
      <c r="E519" s="66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6"/>
      <c r="C520" s="1"/>
      <c r="D520" s="1"/>
      <c r="E520" s="66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6"/>
      <c r="C521" s="1"/>
      <c r="D521" s="1"/>
      <c r="E521" s="66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6"/>
      <c r="C522" s="1"/>
      <c r="D522" s="1"/>
      <c r="E522" s="66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6"/>
      <c r="C523" s="1"/>
      <c r="D523" s="1"/>
      <c r="E523" s="66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6"/>
      <c r="C524" s="1"/>
      <c r="D524" s="1"/>
      <c r="E524" s="66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6"/>
      <c r="C525" s="1"/>
      <c r="D525" s="1"/>
      <c r="E525" s="66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6"/>
      <c r="C526" s="1"/>
      <c r="D526" s="1"/>
      <c r="E526" s="66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6"/>
      <c r="C527" s="1"/>
      <c r="D527" s="1"/>
      <c r="E527" s="66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6"/>
      <c r="C528" s="1"/>
      <c r="D528" s="1"/>
      <c r="E528" s="66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6"/>
      <c r="C529" s="1"/>
      <c r="D529" s="1"/>
      <c r="E529" s="66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6"/>
      <c r="C530" s="1"/>
      <c r="D530" s="1"/>
      <c r="E530" s="66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6"/>
      <c r="C531" s="1"/>
      <c r="D531" s="1"/>
      <c r="E531" s="66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6"/>
      <c r="C532" s="1"/>
      <c r="D532" s="1"/>
      <c r="E532" s="66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6"/>
      <c r="C533" s="1"/>
      <c r="D533" s="1"/>
      <c r="E533" s="66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6"/>
      <c r="C534" s="1"/>
      <c r="D534" s="1"/>
      <c r="E534" s="66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6"/>
      <c r="C535" s="1"/>
      <c r="D535" s="1"/>
      <c r="E535" s="66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6"/>
      <c r="C536" s="1"/>
      <c r="D536" s="1"/>
      <c r="E536" s="66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6"/>
      <c r="C537" s="1"/>
      <c r="D537" s="1"/>
      <c r="E537" s="66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6"/>
      <c r="C538" s="1"/>
      <c r="D538" s="1"/>
      <c r="E538" s="66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6"/>
      <c r="C539" s="1"/>
      <c r="D539" s="1"/>
      <c r="E539" s="66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6"/>
      <c r="C540" s="1"/>
      <c r="D540" s="1"/>
      <c r="E540" s="66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6"/>
      <c r="C541" s="1"/>
      <c r="D541" s="1"/>
      <c r="E541" s="66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6"/>
      <c r="C542" s="1"/>
      <c r="D542" s="1"/>
      <c r="E542" s="66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6"/>
      <c r="C543" s="1"/>
      <c r="D543" s="1"/>
      <c r="E543" s="66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6"/>
      <c r="C544" s="1"/>
      <c r="D544" s="1"/>
      <c r="E544" s="66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6"/>
      <c r="C545" s="1"/>
      <c r="D545" s="1"/>
      <c r="E545" s="66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6"/>
      <c r="C546" s="1"/>
      <c r="D546" s="1"/>
      <c r="E546" s="66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6"/>
      <c r="C547" s="1"/>
      <c r="D547" s="1"/>
      <c r="E547" s="66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6"/>
      <c r="C548" s="1"/>
      <c r="D548" s="1"/>
      <c r="E548" s="66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6"/>
      <c r="C549" s="1"/>
      <c r="D549" s="1"/>
      <c r="E549" s="66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6"/>
      <c r="C550" s="1"/>
      <c r="D550" s="1"/>
      <c r="E550" s="66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6"/>
      <c r="C551" s="1"/>
      <c r="D551" s="1"/>
      <c r="E551" s="66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6"/>
      <c r="C552" s="1"/>
      <c r="D552" s="1"/>
      <c r="E552" s="66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6"/>
      <c r="C553" s="1"/>
      <c r="D553" s="1"/>
      <c r="E553" s="66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6"/>
      <c r="C554" s="1"/>
      <c r="D554" s="1"/>
      <c r="E554" s="66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6"/>
      <c r="C555" s="1"/>
      <c r="D555" s="1"/>
      <c r="E555" s="66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6"/>
      <c r="C556" s="1"/>
      <c r="D556" s="1"/>
      <c r="E556" s="66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6"/>
      <c r="C557" s="1"/>
      <c r="D557" s="1"/>
      <c r="E557" s="66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6"/>
      <c r="C558" s="1"/>
      <c r="D558" s="1"/>
      <c r="E558" s="66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6"/>
      <c r="C559" s="1"/>
      <c r="D559" s="1"/>
      <c r="E559" s="66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6"/>
      <c r="C560" s="1"/>
      <c r="D560" s="1"/>
      <c r="E560" s="66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6"/>
      <c r="C561" s="1"/>
      <c r="D561" s="1"/>
      <c r="E561" s="66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6"/>
      <c r="C562" s="1"/>
      <c r="D562" s="1"/>
      <c r="E562" s="66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6"/>
      <c r="C563" s="1"/>
      <c r="D563" s="1"/>
      <c r="E563" s="66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6"/>
      <c r="C564" s="1"/>
      <c r="D564" s="1"/>
      <c r="E564" s="66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6"/>
      <c r="C565" s="1"/>
      <c r="D565" s="1"/>
      <c r="E565" s="66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6"/>
      <c r="C566" s="1"/>
      <c r="D566" s="1"/>
      <c r="E566" s="66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6"/>
      <c r="C567" s="1"/>
      <c r="D567" s="1"/>
      <c r="E567" s="66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6"/>
      <c r="C568" s="1"/>
      <c r="D568" s="1"/>
      <c r="E568" s="66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6"/>
      <c r="C569" s="1"/>
      <c r="D569" s="1"/>
      <c r="E569" s="66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6"/>
      <c r="C570" s="1"/>
      <c r="D570" s="1"/>
      <c r="E570" s="66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6"/>
      <c r="C571" s="1"/>
      <c r="D571" s="1"/>
      <c r="E571" s="66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6"/>
      <c r="C572" s="1"/>
      <c r="D572" s="1"/>
      <c r="E572" s="66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6"/>
      <c r="C573" s="1"/>
      <c r="D573" s="1"/>
      <c r="E573" s="66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6"/>
      <c r="C574" s="1"/>
      <c r="D574" s="1"/>
      <c r="E574" s="66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6"/>
      <c r="C575" s="1"/>
      <c r="D575" s="1"/>
      <c r="E575" s="66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6"/>
      <c r="C576" s="1"/>
      <c r="D576" s="1"/>
      <c r="E576" s="66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6"/>
      <c r="C577" s="1"/>
      <c r="D577" s="1"/>
      <c r="E577" s="66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6"/>
      <c r="C578" s="1"/>
      <c r="D578" s="1"/>
      <c r="E578" s="66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6"/>
      <c r="C579" s="1"/>
      <c r="D579" s="1"/>
      <c r="E579" s="66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6"/>
      <c r="C580" s="1"/>
      <c r="D580" s="1"/>
      <c r="E580" s="66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6"/>
      <c r="C581" s="1"/>
      <c r="D581" s="1"/>
      <c r="E581" s="66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6"/>
      <c r="C582" s="1"/>
      <c r="D582" s="1"/>
      <c r="E582" s="66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6"/>
      <c r="C583" s="1"/>
      <c r="D583" s="1"/>
      <c r="E583" s="66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6"/>
      <c r="C584" s="1"/>
      <c r="D584" s="1"/>
      <c r="E584" s="66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6"/>
      <c r="C585" s="1"/>
      <c r="D585" s="1"/>
      <c r="E585" s="66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6"/>
      <c r="C586" s="1"/>
      <c r="D586" s="1"/>
      <c r="E586" s="66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6"/>
      <c r="C587" s="1"/>
      <c r="D587" s="1"/>
      <c r="E587" s="66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6"/>
      <c r="C588" s="1"/>
      <c r="D588" s="1"/>
      <c r="E588" s="66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6"/>
      <c r="C589" s="1"/>
      <c r="D589" s="1"/>
      <c r="E589" s="66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6"/>
      <c r="C590" s="1"/>
      <c r="D590" s="1"/>
      <c r="E590" s="66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6"/>
      <c r="C591" s="1"/>
      <c r="D591" s="1"/>
      <c r="E591" s="66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6"/>
      <c r="C592" s="1"/>
      <c r="D592" s="1"/>
      <c r="E592" s="66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6"/>
      <c r="C593" s="1"/>
      <c r="D593" s="1"/>
      <c r="E593" s="66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6"/>
      <c r="C594" s="1"/>
      <c r="D594" s="1"/>
      <c r="E594" s="66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6"/>
      <c r="C595" s="1"/>
      <c r="D595" s="1"/>
      <c r="E595" s="66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6"/>
      <c r="C596" s="1"/>
      <c r="D596" s="1"/>
      <c r="E596" s="66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6"/>
      <c r="C597" s="1"/>
      <c r="D597" s="1"/>
      <c r="E597" s="66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6"/>
      <c r="C598" s="1"/>
      <c r="D598" s="1"/>
      <c r="E598" s="66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6"/>
      <c r="C599" s="1"/>
      <c r="D599" s="1"/>
      <c r="E599" s="66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6"/>
      <c r="C600" s="1"/>
      <c r="D600" s="1"/>
      <c r="E600" s="66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6"/>
      <c r="C601" s="1"/>
      <c r="D601" s="1"/>
      <c r="E601" s="66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6"/>
      <c r="C602" s="1"/>
      <c r="D602" s="1"/>
      <c r="E602" s="66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6"/>
      <c r="C603" s="1"/>
      <c r="D603" s="1"/>
      <c r="E603" s="66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6"/>
      <c r="C604" s="1"/>
      <c r="D604" s="1"/>
      <c r="E604" s="66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6"/>
      <c r="C605" s="1"/>
      <c r="D605" s="1"/>
      <c r="E605" s="66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6"/>
      <c r="C606" s="1"/>
      <c r="D606" s="1"/>
      <c r="E606" s="66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6"/>
      <c r="C607" s="1"/>
      <c r="D607" s="1"/>
      <c r="E607" s="66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6"/>
      <c r="C608" s="1"/>
      <c r="D608" s="1"/>
      <c r="E608" s="66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6"/>
      <c r="C609" s="1"/>
      <c r="D609" s="1"/>
      <c r="E609" s="66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6"/>
      <c r="C610" s="1"/>
      <c r="D610" s="1"/>
      <c r="E610" s="66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6"/>
      <c r="C611" s="1"/>
      <c r="D611" s="1"/>
      <c r="E611" s="66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6"/>
      <c r="C612" s="1"/>
      <c r="D612" s="1"/>
      <c r="E612" s="66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6"/>
      <c r="C613" s="1"/>
      <c r="D613" s="1"/>
      <c r="E613" s="66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6"/>
      <c r="C614" s="1"/>
      <c r="D614" s="1"/>
      <c r="E614" s="66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6"/>
      <c r="C615" s="1"/>
      <c r="D615" s="1"/>
      <c r="E615" s="66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6"/>
      <c r="C616" s="1"/>
      <c r="D616" s="1"/>
      <c r="E616" s="66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6"/>
      <c r="C617" s="1"/>
      <c r="D617" s="1"/>
      <c r="E617" s="66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6"/>
      <c r="C618" s="1"/>
      <c r="D618" s="1"/>
      <c r="E618" s="66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6"/>
      <c r="C619" s="1"/>
      <c r="D619" s="1"/>
      <c r="E619" s="66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6"/>
      <c r="C620" s="1"/>
      <c r="D620" s="1"/>
      <c r="E620" s="66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6"/>
      <c r="C621" s="1"/>
      <c r="D621" s="1"/>
      <c r="E621" s="66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6"/>
      <c r="C622" s="1"/>
      <c r="D622" s="1"/>
      <c r="E622" s="66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6"/>
      <c r="C623" s="1"/>
      <c r="D623" s="1"/>
      <c r="E623" s="66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6"/>
      <c r="C624" s="1"/>
      <c r="D624" s="1"/>
      <c r="E624" s="66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6"/>
      <c r="C625" s="1"/>
      <c r="D625" s="1"/>
      <c r="E625" s="66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6"/>
      <c r="C626" s="1"/>
      <c r="D626" s="1"/>
      <c r="E626" s="66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6"/>
      <c r="C627" s="1"/>
      <c r="D627" s="1"/>
      <c r="E627" s="66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6"/>
      <c r="C628" s="1"/>
      <c r="D628" s="1"/>
      <c r="E628" s="66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6"/>
      <c r="C629" s="1"/>
      <c r="D629" s="1"/>
      <c r="E629" s="66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6"/>
      <c r="C630" s="1"/>
      <c r="D630" s="1"/>
      <c r="E630" s="66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6"/>
      <c r="C631" s="1"/>
      <c r="D631" s="1"/>
      <c r="E631" s="66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6"/>
      <c r="C632" s="1"/>
      <c r="D632" s="1"/>
      <c r="E632" s="66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6"/>
      <c r="C633" s="1"/>
      <c r="D633" s="1"/>
      <c r="E633" s="66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6"/>
      <c r="C634" s="1"/>
      <c r="D634" s="1"/>
      <c r="E634" s="66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6"/>
      <c r="C635" s="1"/>
      <c r="D635" s="1"/>
      <c r="E635" s="66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6"/>
      <c r="C636" s="1"/>
      <c r="D636" s="1"/>
      <c r="E636" s="66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6"/>
      <c r="C637" s="1"/>
      <c r="D637" s="1"/>
      <c r="E637" s="66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6"/>
      <c r="C638" s="1"/>
      <c r="D638" s="1"/>
      <c r="E638" s="66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6"/>
      <c r="C639" s="1"/>
      <c r="D639" s="1"/>
      <c r="E639" s="66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6"/>
      <c r="C640" s="1"/>
      <c r="D640" s="1"/>
      <c r="E640" s="66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6"/>
      <c r="C641" s="1"/>
      <c r="D641" s="1"/>
      <c r="E641" s="66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6"/>
      <c r="C642" s="1"/>
      <c r="D642" s="1"/>
      <c r="E642" s="66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6"/>
      <c r="C643" s="1"/>
      <c r="D643" s="1"/>
      <c r="E643" s="66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6"/>
      <c r="C644" s="1"/>
      <c r="D644" s="1"/>
      <c r="E644" s="66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6"/>
      <c r="C645" s="1"/>
      <c r="D645" s="1"/>
      <c r="E645" s="66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6"/>
      <c r="C646" s="1"/>
      <c r="D646" s="1"/>
      <c r="E646" s="66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6"/>
      <c r="C647" s="1"/>
      <c r="D647" s="1"/>
      <c r="E647" s="66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6"/>
      <c r="C648" s="1"/>
      <c r="D648" s="1"/>
      <c r="E648" s="66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6"/>
      <c r="C649" s="1"/>
      <c r="D649" s="1"/>
      <c r="E649" s="66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6"/>
      <c r="C650" s="1"/>
      <c r="D650" s="1"/>
      <c r="E650" s="66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6"/>
      <c r="C651" s="1"/>
      <c r="D651" s="1"/>
      <c r="E651" s="66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6"/>
      <c r="C652" s="1"/>
      <c r="D652" s="1"/>
      <c r="E652" s="66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6"/>
      <c r="C653" s="1"/>
      <c r="D653" s="1"/>
      <c r="E653" s="66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6"/>
      <c r="C654" s="1"/>
      <c r="D654" s="1"/>
      <c r="E654" s="66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6"/>
      <c r="C655" s="1"/>
      <c r="D655" s="1"/>
      <c r="E655" s="66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6"/>
      <c r="C656" s="1"/>
      <c r="D656" s="1"/>
      <c r="E656" s="66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6"/>
      <c r="C657" s="1"/>
      <c r="D657" s="1"/>
      <c r="E657" s="66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6"/>
      <c r="C658" s="1"/>
      <c r="D658" s="1"/>
      <c r="E658" s="66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6"/>
      <c r="C659" s="1"/>
      <c r="D659" s="1"/>
      <c r="E659" s="66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6"/>
      <c r="C660" s="1"/>
      <c r="D660" s="1"/>
      <c r="E660" s="66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6"/>
      <c r="C661" s="1"/>
      <c r="D661" s="1"/>
      <c r="E661" s="66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6"/>
      <c r="C662" s="1"/>
      <c r="D662" s="1"/>
      <c r="E662" s="66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6"/>
      <c r="C663" s="1"/>
      <c r="D663" s="1"/>
      <c r="E663" s="66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6"/>
      <c r="C664" s="1"/>
      <c r="D664" s="1"/>
      <c r="E664" s="66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6"/>
      <c r="C665" s="1"/>
      <c r="D665" s="1"/>
      <c r="E665" s="66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6"/>
      <c r="C666" s="1"/>
      <c r="D666" s="1"/>
      <c r="E666" s="66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6"/>
      <c r="C667" s="1"/>
      <c r="D667" s="1"/>
      <c r="E667" s="66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6"/>
      <c r="C668" s="1"/>
      <c r="D668" s="1"/>
      <c r="E668" s="66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6"/>
      <c r="C669" s="1"/>
      <c r="D669" s="1"/>
      <c r="E669" s="66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6"/>
      <c r="C670" s="1"/>
      <c r="D670" s="1"/>
      <c r="E670" s="66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6"/>
      <c r="C671" s="1"/>
      <c r="D671" s="1"/>
      <c r="E671" s="66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6"/>
      <c r="C672" s="1"/>
      <c r="D672" s="1"/>
      <c r="E672" s="66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6"/>
      <c r="C673" s="1"/>
      <c r="D673" s="1"/>
      <c r="E673" s="66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6"/>
      <c r="C674" s="1"/>
      <c r="D674" s="1"/>
      <c r="E674" s="66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6"/>
      <c r="C675" s="1"/>
      <c r="D675" s="1"/>
      <c r="E675" s="66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6"/>
      <c r="C676" s="1"/>
      <c r="D676" s="1"/>
      <c r="E676" s="66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6"/>
      <c r="C677" s="1"/>
      <c r="D677" s="1"/>
      <c r="E677" s="66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6"/>
      <c r="C678" s="1"/>
      <c r="D678" s="1"/>
      <c r="E678" s="66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6"/>
      <c r="C679" s="1"/>
      <c r="D679" s="1"/>
      <c r="E679" s="66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6"/>
      <c r="C680" s="1"/>
      <c r="D680" s="1"/>
      <c r="E680" s="66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6"/>
      <c r="C681" s="1"/>
      <c r="D681" s="1"/>
      <c r="E681" s="66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6"/>
      <c r="C682" s="1"/>
      <c r="D682" s="1"/>
      <c r="E682" s="66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6"/>
      <c r="C683" s="1"/>
      <c r="D683" s="1"/>
      <c r="E683" s="66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6"/>
      <c r="C684" s="1"/>
      <c r="D684" s="1"/>
      <c r="E684" s="66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6"/>
      <c r="C685" s="1"/>
      <c r="D685" s="1"/>
      <c r="E685" s="66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6"/>
      <c r="C686" s="1"/>
      <c r="D686" s="1"/>
      <c r="E686" s="66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6"/>
      <c r="C687" s="1"/>
      <c r="D687" s="1"/>
      <c r="E687" s="66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6"/>
      <c r="C688" s="1"/>
      <c r="D688" s="1"/>
      <c r="E688" s="66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6"/>
      <c r="C689" s="1"/>
      <c r="D689" s="1"/>
      <c r="E689" s="66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6"/>
      <c r="C690" s="1"/>
      <c r="D690" s="1"/>
      <c r="E690" s="66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6"/>
      <c r="C691" s="1"/>
      <c r="D691" s="1"/>
      <c r="E691" s="66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6"/>
      <c r="C692" s="1"/>
      <c r="D692" s="1"/>
      <c r="E692" s="66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6"/>
      <c r="C693" s="1"/>
      <c r="D693" s="1"/>
      <c r="E693" s="66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6"/>
      <c r="C694" s="1"/>
      <c r="D694" s="1"/>
      <c r="E694" s="66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6"/>
      <c r="C695" s="1"/>
      <c r="D695" s="1"/>
      <c r="E695" s="66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6"/>
      <c r="C696" s="1"/>
      <c r="D696" s="1"/>
      <c r="E696" s="66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6"/>
      <c r="C697" s="1"/>
      <c r="D697" s="1"/>
      <c r="E697" s="66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6"/>
      <c r="C698" s="1"/>
      <c r="D698" s="1"/>
      <c r="E698" s="66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6"/>
      <c r="C699" s="1"/>
      <c r="D699" s="1"/>
      <c r="E699" s="66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6"/>
      <c r="C700" s="1"/>
      <c r="D700" s="1"/>
      <c r="E700" s="66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6"/>
      <c r="C701" s="1"/>
      <c r="D701" s="1"/>
      <c r="E701" s="66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6"/>
      <c r="C702" s="1"/>
      <c r="D702" s="1"/>
      <c r="E702" s="66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6"/>
      <c r="C703" s="1"/>
      <c r="D703" s="1"/>
      <c r="E703" s="66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6"/>
      <c r="C704" s="1"/>
      <c r="D704" s="1"/>
      <c r="E704" s="66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6"/>
      <c r="C705" s="1"/>
      <c r="D705" s="1"/>
      <c r="E705" s="66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6"/>
      <c r="C706" s="1"/>
      <c r="D706" s="1"/>
      <c r="E706" s="66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6"/>
      <c r="C707" s="1"/>
      <c r="D707" s="1"/>
      <c r="E707" s="66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6"/>
      <c r="C708" s="1"/>
      <c r="D708" s="1"/>
      <c r="E708" s="66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6"/>
      <c r="C709" s="1"/>
      <c r="D709" s="1"/>
      <c r="E709" s="66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6"/>
      <c r="C710" s="1"/>
      <c r="D710" s="1"/>
      <c r="E710" s="66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6"/>
      <c r="C711" s="1"/>
      <c r="D711" s="1"/>
      <c r="E711" s="66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6"/>
      <c r="C712" s="1"/>
      <c r="D712" s="1"/>
      <c r="E712" s="66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6"/>
      <c r="C713" s="1"/>
      <c r="D713" s="1"/>
      <c r="E713" s="66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6"/>
      <c r="C714" s="1"/>
      <c r="D714" s="1"/>
      <c r="E714" s="66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6"/>
      <c r="C715" s="1"/>
      <c r="D715" s="1"/>
      <c r="E715" s="66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6"/>
      <c r="C716" s="1"/>
      <c r="D716" s="1"/>
      <c r="E716" s="66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6"/>
      <c r="C717" s="1"/>
      <c r="D717" s="1"/>
      <c r="E717" s="66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6"/>
      <c r="C718" s="1"/>
      <c r="D718" s="1"/>
      <c r="E718" s="66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6"/>
      <c r="C719" s="1"/>
      <c r="D719" s="1"/>
      <c r="E719" s="66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6"/>
      <c r="C720" s="1"/>
      <c r="D720" s="1"/>
      <c r="E720" s="66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6"/>
      <c r="C721" s="1"/>
      <c r="D721" s="1"/>
      <c r="E721" s="66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6"/>
      <c r="C722" s="1"/>
      <c r="D722" s="1"/>
      <c r="E722" s="66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6"/>
      <c r="C723" s="1"/>
      <c r="D723" s="1"/>
      <c r="E723" s="66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6"/>
      <c r="C724" s="1"/>
      <c r="D724" s="1"/>
      <c r="E724" s="66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6"/>
      <c r="C725" s="1"/>
      <c r="D725" s="1"/>
      <c r="E725" s="66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6"/>
      <c r="C726" s="1"/>
      <c r="D726" s="1"/>
      <c r="E726" s="66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6"/>
      <c r="C727" s="1"/>
      <c r="D727" s="1"/>
      <c r="E727" s="66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6"/>
      <c r="C728" s="1"/>
      <c r="D728" s="1"/>
      <c r="E728" s="66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6"/>
      <c r="C729" s="1"/>
      <c r="D729" s="1"/>
      <c r="E729" s="66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6"/>
      <c r="C730" s="1"/>
      <c r="D730" s="1"/>
      <c r="E730" s="66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6"/>
      <c r="C731" s="1"/>
      <c r="D731" s="1"/>
      <c r="E731" s="66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6"/>
      <c r="C732" s="1"/>
      <c r="D732" s="1"/>
      <c r="E732" s="66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6"/>
      <c r="C733" s="1"/>
      <c r="D733" s="1"/>
      <c r="E733" s="66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6"/>
      <c r="C734" s="1"/>
      <c r="D734" s="1"/>
      <c r="E734" s="66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6"/>
      <c r="C735" s="1"/>
      <c r="D735" s="1"/>
      <c r="E735" s="66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6"/>
      <c r="C736" s="1"/>
      <c r="D736" s="1"/>
      <c r="E736" s="66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6"/>
      <c r="C737" s="1"/>
      <c r="D737" s="1"/>
      <c r="E737" s="66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6"/>
      <c r="C738" s="1"/>
      <c r="D738" s="1"/>
      <c r="E738" s="66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6"/>
      <c r="C739" s="1"/>
      <c r="D739" s="1"/>
      <c r="E739" s="66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6"/>
      <c r="C740" s="1"/>
      <c r="D740" s="1"/>
      <c r="E740" s="66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6"/>
      <c r="C741" s="1"/>
      <c r="D741" s="1"/>
      <c r="E741" s="66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6"/>
      <c r="C742" s="1"/>
      <c r="D742" s="1"/>
      <c r="E742" s="66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6"/>
      <c r="C743" s="1"/>
      <c r="D743" s="1"/>
      <c r="E743" s="66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6"/>
      <c r="C744" s="1"/>
      <c r="D744" s="1"/>
      <c r="E744" s="66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6"/>
      <c r="C745" s="1"/>
      <c r="D745" s="1"/>
      <c r="E745" s="66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6"/>
      <c r="C746" s="1"/>
      <c r="D746" s="1"/>
      <c r="E746" s="66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6"/>
      <c r="C747" s="1"/>
      <c r="D747" s="1"/>
      <c r="E747" s="66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6"/>
      <c r="C748" s="1"/>
      <c r="D748" s="1"/>
      <c r="E748" s="66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6"/>
      <c r="C749" s="1"/>
      <c r="D749" s="1"/>
      <c r="E749" s="66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</sheetData>
  <conditionalFormatting sqref="B13:B331 C13:H330 I13:I331 J13:L330">
    <cfRule type="expression" dxfId="5" priority="1">
      <formula>$K13="COMPRADO"</formula>
    </cfRule>
  </conditionalFormatting>
  <conditionalFormatting sqref="B13:B331 C13:H330 I13:I331 J13:L330">
    <cfRule type="expression" dxfId="6" priority="2">
      <formula>$K13="ENTREGUE"</formula>
    </cfRule>
  </conditionalFormatting>
  <conditionalFormatting sqref="B13:B331 C13:H330 I13:I331 J13:L330">
    <cfRule type="expression" dxfId="7" priority="3">
      <formula>$K13="A COMPRAR"</formula>
    </cfRule>
  </conditionalFormatting>
  <conditionalFormatting sqref="B13:B331 C13:H330 I13:I331 J13:L330">
    <cfRule type="expression" dxfId="8" priority="4">
      <formula>$K13="WAREHOUSE"</formula>
    </cfRule>
  </conditionalFormatting>
  <conditionalFormatting sqref="B13:B331 C13:H330 I13:I331 J13:L330">
    <cfRule type="expression" dxfId="9" priority="5">
      <formula>$K13="TROCA"</formula>
    </cfRule>
  </conditionalFormatting>
  <conditionalFormatting sqref="B13:B331 C13:H330 I13:I331 J13:L330">
    <cfRule type="expression" dxfId="10" priority="6">
      <formula>$K13="RECOMPRA"</formula>
    </cfRule>
  </conditionalFormatting>
  <dataValidations>
    <dataValidation type="list" allowBlank="1" sqref="E13:E330">
      <formula1>"CONSTRUÇÃO,MÃO DE OBRA,PRODUTOS,MÓVEIS,EXTRAS,FIXOS,PACOTES TEMATICOS,TERCEIROS/PACOTES,MARCENARIA,COMISSÃO,DECORAÇÃO,CORTINA,PAPEL DE PAREDE,VIDRO,PVC,FOTOGRÁFO,LIMPEZA,AR CONDICIONADO,CAFÉ,COLCHÃO/VANDERLEI,MERCADO,TELÃO"</formula1>
    </dataValidation>
    <dataValidation type="custom" allowBlank="1" showDropDown="1" sqref="L13:L330">
      <formula1>AND(ISNUMBER(L13),(NOT(OR(NOT(ISERROR(DATEVALUE(L13))), AND(ISNUMBER(L13), LEFT(CELL("format", L13))="D")))))</formula1>
    </dataValidation>
    <dataValidation type="custom" allowBlank="1" showDropDown="1" sqref="G13:J330">
      <formula1>AND(ISNUMBER(G13),(NOT(OR(NOT(ISERROR(DATEVALUE(G13))), AND(ISNUMBER(G13), LEFT(CELL("format", G13))="D")))))</formula1>
    </dataValidation>
    <dataValidation type="list" allowBlank="1" showErrorMessage="1" sqref="K13:K330">
      <formula1>"COMPRADO,ENTREGUE,A COMPRAR,WAREHOUSE,TROCA,RECOMPRA"</formula1>
    </dataValidation>
  </dataValidations>
  <hyperlinks>
    <hyperlink r:id="rId1" ref="F20"/>
    <hyperlink r:id="rId2" ref="F24"/>
    <hyperlink r:id="rId3" ref="F25"/>
    <hyperlink r:id="rId4" ref="F27"/>
    <hyperlink r:id="rId5" ref="F28"/>
    <hyperlink r:id="rId6" ref="F29"/>
    <hyperlink r:id="rId7" ref="F30"/>
    <hyperlink r:id="rId8" ref="F31"/>
    <hyperlink r:id="rId9" ref="F35"/>
    <hyperlink r:id="rId10" ref="F36"/>
    <hyperlink r:id="rId11" ref="F37"/>
    <hyperlink r:id="rId12" ref="F40"/>
    <hyperlink r:id="rId13" ref="F41"/>
    <hyperlink r:id="rId14" ref="F42"/>
    <hyperlink r:id="rId15" ref="F43"/>
    <hyperlink r:id="rId16" ref="F44"/>
    <hyperlink r:id="rId17" ref="F45"/>
    <hyperlink r:id="rId18" ref="F46"/>
    <hyperlink r:id="rId19" ref="F47"/>
    <hyperlink r:id="rId20" ref="F48"/>
    <hyperlink r:id="rId21" ref="F49"/>
    <hyperlink r:id="rId22" ref="F51"/>
    <hyperlink r:id="rId23" ref="F52"/>
    <hyperlink r:id="rId24" ref="F53"/>
    <hyperlink r:id="rId25" ref="F54"/>
    <hyperlink r:id="rId26" ref="F55"/>
    <hyperlink r:id="rId27" ref="F56"/>
    <hyperlink r:id="rId28" ref="F57"/>
    <hyperlink r:id="rId29" ref="F59"/>
    <hyperlink r:id="rId30" ref="F60"/>
    <hyperlink r:id="rId31" ref="F61"/>
    <hyperlink r:id="rId32" ref="F62"/>
    <hyperlink r:id="rId33" ref="F63"/>
    <hyperlink r:id="rId34" ref="F64"/>
    <hyperlink r:id="rId35" ref="F65"/>
    <hyperlink r:id="rId36" ref="F66"/>
    <hyperlink r:id="rId37" ref="F67"/>
    <hyperlink r:id="rId38" ref="F68"/>
    <hyperlink r:id="rId39" ref="F69"/>
    <hyperlink r:id="rId40" ref="F70"/>
    <hyperlink r:id="rId41" ref="F71"/>
    <hyperlink r:id="rId42" ref="F75"/>
    <hyperlink r:id="rId43" ref="F81"/>
    <hyperlink r:id="rId44" ref="F84"/>
    <hyperlink r:id="rId45" ref="F90"/>
    <hyperlink r:id="rId46" ref="F94"/>
    <hyperlink r:id="rId47" ref="F112"/>
    <hyperlink r:id="rId48" ref="F113"/>
    <hyperlink r:id="rId49" ref="F121"/>
    <hyperlink r:id="rId50" ref="F128"/>
    <hyperlink r:id="rId51" ref="F129"/>
    <hyperlink r:id="rId52" ref="F133"/>
    <hyperlink r:id="rId53" ref="F134"/>
    <hyperlink r:id="rId54" ref="F135"/>
    <hyperlink r:id="rId55" ref="F136"/>
    <hyperlink r:id="rId56" ref="F154"/>
    <hyperlink r:id="rId57" ref="F155"/>
    <hyperlink r:id="rId58" ref="F156"/>
    <hyperlink r:id="rId59" ref="F160"/>
    <hyperlink r:id="rId60" ref="F169"/>
    <hyperlink r:id="rId61" ref="F170"/>
    <hyperlink r:id="rId62" ref="F171"/>
    <hyperlink r:id="rId63" ref="F173"/>
    <hyperlink r:id="rId64" ref="F174"/>
    <hyperlink r:id="rId65" ref="F176"/>
    <hyperlink r:id="rId66" ref="F177"/>
    <hyperlink r:id="rId67" ref="F179"/>
    <hyperlink r:id="rId68" ref="F180"/>
    <hyperlink r:id="rId69" ref="F196"/>
    <hyperlink r:id="rId70" ref="F197"/>
    <hyperlink r:id="rId71" ref="F198"/>
    <hyperlink r:id="rId72" ref="F219"/>
    <hyperlink r:id="rId73" ref="F220"/>
    <hyperlink r:id="rId74" ref="F221"/>
    <hyperlink r:id="rId75" ref="F233"/>
    <hyperlink r:id="rId76" ref="F234"/>
    <hyperlink r:id="rId77" ref="F236"/>
    <hyperlink r:id="rId78" ref="F239"/>
    <hyperlink r:id="rId79" ref="F240"/>
    <hyperlink r:id="rId80" ref="F247"/>
    <hyperlink r:id="rId81" ref="F248"/>
    <hyperlink r:id="rId82" ref="F262"/>
    <hyperlink r:id="rId83" ref="F263"/>
    <hyperlink r:id="rId84" ref="F264"/>
    <hyperlink r:id="rId85" ref="F265"/>
    <hyperlink r:id="rId86" ref="F266"/>
    <hyperlink r:id="rId87" ref="F267"/>
    <hyperlink r:id="rId88" ref="F278"/>
    <hyperlink r:id="rId89" ref="F280"/>
    <hyperlink r:id="rId90" ref="F283"/>
    <hyperlink r:id="rId91" ref="F284"/>
    <hyperlink r:id="rId92" ref="F285"/>
    <hyperlink r:id="rId93" ref="F286"/>
    <hyperlink r:id="rId94" ref="F290"/>
    <hyperlink r:id="rId95" ref="F291"/>
    <hyperlink r:id="rId96" ref="F292"/>
    <hyperlink r:id="rId97" ref="F294"/>
    <hyperlink r:id="rId98" ref="F295"/>
    <hyperlink r:id="rId99" ref="F296"/>
    <hyperlink r:id="rId100" ref="F297"/>
    <hyperlink r:id="rId101" ref="F300"/>
    <hyperlink r:id="rId102" ref="F301"/>
    <hyperlink r:id="rId103" ref="F302"/>
    <hyperlink r:id="rId104" ref="F306"/>
    <hyperlink r:id="rId105" ref="F313"/>
  </hyperlinks>
  <drawing r:id="rId106"/>
  <tableParts count="1">
    <tablePart r:id="rId10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0.0"/>
    <col customWidth="1" min="3" max="3" width="24.0"/>
    <col customWidth="1" min="4" max="4" width="17.5"/>
    <col customWidth="1" min="12" max="12" width="18.0"/>
  </cols>
  <sheetData>
    <row r="1"/>
    <row r="2"/>
    <row r="3"/>
    <row r="4"/>
    <row r="5"/>
    <row r="6"/>
    <row r="7"/>
    <row r="8"/>
    <row r="9"/>
    <row r="10"/>
    <row r="11"/>
    <row r="12">
      <c r="G12" s="69"/>
      <c r="H12" s="69"/>
      <c r="I12" s="70"/>
      <c r="J12" s="69"/>
      <c r="K12" s="69"/>
      <c r="L12" s="69"/>
      <c r="M12" s="69"/>
      <c r="N12" s="69"/>
    </row>
    <row r="13">
      <c r="G13" s="69"/>
      <c r="H13" s="71" t="s">
        <v>371</v>
      </c>
      <c r="I13" s="72"/>
      <c r="J13" s="73"/>
      <c r="K13" s="69"/>
      <c r="L13" s="69"/>
      <c r="M13" s="69"/>
      <c r="N13" s="69"/>
    </row>
    <row r="14">
      <c r="G14" s="69"/>
      <c r="H14" s="74" t="s">
        <v>372</v>
      </c>
      <c r="I14" s="75">
        <v>103955.19</v>
      </c>
      <c r="J14" s="76"/>
      <c r="K14" s="69"/>
      <c r="L14" s="69"/>
      <c r="M14" s="69"/>
      <c r="N14" s="69"/>
    </row>
    <row r="15">
      <c r="G15" s="69"/>
      <c r="H15" s="74" t="s">
        <v>367</v>
      </c>
      <c r="I15" s="75">
        <v>10000.0</v>
      </c>
      <c r="J15" s="76"/>
      <c r="K15" s="69"/>
      <c r="L15" s="69"/>
      <c r="M15" s="69"/>
      <c r="N15" s="69"/>
    </row>
    <row r="16">
      <c r="G16" s="69"/>
      <c r="H16" s="78"/>
      <c r="I16" s="70"/>
      <c r="J16" s="76"/>
      <c r="K16" s="69"/>
      <c r="L16" s="69"/>
      <c r="M16" s="69"/>
      <c r="N16" s="69"/>
    </row>
    <row r="17">
      <c r="G17" s="69"/>
      <c r="H17" s="79" t="s">
        <v>373</v>
      </c>
      <c r="I17" s="80"/>
      <c r="J17" s="81">
        <f>I14</f>
        <v>103955.19</v>
      </c>
      <c r="K17" s="69"/>
      <c r="L17" s="82" t="s">
        <v>374</v>
      </c>
    </row>
    <row r="18">
      <c r="G18" s="69"/>
      <c r="H18" s="83" t="s">
        <v>375</v>
      </c>
      <c r="I18" s="84">
        <v>0.4</v>
      </c>
      <c r="J18" s="81">
        <f>J17*I18</f>
        <v>41582.076</v>
      </c>
      <c r="K18" s="69"/>
    </row>
    <row r="19">
      <c r="G19" s="69"/>
      <c r="H19" s="83" t="s">
        <v>376</v>
      </c>
      <c r="I19" s="84">
        <v>0.1</v>
      </c>
      <c r="J19" s="81">
        <v>10395.519</v>
      </c>
      <c r="K19" s="69"/>
    </row>
    <row r="20">
      <c r="G20" s="69"/>
      <c r="H20" s="83" t="s">
        <v>378</v>
      </c>
      <c r="I20" s="84">
        <v>0.1</v>
      </c>
      <c r="J20" s="81">
        <v>10395.519</v>
      </c>
      <c r="K20" s="69"/>
      <c r="L20" s="69"/>
      <c r="M20" s="69"/>
      <c r="N20" s="69"/>
    </row>
    <row r="21">
      <c r="B21" s="85"/>
      <c r="D21" s="86"/>
      <c r="G21" s="69"/>
      <c r="H21" s="87" t="s">
        <v>379</v>
      </c>
      <c r="I21" s="80"/>
      <c r="J21" s="88">
        <f>SUM(J17:J20)</f>
        <v>166328.304</v>
      </c>
      <c r="K21" s="69"/>
      <c r="L21" s="89" t="s">
        <v>380</v>
      </c>
      <c r="M21" s="90">
        <v>181050.0</v>
      </c>
      <c r="N21" s="69"/>
    </row>
    <row r="22">
      <c r="G22" s="69"/>
      <c r="H22" s="91" t="s">
        <v>381</v>
      </c>
      <c r="I22" s="84">
        <v>0.065</v>
      </c>
      <c r="J22" s="81">
        <f>J21+6.5%*J21</f>
        <v>177139.6438</v>
      </c>
      <c r="K22" s="69"/>
      <c r="L22" s="69"/>
      <c r="M22" s="69"/>
      <c r="N22" s="69"/>
    </row>
    <row r="23">
      <c r="G23" s="69"/>
      <c r="H23" s="78"/>
      <c r="I23" s="70"/>
      <c r="J23" s="81">
        <v>10000.0</v>
      </c>
      <c r="K23" s="69"/>
      <c r="L23" s="69"/>
      <c r="M23" s="69"/>
      <c r="N23" s="69"/>
    </row>
    <row r="24">
      <c r="G24" s="69"/>
      <c r="H24" s="92" t="s">
        <v>382</v>
      </c>
      <c r="I24" s="93"/>
      <c r="J24" s="94">
        <f>J22+J23</f>
        <v>187139.6438</v>
      </c>
      <c r="K24" s="69"/>
      <c r="L24" s="69"/>
      <c r="M24" s="69"/>
      <c r="N24" s="69"/>
    </row>
    <row r="25">
      <c r="C25" s="95" t="s">
        <v>383</v>
      </c>
      <c r="D25" s="96">
        <v>170000.0</v>
      </c>
    </row>
    <row r="26">
      <c r="B26" s="85"/>
      <c r="C26" s="97" t="s">
        <v>384</v>
      </c>
      <c r="D26" s="98">
        <f>D19</f>
        <v>350</v>
      </c>
      <c r="E26" s="77">
        <f>D25-C19</f>
        <v>169500</v>
      </c>
    </row>
    <row r="27">
      <c r="C27" s="99" t="s">
        <v>376</v>
      </c>
      <c r="D27" s="100">
        <v>10395.519</v>
      </c>
      <c r="E27" s="101"/>
    </row>
    <row r="28">
      <c r="C28" s="99" t="s">
        <v>378</v>
      </c>
      <c r="D28" s="100">
        <v>10395.519</v>
      </c>
      <c r="E28" s="101"/>
    </row>
    <row r="29">
      <c r="C29" s="95" t="s">
        <v>385</v>
      </c>
      <c r="D29" s="102">
        <f>D25-D26-D27-D28</f>
        <v>148858.962</v>
      </c>
      <c r="E29" s="101">
        <f>D29/C19</f>
        <v>297.717924</v>
      </c>
    </row>
    <row r="32">
      <c r="C32" s="95" t="s">
        <v>383</v>
      </c>
      <c r="D32" s="96">
        <v>170000.0</v>
      </c>
    </row>
    <row r="33">
      <c r="C33" s="103" t="s">
        <v>386</v>
      </c>
      <c r="D33" s="98">
        <f>C19</f>
        <v>500</v>
      </c>
    </row>
    <row r="34">
      <c r="C34" s="99" t="s">
        <v>376</v>
      </c>
      <c r="D34" s="100">
        <v>10395.519</v>
      </c>
    </row>
    <row r="35">
      <c r="C35" s="99" t="s">
        <v>378</v>
      </c>
      <c r="D35" s="100">
        <v>10395.519</v>
      </c>
    </row>
    <row r="36">
      <c r="C36" s="95" t="s">
        <v>385</v>
      </c>
      <c r="D36" s="102">
        <f>D32-D33-D34-D35</f>
        <v>148708.962</v>
      </c>
      <c r="E36" s="101">
        <f>D36/C19</f>
        <v>297.417924</v>
      </c>
    </row>
  </sheetData>
  <mergeCells count="5">
    <mergeCell ref="H13:I13"/>
    <mergeCell ref="H17:I17"/>
    <mergeCell ref="L17:N19"/>
    <mergeCell ref="H21:I21"/>
    <mergeCell ref="H24:I24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2025-03-19T18:42:01Z</dcterms:created>
  <dc:creator>Appenin Cabinets</dc:creator>
</cp:coreProperties>
</file>