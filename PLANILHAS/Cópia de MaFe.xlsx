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- COMPRAS" sheetId="1" r:id="rId4"/>
    <sheet state="hidden" name="V2" sheetId="2" r:id="rId5"/>
    <sheet state="hidden" name="V1" sheetId="3" r:id="rId6"/>
    <sheet state="visible" name="Valor Marcenaria" sheetId="4" r:id="rId7"/>
  </sheets>
  <definedNames>
    <definedName hidden="1" localSheetId="0" name="_xlnm._FilterDatabase">'V2- COMPRAS'!$B$7:$F$1335</definedName>
    <definedName hidden="1" localSheetId="1" name="_xlnm._FilterDatabase">'V2'!$B$7:$F$1307</definedName>
    <definedName hidden="1" localSheetId="2" name="_xlnm._FilterDatabase">'V1'!$B$7:$F$1301</definedName>
    <definedName hidden="1" localSheetId="0" name="Z_07B0E11D_54A2_4A9E_A53E_42276DBD7B0D_.wvu.FilterData">'V2- COMPRAS'!$A$7:$H$1332</definedName>
    <definedName hidden="1" localSheetId="1" name="Z_07B0E11D_54A2_4A9E_A53E_42276DBD7B0D_.wvu.FilterData">'V2'!$A$7:$H$1304</definedName>
    <definedName hidden="1" localSheetId="2" name="Z_07B0E11D_54A2_4A9E_A53E_42276DBD7B0D_.wvu.FilterData">'V1'!$A$7:$H$1298</definedName>
  </definedNames>
  <calcPr/>
  <customWorkbookViews>
    <customWorkbookView activeSheetId="0" maximized="1" windowHeight="0" windowWidth="0" guid="{07B0E11D-54A2-4A9E-A53E-42276DBD7B0D}" name="Filter 1"/>
  </customWorkbookViews>
  <extLst>
    <ext uri="GoogleSheetsCustomDataVersion2">
      <go:sheetsCustomData xmlns:go="http://customooxmlschemas.google.com/" r:id="rId8" roundtripDataChecksum="CKkkkdH9s6BYsyGve1kR8nKCW3Ga9J0xntt5ryb9/U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5">
      <text>
        <t xml:space="preserve">1,014.55 
ingrid : 997,92 
======</t>
      </text>
    </comment>
    <comment authorId="0" ref="G520">
      <text>
        <t xml:space="preserve">289.20 valor correto com 22%
ingrid : 284,46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2">
      <text>
        <t xml:space="preserve">1,014.55 
ingrid : 997,92 
======</t>
      </text>
    </comment>
    <comment authorId="0" ref="G514">
      <text>
        <t xml:space="preserve">289.20 valor correto com 22%
ingrid : 284,46
======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47">
      <text>
        <t xml:space="preserve">1,014.55 
ingrid : 997,92 
======</t>
      </text>
    </comment>
    <comment authorId="0" ref="G524">
      <text>
        <t xml:space="preserve">289.20 valor correto com 22%
ingrid : 284,46
======</t>
      </text>
    </comment>
  </commentList>
</comments>
</file>

<file path=xl/sharedStrings.xml><?xml version="1.0" encoding="utf-8"?>
<sst xmlns="http://schemas.openxmlformats.org/spreadsheetml/2006/main" count="12138" uniqueCount="1029">
  <si>
    <t>Company</t>
  </si>
  <si>
    <t>Product</t>
  </si>
  <si>
    <t>Category</t>
  </si>
  <si>
    <t>SKU</t>
  </si>
  <si>
    <t>Qty</t>
  </si>
  <si>
    <t>Unit Cost Price</t>
  </si>
  <si>
    <t>Price Cost</t>
  </si>
  <si>
    <t>Budget</t>
  </si>
  <si>
    <t>Actual Cost</t>
  </si>
  <si>
    <t>Comments</t>
  </si>
  <si>
    <t>Order Number</t>
  </si>
  <si>
    <t>Date of Order</t>
  </si>
  <si>
    <t>Backorder until</t>
  </si>
  <si>
    <t>Date on Warehouse</t>
  </si>
  <si>
    <t>Box</t>
  </si>
  <si>
    <t>FOYER</t>
  </si>
  <si>
    <t>Item</t>
  </si>
  <si>
    <t>%</t>
  </si>
  <si>
    <t>Amazon</t>
  </si>
  <si>
    <t>Arandela</t>
  </si>
  <si>
    <t>CONSTRUCAO</t>
  </si>
  <si>
    <t>B0C52V91ZK</t>
  </si>
  <si>
    <t>PRODUTOS</t>
  </si>
  <si>
    <t>Lampada Arandela</t>
  </si>
  <si>
    <t>MAO DE OBRA</t>
  </si>
  <si>
    <t>Instalação Arandela</t>
  </si>
  <si>
    <t>MAO DE OBRA. G</t>
  </si>
  <si>
    <t>Automação</t>
  </si>
  <si>
    <t>B00JJY0S4G</t>
  </si>
  <si>
    <t>Mão de Obra Boserie + pintura</t>
  </si>
  <si>
    <t>EXTRAS</t>
  </si>
  <si>
    <t>Material Boiserie + Pintura</t>
  </si>
  <si>
    <t>MOVEIS</t>
  </si>
  <si>
    <t>Capacho de Porta</t>
  </si>
  <si>
    <t>https://www.amazon.com/PLUS-Haven-Backing-Welcome-Beautiful/dp/B07THN5B78/ref=sr_1_3?crid=1CUP5UCJP874X&amp;dib=eyJ2IjoiMSJ9.lz18oYd6nfRxC3mDGRvEoA.PUp1OF1kBo4kacBLYvJzZ9b7KyNzkQ8Kel1nN27GqiA&amp;dib_tag=se&amp;keywords=B07THN5B78&amp;qid=1743466263&amp;sprefix=b07thn5b78%2Caps%2C173&amp;sr=8-3&amp;th=1</t>
  </si>
  <si>
    <t>HOME</t>
  </si>
  <si>
    <t>Console</t>
  </si>
  <si>
    <t>LOWES</t>
  </si>
  <si>
    <t>TOTAL</t>
  </si>
  <si>
    <t xml:space="preserve">DECOR INGRID </t>
  </si>
  <si>
    <t>Deco</t>
  </si>
  <si>
    <t xml:space="preserve">Espelho </t>
  </si>
  <si>
    <t>https://www.amazon.com/Oversized-Standing-Bedroom-Shatterproof-Tempered/dp/B0F186K1D5/ref=sr_1_1_sspa?crid=2OOYVKXKX85R1&amp;dib=eyJ2IjoiMSJ9.__eqhdstIpBb6JhpCaG-YqX1wDBhGqxClbKJxSweNngsgZ6LoLXQxlUkRhyL11o0OiSAtJ4YzKgJBxFgLyiS3-NTmchFLBrA_M2jaSKujbuPtJMWAiTnaMWalpEBxNCou9oUxWIQmy_dF7ppWzXJlqccODl3rDH6sX2WdAXqt_k0fCLVsyd5m3YEHlsclunPxWfE-e6RuDJHOGKGkBKEcNfLxHzzifRH2JsUoTPSWQTS4EGlf3TpnMVQbd1cjsWfjWJPRGHDRLhRkA54AP0DwecNUJjYzC9nBR-3F2KlQGQ.K4bC5ytgS5WjKwvg1JS_daYYWhs-uhAtRLC6B69PsXM&amp;dib_tag=se&amp;keywords=44x72%2Bmirror%2Bblack&amp;qid=1765670779&amp;sprefix=mirror%2B44x72%2Caps%2C187&amp;sr=8-1-spons&amp;sp_csd=d2lkZ2V0TmFtZT1zcF9hdGY&amp;th=1</t>
  </si>
  <si>
    <t>Istalação de espelho</t>
  </si>
  <si>
    <t>Filtro Ar</t>
  </si>
  <si>
    <t>Checar Modelo</t>
  </si>
  <si>
    <t>Fotos</t>
  </si>
  <si>
    <t>Pendente</t>
  </si>
  <si>
    <t>https://www.amazon.com/Flyrose-Pendant-Minimalist-Lighting-Industrial/dp/B0CFFB5BC7/ref=sr_1_2?dib=eyJ2IjoiMSJ9.aFUwolCo39YbxvlTe8AgzA.perHelgl_v5oQIOQiDuQ37vRynhmgDQHfsXQIAndlYc&amp;dib_tag=se&amp;keywords=B0CFFB5BC7&amp;qid=1743466346&amp;sr=8-2&amp;th=1</t>
  </si>
  <si>
    <t>Instalação Pendente</t>
  </si>
  <si>
    <t>Instalação Pendente Pé direito Alto</t>
  </si>
  <si>
    <t>Lampada Pendente</t>
  </si>
  <si>
    <t>Led</t>
  </si>
  <si>
    <t>Instalação de led boiserie</t>
  </si>
  <si>
    <t>Spot</t>
  </si>
  <si>
    <t>https://www.amazon.com/LightingWill-Downlight-Directional-3000K-3500K-Equivalent/dp/B01KZJ8F34/ref=sr_1_3?crid=2VL1B4IHDS6CM&amp;dib=eyJ2IjoiMSJ9.gucbm69BYM-iG_Dvwj1gvw.WnyFvEP2zTfMAFYfeSGsHEJRrq_lNt39rFhYHCJglL8&amp;dib_tag=se&amp;keywords=B01KZJ8F34&amp;qid=1743466397&amp;sprefix=b01kzj8f34%2Caps%2C92&amp;sr=8-3&amp;th=1</t>
  </si>
  <si>
    <t>Equipe Noha</t>
  </si>
  <si>
    <t>Instalação Spot até 5 spots</t>
  </si>
  <si>
    <t>Appenin</t>
  </si>
  <si>
    <t>Marcenaria</t>
  </si>
  <si>
    <t xml:space="preserve">Pack </t>
  </si>
  <si>
    <t>Mobiliario</t>
  </si>
  <si>
    <t xml:space="preserve">Boiserie Mao de obra </t>
  </si>
  <si>
    <t xml:space="preserve">Boiserie Material </t>
  </si>
  <si>
    <t>Home Goods</t>
  </si>
  <si>
    <t>Quadro</t>
  </si>
  <si>
    <t>MAFER</t>
  </si>
  <si>
    <t>Instalação Quadros</t>
  </si>
  <si>
    <t xml:space="preserve">CUSTO </t>
  </si>
  <si>
    <t>Wall Paper</t>
  </si>
  <si>
    <t>Instalação Wallpaper</t>
  </si>
  <si>
    <t>Mão de Obra Pintura por parede</t>
  </si>
  <si>
    <t>Material Pintura</t>
  </si>
  <si>
    <t>Mão de obra Boiserie quadro leao.</t>
  </si>
  <si>
    <t>Material moldura quadro leao</t>
  </si>
  <si>
    <t>Mudança de termostato</t>
  </si>
  <si>
    <t>Material Mudança de termostato</t>
  </si>
  <si>
    <t>Mudança de interruptor</t>
  </si>
  <si>
    <t>KITCHEN Dormem 26 pessoas</t>
  </si>
  <si>
    <t>TELÃO</t>
  </si>
  <si>
    <t>Utensilios Set</t>
  </si>
  <si>
    <t>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</t>
  </si>
  <si>
    <t>Bandejas de Aluminio Grande Pack 2</t>
  </si>
  <si>
    <t>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</t>
  </si>
  <si>
    <t xml:space="preserve">CMV </t>
  </si>
  <si>
    <t>ZUO</t>
  </si>
  <si>
    <t>Banqueta</t>
  </si>
  <si>
    <t xml:space="preserve">MARKUP </t>
  </si>
  <si>
    <t>Walmart</t>
  </si>
  <si>
    <t>Cafeteira</t>
  </si>
  <si>
    <t>https://www.walmart.com/ip/Beautiful-14-Cup-Programmable-Drip-Coffee-Maker-with-Touch-Activated-Display-Porcini-Taupe-by-Drew-Barrymore/770079902</t>
  </si>
  <si>
    <t>COMISSÃO 1</t>
  </si>
  <si>
    <t>Chaleira</t>
  </si>
  <si>
    <t>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</t>
  </si>
  <si>
    <t>COMISSÃO 2</t>
  </si>
  <si>
    <t>Coaster Set Pack 16</t>
  </si>
  <si>
    <t>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</t>
  </si>
  <si>
    <t>Colher de Pau</t>
  </si>
  <si>
    <t>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</t>
  </si>
  <si>
    <t>Pendente kitchen Pack 3</t>
  </si>
  <si>
    <t>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</t>
  </si>
  <si>
    <t>Lampada pendente</t>
  </si>
  <si>
    <t>VENDA</t>
  </si>
  <si>
    <t xml:space="preserve"> </t>
  </si>
  <si>
    <t>Instalação de pendentes</t>
  </si>
  <si>
    <t>Copo de medida</t>
  </si>
  <si>
    <t>Copos para piscina Pack 16</t>
  </si>
  <si>
    <t>https://www.amazon.com/gp/product/B010E0N7ZU/ref=ppx_yo_dt_b_search_asin_title?ie=UTF8&amp;th=1</t>
  </si>
  <si>
    <t xml:space="preserve">Descanso de panela </t>
  </si>
  <si>
    <t>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</t>
  </si>
  <si>
    <t>Escorredor de Macarrao</t>
  </si>
  <si>
    <t>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</t>
  </si>
  <si>
    <t>Fruteira</t>
  </si>
  <si>
    <t>Decor Nichos</t>
  </si>
  <si>
    <t>Jaras para Sucos</t>
  </si>
  <si>
    <t>Jogo americano Pack 12</t>
  </si>
  <si>
    <t>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</t>
  </si>
  <si>
    <t>Jogo de Copos Grandes Pack 8</t>
  </si>
  <si>
    <t>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</t>
  </si>
  <si>
    <t>Jogo De Facas</t>
  </si>
  <si>
    <t>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</t>
  </si>
  <si>
    <t>Costco</t>
  </si>
  <si>
    <t>Jogo de Panelas</t>
  </si>
  <si>
    <t>https://www.costco.com/t-fal-excellence-ceramic-non-stick-cookware-set-10-piece.product.4000202536.html</t>
  </si>
  <si>
    <t>Jogo de Pratos Pack 8</t>
  </si>
  <si>
    <t>https://www.costco.com/mikasa-huntington-40-piece-bone-china-dinnerware-set.product.100493960.html</t>
  </si>
  <si>
    <t>20, 19, 18</t>
  </si>
  <si>
    <t>Jogo de talheres Pack 12</t>
  </si>
  <si>
    <t>https://www.amazon.com/Mikasa-Everett-101-Piece-Stainless-Flatware/dp/B09LF68VJN/ref=sr_1_1?crid=QGCK62Q5NURK&amp;dib=eyJ2IjoiMSJ9.yibCSDorcBdnhSEhnqiGn9UbEvt7kSAQlMQs1T_VzhVR2NH96MVAGAcjbpDF-BKSEOOW3Sfw6rq0s5x3tGoasJ1V5jquqltrG5SxIqJMdxb8fYmAznJQ3V5P4Z5cmD_twB69eIWm3S37t-xgLxcAxmejepH68yFDANiaXeuR1_TbVCjo6R9XCJYMCnyJmcoh2cJ7krtn2zhcyu01ndcv9Q87UJGNsT96wl_g2gGdahzEK9zDrhwtsqkRkjd7m2TOEGw-uZ69M-2SNujdAQLEQjR-RZVNdfqXyNWA62t0TLU.YUvvfqa9RkRjWt4lLNXFS7UyYc5tX26x6fSek4NVgFk&amp;dib_tag=se&amp;keywords=mikasa%2Bsilverware%2Bset18%2F10&amp;qid=1765679169&amp;sprefix=mikasa%2Bsilverware%2Bset18%2F10%2Caps%2C223&amp;sr=8-1&amp;ufe=app_do%3Aamzn1.fos.9fe8cbfa-bf43-43d1-a707-3f4e65a4b666&amp;th=1</t>
  </si>
  <si>
    <t xml:space="preserve">Walmart </t>
  </si>
  <si>
    <t>Liquidificador</t>
  </si>
  <si>
    <t>https://www.walmart.com/ip/Beautiful-PowerExact-Blender-System-Cornflower-Blue-by-Drew-Barrymore/5284775960</t>
  </si>
  <si>
    <t>Luvas para Forno</t>
  </si>
  <si>
    <t>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</t>
  </si>
  <si>
    <t>Napkin 12 unid.</t>
  </si>
  <si>
    <t>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</t>
  </si>
  <si>
    <t>Panos de Pratos</t>
  </si>
  <si>
    <t>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</t>
  </si>
  <si>
    <t>Porta Bucha</t>
  </si>
  <si>
    <t>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</t>
  </si>
  <si>
    <t>Porta guardanapo</t>
  </si>
  <si>
    <t>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</t>
  </si>
  <si>
    <t>Porta Sabao</t>
  </si>
  <si>
    <t>Porta Talheres</t>
  </si>
  <si>
    <t>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</t>
  </si>
  <si>
    <t>Ring p Napkin 12 unid.</t>
  </si>
  <si>
    <t>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</t>
  </si>
  <si>
    <t>Saca Rolhas</t>
  </si>
  <si>
    <t>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</t>
  </si>
  <si>
    <t>Saladeira Grande</t>
  </si>
  <si>
    <t>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</t>
  </si>
  <si>
    <t>Saleiro e Pimenteiro</t>
  </si>
  <si>
    <t>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</t>
  </si>
  <si>
    <t>Suporte papel toalha</t>
  </si>
  <si>
    <t>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</t>
  </si>
  <si>
    <t>Tabua de Cortar</t>
  </si>
  <si>
    <t>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</t>
  </si>
  <si>
    <t>Taças para Vinho</t>
  </si>
  <si>
    <t>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</t>
  </si>
  <si>
    <t>Tostadeira</t>
  </si>
  <si>
    <t>https://www.walmart.com/ip/Beautiful-4-Slice-Toaster-with-Touch-Activated-Display-White-Icing-by-Drew-Barrymore/248647480?classType=VARIANT</t>
  </si>
  <si>
    <t>Tuppleware</t>
  </si>
  <si>
    <t>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</t>
  </si>
  <si>
    <t>Taça de Champagne</t>
  </si>
  <si>
    <t>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</t>
  </si>
  <si>
    <t>Espátula de bolo</t>
  </si>
  <si>
    <t>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</t>
  </si>
  <si>
    <t>Tampa para Microondas</t>
  </si>
  <si>
    <t>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</t>
  </si>
  <si>
    <t>Air Fryer</t>
  </si>
  <si>
    <t>https://www.walmart.com/ip/Beautiful-6-Qt-Air-Fryer-with-TurboCrisp-Technology-and-Touch-Activated-Display-Rose-by-Drew-Barrymore/597932797</t>
  </si>
  <si>
    <t>Grill</t>
  </si>
  <si>
    <t>https://www.walmart.com/ip/Beautiful-2-in-1-Panini-Press-Grill-White-Icing-by-Drew-Barrymore/5144605435?classType=VARIANT&amp;athbdg=L1600</t>
  </si>
  <si>
    <t>Led Nichos</t>
  </si>
  <si>
    <t>Instalacao Led</t>
  </si>
  <si>
    <t>LAUNDRY</t>
  </si>
  <si>
    <t>Aspirador de Pó</t>
  </si>
  <si>
    <t>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</t>
  </si>
  <si>
    <t>Desentupidor</t>
  </si>
  <si>
    <t>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</t>
  </si>
  <si>
    <t>Ferro de Passar</t>
  </si>
  <si>
    <t>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</t>
  </si>
  <si>
    <t>MOP</t>
  </si>
  <si>
    <t>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</t>
  </si>
  <si>
    <t>Pá e Escova</t>
  </si>
  <si>
    <t>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</t>
  </si>
  <si>
    <t>Tábua de Passar</t>
  </si>
  <si>
    <t>https://www.amazon.com/gp/product/B0998MSMZQ/ref=ppx_yo_dt_b_search_asin_title?ie=UTF8&amp;th=1</t>
  </si>
  <si>
    <t xml:space="preserve">Vassoura </t>
  </si>
  <si>
    <t>https://www.amazon.com/gp/product/B08FR6VFGY/ref=ppx_yo_dt_b_search_asin_title?ie=UTF8&amp;psc=1</t>
  </si>
  <si>
    <t>DINNING ROOM</t>
  </si>
  <si>
    <t>Abajur</t>
  </si>
  <si>
    <t>Lampada Abajur</t>
  </si>
  <si>
    <t>Arandela p Dining</t>
  </si>
  <si>
    <t>Lampadas Arandela Dining</t>
  </si>
  <si>
    <t>B095M6FJZN</t>
  </si>
  <si>
    <t>Cortina sem BK (Medida*2.4)</t>
  </si>
  <si>
    <t>Cortina com BK (Medida*2.4)</t>
  </si>
  <si>
    <t>Material Cortineiro Dining</t>
  </si>
  <si>
    <t>Mão de obra cortineiro 1,30m</t>
  </si>
  <si>
    <t>Mão de obra Cortineiro Dining</t>
  </si>
  <si>
    <t>Pendente Dining</t>
  </si>
  <si>
    <t>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</t>
  </si>
  <si>
    <t>Instalação pendente Dining</t>
  </si>
  <si>
    <t>Instalação pendente de cristal</t>
  </si>
  <si>
    <t>Lampada p Luminaria p Dining</t>
  </si>
  <si>
    <t>Lampada Pendente Dining</t>
  </si>
  <si>
    <t>Spot para sala de jantar</t>
  </si>
  <si>
    <t>Instalação spot até 5 spots</t>
  </si>
  <si>
    <t>Mão de obra pintura parede Dining</t>
  </si>
  <si>
    <t>Mão de obra Boiserie + pintura</t>
  </si>
  <si>
    <t>Material Boiserie</t>
  </si>
  <si>
    <t>Marcenaria sala de jantar</t>
  </si>
  <si>
    <t>Decoracao mesa jantar</t>
  </si>
  <si>
    <t>Decoracao Painel Vinho</t>
  </si>
  <si>
    <t>Chairs</t>
  </si>
  <si>
    <t>Impermeabilização cadeiras</t>
  </si>
  <si>
    <t>VIG</t>
  </si>
  <si>
    <t>Mesa de Jantar</t>
  </si>
  <si>
    <t>Junior Elegance</t>
  </si>
  <si>
    <t>Tampo de Vidro para Mesa Dining</t>
  </si>
  <si>
    <t>Instalação Novo ponto de tomada</t>
  </si>
  <si>
    <t>Fechamento de ponto de tomada parede</t>
  </si>
  <si>
    <t>Checar medida</t>
  </si>
  <si>
    <t>Instalacao de quadro</t>
  </si>
  <si>
    <t>Instalação de espelho</t>
  </si>
  <si>
    <t>Adega</t>
  </si>
  <si>
    <t>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</t>
  </si>
  <si>
    <t>Publix</t>
  </si>
  <si>
    <t>Garrafa de vinho</t>
  </si>
  <si>
    <t xml:space="preserve">Led </t>
  </si>
  <si>
    <t>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</t>
  </si>
  <si>
    <t xml:space="preserve">Instalacao de led </t>
  </si>
  <si>
    <t>LIVING ROOM</t>
  </si>
  <si>
    <t>Meridian</t>
  </si>
  <si>
    <t>Bench</t>
  </si>
  <si>
    <t>443Saddle</t>
  </si>
  <si>
    <t>Coffee Table</t>
  </si>
  <si>
    <t>Vidro p Coffee Table</t>
  </si>
  <si>
    <t>Polyanna</t>
  </si>
  <si>
    <t>Cortina sem BK (Medida*2.3)</t>
  </si>
  <si>
    <t>Mao de obra cortineiro Living</t>
  </si>
  <si>
    <t>Material Cortineiro Living</t>
  </si>
  <si>
    <t>Luminária Living</t>
  </si>
  <si>
    <t>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</t>
  </si>
  <si>
    <t>Instalação luminária Cristal Living</t>
  </si>
  <si>
    <t>Lampada p luminaria p Living</t>
  </si>
  <si>
    <t xml:space="preserve">Spot </t>
  </si>
  <si>
    <t>B01KZJ8F34</t>
  </si>
  <si>
    <t xml:space="preserve">Lampada Luminaria </t>
  </si>
  <si>
    <t>Decoração Painel Living p/ nicho</t>
  </si>
  <si>
    <t>End Table</t>
  </si>
  <si>
    <t>Lareira</t>
  </si>
  <si>
    <t>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</t>
  </si>
  <si>
    <t>Filtro de linha pra lareira</t>
  </si>
  <si>
    <t>B0080Z7974</t>
  </si>
  <si>
    <t>Livro</t>
  </si>
  <si>
    <r>
      <rPr>
        <rFont val="Arial"/>
        <color rgb="FF1155CC"/>
        <sz val="10.0"/>
        <u/>
      </rPr>
      <t>https://www.amazon.com/gp/product/0847836797/ref=ppx_yo_dt_b_search_asin_title?ie=UTF8&amp;psc=1</t>
    </r>
    <r>
      <rPr>
        <rFont val="Arial"/>
        <color theme="1"/>
        <sz val="10.0"/>
      </rPr>
      <t>1</t>
    </r>
  </si>
  <si>
    <t>Decor</t>
  </si>
  <si>
    <t>Poltrona</t>
  </si>
  <si>
    <t>693Cream-C</t>
  </si>
  <si>
    <t>Puff</t>
  </si>
  <si>
    <t>195Cream</t>
  </si>
  <si>
    <t>Quadros</t>
  </si>
  <si>
    <t>Coaster</t>
  </si>
  <si>
    <t xml:space="preserve">Sofa </t>
  </si>
  <si>
    <t>Sofa Corner</t>
  </si>
  <si>
    <t>Sofa Armless</t>
  </si>
  <si>
    <t>Sofa Ottomman</t>
  </si>
  <si>
    <t>SOFA CURVO</t>
  </si>
  <si>
    <t>76883|76883A</t>
  </si>
  <si>
    <t>Impermeabilização sofá</t>
  </si>
  <si>
    <t>Lavagem sofá</t>
  </si>
  <si>
    <t>Almofadas de Decoração</t>
  </si>
  <si>
    <t>Trendy Rugs</t>
  </si>
  <si>
    <t>Tapete 10x14</t>
  </si>
  <si>
    <t>Neo Plain - Taupe</t>
  </si>
  <si>
    <t>BestBuy</t>
  </si>
  <si>
    <t>TV 86"</t>
  </si>
  <si>
    <t>https://www.walmart.com/ip/86UA7500ZUA-AUSQ/14363012836?classType=REGULAR&amp;adsRedirect=true</t>
  </si>
  <si>
    <t>Wall Mount</t>
  </si>
  <si>
    <t>https://www.amazon.com/gp/product/B08J3K4N15/ref=ppx_yo_dt_b_search_asin_title?ie=UTF8&amp;psc=1</t>
  </si>
  <si>
    <t>Instalação Wall Mount</t>
  </si>
  <si>
    <t>HDMI</t>
  </si>
  <si>
    <t>B07FCFJ9NF</t>
  </si>
  <si>
    <t>Cover Plate</t>
  </si>
  <si>
    <t>B07CRWD8DZ</t>
  </si>
  <si>
    <t>Extensao com 3 conectores</t>
  </si>
  <si>
    <t>Wall Paper Living</t>
  </si>
  <si>
    <t>Instalação de wallpaper Living por parede</t>
  </si>
  <si>
    <t>Remoção Persiana</t>
  </si>
  <si>
    <t>Remoção crown moulding/correção parede</t>
  </si>
  <si>
    <t>Fechamento de janela</t>
  </si>
  <si>
    <t xml:space="preserve"> Bedroom Master King - Bege</t>
  </si>
  <si>
    <t>Lampadas de Abajour</t>
  </si>
  <si>
    <t>Instalacao pendente</t>
  </si>
  <si>
    <t>Luminaria</t>
  </si>
  <si>
    <t>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</t>
  </si>
  <si>
    <t>Instalação Luminária</t>
  </si>
  <si>
    <t>Instalação luminária cristal</t>
  </si>
  <si>
    <t>Lampada para Luminaria</t>
  </si>
  <si>
    <t>Spot Central</t>
  </si>
  <si>
    <t>B07HKTGGP4</t>
  </si>
  <si>
    <t>Instalação spot central</t>
  </si>
  <si>
    <t>Instalação pendente</t>
  </si>
  <si>
    <t>Bed</t>
  </si>
  <si>
    <t>FlynnCream-K</t>
  </si>
  <si>
    <t>Night Stand</t>
  </si>
  <si>
    <t>Dresser</t>
  </si>
  <si>
    <t>LED</t>
  </si>
  <si>
    <t>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</t>
  </si>
  <si>
    <t>Reator</t>
  </si>
  <si>
    <t>https://www.amazon.com/dp/B0DK5HNFSM?ref=emc_s_m_5_i_atc</t>
  </si>
  <si>
    <t xml:space="preserve">Botão </t>
  </si>
  <si>
    <t>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</t>
  </si>
  <si>
    <t xml:space="preserve">Puxadores </t>
  </si>
  <si>
    <t>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</t>
  </si>
  <si>
    <t>44044Cream-C</t>
  </si>
  <si>
    <t>Espelho</t>
  </si>
  <si>
    <t>https://www.amazon.com/Easly-Standing-Hanging-Aluminum-Cloakroom/dp/B0CMX15M23/ref=sr_1_2_sspa?crid=8L01PGI1LBZS&amp;dib=eyJ2IjoiMSJ9.4XjJCjlGB2WI0Hh31jFCpRh4GBdlcdVhIlRbwXxt7OIVQ59X6goJ2dYxYAIhg5-ewSOqdpd4ENRWEAJoa8k_p7rzNkAS2fKXmsipNzZJwgrq2jmjMHVdXpOpLKusaiQEwsVTf_MGgl_mJ6KYgFQ5wYfAdLetwJWHzKczoCQWgLrnqkaF2CIxvWunTZyB9v3akPVclEQGr6MrRos8_1CTdZdnFxknq8u5CqtPwH4y2eikiUFIgQ7ev-PwneFLmF67kb4PpCFvvlbHLpD1OdHMFPLT5BfSlIDeLrfqAA2Yw1Q.J7O6t0skZ1rjdv12ownK3CKeR-oj-ijxoXo2oGalJ0I&amp;dib_tag=se&amp;keywords=Wall%2BMirror%2Bwith%2BWide%2BFrame%2BLARGE&amp;qid=1765681378&amp;sprefix=wall%2Bmirror%2Bwith%2Bwide%2Bframe%2Blarge%2Caps%2C197&amp;sr=8-2-spons&amp;sp_csd=d2lkZ2V0TmFtZT1zcF9hdGY&amp;th=1</t>
  </si>
  <si>
    <t>IKEA</t>
  </si>
  <si>
    <t>Cabides</t>
  </si>
  <si>
    <t>Cortina COM BK (medida*2.3)</t>
  </si>
  <si>
    <t>Mão de obra - Cortineiro</t>
  </si>
  <si>
    <t>Material Cortineiro</t>
  </si>
  <si>
    <t>Kit Comforter = Duvet + insert duvet + 2 Pillow</t>
  </si>
  <si>
    <t>https://www.amazon.com/gp/product/B09NPMJCZD/ref=ox_sc_act_title_9?th=1</t>
  </si>
  <si>
    <t xml:space="preserve">Kit Comforter = 1 Sheet + Duvet + insert duvet + 1 Pillow + 2 Euro Sham </t>
  </si>
  <si>
    <t>Queen Sarah</t>
  </si>
  <si>
    <t>Lençol Extra King</t>
  </si>
  <si>
    <t>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</t>
  </si>
  <si>
    <t>Quilt King</t>
  </si>
  <si>
    <t>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</si>
  <si>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 xml:space="preserve">Manta King </t>
  </si>
  <si>
    <t>https://www.amazon.com/gp/product/B0BFCY84XY/ref=ppx_yo_dt_b_search_asin_title?ie=UTF8&amp;th=1</t>
  </si>
  <si>
    <t>Lençol Extra Queen</t>
  </si>
  <si>
    <t>Quilt Queen</t>
  </si>
  <si>
    <t>B09P3NKL53</t>
  </si>
  <si>
    <t xml:space="preserve">Manta Queen </t>
  </si>
  <si>
    <t>B00J7B8T5Q</t>
  </si>
  <si>
    <t>Lençol Extra Full</t>
  </si>
  <si>
    <t>Quilt Full</t>
  </si>
  <si>
    <t>Manta Full Bege</t>
  </si>
  <si>
    <t>B0C96D1421</t>
  </si>
  <si>
    <t>Sham</t>
  </si>
  <si>
    <t>https://www.amazon.com/gp/product/B07T1RFHGW/ref=ox_sc_act_title_12?smid=A9R60ZNAJMSU9&amp;th=1</t>
  </si>
  <si>
    <t>Insert Sham 28x28 Pack 2</t>
  </si>
  <si>
    <t>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</t>
  </si>
  <si>
    <t>Mattress Protector King</t>
  </si>
  <si>
    <t>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</t>
  </si>
  <si>
    <t>Vanderlei</t>
  </si>
  <si>
    <t>Mattress King</t>
  </si>
  <si>
    <t>KING</t>
  </si>
  <si>
    <t>Mattress Box King</t>
  </si>
  <si>
    <t>Frame King</t>
  </si>
  <si>
    <t>Mattress Queen</t>
  </si>
  <si>
    <t>QUEEN</t>
  </si>
  <si>
    <t>Mattress Box Queen</t>
  </si>
  <si>
    <t>Frame Queen</t>
  </si>
  <si>
    <t>Mattress Protector Queen</t>
  </si>
  <si>
    <t>B00MW50FKG</t>
  </si>
  <si>
    <t>Sams</t>
  </si>
  <si>
    <t>Pillow King</t>
  </si>
  <si>
    <t>Hotel Collection King</t>
  </si>
  <si>
    <t>Pillow Standard</t>
  </si>
  <si>
    <t>Serta Standard</t>
  </si>
  <si>
    <t>TV 55"</t>
  </si>
  <si>
    <t>https://www.walmart.com/ip/LG-55-4K-UHD-Smart-TV-2160p-webOS-55UQ7070ZUE/332111459?classType=REGULAR&amp;athbdg=L1102&amp;adsRedirect=true</t>
  </si>
  <si>
    <t>https://www.amazon.com/gp/product/B07P72ZB37/ref=ppx_yo_dt_b_search_asin_title?ie=UTF8&amp;th=1</t>
  </si>
  <si>
    <t>Wall Mart</t>
  </si>
  <si>
    <t>Eletric Extension</t>
  </si>
  <si>
    <t>cover plate</t>
  </si>
  <si>
    <t xml:space="preserve">Wallpaper </t>
  </si>
  <si>
    <t>York</t>
  </si>
  <si>
    <t>Instalação Wallpaper por parede</t>
  </si>
  <si>
    <t>Boiserie Mão de obra e Material</t>
  </si>
  <si>
    <t>caso a caso</t>
  </si>
  <si>
    <t xml:space="preserve">Automação </t>
  </si>
  <si>
    <t>Bedroom 02 Frozen FULL</t>
  </si>
  <si>
    <t>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</t>
  </si>
  <si>
    <t>Instalação luminária</t>
  </si>
  <si>
    <t>Led Rodateto</t>
  </si>
  <si>
    <t>https://www.amazon.com/Joomer-Christmas-Waterproof-Connectable-Decoration/dp/B093GWKVLW/ref=sr_1_10?crid=IWN0T9HTW0ZH&amp;dib=eyJ2IjoiMSJ9.De1squRIKfalP59m7nNQuxzwrhmH4W32eioHlB21ZizUw07Llqevd_yo-uyTFmPEazv5iHaSRVgeLdodEKx-bwKN6BdTUOjZkU5JyGmkd8dX8FrNyJJELeAtMMGoqaIWEb9n7WJu3HbLb9NxsiO0ExdSEPyvJwSJoh0GwhyltgEjM5nvKHj2vDO6bEtSXRidA86BWW0-GwNl0SpwN4mDSCoLvMb1FVmkbmAIhHZwmGnC9ieaejJNeYv0e2wlxJUyh33HB_IjmkNtqSm0-dl7YiWIUYWdYW916ecFC_cT6_4.-9g0FTQoWb-Xz5Ml0cFmjsezgdDaDt8uyl_wc-Q17ro&amp;dib_tag=se&amp;keywords=ice%2Blighting&amp;qid=1764365956&amp;sprefix=ice%2Blightin%2Caps%2C230&amp;sr=8-10&amp;th=1</t>
  </si>
  <si>
    <t>Wudson</t>
  </si>
  <si>
    <t>Bed Full</t>
  </si>
  <si>
    <t>Wayfair</t>
  </si>
  <si>
    <t>https://www.wayfair.com/furniture/pdp/lark-manor-blane-7-drawer-dresser-w110442504.html?piid=559504</t>
  </si>
  <si>
    <t>Cadeira Bancada</t>
  </si>
  <si>
    <t>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</t>
  </si>
  <si>
    <t>Lampada para pendente</t>
  </si>
  <si>
    <t>Piscina de espuma - Azul</t>
  </si>
  <si>
    <t>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</t>
  </si>
  <si>
    <t>Piscina de espuma - Branco</t>
  </si>
  <si>
    <t>https://www.amazon.com/Retardant-Skateboard-Gymnastics-Companies-Trampoline/dp/B01KYBUWFW/ref=sr_1_7?crid=34QE0FJHO1LAF&amp;dib=eyJ2IjoiMSJ9.DKNxr9Um5yVl14q_dLBsbyUrUWpGM9d-qN1F3ulQQHC2CTU8BqCgcd4ILIq7Okz1VUdSL7EdHVqTSl5mJ9spNjgFhA-SEncCb2j8gJ-CGg4xOo8ERNUJlQu9suNsgltZbE6fgBp5xzdQSsu_6godNV1GM2c_oGki-jyVecAumd40WkzNBiVshGlyNIZt3zltRTIO4_YQCME5hBVbH8u-2Dk3LaM5M0i7Q7nWQqioPdCsyq1AiIx9N4FRorocwQ_iGLbtzrfP6BlEdMKCcQeU7FBjI3bmAXlhfm2eJynOdPA.fTR5GbLF2bIft1c23NBAwFoDVo3WIFcY0vXWikTDNdI&amp;dib_tag=se&amp;keywords=foam%2Bpit%2Bcube%2Bwhite&amp;qid=1764363276&amp;sprefix=foam%2Bpit%2Bcube%2Bwhite%2Caps%2C132&amp;sr=8-7&amp;th=1</t>
  </si>
  <si>
    <t>Conforter</t>
  </si>
  <si>
    <t>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</t>
  </si>
  <si>
    <t>B09GRFWWZM</t>
  </si>
  <si>
    <t>Empire Art</t>
  </si>
  <si>
    <t>MON-10690L-8040</t>
  </si>
  <si>
    <t>Sams Club</t>
  </si>
  <si>
    <t xml:space="preserve">Decor </t>
  </si>
  <si>
    <t>Decor Pillow</t>
  </si>
  <si>
    <t>https://www.amazon.com/uxcell-Sparkling-Decorative-Pillowcases-Thanksgiving/dp/B07RWF3MBL/ref=sr_1_4?crid=2W3X4J7635163&amp;dib=eyJ2IjoiMSJ9.mKBcmi7RLWSgeiHhWO_v1YJAOx0GkTujXXoYi6qyaLfBURfdM5ZJs-LIIXw2e0_fTy0VVwc-F-FtUyYqUo2tXfYi9TISBJwrBR08q58k2h77GYppS1uEC908Dt0mW6HGEis6dnj4kpmzZo5m9uB6N7mlir3bbSWDBBmJ4Zw_S2fD0KW5LseJbNc3TzFK7eAtTrx8vPaple1S_GNCtJxN9PsrFjdWNpvhOg0kv7IduUeOtnrMH7wBH3IduMBIBExuHo5hNGI6or-E7lhgfnw5FkV08G-q-rP9cyJ3wPUDjiw.2YY68wGdCjeb4tsQEenak_2mpGXJnS1iij5zr13XvKA&amp;dib_tag=se&amp;keywords=Frozen%2Bdecor%2Bpillow&amp;qid=1764363887&amp;sprefix=frozen%2Bdecor%2Bpillo%2Caps%2C204&amp;sr=8-4&amp;th=1</t>
  </si>
  <si>
    <t>Pillow Insert 20X20</t>
  </si>
  <si>
    <t>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</t>
  </si>
  <si>
    <t>Plushies</t>
  </si>
  <si>
    <t>Cortina COM BK( Medida*2.3)</t>
  </si>
  <si>
    <t>Mattress Full</t>
  </si>
  <si>
    <t>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</t>
  </si>
  <si>
    <t>Mattress Protector Full</t>
  </si>
  <si>
    <t>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</t>
  </si>
  <si>
    <t xml:space="preserve">TV 50" </t>
  </si>
  <si>
    <t>https://www.walmart.com/ip/50UA7500ZUA-AUS/14364014573?classType=REGULAR&amp;athbdg=L1300&amp;adsRedirect=true</t>
  </si>
  <si>
    <t>https://www.amazon.com/gp/product/B07P72ZB37/ref=ppx_yo_dt_b_search_asin_title?ie=UTF8&amp;th=4</t>
  </si>
  <si>
    <t>Instalação wall Mount</t>
  </si>
  <si>
    <t xml:space="preserve"> Bedroom 03 FULL Cinza</t>
  </si>
  <si>
    <t>Lampadas de Abajur</t>
  </si>
  <si>
    <t>https://www.amazon.com/dp/B0B6BBVPCJ/ref=twister_B0B6BB2TRJ?_encoding=UTF8&amp;th=1</t>
  </si>
  <si>
    <t>B09YXXX56K</t>
  </si>
  <si>
    <t xml:space="preserve">GalloGrey-F </t>
  </si>
  <si>
    <t>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</si>
  <si>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 xml:space="preserve">Kit Comforter = 1 Sheet + Duvet + insert duvet + 2 Pillow + 3 Euro Sham </t>
  </si>
  <si>
    <t>https://www.amazon.com/gp/product/B0DB1H4QVP/ref=ox_sc_act_title_9?th=1</t>
  </si>
  <si>
    <t>https://www.amazon.com/gp/product/B0CV63M3YH/ref=ox_sc_act_title_4?smid=AISR8NQB2ETL&amp;th=1</t>
  </si>
  <si>
    <t>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</t>
  </si>
  <si>
    <t>https://www.amazon.com/gp/product/B0CZ8DC3MT/ref=ppx_yo_dt_b_search_asin_title?ie=UTF8&amp;th=1</t>
  </si>
  <si>
    <t>PowerMag</t>
  </si>
  <si>
    <t>Mattress Box Full</t>
  </si>
  <si>
    <t>FULL</t>
  </si>
  <si>
    <t>Frame Full</t>
  </si>
  <si>
    <t>https://www.amazon.com/dp/B00MW50754/ref=twister_B0CYCRVKD1?_encoding=UTF8&amp;th=1</t>
  </si>
  <si>
    <t>TV 50"</t>
  </si>
  <si>
    <t>Bedroom 04  Minions FULL</t>
  </si>
  <si>
    <t>Lampada abajur</t>
  </si>
  <si>
    <t>Lampada arandela</t>
  </si>
  <si>
    <t>Instalação arandela</t>
  </si>
  <si>
    <t>Bed Twin</t>
  </si>
  <si>
    <t>https://www.amazon.com/LEYAOYAO-Drawers-Farmhouse-Organizer-Dressers/dp/B0F3CSWWZZ/ref=sr_1_24?dib=eyJ2IjoiMSJ9.D1OTOv1vRcORWRGA7m4G4KaosbLEoXZW9zB0srH0vkp1A-Ft0rwSSNuQvRr9ATNYjlOa9v15h2f7F0U5Sutzi9MmVttwLKQ8YDbx0vFhkb0VaOrWxcdn_-QvOID1tera6BX9BwklexOLTfQ88Zon6XfgpdfuMWwnyAyl5FgEiYdu9cQyyXki36hHiM5rgleivY4PtIC6dqHuOtOogpyv08aRNZEVdu5Ccxgo2oK58WgWW56FrQo0nfO_Jap6cTIpT-PY8bMbRyGe3zlqj1Jg2GJ864Wi0eOt8wFYKIW7gNE.sMwcAo37xUW43SafpLFnVmS3VLC013jg1mZrTuztq9Q&amp;dib_tag=se&amp;keywords=dresser%2Bblue&amp;qid=1757875605&amp;sr=8-24&amp;th=1</t>
  </si>
  <si>
    <t>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</t>
  </si>
  <si>
    <t>Puxador</t>
  </si>
  <si>
    <t>Instalação LED cama temática</t>
  </si>
  <si>
    <t>https://www.amazon.com/CozyLux-Comforter-Breathable-Alternative-Pillowcase/dp/B0DCJR367K/ref=sr_1_40?crid=2O7NYJ7QGSDPB&amp;dib=eyJ2IjoiMSJ9.VHicvyD9iQxJPuN2KF0nczF_KDMfJSoJIWrPiaqFFhzXntRkm3kcOpdtXqYmvPZPGyn9JHSTqedb9YGK-tnAk2fUuinBldtFrFp_NUWNSOh0sdlceM6mzocUTpX5i0h6i1guiuI7pM0KnqDwJ-G_L1CdGY0zLKZ3FHbM4xHxNDigIv5kN69DevqihLOMS7K6B7SUa8zHaLZh1coChfORg8PyNBBj0WDfG03dxVsBP2YriSOQClW00rHfQcOp_k64hXhFZo9MGh93-8AWe4WjtFr564nqCbNskOJ_9egtOuo.03xRWlBYiifv95-nGS0sT7OkqTX37SWzcZQm24mqJq0&amp;dib_tag=se&amp;keywords=comforter%2Btwin%2Bblue&amp;qid=1764370142&amp;sprefix=comforter%2Btwin%2Bblu%2Caps%2C133&amp;sr=8-40&amp;th=1</t>
  </si>
  <si>
    <t xml:space="preserve">Sheet Set </t>
  </si>
  <si>
    <t>https://www.amazon.com/Twin-Size-Piece-Sheet-Set/dp/B07PH3PJ78/ref=sr_1_1_sspa?crid=35BGCKF83ILZ9&amp;dib=eyJ2IjoiMSJ9.JVqoqAQFW-cE0zvlKOF7Kj_E7avxFPsarrIU0sIzOFYWocbiI2D18f_HVRZcEPB-v17dGRhKsB7G3D75hSleJ9O6v4N4vguZvYpG-xtjsiwunif1FOHqJPj50G4wFpD4C7gBxl4i-s-1WqPsw115vK5S-YQICFWJPfbqA80rmLQEg8QxHPpXPo2syPi9UhKqpZgceQBZEFOmCFhoZEeLRLkFPAreXb2vn6EiM1FDyyvV1qftbLmRCu0oU1BXTRkTb2bf6gEH9Bcgotnbr2RUO5IC4u9Eb2QD1L_vy6L6mvg.4AdtgMbfdIROXIc6edhuQ2YgiXuGXhV3uPzs8etrPxg&amp;dib_tag=se&amp;keywords=sheet%2Bset%2Byellow%2Btwin&amp;qid=1764370348&amp;sprefix=sheet%2Bset%2Byellow%2Btwin%2Caps%2C151&amp;sr=8-1-spons&amp;sp_csd=d2lkZ2V0TmFtZT1zcF9hdGY&amp;th=1</t>
  </si>
  <si>
    <t>Escorregador</t>
  </si>
  <si>
    <t>https://www.amazon.com/Swing-N-Slide-NE-4678-1YB-Winder-Slide/dp/B000UH0SX2/ref=sr_1_19?crid=3G7Y2OVY7PYK5&amp;dib=eyJ2IjoiMSJ9.wKQPaaxqAKGCe9FjBL6Xp7vcihw9y9TLmaVtENFfc_2CxqiZSzoFxVVce4kqxJ5wf9cfEaIhy8uPloOKww4tBeCNHpjagq3DG96w35NvMK-KxHt9Bo-7GhzyoBqlOtdO8a7d1ljPGn2LAauEwN7iRmf5M2q5NmZk2SpOjvbb0aFjYad7r_RAZT9cSYWTjsRzP7nEn9QzDJReGE-eWJIibtiHBbKLW4OdP-crlFPejQYoKtgaXvAaq30Xc9QQgKxII882TmZ7F7p6fLpmF0wRaDGtwKszMHTcve17sViyLcc.GmUuEIiO1U99d5Kq4_SzPHcCJGAxXguqjyH1kqto-7w&amp;dib_tag=se&amp;keywords=slide+curvo&amp;qid=1765733529&amp;sprefix=slide+curvo%2Caps%2C151&amp;sr=8-19</t>
  </si>
  <si>
    <t>Comprar na loja</t>
  </si>
  <si>
    <t>Pés para dresser</t>
  </si>
  <si>
    <t>B0CL4VSXXH</t>
  </si>
  <si>
    <t>B0BBKZ55VX</t>
  </si>
  <si>
    <t xml:space="preserve">Puxador </t>
  </si>
  <si>
    <t>B0BG88FDR8</t>
  </si>
  <si>
    <t>Piscina de espuma</t>
  </si>
  <si>
    <t>https://www.amazon.com/Retardant-Trampoline-Gymnastics-Skateboard-Playground/dp/B0CYSWR1KY/ref=sr_1_1_sspa?crid=3AGU7B030WET3&amp;dib=eyJ2IjoiMSJ9.oOgglE7zuz5QXUFc-GeLBWnr8EVa7-fiwRo5TovOeBqJ6rZL8yrg0phneYld6EO0we_J53hQKKYHghQcj3xZtcBMaZ4nTgdJ3MVXVWTR7mfzZTTFdXmTRPsjjSZMpBxc8VntQiaTT1hVtxsLDPi3CKn0oFR6JH4Y-YoWop-A6ZQ0ORmuvG5nfuR0rWx883u9rnDsNiEfyzEgM3nlT84OCv-UDmCKoNhD4XxXDaqajOjHaR2t01gp6wbhjemwsgAu__nM_QtHbDM_aYd2-sa3yua8Ge6CIBCKYXBU1TGk_Sc.w7bVRm2LBSVUuyeQcx4QYUmXq5sE1YnTLk2zmzl-cOg&amp;dib_tag=se&amp;keywords=foam%2Bcube&amp;qid=1758329248&amp;sprefix=foam%2Bcube%2Caps%2C129&amp;sr=8-1-spons&amp;sp_csd=d2lkZ2V0TmFtZT1zcF9hdGY&amp;th=1</t>
  </si>
  <si>
    <t>Ikea</t>
  </si>
  <si>
    <t>Acessorios escalada</t>
  </si>
  <si>
    <t>https://www.amazon.com/dp/B07BJZTWGR/ref=sspa_dk_detail_10?pf_rd_p=386c274b-4bfe-4421-9052-a1a56db557ab&amp;pf_rd_r=5X85G3G03CQKDHPZNGXB&amp;pd_rd_wg=OsBaO&amp;pd_rd_w=9KFDo&amp;content-id=amzn1.sym.386c274b-4bfe-4421-9052-a1a56db557ab&amp;pd_rd_r=7b8d9c74-bb97-426d-9916-018389676476&amp;s=sporting-goods&amp;sp_csd=d2lkZ2V0TmFtZT1zcF9kZXRhaWxfdGhlbWF0aWM&amp;th=1</t>
  </si>
  <si>
    <t>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</t>
  </si>
  <si>
    <t>https://www.amazon.com/dp/B0CKYZHV5D/ref=twister_B0DYZ28XZV?_encoding=UTF8&amp;th=1</t>
  </si>
  <si>
    <t xml:space="preserve">Manta </t>
  </si>
  <si>
    <t>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</t>
  </si>
  <si>
    <t>Flores</t>
  </si>
  <si>
    <t>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</t>
  </si>
  <si>
    <t>Disney Store</t>
  </si>
  <si>
    <t>https://www.disneystore.com/belle-plush-doll-beauty-and-the-beast-14-12-412333393535.html</t>
  </si>
  <si>
    <t>Boneca</t>
  </si>
  <si>
    <t>https://www.disneystore.com/disney-animators-collection-belle-doll-beauty-and-the-beast-16-460020241065.html</t>
  </si>
  <si>
    <t>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</t>
  </si>
  <si>
    <t>https://www.amazon.com/gp/product/B07P72ZB37/ref=ppx_yo_dt_b_search_asin_title?ie=UTF8&amp;th=6</t>
  </si>
  <si>
    <t>Mao de obra Rodateto +led+pintura</t>
  </si>
  <si>
    <t>Material Rodateto</t>
  </si>
  <si>
    <t>Mão de obra Moldura Parede com led</t>
  </si>
  <si>
    <t>Material Moldura Parede</t>
  </si>
  <si>
    <t>B07MXVRSR9</t>
  </si>
  <si>
    <t>Transformador</t>
  </si>
  <si>
    <t>B06XJVYDDW</t>
  </si>
  <si>
    <t>Diffusor</t>
  </si>
  <si>
    <t>B07WR9P1F8</t>
  </si>
  <si>
    <t>DSM 1 parede</t>
  </si>
  <si>
    <t>Instalação DSM 1 parede</t>
  </si>
  <si>
    <t>DSM 1 Faixa</t>
  </si>
  <si>
    <t>Instalação DSM 1 Faixa</t>
  </si>
  <si>
    <t xml:space="preserve">DSM PVC </t>
  </si>
  <si>
    <t>DSM PVC LOGO AVENGERS</t>
  </si>
  <si>
    <t>Instalação de PVC com led</t>
  </si>
  <si>
    <t>DSM Luminária</t>
  </si>
  <si>
    <t>DSM Envelopamento gaveta</t>
  </si>
  <si>
    <t>DSM Botãio do Mickey</t>
  </si>
  <si>
    <t>DSM Teto</t>
  </si>
  <si>
    <t>Instalação DSM teto</t>
  </si>
  <si>
    <t>Fantasias</t>
  </si>
  <si>
    <t>Mattress Twin</t>
  </si>
  <si>
    <t>B0CKYZCVXK</t>
  </si>
  <si>
    <t>Mattress Box Twin</t>
  </si>
  <si>
    <t>TWIN</t>
  </si>
  <si>
    <t>Frame Twin</t>
  </si>
  <si>
    <t>Mattress Protector Twin</t>
  </si>
  <si>
    <t>B00MW4ZK8O</t>
  </si>
  <si>
    <t>Rooms to go</t>
  </si>
  <si>
    <t>https://www.roomstogo.com/furniture/product/arena-brown-dresser/30500981?region_id=001000</t>
  </si>
  <si>
    <t>Mini Spot</t>
  </si>
  <si>
    <t>Instalação mini Spot até 5 spots</t>
  </si>
  <si>
    <t>Pillow Insert 18x18</t>
  </si>
  <si>
    <t>Véu</t>
  </si>
  <si>
    <t xml:space="preserve">Instalação de véu </t>
  </si>
  <si>
    <t>Mão de obra pintura teto</t>
  </si>
  <si>
    <t>Mão de obta pintura porta</t>
  </si>
  <si>
    <t>Parede Grama  Material</t>
  </si>
  <si>
    <t>Parede Grama Instalação</t>
  </si>
  <si>
    <t>Material Cano por unidade</t>
  </si>
  <si>
    <t>Instalação de cano por unidade ( pintura e led)</t>
  </si>
  <si>
    <t>DSM Acrylic - predio</t>
  </si>
  <si>
    <t>Material wallpaper DSM predio</t>
  </si>
  <si>
    <t>Lampada tubular Prédio</t>
  </si>
  <si>
    <t>Estrutura prédio Material</t>
  </si>
  <si>
    <t>Estrutura prédio mão de obra</t>
  </si>
  <si>
    <t>Coluna com Led  - Material</t>
  </si>
  <si>
    <t>Coluna com led  - Mao de obra</t>
  </si>
  <si>
    <t>Coluna Harry Potter - Mão de obra cada</t>
  </si>
  <si>
    <t>Coluna Harry Potter - Material cada</t>
  </si>
  <si>
    <t>Instalação Arcos madeira + stain - cada</t>
  </si>
  <si>
    <t>Material Arcos Harry potter - Cada</t>
  </si>
  <si>
    <t>Wallpaper Quadros Harry Potter</t>
  </si>
  <si>
    <t>Instalação DSM e Molduras - Por quadro</t>
  </si>
  <si>
    <t>Material para quadros Harry Potter - por quadro</t>
  </si>
  <si>
    <t>Instalação Refletores luz negra + elétrica</t>
  </si>
  <si>
    <t>Instalação/pintura baseboard nas colunas</t>
  </si>
  <si>
    <t>Elemento Marcia</t>
  </si>
  <si>
    <t>Loja do Harry Potter</t>
  </si>
  <si>
    <t>Igor</t>
  </si>
  <si>
    <t>Pintura Paredes Vivian</t>
  </si>
  <si>
    <t>Pintura paredes e teto Vivian</t>
  </si>
  <si>
    <t xml:space="preserve"> Bedroom 05 King BEGE</t>
  </si>
  <si>
    <t>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</t>
  </si>
  <si>
    <t xml:space="preserve">Pendente </t>
  </si>
  <si>
    <t>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</t>
  </si>
  <si>
    <t>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</t>
  </si>
  <si>
    <t>Bedroom 06 Twin Avengers</t>
  </si>
  <si>
    <t>DECOR INGRID</t>
  </si>
  <si>
    <t>Estoque</t>
  </si>
  <si>
    <t>Boneco Homem de Ferro</t>
  </si>
  <si>
    <t>Brinquedos</t>
  </si>
  <si>
    <t>Arcade</t>
  </si>
  <si>
    <t>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</t>
  </si>
  <si>
    <t>Insert Edredon</t>
  </si>
  <si>
    <t>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</t>
  </si>
  <si>
    <t>Monitor para arcade</t>
  </si>
  <si>
    <t>https://www.walmart.com/ip/LG-32-Ultragear-Gaming-Monitor-32G60WA-B/13658407275?classType=REGULAR&amp;athbdg=L1600&amp;adsRedirect=true</t>
  </si>
  <si>
    <t>Target</t>
  </si>
  <si>
    <t>Pelucia Bangela</t>
  </si>
  <si>
    <t>Machado</t>
  </si>
  <si>
    <t>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</t>
  </si>
  <si>
    <t>Suporte Monitor Arcade</t>
  </si>
  <si>
    <t>Barril</t>
  </si>
  <si>
    <t>Pegar da Ana e Claudio</t>
  </si>
  <si>
    <t>Rede de pesca</t>
  </si>
  <si>
    <t>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</t>
  </si>
  <si>
    <t>https://www.amazon.com/dp/B087YTKF97/ref=twister_B0814B6D9G?_encoding=UTF8&amp;th=1</t>
  </si>
  <si>
    <t>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</t>
  </si>
  <si>
    <t>Palha teto</t>
  </si>
  <si>
    <t>Pegar na Ana Castela</t>
  </si>
  <si>
    <t>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</t>
  </si>
  <si>
    <t>Pendente Pack 2</t>
  </si>
  <si>
    <t>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</t>
  </si>
  <si>
    <t>Tecido</t>
  </si>
  <si>
    <t>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</t>
  </si>
  <si>
    <t>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</t>
  </si>
  <si>
    <t>https://www.amazon.com/dp/B00MW4ZK8O/ref=twister_B0CYCRVKD1?_encoding=UTF8&amp;th=1</t>
  </si>
  <si>
    <t>https://www.amazon.com/dp/B0CKYZCVXK/ref=twister_B0DYZ28XZV?_encoding=UTF8&amp;th=1</t>
  </si>
  <si>
    <t>https://www.amazon.com/gp/product/B07P72ZB37/ref=ppx_yo_dt_b_search_asin_title?ie=UTF8&amp;th=9</t>
  </si>
  <si>
    <t xml:space="preserve">Fernando Canário </t>
  </si>
  <si>
    <t>Video Hulk + processador</t>
  </si>
  <si>
    <t>Monitor para video</t>
  </si>
  <si>
    <t>https://www.amazon.com/10-5inch-Portable-1920x1280P-External-Ultra-Thin/dp/B0C7KPPXTZ/ref=sr_1_3?crid=34O5Q68B1YJ60&amp;dib=eyJ2IjoiMSJ9.S8AhBrPaiFkSMEjQHOEFtb0ukc61OsDZ9PLkH9uYTxuDfLfE6hlQkU0hMt5KqzyWFAj5IMIhCmPZA-JLE-80G1DbJwD9P1k6l-9njcN1O8-2xSpMrHsjNpS8ax9YEeBe10DrgY6XJR8d_PzSwjbKGCOshddAASDcQV-xRjBxhtsdnDuA3JsXy_0nEG75dHKKfQtOjAt3ALBT-aukd6h0pjV7uPi15WTnAkcraVpRkfA.AhwKEME9tShrsx975mACfQY6tCUqhSoedv2OeOnvbPk&amp;dib_tag=se&amp;keywords=g-story%2Bportable%2Bmonitor%2B10.5%22&amp;qid=1764373010&amp;sprefix=g-story%2Bportable%2Bmonitor%2B10.5%2B%2Caps%2C125&amp;sr=8-3&amp;th=1</t>
  </si>
  <si>
    <t>Home Depot</t>
  </si>
  <si>
    <t>https://www.homedepot.com/pep/Acme-Furniture-Cargo-6-Drawer-Gunmetal-Dresser-37955/317268309?g_store=&amp;source=shoppingads&amp;locale=en-US&amp;fp=ggl&amp;pla&amp;mtc=SHOPPING-BF-HDH-GGL-D59H-059_034_INT_FURN-NA-NA-NA-PMAX-NA-RDC-NA-NA-NBR-NA-NA-NA-All_In_Subclass_PMAX&amp;cm_mmc=SHOPPING-BF-HDH-GGL-D59H-059_034_INT_FURN-NA-NA-NA-PMAX-NA-RDC-NA-NA-NBR-NA-NA-NA-All_In_Subclass_PMAX-21266992005--&amp;gclsrc=aw.ds&amp;gad_source=1&amp;gad_campaignid=21273442763&amp;gbraid=0AAAAADq61UegDAp5YrZiMLjnqzDHPVrvJ&amp;gclid=CjwKCAiA3fnJBhAgEiwAyqmY5QnOc0tGEPO1AFk--cZbbRluQPjx2CJmncdFogcQXVigL52kA6vRJRoCr2oQAvD_BwE</t>
  </si>
  <si>
    <t xml:space="preserve"> Bedroom 07 Queen Bege </t>
  </si>
  <si>
    <t>Lampadas de abajur</t>
  </si>
  <si>
    <t>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</t>
  </si>
  <si>
    <t>B0C6SQYXHK</t>
  </si>
  <si>
    <t>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</t>
  </si>
  <si>
    <t>King Sarah</t>
  </si>
  <si>
    <t>https://www.amazon.com/dp/B09NPMKMN2/ref=twister_B0FB3ZMZ1M?th=1</t>
  </si>
  <si>
    <t>B09P3QKQR8</t>
  </si>
  <si>
    <t>Manta King Cinza</t>
  </si>
  <si>
    <t>B00J7BJJDM</t>
  </si>
  <si>
    <t>Manta King Bege</t>
  </si>
  <si>
    <t>B0C96GQJL7</t>
  </si>
  <si>
    <t>https://www.amazon.com/dp/B01M16WBW1/ref=twister_B0D5BZDH7Y?_encoding=UTF8&amp;psc=1</t>
  </si>
  <si>
    <t>Manta Queen</t>
  </si>
  <si>
    <t>https://www.amazon.com/gp/product/B0BFCZMNCY/ref=ppx_yo_dt_b_search_asin_title?ie=UTF8&amp;th=1</t>
  </si>
  <si>
    <t>Manta Queen Bege</t>
  </si>
  <si>
    <t>B0C96GF9WL</t>
  </si>
  <si>
    <t>Manta Full Cinza</t>
  </si>
  <si>
    <t>B0BH822755</t>
  </si>
  <si>
    <t>B00MW50EDY</t>
  </si>
  <si>
    <t>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</t>
  </si>
  <si>
    <t>https://www.amazon.com/gp/product/B07P72ZB37/ref=ppx_yo_dt_b_search_asin_title?ie=UTF8&amp;th=7</t>
  </si>
  <si>
    <t xml:space="preserve"> Bedroom 08 King Bege</t>
  </si>
  <si>
    <t>L331405</t>
  </si>
  <si>
    <t>Lampadas Abajur</t>
  </si>
  <si>
    <t>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</t>
  </si>
  <si>
    <t>B09XXYZTHZ</t>
  </si>
  <si>
    <t>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</t>
  </si>
  <si>
    <t>https://www.amazon.com/dp/B0DB1GPNFB/ref=twister_B0FB3ZMZ1M?th=1</t>
  </si>
  <si>
    <t>Manta Queen Cinza</t>
  </si>
  <si>
    <t>https://www.amazon.com/gp/product/B07P72ZB37/ref=ppx_yo_dt_b_search_asin_title?ie=UTF8&amp;th=8</t>
  </si>
  <si>
    <t xml:space="preserve"> Bedroom 09 King</t>
  </si>
  <si>
    <t>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</t>
  </si>
  <si>
    <t>B07XH4DL4N</t>
  </si>
  <si>
    <t xml:space="preserve">Meridian </t>
  </si>
  <si>
    <t>AlfieCream-K</t>
  </si>
  <si>
    <t>HFW34416</t>
  </si>
  <si>
    <t>Puxadores</t>
  </si>
  <si>
    <t>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</t>
  </si>
  <si>
    <t>B0CKYZHV5D</t>
  </si>
  <si>
    <t>B00MW50754</t>
  </si>
  <si>
    <t>Bedroom 10  Harry Potter TWIN</t>
  </si>
  <si>
    <t>https://www.amazon.com/Chandelier-Farmhouse-Industrial-Lighting-Chandeliers/dp/B0DP2WRTBR?th=1</t>
  </si>
  <si>
    <t>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</t>
  </si>
  <si>
    <t>AMazon</t>
  </si>
  <si>
    <t>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</t>
  </si>
  <si>
    <t>Monitor para espelho</t>
  </si>
  <si>
    <t>https://www.bestbuy.com/product/samsung-43-m70f-4k-uhd-smart-monitor-with-samsungvision-ai-built-in-speakers-usb-c-black/JJGRFXFLTP/sku/6632216?utm_source=feed&amp;extStoreId=&amp;ref=212&amp;loc=20606267184&amp;gad_source=1&amp;gad_campaignid=20615841985&amp;gbraid=0AAAAAD-ORIhLyD8stkhBo1IvUsV4HHu0f&amp;gclid=CjwKCAiAraXJBhBJEiwAjz7MZZo4OHEbU1h1i0WR3UsC7fAHABcpCrsTS-fhlcpnTqHhOAL7FhV_GRoCzHUQAvD_BwE&amp;gclsrc=aw.ds</t>
  </si>
  <si>
    <t>https://www.wayfair.com/furniture/pdp/steelside-urbana-black-faux-leather-vintage-4-drawer-room-chest-with-buckle-straps-gold-stud-accents-atgd5726.html</t>
  </si>
  <si>
    <t>https://www.amazon.com/Outdoor-Exterior-Waterproof-Anti-Rust-Entryway/dp/B0CPXXDBQK/ref=sr_1_246?crid=366TO2APB1S81&amp;dib=eyJ2IjoiMSJ9.9bnDZeRWCxIGsLhQWph5CD2KSBOagWinWqIOLPvgnHLJ2WmRa1kOV1QgDZkZdxTxP0RPuIGdJWen2B-Dk4gd2eAP6F8yfJGh-XGjBQPyg7g.v8Ue0iSeoslp4q0CUfu6F4vOWekXkmZbHJcxnBuHpN8&amp;dib_tag=se&amp;keywords=sconce%2Brustic%2Bblack&amp;qid=1764376232&amp;sprefix=sconce%2Brustic%2Bblack%2Caps%2C136&amp;sr=8-246&amp;xpid=0DpjHjjLMCgMs&amp;th=1</t>
  </si>
  <si>
    <t>Conforter Twin</t>
  </si>
  <si>
    <t>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</t>
  </si>
  <si>
    <t>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</t>
  </si>
  <si>
    <t>https://www.amazon.com/Paladone-Harry-Potter-Hogwarts-Control/dp/B09XN5SQ9R/ref=sxin_17_sbv_search_btf?content-id=amzn1.sym.7032aefd-3c59-4a1e-aaf4-8d3a944207a4%3Aamzn1.sym.7032aefd-3c59-4a1e-aaf4-8d3a944207a4&amp;crid=38FR3IBZ0F3OO&amp;cv_ct_cx=Harry+potter+decor&amp;keywords=Harry+potter+decor&amp;pd_rd_i=B09XN5SQ9R&amp;pd_rd_r=468e5cf0-0b58-4ba8-ba2d-0a7c44cd8717&amp;pd_rd_w=QsGyv&amp;pd_rd_wg=ada5K&amp;pf_rd_p=7032aefd-3c59-4a1e-aaf4-8d3a944207a4&amp;pf_rd_r=Q41FMR3F1CJXB0AMMT1W&amp;qid=1743561085&amp;sbo=RZvfv%2F%2FHxDF%2BO5021pAnSA%3D%3D&amp;sprefix=harry+potter+decor+%2Caps%2C170&amp;sr=1-1-5190daf0-67e3-427c-bea6-c72c1df98776</t>
  </si>
  <si>
    <t>https://www.amazon.com/Jay-Franco-Warner-Brothers-Stuffed/dp/B07DGCQJWR/ref=sr_1_1_sspa?crid=1KA6E9Y0EDAZC&amp;dib=eyJ2IjoiMSJ9.VqrkKbxaA2RphJJybpptFwSuz7_uSlMfsEKGiUzm_vkm4Z5Ue2qZBxx73szq9ZLGn4YoPz-Nu2b2TDtUKDItoDCCwADpwNQ3ZLG4gW0QWXQdpFKsMdkxal0aTBPGMssKcf2NOtSNeYPGDuslQvItC8CzAV_KHwQk9OB0z6vLlDNQuG5mXM1DhYAQk2SD4xmixNE5YxTzY8CUt5Hp7xl6opOGq7UCswJfOd3KVM0gqOE.SkZB2-TMBfCeFeUWzxmNKyHPTx7Th5-j6UvRL9xnqQ8&amp;dib_tag=se&amp;keywords=Plush%2Bpillow%2Bharry%2Bpotter&amp;qid=1743561364&amp;sprefix=plush%2Bpillow%2Bharry%2Bpotter%2Caps%2C92&amp;sr=8-1-spons&amp;sp_csd=d2lkZ2V0TmFtZT1zcF9hdGY&amp;th=1</t>
  </si>
  <si>
    <t>https://www.amazon.com/Wizarding-World-Talking-Sorting-Phrases/dp/B08SVXG1XY/ref=sr_1_47?dib=eyJ2IjoiMSJ9.uh9LKSbh1xuxYY7a2zXhovsTKQ5BPog3doSRAu4sOSr_RFE2IopduSUo7zc5_mDf_l0zUORLzAOP-PG_4nvUNu3e3Njz1QswszxJ70a5_2YqgRQn6Yt2_pt4G4F95j-Y_u7y7kHxoI5rzzHIFWMArEdfDXqsOwdSbPw9bIOupU7DdBXYLoq8q1pCY-uLxN4UH06XgyinVFJZqUBGTbgFPCHpr2Ck9PEljOIWdBJDZ2Av2ofJu-DXY22J02oKwewIntZqX5xD4XFYVEyzEB_ZWmMOeW3dZtmBuj2RX1Voaq4.k_ZiQu-OlBM5_1KlEJ4u2NkBJDotUjEGeqKrEPxhTTs&amp;dib_tag=se&amp;keywords=harry%2Bpotter%2Bdecor&amp;qid=1764376393&amp;sr=8-47&amp;th=1</t>
  </si>
  <si>
    <t>https://www.amazon.com/Zinus-Mattress-Fiberglass-Pressure-Certified/dp/B0CKYZCVXK?th=1</t>
  </si>
  <si>
    <t>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</t>
  </si>
  <si>
    <t>Fernando Canario</t>
  </si>
  <si>
    <t xml:space="preserve">Arte Video </t>
  </si>
  <si>
    <t>https://www.amazon.com/gp/product/B07P72ZB37/ref=ppx_yo_dt_b_search_asin_title?ie=UTF8&amp;th=10</t>
  </si>
  <si>
    <t>Wagner</t>
  </si>
  <si>
    <t>BATHROOM SINGLE 5</t>
  </si>
  <si>
    <t>Curtin Bath Rod</t>
  </si>
  <si>
    <t>https://www.amazon.com/AmazerBath-Bathroom-Adjustable-Segmented-Installation/dp/B0CLRRK69P/ref=sr_1_3_sspa?crid=1FQU0DJL8LMZQ&amp;keywords=B07WQV896S&amp;qid=1743561511&amp;sprefix=b07wqv896s%2Caps%2C108&amp;sr=8-3-spons&amp;sp_csd=d2lkZ2V0TmFtZT1zcF9tdGY&amp;th=1</t>
  </si>
  <si>
    <t>Curtin Bath Hook</t>
  </si>
  <si>
    <t>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</t>
  </si>
  <si>
    <t>Shower Curtin</t>
  </si>
  <si>
    <t>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</t>
  </si>
  <si>
    <t>Shower Curtin Linear</t>
  </si>
  <si>
    <t>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</t>
  </si>
  <si>
    <t xml:space="preserve">Toilet Brush </t>
  </si>
  <si>
    <t>https://www.ikea.com/us/en/p/bolmen-toilet-brush-holder-white-40574435/</t>
  </si>
  <si>
    <t>Lixinho</t>
  </si>
  <si>
    <t>https://www.ikea.com/us/en/p/snoerpa-pedal-bin-stainless-steel-10511208/</t>
  </si>
  <si>
    <t>Quadros Pack 2</t>
  </si>
  <si>
    <t>Secador de Cabelo</t>
  </si>
  <si>
    <t>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</t>
  </si>
  <si>
    <t>Soap Dispenser</t>
  </si>
  <si>
    <t>Tooth Brush Holder</t>
  </si>
  <si>
    <t>Suporte de Toalha</t>
  </si>
  <si>
    <t>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</t>
  </si>
  <si>
    <t>Vasinhos Pack 5</t>
  </si>
  <si>
    <t>https://www.amazon.com/gp/product/B09B9P9M8L/ref=ppx_yo_dt_b_search_asin_title?ie=UTF8&amp;th=1</t>
  </si>
  <si>
    <t>Tapetes Kit</t>
  </si>
  <si>
    <t>Toalhas Grande - 6pk</t>
  </si>
  <si>
    <t>Toalhas Media - 12pk</t>
  </si>
  <si>
    <t>Toalhas Pequena - 24pk</t>
  </si>
  <si>
    <t xml:space="preserve">Toalha de Piscina </t>
  </si>
  <si>
    <t>Box de vidro</t>
  </si>
  <si>
    <t>Instalação de Box de vidro</t>
  </si>
  <si>
    <t>Suporte toalha Banheiros - Barra</t>
  </si>
  <si>
    <t>B017C0H0ZI</t>
  </si>
  <si>
    <t>Suporte toalha Banheiros - Hook</t>
  </si>
  <si>
    <t>B017C13ZTM</t>
  </si>
  <si>
    <t>Suporte Papel higienico</t>
  </si>
  <si>
    <t>B017C13ZG0</t>
  </si>
  <si>
    <t>Instalação suporte de toalha e papel</t>
  </si>
  <si>
    <t>BATHROOM DUPLO 3</t>
  </si>
  <si>
    <t>B07WQV896S</t>
  </si>
  <si>
    <t>B0BZ3JDZ6M</t>
  </si>
  <si>
    <t>B07RGQQ3LG</t>
  </si>
  <si>
    <t>https://www.amazon.com/YellyHommy-Curtain-Bathroom-Curtains-Plastic/dp/B0BZ4M6Y9C/ref=sr_1_1_sspa?crid=1URUZCR5ODAPY&amp;keywords=B08BZFRQLS&amp;qid=1694834570&amp;s=home-garden&amp;sprefix=%2Cgarden%2C177&amp;sr=1-1-spons&amp;sp_csd=d2lkZ2V0TmFtZT1zcF9hdGY&amp;th=1</t>
  </si>
  <si>
    <t>B082KP92DF</t>
  </si>
  <si>
    <t>Toilet Brush</t>
  </si>
  <si>
    <t>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</t>
  </si>
  <si>
    <t>Toalha de Piscina - Individual</t>
  </si>
  <si>
    <t>LANAI</t>
  </si>
  <si>
    <t>Almofada espreguicadeira Cover</t>
  </si>
  <si>
    <t>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</t>
  </si>
  <si>
    <t xml:space="preserve">Insert almofada espreguicadeira </t>
  </si>
  <si>
    <t>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</t>
  </si>
  <si>
    <t>Almofada Sofa Cover</t>
  </si>
  <si>
    <t>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</t>
  </si>
  <si>
    <t xml:space="preserve">Almofada Sofa insert </t>
  </si>
  <si>
    <t>https://www.amazon.com/MIULEE-Waterproof-Decorative-Resistant-Hypoallergenic/dp/B0DGL75K37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</t>
  </si>
  <si>
    <t>Grama</t>
  </si>
  <si>
    <t>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</t>
  </si>
  <si>
    <t>Ramon</t>
  </si>
  <si>
    <t>Conjunto Sofá</t>
  </si>
  <si>
    <t>Deco Coffee Table</t>
  </si>
  <si>
    <t>Deco Mesa jantar</t>
  </si>
  <si>
    <t>Escadas</t>
  </si>
  <si>
    <t>Vasinhos</t>
  </si>
  <si>
    <t>Espreguicadeira</t>
  </si>
  <si>
    <t>https://www.wayfair.com/outdoor/pdp/wade-logan-caggiano-7756-long-reclining-chaise-lounges-w005616407.html?piid=1113835958</t>
  </si>
  <si>
    <t>Mesa de jantar + 8 Cadeiras</t>
  </si>
  <si>
    <t>Lark Manor Alyah 8 - Person Rectangular Extendable Outdoor Dining Set &amp; Reviews | Wayfair</t>
  </si>
  <si>
    <t>Whiteline</t>
  </si>
  <si>
    <t>Cadeira mesa de jantar</t>
  </si>
  <si>
    <t xml:space="preserve">DAC1677-GRY
</t>
  </si>
  <si>
    <t>Sofa Concha</t>
  </si>
  <si>
    <t>https://www.vigfurniture.com/patio/renava-cocoon-mini-outdoor-beige-wicker-lounge-bed.html</t>
  </si>
  <si>
    <t>Banqueta Pack 2</t>
  </si>
  <si>
    <t>https://www.wayfair.com/outdoor/pdp/corrigan-studio-patio-bar-stool-with-cushion-w008317995.html?piid=1136818852</t>
  </si>
  <si>
    <t>Parede de Grama</t>
  </si>
  <si>
    <t>Parede de Grama Instalação</t>
  </si>
  <si>
    <t>Fechamento de porta Drywall</t>
  </si>
  <si>
    <t>Refletores 2 Pack</t>
  </si>
  <si>
    <t>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</t>
  </si>
  <si>
    <t>Refletores Instalação</t>
  </si>
  <si>
    <t>Lowes</t>
  </si>
  <si>
    <t>Ventilador</t>
  </si>
  <si>
    <t>https://www.lowes.com/pd/Breezary-65-in-Satin-Nickel-Color-changing-Indoor-Ceiling-Fan-with-Light-and-Remote-8-Blade/5015042515</t>
  </si>
  <si>
    <t>Ventilador Instalação</t>
  </si>
  <si>
    <t>Bóias para piscina</t>
  </si>
  <si>
    <t>https://www.amazon.com/Disney-Mickey-Mouse-Float-GoFloats/dp/B091SPHL33/ref=sr_1_4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-4&amp;th=1</t>
  </si>
  <si>
    <t>https://www.amazon.com/Umbresen-Swimming-Inflatable-Floaties-Supplies/dp/B0B2LFTT5N/ref=sr_1_7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-7&amp;th=1</t>
  </si>
  <si>
    <t>Quadro área externa</t>
  </si>
  <si>
    <t>Vaso completo</t>
  </si>
  <si>
    <t xml:space="preserve">Tela de Led </t>
  </si>
  <si>
    <t xml:space="preserve">Summer Kitchen </t>
  </si>
  <si>
    <t>GAME ROOM - LOFT MARIOS BROS</t>
  </si>
  <si>
    <t>High Table</t>
  </si>
  <si>
    <t>Sofa</t>
  </si>
  <si>
    <t>688Beige-Sec5B</t>
  </si>
  <si>
    <t>Frigobar Vermelho</t>
  </si>
  <si>
    <t>https://www.amazon.com/BANGSON-Fridge-Freezer-Refrigerator-Bedroom/dp/B09VNXL17Q/ref=sr_1_2_sspa?crid=1RLIHBA5B9BX6&amp;dib=eyJ2IjoiMSJ9.DzcsUgsFsZM2sLILxc5jGw5c1NukYkPfyMpzoEclJF9Uo4amz9Z__aDi0jhyC1DUB-_3AMRBUxiCN1klqIhUbg7csRz1_-aSQQMwgTEWvOTxGD8eBcmqcl8dblD3LIgIQxfg5v9K2NmPGQ-Q14n8HiIj9netX-3Qe_-3DE37XmYiGjo__vnjZckMrTwmGWvuTI7jPnLBejo737MKdDgQr93vakgVWzTtVvGWdfrpor4.tTruCvtMJYHWGWYWAunQr1Xlz9lV9_NqehTONPssliQ&amp;dib_tag=se&amp;keywords=frigidaire%2Bred&amp;qid=1764377601&amp;sprefix=frigidaire%2Bred%2Caps%2C147&amp;sr=8-2-spons&amp;sp_csd=d2lkZ2V0TmFtZT1zcF9hdGY&amp;th=1</t>
  </si>
  <si>
    <t>Banqueta Vermelha Pack 2</t>
  </si>
  <si>
    <t>https://www.amazon.com/FDW-Counter-Height-Leather-Adjustable/dp/B0DSKXYTDQ/ref=sr_1_42?crid=1B0H2FJKCSNQK&amp;dib=eyJ2IjoiMSJ9.UWUfRV_RYHwckJK6GTQBk-vEdWUgl_bNCmyDuXesN0gSRnD6gOOd2J-GfoWnUxb30UaO2ADAUodE3Y7yQQeGpp64YGPsmfYEMsWER-LZe-HwsS0-NUIgMZZPWL2Ic3_GxUs80_g358oSkaA1MSjBwvvxVXCtNQ4IECuFGXUBHaTdbozWZOx42jRswYEV87iJ2ngF0tJeg3ZckLWhaMPsSKzNTcrcFY6zLluBjtIUT8bYzDUaZrBfs3ZWPtYfBn0nHfOk3h3grO7DC04CbFIXFXFOSzey0Ia0s_6PzTHV4gQ.31_kHwu-m25eLPU4Y8KF5DXDb1sh8mx3hALpWl2TdIA&amp;dib_tag=se&amp;keywords=counter%2Bstool%2Bred&amp;qid=1764377673&amp;sprefix=counter%2Bstool%2Bred%2Caps%2C136&amp;sr=8-42&amp;th=1</t>
  </si>
  <si>
    <t>Carpete</t>
  </si>
  <si>
    <t>https://www.amazon.com/gp/product/B0D7HLZD2H/ref=ppx_yo_dt_b_search_asin_title?ie=UTF8&amp;th=1</t>
  </si>
  <si>
    <t>Arcade Cinema</t>
  </si>
  <si>
    <t>https://www.amazon.com/gp/product/B08L58DVCJ/ref=ppx_yo_dt_b_search_asin_title?ie=UTF8&amp;th=1</t>
  </si>
  <si>
    <t>Arcade Mario</t>
  </si>
  <si>
    <t>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</t>
  </si>
  <si>
    <t>Suporte TV Arcade</t>
  </si>
  <si>
    <t>Kids Table</t>
  </si>
  <si>
    <t>https://www.amazon.com/Costzon-Activity-Classroom-Playroom-Furniture/dp/B0B6VM1PMY/ref=sr_1_50_sspa?crid=BJF8ZXA0SQLU&amp;dib=eyJ2IjoiMSJ9.JshEax0rzhoQWY3KtbH1Tg3yYs5S2EEW-SJs8O-LtcA69K6x3p6dubfRIcjRAc82DgNLTP3kmIJZWOSvYsSh2h20LmdluSOm75HiyOwp_bRsLWaTtU_k47g4XsgnqxvUxbObppAY_LS3otsS3hiDhInO9tNmj9NOowj1a7MDTgj1XBAO80h02So-VNd-1znGbi4iyC_aHRXm2w78dlsrTf8D0UexyPpXgQYzUby7mlI5C0Sus5LgwR9kroLqyeMDSoTZX9FZL00hT8KA9UQ9TKhBA5wraWZ3rdIO2S7fvuA.AJ2-UYba7d2Em03h1RE4BxgGCN3EZYfN2Y3mr9XJepU&amp;dib_tag=se&amp;keywords=Kids%2BTable&amp;qid=1763351465&amp;sprefix=kids%2Btabl%2Caps%2C154&amp;sr=8-50-spons&amp;xpid=LLM-89DXdIuSS&amp;sp_csd=d2lkZ2V0TmFtZT1zcF9tdGY&amp;th=1</t>
  </si>
  <si>
    <t>Cozinha</t>
  </si>
  <si>
    <t>https://www.amazon.com/ROBUD-Toddlers-Realistic-Accessories-Features/dp/B0CWL9NKQW/ref=sxin_16_pa_sp_search_thematic-asin_sspa?content-id=amzn1.sym.9d434705-1b7e-4771-9e2b-12ee15160dbd%3Aamzn1.sym.9d434705-1b7e-4771-9e2b-12ee15160dbd&amp;crid=PVHRBOS2SIVQ&amp;cv_ct_cx=Kids%2Bkitchen&amp;keywords=Kids%2Bkitchen&amp;pd_rd_i=B0CWL9NKQW&amp;pd_rd_r=7eb2b429-ff66-4b76-b041-093114a7934f&amp;pd_rd_w=62htx&amp;pd_rd_wg=lSRKf&amp;pf_rd_p=9d434705-1b7e-4771-9e2b-12ee15160dbd&amp;pf_rd_r=3RBFE7P3ST5S9ZB46KJF&amp;qid=1763351649&amp;sbo=RZvfv%2F%2FHxDF%2BO5021pAnSA%3D%3D&amp;sprefix=kids%2Bkitchen%2Caps%2C196&amp;sr=1-5-81b96d55-037b-4f7e-b551-051825564156-spons&amp;ufe=app_do%3Aamzn1.fos.9fe8cbfa-bf43-43d1-a707-3f4e65a4b666&amp;aref=65GVle2lIW&amp;sp_csd=d2lkZ2V0TmFtZT1zcF9zZWFyY2hfdGhlbWF0aWM&amp;th=1</t>
  </si>
  <si>
    <t>Feirinha</t>
  </si>
  <si>
    <t>https://www.amazon.com/HONEY-JOY-30-Piece-Register-Children/dp/B0FPCVTJ8T/ref=sr_1_12_sspa?crid=36VEFPX6T5ESG&amp;dib=eyJ2IjoiMSJ9.jD8ORRds2WijnfnbhNS8hWdgVNnatjzUKn2m_6qnbcKygREi8Lvrz9hxcm4krRi4yHCZCc2d0pSFug-H71jKXrorif7-4VVoJnAJktADR1GxTcBx9YY4xdq8WhUBfHlz1lK7MwPuHkprBBLglsIFxK69uWr5qp0oa8RHpLLuJfMyhLLwUOnAE7fwZp6BswFjsIgN3QEVcqMLbPZTaJ9Io_KcHoHgc51QJ-nsIoH-CA3-czb8g9C7usj4Auj08C3zi950_8RBGEtuynI9ZsMwbOH62OznmwWofCipt32J8m8.5cH92TNJsbuBCJGgwyrmuB-uUscGe8WtcD8cjR7hmIM&amp;dib_tag=se&amp;keywords=market%2Bkids&amp;qid=1763351854&amp;sprefix=market%2Bkids%2Caps%2C152&amp;sr=8-12-spons&amp;sp_csd=d2lkZ2V0TmFtZT1zcF9tdGY&amp;th=1</t>
  </si>
  <si>
    <t>Blocos de espuma</t>
  </si>
  <si>
    <t>https://www.amazon.com/Retardant-Trampoline-Gymnastics-Skateboard-Playground/dp/B0C9ZYL2X3/ref=sr_1_10?crid=99CL5EEGR7EZ&amp;dib=eyJ2IjoiMSJ9.ptJZjR_Gq37E1KicOvNKnm9_ma62Qg22rB1XuM8Q6BnOFMNvfH42SnDpPzzSlAKMVzbb4msgt5Ikl-lSarE26tZooLjoF8JvEG4nrI_pef9UtbbMlSKDurdfuVMnlcyleP84hwoJ6OyBBkygPNXyKzAt1rI7V7E4IO8ft7WGd3uhvUjKwZhj6kxamai2vbkJMJ4Tb8LDbg-y2Zu1POtj8P6A-xDZRPZXoGA0ZbiGM8rxi4Aa1KlkvrbjJ4NCWKksf69d8PDXIol697N8MAkhPtpeg7feOXbjtMX_t245tH8.M9uhkBb8peDtmYQb50sYVZQ71sjI51gu_SDzszbMh7s&amp;dib_tag=se&amp;keywords=foam%2Bpit%2Bcube&amp;qid=1764378557&amp;sprefix=foam%2Bpit%2Bcube%2Caps%2C126&amp;sr=8-10&amp;th=1</t>
  </si>
  <si>
    <t>Facebook</t>
  </si>
  <si>
    <t>Pinball</t>
  </si>
  <si>
    <t>https://www.facebook.com/marketplace/item/1019248543131244/?ref=search&amp;referral_code=null&amp;referral_story_type=post&amp;tracking=browse_serp%3A446d04c8-aba7-4526-80d2-279853801513</t>
  </si>
  <si>
    <t>At Games</t>
  </si>
  <si>
    <t>https://www.atgames.us/products/legends-ultimate</t>
  </si>
  <si>
    <t>Billiar Table</t>
  </si>
  <si>
    <t>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</t>
  </si>
  <si>
    <t>Chopeira</t>
  </si>
  <si>
    <t>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</t>
  </si>
  <si>
    <t>Barril de Chopp</t>
  </si>
  <si>
    <t>Mesa de Poker</t>
  </si>
  <si>
    <t>Cadeira mesa Poker</t>
  </si>
  <si>
    <t>966Black-C</t>
  </si>
  <si>
    <t>SAIU DE LINHA</t>
  </si>
  <si>
    <t>Hockey Table</t>
  </si>
  <si>
    <t>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</t>
  </si>
  <si>
    <t xml:space="preserve">FoosBall Table </t>
  </si>
  <si>
    <t>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</t>
  </si>
  <si>
    <t>Maquina Arcade Moto</t>
  </si>
  <si>
    <t>Sofa Cinema</t>
  </si>
  <si>
    <t>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</t>
  </si>
  <si>
    <t>Jogo da velha</t>
  </si>
  <si>
    <t>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</t>
  </si>
  <si>
    <t>Cabinets</t>
  </si>
  <si>
    <t>Video Game - PS5</t>
  </si>
  <si>
    <t xml:space="preserve">TV 75" </t>
  </si>
  <si>
    <t xml:space="preserve">Arandela </t>
  </si>
  <si>
    <t>Pegar Ana Castela</t>
  </si>
  <si>
    <t>Frigobar</t>
  </si>
  <si>
    <t>https://www.amazon.com/gp/product/B07LDWLNVF/ref=ppx_yo_dt_b_search_asin_title?ie=UTF8&amp;psc=1</t>
  </si>
  <si>
    <t>Pipoqueira</t>
  </si>
  <si>
    <t>https://www.amazon.com/82515-Theater-Popcorn-Machine-Nonstick/dp/B01HRGJE88/ref=sr_1_20?dib=eyJ2IjoiMSJ9.Yn8jVg99JLfmcm695qDWg5ZhQ_xVEjVfX17KU570gYy8b652u98IGCaslM4yJlLNR8MY0yBTXBKMhziTvJpwMPdX01WWD_tq18FV1YRGTZ0f9N-A3zmEcWjWeEv-8-eopmee0lcVThPGkRTHO61ml44j3dTnFKKL0i-Xt7E6zZ3MjRSUtTRUjJeeXOOaXU4PmJWpUrngyQa9DDnLTp1_u3nM8QVf72K9XPg3jGeqsR4.1lNkeSeCqNqNy63P7-sIbS8xptGorE9V4ax7K07KPxQ&amp;dib_tag=se&amp;keywords=popcorn%2Bmachine&amp;qid=1764378838&amp;sr=8-20&amp;th=1</t>
  </si>
  <si>
    <t>Pipoca</t>
  </si>
  <si>
    <t>Saquinho de pipoca</t>
  </si>
  <si>
    <t>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</t>
  </si>
  <si>
    <t>Controle de Video Game</t>
  </si>
  <si>
    <t xml:space="preserve">Game Chair </t>
  </si>
  <si>
    <t>https://www.amazon.com/GTPLAYER-Computer-Footrest-Adjustable-360%C2%B0-Swivel/dp/B0FFGSFKBQ/ref=sr_1_4_sspa?crid=1KIPUSC7IL2PG&amp;dib=eyJ2IjoiMSJ9.HT9IefGViXtHmx89WpnN_6IaKqzzZ1wAPzHN6SrDm0cgaEdsKS9rQ6IJsMsbQK0LDYzhjkEdOqgnG189D6sriFtqQK1x6NaWfFNQ4t0yIBXMFAM4g2Azp8GBpCpDsyTA_XI0r6wBiyNAQ-sBMEXRGvYAoKC5Ig2dgk9l0K3F5nN-7YMH60ZhA4tZpwLimQE7w76t_ZBJkZSnYFSAYGoB-xdoAvRUjTzgulYhuVeEWMv9jTKTyDwkHYKF1xeP69ggxgysA4DR0ZV0BFzxeSR0YWsuFCAe8cTNc7bE77LNTPA.h8lmDWcdtZDti0TA78h4RcllnoCiX_MmhJqGfiu1MAA&amp;dib_tag=se&amp;keywords=Game%2Bchair&amp;qid=1764379198&amp;sprefix=game%2Bchair%2Caps%2C153&amp;sr=8-4-spons&amp;sp_csd=d2lkZ2V0TmFtZT1zcF9hdGY&amp;th=1</t>
  </si>
  <si>
    <t>Decor Luzes vermelha e verde</t>
  </si>
  <si>
    <t>B08887V17D</t>
  </si>
  <si>
    <t>Mickey Medium</t>
  </si>
  <si>
    <t>https://www.disneystore.com/mickey-mouse-plush-medium-17-34-412312273353.html</t>
  </si>
  <si>
    <t>Minnie Medium</t>
  </si>
  <si>
    <t>https://www.disneystore.com/minnie-mouse-plush-red-medium-17-34-412312273438.html</t>
  </si>
  <si>
    <t>Pluto Medium</t>
  </si>
  <si>
    <t>https://www.disneystore.com/pluto-plush-medium-13-34-412312273766.html?isProductSearch=1&amp;searchType=regular</t>
  </si>
  <si>
    <t>Pateta Medium</t>
  </si>
  <si>
    <t>https://www.disneystore.com/goofy-plush-medium-18-12-412312273841.html?isProductSearch=1&amp;searchType=regular</t>
  </si>
  <si>
    <t>Donald Medium</t>
  </si>
  <si>
    <t>https://www.disneystore.com/donald-duck-plush-medium-15-34-412312273926.html?isProductSearch=1&amp;searchType=regular</t>
  </si>
  <si>
    <t>Margarida Medium</t>
  </si>
  <si>
    <t>https://www.disneystore.com/daisy-duck-plush-medium-13-412312274008.html?isProductSearch=1&amp;searchType=regular</t>
  </si>
  <si>
    <t>Universal Store</t>
  </si>
  <si>
    <t>Mario Plush</t>
  </si>
  <si>
    <t>https://shop.universalorlando.com/shop/shop-by-brands/super-nintendo-world/toys-490516-1/super-nintendo-world-medium-mario-plush-1346217</t>
  </si>
  <si>
    <t>Yoshi Plush</t>
  </si>
  <si>
    <t>https://shop.universalorlando.com/shop/shop-by-brands/super-nintendo-world/toys-490516-1/super-nintendo-world-medium-yoshi-plush-1358872</t>
  </si>
  <si>
    <t>Nintendo Store</t>
  </si>
  <si>
    <t>Donkey Kong Plush</t>
  </si>
  <si>
    <t>https://www.nintendo.com/us/store/products/donkey-kong-10-plush-107373/?srsltid=AfmBOooaLnudDwzOQpb6X-2cxcnX6TLKtkJETw3APJCXQviM6BN--ibM</t>
  </si>
  <si>
    <t>Almofada Mickey Cover Pack 2</t>
  </si>
  <si>
    <t>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</t>
  </si>
  <si>
    <t>Almofada Preta Cover Pack 2</t>
  </si>
  <si>
    <t>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</t>
  </si>
  <si>
    <t>Almofada Insert Pack 4</t>
  </si>
  <si>
    <t>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</t>
  </si>
  <si>
    <t>DSM</t>
  </si>
  <si>
    <t>Wallpaper Tematico</t>
  </si>
  <si>
    <t>Epoxi</t>
  </si>
  <si>
    <t>Ar Condicionado Kit</t>
  </si>
  <si>
    <t>Instalacao de Ar Condicionado</t>
  </si>
  <si>
    <t>Luminaria central Mickey</t>
  </si>
  <si>
    <t>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</t>
  </si>
  <si>
    <t>Luminaria central Mario</t>
  </si>
  <si>
    <t>Lampadas para Luminaria central</t>
  </si>
  <si>
    <t>Canaleta de led</t>
  </si>
  <si>
    <t>B07F923CXW</t>
  </si>
  <si>
    <t>Transformer LED</t>
  </si>
  <si>
    <t>B084MLRFBN</t>
  </si>
  <si>
    <t>https://www.amazon.com/gp/product/B07P72ZB37/ref=ppx_yo_dt_b_search_asin_title?ie=UTF8&amp;th=11</t>
  </si>
  <si>
    <t>Boneco Yoshi</t>
  </si>
  <si>
    <t>Arandela Bowser</t>
  </si>
  <si>
    <t>https://www.amazon.com/Outdoor-Exterior-Waterproof-Anti-Rust-Entryway/dp/B0CRQWLXYQ/ref=sr_1_14_sspa?crid=1BU962EDJUBBQ&amp;dib=eyJ2IjoiMSJ9.AtyH5dI8XG6ptGnWlCqpL7MttgbJ81I3_Su1DaAtrJ3vTynYYEc0wA_45PJ0Qtt1PjkbzUd9U0HbVhni4fMyV_gEC4jka7a908hj5ktSLyTm99a992LVpAlcNbMu5hbRYzw41YtoinGVNZICygX-fHXRNOgMj5mNSTSB2w0-It4xQJRhJaSSg0-2bEWlZC-X7oY9KZqnnvDp_ydUUD3r_uHjSNXEanldyycnViCUSpM7HGyJ94sf8ShIcU0kfnCZ96j_LTZMXxeRMqZR1ZiLFk15GyuWmhK_uq9vfSm7E74.K0pTeboKhDk4ug9tyHCrGztRJTIJl9l0L-W0hRVVlS4&amp;dib_tag=se&amp;keywords=sconce%2Bblack&amp;qid=1764379376&amp;sprefix=sconce%2Bblack%2Caps%2C160&amp;sr=8-14-spons&amp;sp_csd=d2lkZ2V0TmFtZT1zcF9tdGY&amp;th=1</t>
  </si>
  <si>
    <t>Poste</t>
  </si>
  <si>
    <t>https://www.amazon.com/Lightdot-Included-Waterproof-Aluminum-Replaceable/dp/B0DTHXRQKJ/ref=sr_1_97_sspa?crid=294CSZ1TDWS5W&amp;dib=eyJ2IjoiMSJ9.nIhFaciaY6P_hsFjLbuFj_UoDQcajSE7A9yP6yMSo62QItxuML4lBge49bTdKRMHaNqTsjnylJm7k4ItTh3KXb7pBm-Ek0idYs1YsAlKCfo.qnoqtbTSz7Du4qD4ydUENPNOQ6eTyhzM1qCUM7ugJ_I&amp;dib_tag=se&amp;keywords=lighting%2Bpole&amp;qid=1764379600&amp;sprefix=lighting%2Bpol%2Caps%2C156&amp;sr=8-97-spons&amp;xpid=bomKkrQ2Q8-Nl&amp;sp_csd=d2lkZ2V0TmFtZT1zcF9hdGZfbmV4dA&amp;th=1</t>
  </si>
  <si>
    <t>Arandela Castelo Princesa</t>
  </si>
  <si>
    <t>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</t>
  </si>
  <si>
    <t>Monitor para Biblioteca</t>
  </si>
  <si>
    <t>https://www.walmart.com/ip/KOORUI-22-FHD-100-Hz-Computer-Monitor-with-Speakers-S01-Black/2937398359?classType=VARIANT&amp;athbdg=L1800&amp;adsRedirect=true</t>
  </si>
  <si>
    <t xml:space="preserve">Fernando Canario </t>
  </si>
  <si>
    <t>Arte para monitor Biblioteca</t>
  </si>
  <si>
    <t xml:space="preserve">Monitor para bancada Pipoqueira </t>
  </si>
  <si>
    <t>https://www.walmart.com/ip/LG-32-Ultragear-Gaming-Monitor-32G60WA-B/13658407275?classType=REGULAR&amp;athbdg=L1200&amp;from=/search</t>
  </si>
  <si>
    <t>Arte para Monitor Bancada Pipoqueira</t>
  </si>
  <si>
    <t>https://www.amazon.com/Tic-Tac-Toe-Spinner-Panel/dp/B07CRPSFZ7/ref=sr_1_7?crid=3VUUL8NLJ8PJ4&amp;dib=eyJ2IjoiMSJ9.0pQS9IZceC0U7zAyVsYgyQM08rcwHtCGXT3g2Xq0-MOb91wxmoljTsDDztbaZ01CFGOkm9jFOzEjbaVjTe6JL5DSANKJ-oV84qcWbo4btsljrKukHzvf9Osa0QU8ms6aqApiT5IkNGdZ3zNoeQenlWW44h2GQqD0JW-HRyzz4tYLNufgqo2DgFnLWqSUcqhX25ytMxyorUpPD6r0I42Rx0sDgiEOHk1vbffbbrqB5xXIQoY_rrbVR6NZpdqEHfwq7E25ba_MuK5o9cFwoa2xOTLiP1rJCOmAJWsd_R13oFs.CdBlDtgESWWIJyIHv8ZC3Xgf2upQZpjg1zIBIIzu8iA&amp;dib_tag=se&amp;keywords=Tic+Tac+Toe+Spinner+Panel&amp;qid=1765732485&amp;sprefix=tic+tac+toe+spinner%2Caps%2C167&amp;sr=8-7</t>
  </si>
  <si>
    <t xml:space="preserve">Mao de Obra + Material Loft Game Room  </t>
  </si>
  <si>
    <t>Material Game Room Loft</t>
  </si>
  <si>
    <t xml:space="preserve">Mao de Obra Garagem </t>
  </si>
  <si>
    <t xml:space="preserve">Material Game Room Garagem </t>
  </si>
  <si>
    <t>Tapete decorativo</t>
  </si>
  <si>
    <t>B08H89ZT1F</t>
  </si>
  <si>
    <t>Decoração Dardo</t>
  </si>
  <si>
    <t>B075DJ8QKF</t>
  </si>
  <si>
    <t>Nightstand</t>
  </si>
  <si>
    <t>B0815VF4X4</t>
  </si>
  <si>
    <t>Telefone decorativo</t>
  </si>
  <si>
    <t>B08T2346ZB</t>
  </si>
  <si>
    <t>Elemento Mario</t>
  </si>
  <si>
    <t>B000V73JNW</t>
  </si>
  <si>
    <t>Suporte Tacos</t>
  </si>
  <si>
    <t>B079D4RMY1</t>
  </si>
  <si>
    <t>Tacos</t>
  </si>
  <si>
    <t>B092JQVRSZ</t>
  </si>
  <si>
    <t>Pintura Teto Vivian</t>
  </si>
  <si>
    <t>Piso de grama - material 20'x 21'</t>
  </si>
  <si>
    <t>Piso de grama - mão de obra</t>
  </si>
  <si>
    <t>Remoção wallpaper existente</t>
  </si>
  <si>
    <t>Nuvens decorativas</t>
  </si>
  <si>
    <t>Holofote Luz negra</t>
  </si>
  <si>
    <t>B07MDJ6S51</t>
  </si>
  <si>
    <t>GARAGEM PUB</t>
  </si>
  <si>
    <t xml:space="preserve">Frigobar </t>
  </si>
  <si>
    <t>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</t>
  </si>
  <si>
    <t>PRECISA SER CERVEJEIRA</t>
  </si>
  <si>
    <t>Bebida Frigobar</t>
  </si>
  <si>
    <t>Webstaurant Store</t>
  </si>
  <si>
    <t>Banqueta Vermelha - SImpsons</t>
  </si>
  <si>
    <t>https://www.webstaurantstore.com/lancaster-table-seating-crimson-double-ring-barstool-with-3-1-2-thick-seat/164GS605BCR.html</t>
  </si>
  <si>
    <t xml:space="preserve">Banqueta </t>
  </si>
  <si>
    <t>https://www.wayfair.com/furniture/pdp/corrigan-studio-kymberlynn-swivel-upholstered-low-back-bar-counter-stool-with-metal-frame-w100391215.html?piid=1912750044%2C1926543887</t>
  </si>
  <si>
    <t>Banana Decor</t>
  </si>
  <si>
    <t>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</t>
  </si>
  <si>
    <t>https://www.homedepot.com/pep/American-Art-Decor-Vintage-LED-Marquee-Wall-Decor-Retro-Wall-Sign-Bar-Decor-Man-Cave-Garage-Record-Town-10-x-30-172728WEB/334449448?g_store=&amp;source=shoppingads&amp;locale=en-US&amp;pla&amp;mtc=SHOPPING-BF-HDH-GGL-D59H-059_035_WALL_DECOR-NA-Multi-NA-PMAX-NA-RDC-NA-NA-NBR-NA-NA-NA-All_In_Subclass_PMAX&amp;cm_mmc=SHOPPING-BF-HDH-GGL-D59H-059_035_WALL_DECOR-NA-Multi-NA-PMAX-NA-RDC-NA-NA-NBR-NA-NA-NA-All_In_Subclass_PMAX-21273643652--&amp;gad_source=1&amp;gad_campaignid=21277626853&amp;gbraid=0AAAAADq61UcXPaUJL2aLgtdk8FsvH9HNx&amp;gclid=CjwKCAiAt8bIBhBpEiwAzH1w6azbRITep9lhKH-EJadw0bNpzELnIAlGllTa802OlWYjLN8YFHwyCBoCjxUQAvD_BwE&amp;gclsrc=aw.ds</t>
  </si>
  <si>
    <t>https://www.wayfair.com/outdoor/pdp/trinx-led-3d-marquee-game-room-light-up-arrow-vintage-sign-poker-chips-home-bar-man-cave-pub-wall-decor-w111790101.html</t>
  </si>
  <si>
    <t>Etsy</t>
  </si>
  <si>
    <t>https://www.etsy.com/listing/763599122/guinness-stout-pub-sign-12-solid-wood?gpla=1&amp;gao=1&amp;&amp;utm_source=google&amp;utm_medium=cpc&amp;utm_campaign=shopping_us_ps-a-home_and_living&amp;utm_custom1=_k_CjwKCAiAt8bIBhBpEiwAzH1w6WgtOwv01GkT7dutlLhKjyQhA5vHCufVjgdUnTVBDtr2TQxduwHwpRoC72sQAvD_BwE_k_&amp;utm_content=go_21500568237_167985819359_716809480267_pla-303628061699_c__763599122_110478201&amp;utm_custom2=21500568237&amp;gad_source=1&amp;gad_campaignid=21500568237&amp;gbraid=0AAAAADtcfRIbBsMcpXZbBfaSj1h2fEQHa&amp;gclid=CjwKCAiAt8bIBhBpEiwAzH1w6WgtOwv01GkT7dutlLhKjyQhA5vHCufVjgdUnTVBDtr2TQxduwHwpRoC72sQAvD_BwE</t>
  </si>
  <si>
    <t>https://www.amazon.com/Personalized-Custom-Business-Fathers-Husband/dp/B09H89PZCR/ref=sxin_15_sbv_search_btf?content-id=amzn1.sym.c8b39f81-ded8-4d75-80c2-6dfa03cbb699%3Aamzn1.sym.c8b39f81-ded8-4d75-80c2-6dfa03cbb699&amp;crid=1RA8QXCX3R78Y&amp;cv_ct_cx=pub%2Blighting%2Bdecor&amp;keywords=pub%2Blighting%2Bdecor&amp;pd_rd_i=B09H89PZCR&amp;pd_rd_r=0c46a450-abb6-4946-b07e-cc8d6297d980&amp;pd_rd_w=XdwQD&amp;pd_rd_wg=GUfpG&amp;pf_rd_p=c8b39f81-ded8-4d75-80c2-6dfa03cbb699&amp;pf_rd_r=WQPJW730Q4ECJX6EMGY3&amp;qid=1762830645&amp;sbo=RZvfv%2F%2FHxDF%2BO5021pAnSA%3D%3D&amp;sprefix=pub%2Blighting%2Bdec%2Caps%2C193&amp;sr=1-1-5190daf0-67e3-427c-bea6-c72c1df98776&amp;th=1</t>
  </si>
  <si>
    <t>Decor Cabeca Aussie</t>
  </si>
  <si>
    <t>https://www.amazon.com/TRABEATOGA-Life-size-Decoration-Sculpture-Taxidermy/dp/B0B9GTXJYC/ref=sr_1_3?crid=1HUHSG5HDZLBN&amp;dib=eyJ2IjoiMSJ9.AfF6xFgV1OBJUR1roeRKtBYjLcSQ5wvC1NkaZ0NzbBHc0dEh5zn74uP-LrG14hq5KYHf2YPJGIZb1bxwHt1TJL0JBtxb9yTeV7qdwSgRXhctbffDXT5BmN6KvoKSCQvAtU21Z9k24rMLh7ULBHfr0FoPpKSeNFV2en6nUdstZgBBxuur98CIOh2fY0GGzZoJ-NHLesH8WBTYPHGSNRORW4bAIKcUy0XTfoCM8T8swY27ri5ctHjGmOmsW6_EkdM4BY7JQiN7rVYlSLtyWkRIBke7oq8EFvB6vemxBEslMYg.42sOcAXEYhEtTT4dTrZKBjXiHH6QBmMHNvF9iss42lA&amp;dib_tag=se&amp;keywords=faux+moose+head&amp;qid=1764384971&amp;sprefix=faux+moose+head%2Caps%2C189&amp;sr=8-3</t>
  </si>
  <si>
    <t>https://www.amazon.com/KSANA-Pendant-Lights-Kitchen-Island/dp/B0DCNNPJSB/ref=sr_1_58?crid=1RE3C05ZPN5JO&amp;dib=eyJ2IjoiMSJ9.w00w26Qt2gVsM1KOKI0Nq_wK0U0WyrNwjQNSrBEG0HkCdNpsy1DBj4RdaocGeE56I8XGdpN9vR4L7pQaMRusCKFW0UE3aZNr5AEquoEWV6vqq0Up-ZRDBj4l-XPHH_jAEP3sbKbjaPRqAWcAnDefqKDG0enYchVQ729ML3HIbaMrWwP8--bRhDwETCovrdT-CCg4F7-bYGk1KZJQdzVd3n6T74r7yVRmgwWaChuopiIFtDk9UxusCJ-8CTHAniWRCfutOZFMVRlRBfS_SwBP7df3pK9pJWRpUZh_Z787HPc.X9DnrF7mdcOgEloHmJ8UQJG-HbCvGnfq-OrRjUn78fY&amp;dib_tag=se&amp;keywords=lighting%2Bpendant%2Bvintagee&amp;qid=1761615829&amp;sprefix=lighting%2Bpendant%2Bvintagee%2Caps%2C123&amp;sr=8-58&amp;th=1</t>
  </si>
  <si>
    <t>https://www.amazon.com/PERMO-Sconces-Classic-Textile-Hardwired/dp/B0F3V1K89H/ref=sr_1_97_sspa?crid=2FHFNYCQE9J9M&amp;dib=eyJ2IjoiMSJ9.oo5WtEuCAOo9klz9w-2dUjn7VEXxC6qngu3tpIkU_qasc4VrCvMt2XG6cU6DPIttQy6HZU8_9RMffK-XS0CnVuuRVo_arCht5_ivDxss_TE.RC8MSpMq3FUSJcxH2G6uYkjdWIQ3A7D719HgBpkYFxk&amp;dib_tag=se&amp;keywords=sconce%2Bgold&amp;qid=1761615028&amp;sprefix=sconce%2Bgol%2Caps%2C144&amp;sr=8-97-spons&amp;xpid=0-CT0goJilkl7&amp;sp_csd=d2lkZ2V0TmFtZT1zcF9hdGZfbmV4dA&amp;th=1</t>
  </si>
  <si>
    <t>Wallpaper To Go</t>
  </si>
  <si>
    <t>Wallpaper</t>
  </si>
  <si>
    <t>Verificar QTDD</t>
  </si>
  <si>
    <t>Verificar quantidade com Wudson</t>
  </si>
  <si>
    <t xml:space="preserve">Mesa Bilhar </t>
  </si>
  <si>
    <t>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</t>
  </si>
  <si>
    <t>B079Z16CNH</t>
  </si>
  <si>
    <t xml:space="preserve">TV 86" </t>
  </si>
  <si>
    <t>https://www.walmart.com/ip/86UA7500ZUA-AUSQ/14363012836?classType=REGULAR&amp;athbdg=L1300</t>
  </si>
  <si>
    <t>https://www.amazon.com/gp/product/B087YP24MS/ref=ppx_yo_dt_b_search_asin_title?ie=UTF8&amp;th=1</t>
  </si>
  <si>
    <t>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</t>
  </si>
  <si>
    <t xml:space="preserve">Luminaria central </t>
  </si>
  <si>
    <t xml:space="preserve">Mao de Obra + Material Garagem   </t>
  </si>
  <si>
    <t xml:space="preserve">Material Game Room </t>
  </si>
  <si>
    <t>https://www.amazon.com/EastPoint-Sports-Belmont-Bristle-Dartboard/dp/B07GDQWHH3/ref=sr_1_7?crid=2CTQ2LYRGITDZ&amp;dib=eyJ2IjoiMSJ9.jSph2FojnmfCnaGGbBu2DAGmHPvXc6PunkEerVXYPq506oDwCDwD62ovJtTEy0s3RwNMxgylGYg_ARoWWETQuFt3xugAQw3fZ96cSjkAOm4bkVtHTjqsoWKQvfMn4k6lEnHAVR4kUtgQIqZwN9Uqmpbw63HD1gCFx0-UMbc3F4fzEyxw6jOL4hZK372HX4A6m6beEH_P_fj_JcEtoNqDWlyVQyiiPFyMowVNvHGkw2CErmyo42OwvhTIzugGAWSxhWfNxLYOBKhBqeZCrm8G0TfFPDJbceiTOGZ8orgr3Wo.N0mhChwX1aw3tkWTI_Q132-ARX4GI56ztDPAMeir_X0&amp;dib_tag=se&amp;keywords=dardo%2Bprofessional&amp;qid=1764384370&amp;sprefix=dardo%2Bprofessional%2Caps%2C109&amp;sr=8-7&amp;th=1</t>
  </si>
  <si>
    <t>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</t>
  </si>
  <si>
    <t xml:space="preserve">Acessorios Bilhar </t>
  </si>
  <si>
    <t>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</t>
  </si>
  <si>
    <t>Abridor de garrafa Decor</t>
  </si>
  <si>
    <t>https://www.amazon.com/Billiard-Mounted-Boyfriend-Billiards-Accessories/dp/B0CZ3C7QYD/ref=sr_1_37?crid=35IIIH3SNI46R&amp;dib=eyJ2IjoiMSJ9.zO2ZEkuYY1cd0Nq-mv5P0OMVrMQz0E8ZD1aVzkw9bBSt-4o4Cqp7dihCABlaq8bnDT_HDvN4sRjyBMuaxInvS6O3ad808wToIkvMjOfo3NHXvGqvTjPYiWuLryrEQFd9E0VVZnHVe12PuxgJgzsnpgKWKL8Bp9QExzu8EZRwr2boeSS6OrvXtVsWF7G4Bty0YEZUHWNbBMGbtqJT3drUag3Ac7LGUgx5oPZMS7ThR54qFWTzXjVBBqy-hyLZmLDfp8TPIab5t2TpBiRk7naeuGjhJqQE33sqebMXhtSyLDg.4ImvtiLj6KB1dIpbk7lKawlwKDYpLO9tt-2YcO5pVok&amp;dib_tag=se&amp;keywords=billiard%2Baccessories&amp;qid=1758555368&amp;sprefix=billiard%2Baccessories%2Caps%2C147&amp;sr=8-37&amp;th=1</t>
  </si>
  <si>
    <t>Nivelamento Piso Material + mao de obra</t>
  </si>
  <si>
    <t>Valor passado pelo Wudson</t>
  </si>
  <si>
    <t>Material Piso</t>
  </si>
  <si>
    <t>Valor estimado pelo Wudson</t>
  </si>
  <si>
    <t xml:space="preserve">Adega Climatizada </t>
  </si>
  <si>
    <t>https://www.amazon.com/Whynter-BWR-1002SD-Compressor-Refrigerator-Stainless-Steel/dp/B079YZP2VW/ref=sr_1_5?crid=2FGCMQHQC1P5W&amp;dib=eyJ2IjoiMSJ9.oEYwBuf5rsLrBgqNI7IEvbgB8QXVDIfmEiIxujvmU4KT27GidIqonWBMvQ-xyC1Ou6Ukk1klazhrjPXBs2kpMSEXasPFDpbTGzPuf0bKaTnltCA1OUXHnU6pqEG1fcSwDdLCyoQ66gbNAT3eNjJal8b_Cq_FNNJePBYyhsi3996_PHXrhjYrGXPL0VGja60xVMVdYmn0y4XXR3LkOhRTtPFUH6BqxtXaONIro0gvZ7U._aitP4vgjnT6kSl7LXUtRGglNQt4mnqVOLOmxHS8UZE&amp;dib_tag=se&amp;keywords=wine%2Bfridge%2B100%2Bbottle&amp;qid=1758313719&amp;sprefix=wine%2Bfridge%2B100%2Caps%2C136&amp;sr=8-5&amp;th=1</t>
  </si>
  <si>
    <t>Montagem mesa de bilhar</t>
  </si>
  <si>
    <t>Valor passado pela Mitali</t>
  </si>
  <si>
    <t>Cabides Pack 100</t>
  </si>
  <si>
    <t>B0DCHF7JYD</t>
  </si>
  <si>
    <t>Cortinas</t>
  </si>
  <si>
    <t>407 Decor</t>
  </si>
  <si>
    <t>Painel PVC</t>
  </si>
  <si>
    <t>Instalacao Painel PVC</t>
  </si>
  <si>
    <t>Instalacao Cortina</t>
  </si>
  <si>
    <t>Licenças - fechamento garagem Paradiso</t>
  </si>
  <si>
    <t>Roteador Kit</t>
  </si>
  <si>
    <t>Ikea Delivery Charge</t>
  </si>
  <si>
    <t>Vanderlei - Colchao</t>
  </si>
  <si>
    <t xml:space="preserve">Shipping </t>
  </si>
  <si>
    <t>Gio</t>
  </si>
  <si>
    <t>Material Cola Wallpaper</t>
  </si>
  <si>
    <t>Material de obra</t>
  </si>
  <si>
    <t>Material para cobrir carpete</t>
  </si>
  <si>
    <t>Mão de obra - Touch Up</t>
  </si>
  <si>
    <t>Instalação Cortina</t>
  </si>
  <si>
    <t>Juliana Villa Party</t>
  </si>
  <si>
    <t>Café</t>
  </si>
  <si>
    <t>Fotografo</t>
  </si>
  <si>
    <t>Foto e Video 9BED</t>
  </si>
  <si>
    <t>Foto e Video 10BED</t>
  </si>
  <si>
    <t>Foto e Video 12BED</t>
  </si>
  <si>
    <t>Foto e Video 15BED</t>
  </si>
  <si>
    <t>Limpeza e Inventario 9BED</t>
  </si>
  <si>
    <t>Limpeza e Inventario 10BED</t>
  </si>
  <si>
    <t>Limpeza e Inventario 12BED</t>
  </si>
  <si>
    <t>Limpeza e Inventario 15BED</t>
  </si>
  <si>
    <t xml:space="preserve">Personagem </t>
  </si>
  <si>
    <t xml:space="preserve">Comissao 10% </t>
  </si>
  <si>
    <t>Vivi/Rodrigo</t>
  </si>
  <si>
    <t>Sob medida</t>
  </si>
  <si>
    <t>Ingrid</t>
  </si>
  <si>
    <t>Jogo de talheres Pack 8</t>
  </si>
  <si>
    <t>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</t>
  </si>
  <si>
    <t>ok</t>
  </si>
  <si>
    <r>
      <rPr>
        <rFont val="Arial"/>
        <color rgb="FF1155CC"/>
        <sz val="10.0"/>
        <u/>
      </rPr>
      <t>https://www.amazon.com/gp/product/0847836797/ref=ppx_yo_dt_b_search_asin_title?ie=UTF8&amp;psc=1</t>
    </r>
    <r>
      <rPr>
        <rFont val="Arial"/>
        <color theme="1"/>
        <sz val="10.0"/>
      </rPr>
      <t>1</t>
    </r>
  </si>
  <si>
    <t>https://www.wayfair.com/decor-pillows/pdp/ebern-designs-gabrielle-rectangle-ps-leaning-mirror-wall-mirror-with-wide-frame-w110561832.html</t>
  </si>
  <si>
    <t>Bedroom 02 Frozen</t>
  </si>
  <si>
    <t>Piscina de espuma - Azul Claro</t>
  </si>
  <si>
    <t>https://www.amazon.com/dp/B0F9XZBLLJ/ref=twister_B0FJ245Z1V?_encoding=UTF8&amp;th=1</t>
  </si>
  <si>
    <t>https://www.amazon.com/gp/product/B0CZ81NXYZ/ref=ppx_yo_dt_b_search_asin_title?ie=UTF8&amp;th=1</t>
  </si>
  <si>
    <t>Bedroom 04  Minions</t>
  </si>
  <si>
    <t>https://www.amazon.com/Franco-Bedding-Super-Comforter-Minions/dp/B08N5ZZMLC/ref=sr_1_1_sspa?crid=3SSTFMAJDSEYG&amp;dib=eyJ2IjoiMSJ9.c7Arb9aLrwSljrHk4XSy0_VVp_19U3kNEuMu2DE-eBRs5aF66QITSU2zYPuO9OnkwCaylpQuxXwNElXuqVtRKtXo3LWgLa2i8hwTjby3nR7sv1nslL0uPSrY781QvLQrKOKKZcW9UzEIwd6NVYY6EfOSlAkYgI4PQcmcj-SEnxjiLk6Dcd5o5coqqDE3-dLw4rRq_lRNnta_YrVILO2svCCV76HNzqw164z4obOFFZlkQCAvMyFb8ct3FR_qAENDIYyIQdgizWiDd8wZO8YrFy0a2gmdKN5I5AqsdiDlqus.o7PJg1zRKZ7qpuUGU4ftNvfQprfgp7dwJ7yTtTVNn7I&amp;dib_tag=se&amp;keywords=comforter%2Bminions&amp;qid=1757875749&amp;sprefix=comforter%2Bminions%2Caps%2C147&amp;sr=8-1-spons&amp;sp_csd=d2lkZ2V0TmFtZT1zcF9hdGY&amp;th=1</t>
  </si>
  <si>
    <t>Universal Studios</t>
  </si>
  <si>
    <t>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</t>
  </si>
  <si>
    <t>https://www.amazon.com/dp/B00MW50B6Y/ref=twister_B0CYCRVKD1?_encoding=UTF8&amp;th=1</t>
  </si>
  <si>
    <t xml:space="preserve"> Bedroom 05 King CINZA</t>
  </si>
  <si>
    <t>Bedroom 06 Full Avengers</t>
  </si>
  <si>
    <t>https://www.amazon.com/Storkcraft-Santos-Drawer-Dresser-Midnight/dp/B0CSJ9Z7TS/ref=sr_1_6?crid=387PZ6HTALC24&amp;dib=eyJ2IjoiMSJ9.tOzjDVpMpZFbdOMGVcF5v0W-r2RCArAeVwFI9dkcaR76kWoXOGGN8XIw2zsmPHK8SlshCh6F4OlIIrCxGqSWjX_y0FoRz0-mlqd0vj-uPUwBXjfyf7JJ58CQIGVtkwj_lZrqmFVTeZ2H99YsO8ejODXXVpNi7RU0Z83nfEgWCAk3NyMsLayxx8Fsi6SxrvOa33lNEvtSrGM_P3u6ZbFAU-XbtaXimSw_n3pgX7Oi5WCrYOgYCjxEYucV6xLDlUmp4G-v5rfVGXvA6DJ4Oy2PunM7lyKh-UJdAmqnJWatPmDTtvST4wCIcr2RCNCERD2kYagZyDZb-zBHZ5SjcA2_o6STkWGDwAjpHF0gmis0qR6yousia8w_9l9CC6e0UQ4oF5eNdMG1V52K6nqWj-6PWM3ZF2htOj0wVFplT3iBC8bk4HKLiAke69u1hVrgtx5B.3rVlDEm0tp7bgM9Nw8BCX_1TfgfStQfktQJ30iG0VPQ&amp;dib_tag=se&amp;keywords=Blue%2Bdresser&amp;qid=1743558608&amp;sprefix=blue%2Bdresser%2Caps%2C112&amp;sr=8-6&amp;th=1</t>
  </si>
  <si>
    <t>Boneco Homem Aranha</t>
  </si>
  <si>
    <t>amazon.com/dp/B087Z632WM/ref=twister_B0814B6D9G?_encoding=UTF8&amp;psc=1</t>
  </si>
  <si>
    <t>https://www.amazon.com/Avengers-Infinity-Gauntlet-Electronic-Roleplay/dp/B07TB5M2SF/ref=sr_1_67?crid=2QRQEXJY6VIAF&amp;dib=eyJ2IjoiMSJ9.ud5zsOolx3GzfT_4GzjhawkVy6HB7f6C79x4fSpEN8gjYo9OhlwzzThfSXk-2kW1ssXwDHG6a6sYH8xRtqTzFqgdtEAw6YD3jg5GRN_BzKWl6QaBC0UoGguBfqNKvZM0O4pqA4JlAjQOoMY3kxDVy_ei_scP7O3CJunooYIZH7MNO7Hcegp2Gy31YwekdsM2r5v2OoZs0aLat3ZUtDY5LQj6BQ_6TeW-95uzhaOduPk.Wxyll7OwRzH5_-Zvj9A7W1So8QPlheIDRylCzs9sGa8&amp;dib_tag=se&amp;keywords=AVENGERS+PLUSH&amp;qid=1743560395&amp;sprefix=avengers+plush%2Caps%2C110&amp;sr=8-67&amp;xpid=OJ6XxeEPeoY2T</t>
  </si>
  <si>
    <t>Harp and Finial</t>
  </si>
  <si>
    <t>https://www.amazon.com/Paladone-Hogwarts-Officially-Licensed-Merchandise/dp/B09RLRHDC6/ref=sr_1_22_sspa?dib=eyJ2IjoiMSJ9.vLzuydNxh9Lg4cdCBwCnQlo1gzSyH4XlVNsfJOMpB6mBTga2vhxS8ujKz9leuhXeP9aiELbELnNcJFTsxh2bvT3uPEzAHzfoNYZG6e6DPBk4_uoS3DI35MGwLKGkYk3H4PSiAZHh_ZdntNDOcRx7Jg5mWOhzy4lod9ZqjgZlr6TdHvAYYIFg2sgg7vxqzKLtammTM1Wq4MeDdw-UjyqfDz_gqUWdHV-2WdzklfGKFnU.4lSceB_fs4VrSUGFZ81bjf888KgMD3ndTkDuBV7n4XA&amp;dib_tag=se&amp;keywords=decor+pillow+harry+potter&amp;qid=1743561283&amp;sr=8-22-spons&amp;sp_csd=d2lkZ2V0TmFtZT1zcF9idGY&amp;psc=1</t>
  </si>
  <si>
    <t>https://www.amazon.com/MIULEE-Waterproof-Decorative-Resistant-Hypoallergenic/dp/B0DGL6P82T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</t>
  </si>
  <si>
    <t>https://www.amazon.com/gp/product/B083B979JB/ref=ppx_yo_dt_b_search_asin_title?ie=UTF8&amp;th=1</t>
  </si>
  <si>
    <t>https://www.amazon.com/gp/product/B0C52PSRG3/ref=ppx_yo_dt_b_search_asin_title?ie=UTF8&amp;psc=1</t>
  </si>
  <si>
    <t>Frigobar Preto</t>
  </si>
  <si>
    <t>https://www.amazon.com/FRIGIDAIRE-EFR376-BLACK-Fridge-Bottle-Opener/dp/B07LDWLNVF/ref=sr_1_9?crid=13CLEG5L981ZC&amp;dib=eyJ2IjoiMSJ9.tmh1b9OH0Nm1thSrAAZOBp4-aDhsQL0KNfzPfJEFIJW61fofD4w1M7xUvcok3CHvTs_Py3wY79hGVwWHQB919eVSngBiYyHESIndAEc6l6tSHM5qx_0VE0ZOYKqcrAYAZTmmbj4n-tXarilpWV4vDHIjjzdTLmb5kupYSu4odjFzbaWt4NACvcLs-VhbHlmnBbvJvlr3Mf2iETN80nd6F5bTBlInkS4-cx49NRrW_bj0r3XzuI1RszPOs7kWanl8MllQDmdWpMeHAulXjbgZlOUh8L3HLUQZmjJ2W3YsKVI.To2KchMqm-Kzg9lboxlQhgh-Ez2mk7v8UuQKPXlkmv4&amp;dib_tag=se&amp;keywords=frigidaire&amp;qid=1755625736&amp;sprefix=frigidair%2Caps%2C124&amp;sr=8-9</t>
  </si>
  <si>
    <t>https://www.amazon.com/Melissa-Doug-Solid-Table-Chairs/dp/B00CE69IGA/ref=sr_1_4?crid=3L3AUQ10RW3V6&amp;dib=eyJ2IjoiMSJ9.H00GxnWJWQT5Ht7zPuSpvrroalJawoEZFgc3G4y06e4WyjH6za9kgG7iASs8XPiQTN5FpvfDKrT4DZCEcpoUKlBr-L0jVVSAKjvHdB4Gx4qYmTCWFYTXVSyupH4MQ6CU9c0vHEQ9hcrAHPUlp-7BqaWxHrYDP6HmPdjhJd_sBL52-sVbXwABpChQj19an496fy9xm3BdENWwqnPROuTqo8Bmv95qRkDsjcOghcKvhSstjHEGQ2k3jGWJLQSuhBGfbF0oMbk6kClOj8j0slmXVuErcwIC4swIza0WGdrqEGQ.Ih6lmSJcxt7VYo5MM1Jv9i2S4KajyJTeyUmQL_TNFpw&amp;dib_tag=se&amp;keywords=KIDS%2BWOOD%2BTABLE&amp;qid=1757898760&amp;s=toys-and-games&amp;sprefix=kids%2Bwood%2Btable%2Ctoys-and-games%2C110&amp;sr=1-4&amp;xpid=ta-Unfc5JYt6H&amp;th=1</t>
  </si>
  <si>
    <t xml:space="preserve">Sorveteria </t>
  </si>
  <si>
    <t>https://www.amazon.com/dp/B0D2VMKCPT/ref=sspa_dk_detail_6?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&amp;th=1</t>
  </si>
  <si>
    <t>https://www.amazon.com/dp/B01NCNKR7H/ref=sspa_dk_detail_0?psc=1&amp;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</t>
  </si>
  <si>
    <t>https://www.amazon.com/Educational-Trampoline-Gymnastics-Skateboard-Playground/dp/B0FFB4P78L/ref=sr_1_4?crid=16AV5PDW9OJHL&amp;dib=eyJ2IjoiMSJ9.J2Idv3RDeumAYk0CkLclZ28BmXE-KIAzkRJHyd4eNsAhab02TUNWYkWKUFDQDSXkzZf6rhJicOcQHKpfs_UekQYN3ZzmThP6a54E6aleEaorC6b6P4uoGlAzhOEYuIhv-CRiqzdtOhkcjmveY4FmGiFBSq-wMDxSLfezXoOnghdzVqTM6QWlkKSIatG2x_aaO387j_O0uEAP_94rXHzQ17awvtanHfH6HV_Nkt_MdKhULiBSCWyiS8NfV5y4ID-Qf9LEDNuDwzdej2_SJhITmqDHZ6x55j-TjrUEuXdkRcc.SoFvsYyRvHKmpHiXxIrLwY9UivNiicVKW-QX0O18GHQ&amp;dib_tag=se&amp;keywords=cube%2Bfoam&amp;qid=1757897879&amp;s=toys-and-games&amp;sprefix=cube%2Bfoam%2Ctoys-and-games%2C111&amp;sr=1-4&amp;xpid=Wh-0OlA9oaFbG&amp;th=1</t>
  </si>
  <si>
    <t>https://www.amazon.com/dp/B0DP3W7VN3/ref=sspa_dk_detail_1?pd_rd_i=B0FP59KG2W&amp;pd_rd_w=QplOf&amp;content-id=amzn1.sym.386c274b-4bfe-4421-9052-a1a56db557ab&amp;pf_rd_p=386c274b-4bfe-4421-9052-a1a56db557ab&amp;pf_rd_r=AMZV8F1SHG1N587MYM9Q&amp;pd_rd_wg=wCNeW&amp;pd_rd_r=5e5a6a3f-1983-4f23-9636-f98f4ce9529e&amp;sp_csd=d2lkZ2V0TmFtZT1zcF9kZXRhaWxfdGhlbWF0aWM&amp;th=1</t>
  </si>
  <si>
    <t>https://www.amazon.com/GTRACING-Ergonomic-Computer-Headrest-360%C2%B0-Swivel/dp/B0FK4QTM41/ref=sr_1_31?crid=1I4HA2K7BN7KE&amp;dib=eyJ2IjoiMSJ9.F7yHZYfLKpzMWowfq_VKdAa7b2G69imf8jfG7h0cYYg9P8x2FOY1QYRCGG7tPj4yOybvV7LZzsky66vn5z1shVsE3T6LzVoLHjuQ73wGhG2mDUC_qqMtTPYHExffPhCClNOJP2UDLyDXMkuCFAcTqBYiV5jrOnSs3VI-Ou3q0Lu8Mv8F4ZekZe-moq1W9voU--_AOBstLhaMlGRnTMYOB_Ik6UtK-GIKvNDvN79Zr4ra5QOTTndsWV5nJlUHhWSoE_xSgyRfokv9NiXh8iB8eyaJ7WA30_xCGMLVFTmnAgY.LO1utnrylyzZKoWe4anhzt1c_wH1Bgsv4lmRIB5pht0&amp;dib_tag=se&amp;keywords=Nintendo%2BVideo%2BGaming%2BChair&amp;qid=1757894762&amp;sprefix=nintendo%2Bvideo%2Bgaming%2Bchair%2Caps%2C152&amp;sr=8-31&amp;th=1</t>
  </si>
  <si>
    <t xml:space="preserve">Mao de Obra Loft Game Room  </t>
  </si>
  <si>
    <t>908Black-C</t>
  </si>
  <si>
    <t>https://www.amazon.com/Yirinatek-Electronic-Decorative-Electric-Dartboard/dp/B0DHVTFK58/ref=sr_1_4_sspa?crid=3USCBIDWNFNNL&amp;dib=eyJ2IjoiMSJ9.tgYu0auyXxfm4RqV0BNC2veMIz5svvzTrAr6gJMsoK8j9X4nVvi-i7197-uPSHijDiyiHHLzlhvYVBlx_6VwexEW-Ksfvf1ZDDnU2whY1rrkiDTgtZOnI6oxcQkTyQLqOgJ4Pzp6-jAB5eDNhS1gggGFN7uWPktHRhtQcj8hCidfjVk9kAKa_bKR8-zEUsPp8-wI2-ky2ORtwtb1QEm0xK8PJE_k6AWiH8k0uHC_QhHzpAOeckpr6ewuwx-uAQ1xMhKz3D2a5AtyfkYnFeMTw1r5SC1dO3KQoWBXq1tsEPc.nOoMMSLNZh6QnoDlU8F5jzl2-YZmbKVS66TWOynSEvc&amp;dib_tag=se&amp;keywords=dardo%2Bboard&amp;qid=1757893666&amp;sprefix=dardo%2Bboard%2Caps%2C121&amp;sr=8-4-spons&amp;sp_csd=d2lkZ2V0TmFtZT1zcF9hdGY&amp;th=1</t>
  </si>
  <si>
    <t>Ottoman</t>
  </si>
  <si>
    <t>https://www.amazon.com/MELOMOIR-Oversized-Freestanding-Bedroom-Tempered/dp/B0DG8FBHXR/ref=sxin_15_pa_sp_search_thematic_sspa?content-id=amzn1.sym.2da95b6c-f59a-4699-bc43-d0ff036c6388%3Aamzn1.sym.2da95b6c-f59a-4699-bc43-d0ff036c6388&amp;crid=3ETLG1E5LNBE2&amp;cv_ct_cx=BIG%2BMIRROR&amp;keywords=BIG%2BMIRROR&amp;pd_rd_i=B0DG8FBHXR&amp;pd_rd_r=f5415906-653d-4ed2-bfbd-7e2795a37173&amp;pd_rd_w=3vUk3&amp;pd_rd_wg=ph0OD&amp;pf_rd_p=2da95b6c-f59a-4699-bc43-d0ff036c6388&amp;pf_rd_r=S3GQEYCTFZTZCMQKQHCH&amp;qid=1752765329&amp;sbo=RZvfv%2F%2FHxDF%2BO5021pAnSA%3D%3D&amp;sprefix=big%2Bmirror%2B%2Caps%2C384&amp;sr=1-5-6024b2a3-78e4-4fed-8fed-e1613be3bcce-spons&amp;sp_csd=d2lkZ2V0TmFtZT1zcF9zZWFyY2hfdGhlbWF0aWM&amp;th=1</t>
  </si>
  <si>
    <t>valor errado! 119.99 +20% = 143.98</t>
  </si>
  <si>
    <r>
      <rPr>
        <rFont val="Arial"/>
        <color rgb="FF1155CC"/>
        <sz val="10.0"/>
        <u/>
      </rPr>
      <t>https://www.amazon.com/gp/product/0847836797/ref=ppx_yo_dt_b_search_asin_title?ie=UTF8&amp;psc=1</t>
    </r>
    <r>
      <rPr>
        <rFont val="Arial"/>
        <color theme="1"/>
        <sz val="10.0"/>
      </rPr>
      <t>1</t>
    </r>
  </si>
  <si>
    <t>falta shipping Gio + 150.00 ( coloquei em extra)</t>
  </si>
  <si>
    <t>foi adicionado apenas 20% precisa ser 22%</t>
  </si>
  <si>
    <t>https://www.amazon.com/Disney-Traditions-Beauty-Storybook-Figurine/dp/B00AQ048S4/ref=sr_1_17?dib=eyJ2IjoiMSJ9.iT22s2cca1-BwLuz8DM_AvmpimF4Gzz5X2lTdA7FrC6d7Ig0gO03-zRxWILoWUUHNtdDsQ3vrHy637Z_2FOwqG-xHGljvyFUy2OKS_aX1fbwiol0agkBrIzP_NXTefhpjuLLf8OQdTrMtjuwUbpFKUkCWSJF0OJFJOa0l2r9NROQpZTkTS_PFJkEgCKX0aLfydbEBEOqhQ4bezdIlRBXIz6N_d1iPFSGaPTQEBwDcmmEKOW6y24iINDn5MrrVMNmNUcqCLIDGKE6gGpbrP-ERKbGDA24uts8Bpc6eUkwRdpTizDF53ZnocwghxQ8piKuCh1nCFJ8sYTuXalWPjphbrCwZP9rpW1P2mMicMbNCao9OGvq3nsenPTsbSvnQWoZchTwoRgkQNK_ihXvtpe8XxPA2hRkuA5tJp1XBPfdj4l-wDIaS0jKn3GMdcQy15vR.KdAoev0-TVB1O5HJqLzYywEaoTvOVi9mG7HJN7yrBhc&amp;dib_tag=se&amp;keywords=beauty+and+the+beast+decor&amp;qid=1743551341&amp;sr=8-17</t>
  </si>
  <si>
    <t>HFW33736</t>
  </si>
  <si>
    <t>HFW33493</t>
  </si>
  <si>
    <t>Boneco Avengers</t>
  </si>
  <si>
    <t xml:space="preserve">valor original 579.99 + 6.5% </t>
  </si>
  <si>
    <t>item fora de estoque (trocado)</t>
  </si>
  <si>
    <t>CONFIRMAR</t>
  </si>
  <si>
    <t>MARCENARIA  MaFe - V2</t>
  </si>
  <si>
    <t>Pauta</t>
  </si>
  <si>
    <t>Valor Noha</t>
  </si>
  <si>
    <t>Hall de entrada</t>
  </si>
  <si>
    <t>Sala de estar</t>
  </si>
  <si>
    <t>Sala de jantar - Adega</t>
  </si>
  <si>
    <t xml:space="preserve">Sala de Jantar - mesa </t>
  </si>
  <si>
    <t>Suíte Master</t>
  </si>
  <si>
    <t>Suíte 09</t>
  </si>
  <si>
    <t>Suite 03 - Bancada</t>
  </si>
  <si>
    <t xml:space="preserve">Suite 03 - Base de cama </t>
  </si>
  <si>
    <t>Suite 05</t>
  </si>
  <si>
    <t>Suite 07</t>
  </si>
  <si>
    <t>Suite 08</t>
  </si>
  <si>
    <t>Total</t>
  </si>
  <si>
    <t>PAINEL PVC - V2</t>
  </si>
  <si>
    <t>Painel Marmore - $366</t>
  </si>
  <si>
    <t>Painel ripado -$28.50</t>
  </si>
  <si>
    <t>Painel liso - $90</t>
  </si>
  <si>
    <t>Canal de led $35</t>
  </si>
  <si>
    <t>Filete preto - $20</t>
  </si>
  <si>
    <t>Acabamento - $20</t>
  </si>
  <si>
    <t>Sala de jantar</t>
  </si>
  <si>
    <t>-</t>
  </si>
  <si>
    <t>Suite 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</si>
</sst>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&quot;$&quot;#,##0.00"/>
    <numFmt numFmtId="165" formatCode="mm/dd/yy"/>
    <numFmt numFmtId="166" formatCode="mmmm\ dd"/>
    <numFmt numFmtId="167" formatCode="mmmm\ d"/>
    <numFmt numFmtId="168" formatCode="&quot;R$&quot;#,##0.00"/>
    <numFmt numFmtId="169" formatCode="mm/dd/yyyy"/>
    <numFmt numFmtId="170" formatCode="m/d"/>
    <numFmt numFmtId="171" formatCode="_(&quot;$&quot;* #,##0.00_);_(&quot;$&quot;* \(#,##0.00\);_(&quot;$&quot;* &quot;-&quot;??_);_(@_)"/>
  </numFmts>
  <fonts count="67">
    <font>
      <sz val="10.0"/>
      <color rgb="FF00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rgb="FFFFFFFF"/>
      <name val="Arial"/>
    </font>
    <font>
      <b/>
      <sz val="10.0"/>
      <color theme="0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000000"/>
      <name val="Arial"/>
    </font>
    <font>
      <u/>
      <sz val="10.0"/>
      <color rgb="FF000000"/>
      <name val="Arial"/>
    </font>
    <font>
      <b/>
      <color theme="1"/>
      <name val="Arial"/>
    </font>
    <font/>
    <font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z val="10.0"/>
      <color theme="0"/>
      <name val="Arial"/>
    </font>
    <font>
      <u/>
      <sz val="11.0"/>
      <color rgb="FF1155CC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sz val="11.0"/>
      <color theme="1"/>
      <name val="Calibri"/>
    </font>
    <font>
      <u/>
      <sz val="10.0"/>
      <color rgb="FF0000FF"/>
      <name val="Arial"/>
    </font>
    <font>
      <u/>
      <color rgb="FF1155CC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color rgb="FF0000FF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rgb="FF000000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theme="1"/>
      <name val="Arial"/>
    </font>
    <font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sz val="10.0"/>
      <color rgb="FF333333"/>
      <name val="Arial"/>
    </font>
    <font>
      <u/>
      <color rgb="FF0000FF"/>
    </font>
    <font>
      <u/>
      <sz val="10.0"/>
      <color rgb="FF1155CC"/>
      <name val="Arial"/>
    </font>
    <font>
      <u/>
      <sz val="10.0"/>
      <color rgb="FF0000FF"/>
      <name val="Arial"/>
    </font>
    <font>
      <color rgb="FF0F1111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0.0"/>
      <color rgb="FF0000FF"/>
      <name val="Arial"/>
    </font>
    <font>
      <u/>
      <color rgb="FF0000FF"/>
    </font>
    <font>
      <u/>
      <sz val="10.0"/>
      <color rgb="FF0000FF"/>
      <name val="Arial"/>
    </font>
    <font>
      <u/>
      <sz val="10.0"/>
      <color theme="1"/>
      <name val="Arial"/>
    </font>
    <font>
      <u/>
      <sz val="10.0"/>
      <color rgb="FF0000FF"/>
      <name val="Arial"/>
    </font>
    <font>
      <sz val="18.0"/>
      <color theme="1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333333"/>
        <bgColor rgb="FF333333"/>
      </patternFill>
    </fill>
    <fill>
      <patternFill patternType="solid">
        <fgColor rgb="FFD9D9D9"/>
        <bgColor rgb="FFD9D9D9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B45F06"/>
        <bgColor rgb="FFB45F06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BFBFBF"/>
        <bgColor rgb="FFBFBFB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theme="1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0F2F2"/>
        <bgColor rgb="FFF0F2F2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D2F1DA"/>
        <bgColor rgb="FFD2F1DA"/>
      </patternFill>
    </fill>
    <fill>
      <patternFill patternType="solid">
        <fgColor rgb="FFFEF1CC"/>
        <bgColor rgb="FFFEF1CC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33">
    <border/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thin">
        <color rgb="FF000000"/>
      </bottom>
    </border>
    <border>
      <left/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double">
        <color rgb="FF000000"/>
      </left>
      <right style="thin">
        <color rgb="FF000000"/>
      </right>
      <top/>
      <bottom style="double">
        <color rgb="FF000000"/>
      </bottom>
    </border>
    <border>
      <right style="double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double">
        <color rgb="FF000000"/>
      </bottom>
    </border>
    <border>
      <bottom style="double">
        <color rgb="FF000000"/>
      </bottom>
    </border>
    <border>
      <left/>
      <right style="double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44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3" fontId="2" numFmtId="0" xfId="0" applyAlignment="1" applyBorder="1" applyFill="1" applyFont="1">
      <alignment horizontal="center"/>
    </xf>
    <xf borderId="2" fillId="4" fontId="3" numFmtId="0" xfId="0" applyAlignment="1" applyBorder="1" applyFill="1" applyFont="1">
      <alignment vertical="center"/>
    </xf>
    <xf borderId="2" fillId="4" fontId="3" numFmtId="164" xfId="0" applyAlignment="1" applyBorder="1" applyFont="1" applyNumberFormat="1">
      <alignment horizontal="right" vertical="center"/>
    </xf>
    <xf borderId="2" fillId="4" fontId="1" numFmtId="0" xfId="0" applyAlignment="1" applyBorder="1" applyFont="1">
      <alignment horizontal="center" vertical="center"/>
    </xf>
    <xf borderId="2" fillId="4" fontId="4" numFmtId="0" xfId="0" applyAlignment="1" applyBorder="1" applyFont="1">
      <alignment vertical="center"/>
    </xf>
    <xf borderId="2" fillId="4" fontId="1" numFmtId="164" xfId="0" applyAlignment="1" applyBorder="1" applyFont="1" applyNumberFormat="1">
      <alignment vertical="center"/>
    </xf>
    <xf borderId="2" fillId="4" fontId="1" numFmtId="0" xfId="0" applyAlignment="1" applyBorder="1" applyFont="1">
      <alignment vertical="center"/>
    </xf>
    <xf borderId="2" fillId="5" fontId="5" numFmtId="0" xfId="0" applyAlignment="1" applyBorder="1" applyFill="1" applyFont="1">
      <alignment horizontal="center" vertical="center"/>
    </xf>
    <xf borderId="2" fillId="0" fontId="1" numFmtId="0" xfId="0" applyBorder="1" applyFont="1"/>
    <xf borderId="2" fillId="6" fontId="1" numFmtId="0" xfId="0" applyAlignment="1" applyBorder="1" applyFill="1" applyFont="1">
      <alignment horizontal="center"/>
    </xf>
    <xf borderId="2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right"/>
    </xf>
    <xf borderId="2" fillId="0" fontId="1" numFmtId="164" xfId="0" applyAlignment="1" applyBorder="1" applyFont="1" applyNumberFormat="1">
      <alignment horizontal="right"/>
    </xf>
    <xf borderId="2" fillId="0" fontId="1" numFmtId="164" xfId="0" applyBorder="1" applyFont="1" applyNumberFormat="1"/>
    <xf borderId="2" fillId="0" fontId="1" numFmtId="165" xfId="0" applyBorder="1" applyFont="1" applyNumberFormat="1"/>
    <xf borderId="2" fillId="7" fontId="1" numFmtId="0" xfId="0" applyBorder="1" applyFill="1" applyFont="1"/>
    <xf borderId="2" fillId="0" fontId="1" numFmtId="164" xfId="0" applyAlignment="1" applyBorder="1" applyFont="1" applyNumberFormat="1">
      <alignment horizontal="center"/>
    </xf>
    <xf borderId="2" fillId="0" fontId="1" numFmtId="10" xfId="0" applyAlignment="1" applyBorder="1" applyFont="1" applyNumberFormat="1">
      <alignment horizontal="center"/>
    </xf>
    <xf borderId="1" fillId="6" fontId="1" numFmtId="0" xfId="0" applyAlignment="1" applyBorder="1" applyFont="1">
      <alignment horizontal="center"/>
    </xf>
    <xf borderId="2" fillId="8" fontId="1" numFmtId="0" xfId="0" applyBorder="1" applyFill="1" applyFont="1"/>
    <xf borderId="1" fillId="8" fontId="1" numFmtId="0" xfId="0" applyAlignment="1" applyBorder="1" applyFont="1">
      <alignment horizontal="center"/>
    </xf>
    <xf borderId="2" fillId="9" fontId="4" numFmtId="0" xfId="0" applyAlignment="1" applyBorder="1" applyFill="1" applyFont="1">
      <alignment horizontal="left"/>
    </xf>
    <xf borderId="2" fillId="10" fontId="1" numFmtId="0" xfId="0" applyBorder="1" applyFill="1" applyFont="1"/>
    <xf borderId="2" fillId="10" fontId="1" numFmtId="165" xfId="0" applyBorder="1" applyFont="1" applyNumberFormat="1"/>
    <xf borderId="2" fillId="6" fontId="1" numFmtId="0" xfId="0" applyBorder="1" applyFont="1"/>
    <xf borderId="2" fillId="11" fontId="1" numFmtId="0" xfId="0" applyBorder="1" applyFill="1" applyFont="1"/>
    <xf borderId="2" fillId="12" fontId="1" numFmtId="0" xfId="0" applyBorder="1" applyFill="1" applyFont="1"/>
    <xf borderId="1" fillId="7" fontId="1" numFmtId="0" xfId="0" applyAlignment="1" applyBorder="1" applyFont="1">
      <alignment horizontal="center"/>
    </xf>
    <xf borderId="2" fillId="0" fontId="6" numFmtId="0" xfId="0" applyAlignment="1" applyBorder="1" applyFont="1">
      <alignment horizontal="center"/>
    </xf>
    <xf borderId="2" fillId="0" fontId="1" numFmtId="164" xfId="0" applyAlignment="1" applyBorder="1" applyFont="1" applyNumberFormat="1">
      <alignment horizontal="right" readingOrder="0"/>
    </xf>
    <xf borderId="1" fillId="2" fontId="1" numFmtId="0" xfId="0" applyAlignment="1" applyBorder="1" applyFont="1">
      <alignment horizontal="center"/>
    </xf>
    <xf borderId="2" fillId="13" fontId="1" numFmtId="0" xfId="0" applyBorder="1" applyFill="1" applyFont="1"/>
    <xf borderId="1" fillId="12" fontId="1" numFmtId="0" xfId="0" applyAlignment="1" applyBorder="1" applyFont="1">
      <alignment horizontal="center"/>
    </xf>
    <xf borderId="2" fillId="0" fontId="1" numFmtId="166" xfId="0" applyBorder="1" applyFont="1" applyNumberFormat="1"/>
    <xf borderId="2" fillId="14" fontId="1" numFmtId="0" xfId="0" applyBorder="1" applyFill="1" applyFont="1"/>
    <xf borderId="2" fillId="0" fontId="1" numFmtId="0" xfId="0" applyAlignment="1" applyBorder="1" applyFont="1">
      <alignment horizontal="right" readingOrder="0"/>
    </xf>
    <xf borderId="1" fillId="2" fontId="2" numFmtId="164" xfId="0" applyAlignment="1" applyBorder="1" applyFont="1" applyNumberFormat="1">
      <alignment horizontal="center"/>
    </xf>
    <xf borderId="1" fillId="2" fontId="2" numFmtId="10" xfId="0" applyAlignment="1" applyBorder="1" applyFont="1" applyNumberFormat="1">
      <alignment horizontal="center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4" fillId="0" fontId="1" numFmtId="0" xfId="0" applyBorder="1" applyFont="1"/>
    <xf borderId="5" fillId="6" fontId="1" numFmtId="0" xfId="0" applyAlignment="1" applyBorder="1" applyFont="1">
      <alignment horizontal="center"/>
    </xf>
    <xf borderId="3" fillId="0" fontId="7" numFmtId="0" xfId="0" applyAlignment="1" applyBorder="1" applyFont="1">
      <alignment readingOrder="0"/>
    </xf>
    <xf borderId="3" fillId="0" fontId="1" numFmtId="0" xfId="0" applyAlignment="1" applyBorder="1" applyFont="1">
      <alignment horizontal="right"/>
    </xf>
    <xf borderId="3" fillId="0" fontId="1" numFmtId="164" xfId="0" applyAlignment="1" applyBorder="1" applyFont="1" applyNumberFormat="1">
      <alignment horizontal="right" readingOrder="0"/>
    </xf>
    <xf borderId="3" fillId="0" fontId="1" numFmtId="164" xfId="0" applyAlignment="1" applyBorder="1" applyFont="1" applyNumberFormat="1">
      <alignment horizontal="right"/>
    </xf>
    <xf borderId="3" fillId="0" fontId="1" numFmtId="164" xfId="0" applyBorder="1" applyFont="1" applyNumberFormat="1"/>
    <xf borderId="3" fillId="0" fontId="1" numFmtId="0" xfId="0" applyBorder="1" applyFont="1"/>
    <xf borderId="6" fillId="0" fontId="1" numFmtId="0" xfId="0" applyAlignment="1" applyBorder="1" applyFont="1">
      <alignment horizontal="center"/>
    </xf>
    <xf borderId="7" fillId="0" fontId="1" numFmtId="0" xfId="0" applyBorder="1" applyFont="1"/>
    <xf borderId="8" fillId="6" fontId="1" numFmtId="0" xfId="0" applyAlignment="1" applyBorder="1" applyFont="1">
      <alignment horizontal="center"/>
    </xf>
    <xf borderId="7" fillId="0" fontId="1" numFmtId="0" xfId="0" applyAlignment="1" applyBorder="1" applyFont="1">
      <alignment horizontal="right"/>
    </xf>
    <xf borderId="7" fillId="0" fontId="1" numFmtId="164" xfId="0" applyAlignment="1" applyBorder="1" applyFont="1" applyNumberFormat="1">
      <alignment horizontal="right"/>
    </xf>
    <xf borderId="7" fillId="0" fontId="1" numFmtId="164" xfId="0" applyBorder="1" applyFont="1" applyNumberFormat="1"/>
    <xf borderId="1" fillId="15" fontId="1" numFmtId="0" xfId="0" applyAlignment="1" applyBorder="1" applyFill="1" applyFont="1">
      <alignment horizontal="left"/>
    </xf>
    <xf borderId="1" fillId="15" fontId="8" numFmtId="9" xfId="0" applyAlignment="1" applyBorder="1" applyFont="1" applyNumberFormat="1">
      <alignment readingOrder="0"/>
    </xf>
    <xf borderId="1" fillId="15" fontId="8" numFmtId="164" xfId="0" applyBorder="1" applyFont="1" applyNumberFormat="1"/>
    <xf borderId="1" fillId="15" fontId="8" numFmtId="0" xfId="0" applyBorder="1" applyFont="1"/>
    <xf borderId="2" fillId="16" fontId="1" numFmtId="0" xfId="0" applyBorder="1" applyFill="1" applyFont="1"/>
    <xf borderId="1" fillId="2" fontId="1" numFmtId="164" xfId="0" applyBorder="1" applyFont="1" applyNumberFormat="1"/>
    <xf borderId="1" fillId="15" fontId="8" numFmtId="9" xfId="0" applyBorder="1" applyFont="1" applyNumberFormat="1"/>
    <xf borderId="2" fillId="7" fontId="1" numFmtId="0" xfId="0" applyAlignment="1" applyBorder="1" applyFont="1">
      <alignment horizontal="center"/>
    </xf>
    <xf borderId="2" fillId="0" fontId="9" numFmtId="0" xfId="0" applyAlignment="1" applyBorder="1" applyFont="1">
      <alignment horizontal="center"/>
    </xf>
    <xf borderId="1" fillId="15" fontId="1" numFmtId="0" xfId="0" applyAlignment="1" applyBorder="1" applyFont="1">
      <alignment horizontal="center"/>
    </xf>
    <xf borderId="1" fillId="15" fontId="1" numFmtId="0" xfId="0" applyBorder="1" applyFont="1"/>
    <xf borderId="2" fillId="8" fontId="1" numFmtId="0" xfId="0" applyAlignment="1" applyBorder="1" applyFont="1">
      <alignment horizontal="center"/>
    </xf>
    <xf borderId="2" fillId="0" fontId="1" numFmtId="3" xfId="0" applyAlignment="1" applyBorder="1" applyFont="1" applyNumberFormat="1">
      <alignment horizontal="right"/>
    </xf>
    <xf borderId="1" fillId="2" fontId="1" numFmtId="164" xfId="0" applyAlignment="1" applyBorder="1" applyFont="1" applyNumberFormat="1">
      <alignment horizontal="center"/>
    </xf>
    <xf borderId="9" fillId="0" fontId="10" numFmtId="0" xfId="0" applyAlignment="1" applyBorder="1" applyFont="1">
      <alignment readingOrder="0" vertical="bottom"/>
    </xf>
    <xf borderId="10" fillId="0" fontId="11" numFmtId="0" xfId="0" applyBorder="1" applyFont="1"/>
    <xf borderId="11" fillId="0" fontId="12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" fillId="2" fontId="10" numFmtId="164" xfId="0" applyAlignment="1" applyBorder="1" applyFont="1" applyNumberFormat="1">
      <alignment horizontal="center" vertical="bottom"/>
    </xf>
    <xf borderId="13" fillId="0" fontId="12" numFmtId="0" xfId="0" applyAlignment="1" applyBorder="1" applyFont="1">
      <alignment vertical="bottom"/>
    </xf>
    <xf borderId="2" fillId="16" fontId="1" numFmtId="165" xfId="0" applyBorder="1" applyFont="1" applyNumberFormat="1"/>
    <xf borderId="2" fillId="4" fontId="2" numFmtId="0" xfId="0" applyAlignment="1" applyBorder="1" applyFont="1">
      <alignment horizontal="center" vertical="center"/>
    </xf>
    <xf borderId="2" fillId="4" fontId="4" numFmtId="0" xfId="0" applyBorder="1" applyFont="1"/>
    <xf borderId="2" fillId="4" fontId="1" numFmtId="164" xfId="0" applyBorder="1" applyFont="1" applyNumberFormat="1"/>
    <xf borderId="2" fillId="4" fontId="1" numFmtId="0" xfId="0" applyBorder="1" applyFont="1"/>
    <xf borderId="14" fillId="0" fontId="12" numFmtId="4" xfId="0" applyAlignment="1" applyBorder="1" applyFont="1" applyNumberFormat="1">
      <alignment readingOrder="0" vertical="bottom"/>
    </xf>
    <xf borderId="2" fillId="0" fontId="13" numFmtId="0" xfId="0" applyAlignment="1" applyBorder="1" applyFont="1">
      <alignment vertical="bottom"/>
    </xf>
    <xf borderId="2" fillId="3" fontId="13" numFmtId="164" xfId="0" applyAlignment="1" applyBorder="1" applyFont="1" applyNumberFormat="1">
      <alignment vertical="bottom"/>
    </xf>
    <xf borderId="2" fillId="7" fontId="13" numFmtId="0" xfId="0" applyAlignment="1" applyBorder="1" applyFont="1">
      <alignment horizontal="center" vertical="bottom"/>
    </xf>
    <xf borderId="2" fillId="0" fontId="14" numFmtId="0" xfId="0" applyAlignment="1" applyBorder="1" applyFont="1">
      <alignment horizontal="center" vertical="bottom"/>
    </xf>
    <xf borderId="3" fillId="0" fontId="13" numFmtId="0" xfId="0" applyAlignment="1" applyBorder="1" applyFont="1">
      <alignment horizontal="right" vertical="bottom"/>
    </xf>
    <xf borderId="3" fillId="0" fontId="13" numFmtId="164" xfId="0" applyAlignment="1" applyBorder="1" applyFont="1" applyNumberFormat="1">
      <alignment horizontal="right" readingOrder="0" vertical="bottom"/>
    </xf>
    <xf borderId="2" fillId="0" fontId="13" numFmtId="164" xfId="0" applyAlignment="1" applyBorder="1" applyFont="1" applyNumberFormat="1">
      <alignment horizontal="right" vertical="bottom"/>
    </xf>
    <xf borderId="15" fillId="0" fontId="12" numFmtId="0" xfId="0" applyAlignment="1" applyBorder="1" applyFont="1">
      <alignment vertical="bottom"/>
    </xf>
    <xf borderId="0" fillId="0" fontId="12" numFmtId="4" xfId="0" applyAlignment="1" applyFont="1" applyNumberFormat="1">
      <alignment vertical="bottom"/>
    </xf>
    <xf borderId="2" fillId="0" fontId="13" numFmtId="164" xfId="0" applyAlignment="1" applyBorder="1" applyFont="1" applyNumberFormat="1">
      <alignment vertical="bottom"/>
    </xf>
    <xf borderId="2" fillId="17" fontId="1" numFmtId="0" xfId="0" applyBorder="1" applyFill="1" applyFont="1"/>
    <xf borderId="2" fillId="17" fontId="1" numFmtId="165" xfId="0" applyBorder="1" applyFont="1" applyNumberFormat="1"/>
    <xf borderId="16" fillId="18" fontId="10" numFmtId="0" xfId="0" applyAlignment="1" applyBorder="1" applyFill="1" applyFont="1">
      <alignment vertical="bottom"/>
    </xf>
    <xf borderId="17" fillId="0" fontId="11" numFmtId="0" xfId="0" applyBorder="1" applyFont="1"/>
    <xf borderId="18" fillId="0" fontId="10" numFmtId="4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readingOrder="0" vertical="bottom"/>
    </xf>
    <xf borderId="2" fillId="12" fontId="1" numFmtId="0" xfId="0" applyAlignment="1" applyBorder="1" applyFont="1">
      <alignment horizontal="center"/>
    </xf>
    <xf borderId="0" fillId="0" fontId="13" numFmtId="0" xfId="0" applyAlignment="1" applyFont="1">
      <alignment readingOrder="0" vertical="bottom"/>
    </xf>
    <xf borderId="12" fillId="19" fontId="10" numFmtId="0" xfId="0" applyAlignment="1" applyBorder="1" applyFill="1" applyFont="1">
      <alignment vertical="bottom"/>
    </xf>
    <xf borderId="14" fillId="19" fontId="12" numFmtId="10" xfId="0" applyAlignment="1" applyBorder="1" applyFont="1" applyNumberFormat="1">
      <alignment horizontal="right" vertical="bottom"/>
    </xf>
    <xf borderId="2" fillId="0" fontId="13" numFmtId="0" xfId="0" applyAlignment="1" applyBorder="1" applyFont="1">
      <alignment horizontal="right" vertical="bottom"/>
    </xf>
    <xf borderId="2" fillId="0" fontId="13" numFmtId="164" xfId="0" applyAlignment="1" applyBorder="1" applyFont="1" applyNumberFormat="1">
      <alignment horizontal="right" readingOrder="0" vertical="bottom"/>
    </xf>
    <xf borderId="2" fillId="0" fontId="1" numFmtId="49" xfId="0" applyBorder="1" applyFont="1" applyNumberFormat="1"/>
    <xf borderId="16" fillId="17" fontId="10" numFmtId="0" xfId="0" applyAlignment="1" applyBorder="1" applyFont="1">
      <alignment vertical="bottom"/>
    </xf>
    <xf borderId="18" fillId="17" fontId="10" numFmtId="4" xfId="0" applyAlignment="1" applyBorder="1" applyFont="1" applyNumberFormat="1">
      <alignment horizontal="right" vertical="bottom"/>
    </xf>
    <xf borderId="1" fillId="2" fontId="1" numFmtId="0" xfId="0" applyAlignment="1" applyBorder="1" applyFont="1">
      <alignment readingOrder="0"/>
    </xf>
    <xf borderId="2" fillId="10" fontId="1" numFmtId="166" xfId="0" applyBorder="1" applyFont="1" applyNumberFormat="1"/>
    <xf borderId="12" fillId="20" fontId="10" numFmtId="0" xfId="0" applyAlignment="1" applyBorder="1" applyFill="1" applyFont="1">
      <alignment vertical="bottom"/>
    </xf>
    <xf borderId="2" fillId="0" fontId="13" numFmtId="164" xfId="0" applyAlignment="1" applyBorder="1" applyFont="1" applyNumberFormat="1">
      <alignment readingOrder="0" vertical="bottom"/>
    </xf>
    <xf borderId="3" fillId="0" fontId="15" numFmtId="0" xfId="0" applyAlignment="1" applyBorder="1" applyFont="1">
      <alignment horizontal="center" readingOrder="0" shrinkToFit="0" vertical="bottom" wrapText="1"/>
    </xf>
    <xf borderId="3" fillId="0" fontId="13" numFmtId="0" xfId="0" applyAlignment="1" applyBorder="1" applyFont="1">
      <alignment horizontal="right" readingOrder="0" vertical="bottom"/>
    </xf>
    <xf borderId="15" fillId="0" fontId="12" numFmtId="0" xfId="0" applyAlignment="1" applyBorder="1" applyFont="1">
      <alignment readingOrder="0" vertical="bottom"/>
    </xf>
    <xf borderId="13" fillId="0" fontId="12" numFmtId="0" xfId="0" applyAlignment="1" applyBorder="1" applyFont="1">
      <alignment readingOrder="0" vertical="bottom"/>
    </xf>
    <xf borderId="19" fillId="0" fontId="13" numFmtId="164" xfId="0" applyAlignment="1" applyBorder="1" applyFont="1" applyNumberFormat="1">
      <alignment vertical="bottom"/>
    </xf>
    <xf borderId="2" fillId="6" fontId="13" numFmtId="0" xfId="0" applyAlignment="1" applyBorder="1" applyFont="1">
      <alignment horizontal="center" vertical="bottom"/>
    </xf>
    <xf borderId="7" fillId="0" fontId="12" numFmtId="0" xfId="0" applyAlignment="1" applyBorder="1" applyFont="1">
      <alignment vertical="bottom"/>
    </xf>
    <xf borderId="7" fillId="0" fontId="13" numFmtId="0" xfId="0" applyAlignment="1" applyBorder="1" applyFont="1">
      <alignment horizontal="right" readingOrder="0" vertical="bottom"/>
    </xf>
    <xf borderId="7" fillId="0" fontId="13" numFmtId="164" xfId="0" applyAlignment="1" applyBorder="1" applyFont="1" applyNumberFormat="1">
      <alignment horizontal="right" vertical="bottom"/>
    </xf>
    <xf borderId="20" fillId="10" fontId="16" numFmtId="0" xfId="0" applyAlignment="1" applyBorder="1" applyFont="1">
      <alignment vertical="bottom"/>
    </xf>
    <xf borderId="21" fillId="0" fontId="11" numFmtId="0" xfId="0" applyBorder="1" applyFont="1"/>
    <xf borderId="22" fillId="10" fontId="16" numFmtId="4" xfId="0" applyAlignment="1" applyBorder="1" applyFont="1" applyNumberFormat="1">
      <alignment horizontal="right" vertical="bottom"/>
    </xf>
    <xf borderId="8" fillId="8" fontId="13" numFmtId="0" xfId="0" applyAlignment="1" applyBorder="1" applyFont="1">
      <alignment horizontal="center" vertical="bottom"/>
    </xf>
    <xf borderId="2" fillId="10" fontId="1" numFmtId="167" xfId="0" applyBorder="1" applyFont="1" applyNumberFormat="1"/>
    <xf borderId="2" fillId="0" fontId="12" numFmtId="0" xfId="0" applyAlignment="1" applyBorder="1" applyFont="1">
      <alignment vertical="bottom"/>
    </xf>
    <xf borderId="2" fillId="0" fontId="13" numFmtId="0" xfId="0" applyAlignment="1" applyBorder="1" applyFont="1">
      <alignment horizontal="right" vertical="bottom"/>
    </xf>
    <xf borderId="2" fillId="0" fontId="12" numFmtId="0" xfId="0" applyAlignment="1" applyBorder="1" applyFont="1">
      <alignment vertical="bottom"/>
    </xf>
    <xf borderId="2" fillId="0" fontId="13" numFmtId="0" xfId="0" applyAlignment="1" applyBorder="1" applyFont="1">
      <alignment horizontal="right" readingOrder="0" vertical="bottom"/>
    </xf>
    <xf borderId="2" fillId="0" fontId="17" numFmtId="0" xfId="0" applyAlignment="1" applyBorder="1" applyFont="1">
      <alignment horizontal="center" readingOrder="0" vertical="bottom"/>
    </xf>
    <xf borderId="2" fillId="3" fontId="13" numFmtId="164" xfId="0" applyAlignment="1" applyBorder="1" applyFont="1" applyNumberFormat="1">
      <alignment readingOrder="0" vertical="bottom"/>
    </xf>
    <xf borderId="2" fillId="0" fontId="18" numFmtId="0" xfId="0" applyAlignment="1" applyBorder="1" applyFont="1">
      <alignment horizontal="center" readingOrder="0" vertical="bottom"/>
    </xf>
    <xf borderId="5" fillId="3" fontId="13" numFmtId="164" xfId="0" applyAlignment="1" applyBorder="1" applyFont="1" applyNumberFormat="1">
      <alignment vertical="bottom"/>
    </xf>
    <xf borderId="5" fillId="7" fontId="13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2" fillId="17" fontId="20" numFmtId="0" xfId="0" applyBorder="1" applyFont="1"/>
    <xf borderId="2" fillId="17" fontId="20" numFmtId="165" xfId="0" applyBorder="1" applyFont="1" applyNumberFormat="1"/>
    <xf borderId="2" fillId="17" fontId="1" numFmtId="167" xfId="0" applyBorder="1" applyFont="1" applyNumberFormat="1"/>
    <xf borderId="3" fillId="0" fontId="13" numFmtId="164" xfId="0" applyAlignment="1" applyBorder="1" applyFont="1" applyNumberFormat="1">
      <alignment horizontal="right" vertical="bottom"/>
    </xf>
    <xf borderId="6" fillId="0" fontId="13" numFmtId="0" xfId="0" applyAlignment="1" applyBorder="1" applyFont="1">
      <alignment vertical="bottom"/>
    </xf>
    <xf borderId="8" fillId="3" fontId="13" numFmtId="0" xfId="0" applyAlignment="1" applyBorder="1" applyFont="1">
      <alignment vertical="bottom"/>
    </xf>
    <xf borderId="8" fillId="7" fontId="13" numFmtId="0" xfId="0" applyAlignment="1" applyBorder="1" applyFont="1">
      <alignment horizontal="center" vertical="bottom"/>
    </xf>
    <xf borderId="7" fillId="0" fontId="21" numFmtId="0" xfId="0" applyAlignment="1" applyBorder="1" applyFont="1">
      <alignment horizontal="center" readingOrder="0" vertical="bottom"/>
    </xf>
    <xf borderId="7" fillId="0" fontId="13" numFmtId="0" xfId="0" applyAlignment="1" applyBorder="1" applyFont="1">
      <alignment horizontal="right" vertical="bottom"/>
    </xf>
    <xf borderId="7" fillId="0" fontId="13" numFmtId="164" xfId="0" applyAlignment="1" applyBorder="1" applyFont="1" applyNumberFormat="1">
      <alignment horizontal="right" readingOrder="0" vertical="bottom"/>
    </xf>
    <xf borderId="2" fillId="4" fontId="1" numFmtId="0" xfId="0" applyAlignment="1" applyBorder="1" applyFont="1">
      <alignment horizontal="center"/>
    </xf>
    <xf borderId="5" fillId="0" fontId="1" numFmtId="0" xfId="0" applyBorder="1" applyFont="1"/>
    <xf borderId="5" fillId="7" fontId="1" numFmtId="0" xfId="0" applyAlignment="1" applyBorder="1" applyFont="1">
      <alignment horizontal="center"/>
    </xf>
    <xf borderId="3" fillId="0" fontId="22" numFmtId="0" xfId="0" applyAlignment="1" applyBorder="1" applyFont="1">
      <alignment horizontal="center" readingOrder="0"/>
    </xf>
    <xf borderId="2" fillId="0" fontId="23" numFmtId="0" xfId="0" applyAlignment="1" applyBorder="1" applyFont="1">
      <alignment horizontal="center" readingOrder="0" shrinkToFit="0" wrapText="1"/>
    </xf>
    <xf borderId="2" fillId="16" fontId="1" numFmtId="166" xfId="0" applyBorder="1" applyFont="1" applyNumberFormat="1"/>
    <xf borderId="2" fillId="0" fontId="1" numFmtId="0" xfId="0" applyAlignment="1" applyBorder="1" applyFont="1">
      <alignment horizontal="center" readingOrder="0"/>
    </xf>
    <xf borderId="2" fillId="0" fontId="24" numFmtId="0" xfId="0" applyAlignment="1" applyBorder="1" applyFont="1">
      <alignment horizontal="center"/>
    </xf>
    <xf borderId="6" fillId="0" fontId="1" numFmtId="0" xfId="0" applyAlignment="1" applyBorder="1" applyFont="1">
      <alignment readingOrder="0"/>
    </xf>
    <xf borderId="7" fillId="0" fontId="25" numFmtId="0" xfId="0" applyAlignment="1" applyBorder="1" applyFont="1">
      <alignment readingOrder="0"/>
    </xf>
    <xf borderId="7" fillId="0" fontId="1" numFmtId="0" xfId="0" applyAlignment="1" applyBorder="1" applyFont="1">
      <alignment horizontal="right" readingOrder="0"/>
    </xf>
    <xf borderId="7" fillId="0" fontId="1" numFmtId="164" xfId="0" applyAlignment="1" applyBorder="1" applyFont="1" applyNumberFormat="1">
      <alignment horizontal="right" readingOrder="0"/>
    </xf>
    <xf borderId="7" fillId="0" fontId="1" numFmtId="0" xfId="0" applyAlignment="1" applyBorder="1" applyFont="1">
      <alignment readingOrder="0"/>
    </xf>
    <xf borderId="2" fillId="4" fontId="4" numFmtId="0" xfId="0" applyAlignment="1" applyBorder="1" applyFont="1">
      <alignment horizontal="center"/>
    </xf>
    <xf borderId="2" fillId="4" fontId="4" numFmtId="164" xfId="0" applyAlignment="1" applyBorder="1" applyFont="1" applyNumberFormat="1">
      <alignment horizontal="right"/>
    </xf>
    <xf borderId="2" fillId="0" fontId="26" numFmtId="0" xfId="0" applyAlignment="1" applyBorder="1" applyFont="1">
      <alignment horizontal="center" readingOrder="0" shrinkToFit="0" wrapText="1"/>
    </xf>
    <xf borderId="2" fillId="0" fontId="27" numFmtId="0" xfId="0" applyAlignment="1" applyBorder="1" applyFont="1">
      <alignment horizontal="center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2" fillId="12" fontId="8" numFmtId="0" xfId="0" applyAlignment="1" applyBorder="1" applyFont="1">
      <alignment horizontal="center"/>
    </xf>
    <xf borderId="2" fillId="0" fontId="1" numFmtId="0" xfId="0" applyAlignment="1" applyBorder="1" applyFont="1">
      <alignment horizontal="center" shrinkToFit="0" wrapText="1"/>
    </xf>
    <xf borderId="2" fillId="0" fontId="1" numFmtId="0" xfId="0" applyAlignment="1" applyBorder="1" applyFont="1">
      <alignment shrinkToFit="0" wrapText="1"/>
    </xf>
    <xf borderId="2" fillId="3" fontId="1" numFmtId="0" xfId="0" applyBorder="1" applyFont="1"/>
    <xf borderId="2" fillId="0" fontId="28" numFmtId="0" xfId="0" applyAlignment="1" applyBorder="1" applyFont="1">
      <alignment horizontal="center" readingOrder="0"/>
    </xf>
    <xf borderId="2" fillId="4" fontId="3" numFmtId="0" xfId="0" applyAlignment="1" applyBorder="1" applyFont="1">
      <alignment readingOrder="0" vertical="center"/>
    </xf>
    <xf borderId="23" fillId="0" fontId="1" numFmtId="0" xfId="0" applyAlignment="1" applyBorder="1" applyFont="1">
      <alignment horizontal="right"/>
    </xf>
    <xf borderId="2" fillId="0" fontId="2" numFmtId="0" xfId="0" applyAlignment="1" applyBorder="1" applyFont="1">
      <alignment readingOrder="0"/>
    </xf>
    <xf borderId="2" fillId="0" fontId="12" numFmtId="164" xfId="0" applyAlignment="1" applyBorder="1" applyFont="1" applyNumberFormat="1">
      <alignment vertical="bottom"/>
    </xf>
    <xf borderId="2" fillId="6" fontId="12" numFmtId="0" xfId="0" applyAlignment="1" applyBorder="1" applyFont="1">
      <alignment horizontal="center" vertical="bottom"/>
    </xf>
    <xf borderId="2" fillId="0" fontId="29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right" vertical="bottom"/>
    </xf>
    <xf borderId="2" fillId="0" fontId="12" numFmtId="164" xfId="0" applyAlignment="1" applyBorder="1" applyFont="1" applyNumberFormat="1">
      <alignment horizontal="right" vertical="bottom"/>
    </xf>
    <xf borderId="2" fillId="0" fontId="12" numFmtId="168" xfId="0" applyAlignment="1" applyBorder="1" applyFont="1" applyNumberFormat="1">
      <alignment vertical="bottom"/>
    </xf>
    <xf borderId="2" fillId="0" fontId="12" numFmtId="165" xfId="0" applyAlignment="1" applyBorder="1" applyFont="1" applyNumberFormat="1">
      <alignment vertical="bottom"/>
    </xf>
    <xf borderId="1" fillId="2" fontId="12" numFmtId="0" xfId="0" applyAlignment="1" applyBorder="1" applyFont="1">
      <alignment vertical="bottom"/>
    </xf>
    <xf borderId="2" fillId="0" fontId="12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right" readingOrder="0" vertical="bottom"/>
    </xf>
    <xf borderId="2" fillId="8" fontId="12" numFmtId="0" xfId="0" applyAlignment="1" applyBorder="1" applyFont="1">
      <alignment horizontal="center" vertical="bottom"/>
    </xf>
    <xf borderId="2" fillId="16" fontId="12" numFmtId="0" xfId="0" applyAlignment="1" applyBorder="1" applyFont="1">
      <alignment vertical="bottom"/>
    </xf>
    <xf borderId="2" fillId="16" fontId="12" numFmtId="165" xfId="0" applyAlignment="1" applyBorder="1" applyFont="1" applyNumberFormat="1">
      <alignment vertical="bottom"/>
    </xf>
    <xf borderId="2" fillId="0" fontId="8" numFmtId="0" xfId="0" applyAlignment="1" applyBorder="1" applyFont="1">
      <alignment shrinkToFit="0" wrapText="1"/>
    </xf>
    <xf borderId="2" fillId="0" fontId="8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right"/>
    </xf>
    <xf borderId="2" fillId="0" fontId="8" numFmtId="164" xfId="0" applyAlignment="1" applyBorder="1" applyFont="1" applyNumberFormat="1">
      <alignment horizontal="right" readingOrder="0"/>
    </xf>
    <xf borderId="2" fillId="0" fontId="8" numFmtId="164" xfId="0" applyAlignment="1" applyBorder="1" applyFont="1" applyNumberFormat="1">
      <alignment horizontal="right"/>
    </xf>
    <xf borderId="2" fillId="0" fontId="8" numFmtId="164" xfId="0" applyBorder="1" applyFont="1" applyNumberFormat="1"/>
    <xf borderId="2" fillId="0" fontId="30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 shrinkToFit="0" wrapText="1"/>
    </xf>
    <xf borderId="3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8" fillId="7" fontId="1" numFmtId="0" xfId="0" applyAlignment="1" applyBorder="1" applyFont="1">
      <alignment horizontal="center"/>
    </xf>
    <xf borderId="3" fillId="0" fontId="31" numFmtId="0" xfId="0" applyBorder="1" applyFont="1"/>
    <xf borderId="3" fillId="0" fontId="1" numFmtId="165" xfId="0" applyBorder="1" applyFont="1" applyNumberFormat="1"/>
    <xf borderId="7" fillId="0" fontId="32" numFmtId="0" xfId="0" applyBorder="1" applyFont="1"/>
    <xf borderId="7" fillId="0" fontId="1" numFmtId="165" xfId="0" applyBorder="1" applyFont="1" applyNumberFormat="1"/>
    <xf borderId="7" fillId="0" fontId="1" numFmtId="0" xfId="0" applyAlignment="1" applyBorder="1" applyFont="1">
      <alignment readingOrder="0" shrinkToFit="0" wrapText="1"/>
    </xf>
    <xf borderId="7" fillId="0" fontId="33" numFmtId="0" xfId="0" applyAlignment="1" applyBorder="1" applyFont="1">
      <alignment readingOrder="0"/>
    </xf>
    <xf borderId="7" fillId="0" fontId="34" numFmtId="0" xfId="0" applyBorder="1" applyFont="1"/>
    <xf borderId="6" fillId="0" fontId="1" numFmtId="0" xfId="0" applyBorder="1" applyFont="1"/>
    <xf borderId="3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2" fillId="3" fontId="1" numFmtId="0" xfId="0" applyAlignment="1" applyBorder="1" applyFont="1">
      <alignment readingOrder="0" shrinkToFit="0" wrapText="1"/>
    </xf>
    <xf borderId="2" fillId="3" fontId="1" numFmtId="0" xfId="0" applyAlignment="1" applyBorder="1" applyFont="1">
      <alignment horizontal="center"/>
    </xf>
    <xf borderId="2" fillId="3" fontId="1" numFmtId="0" xfId="0" applyAlignment="1" applyBorder="1" applyFont="1">
      <alignment horizontal="right"/>
    </xf>
    <xf borderId="2" fillId="3" fontId="1" numFmtId="164" xfId="0" applyAlignment="1" applyBorder="1" applyFont="1" applyNumberFormat="1">
      <alignment horizontal="right" readingOrder="0"/>
    </xf>
    <xf borderId="5" fillId="8" fontId="1" numFmtId="0" xfId="0" applyAlignment="1" applyBorder="1" applyFont="1">
      <alignment horizontal="center"/>
    </xf>
    <xf borderId="2" fillId="0" fontId="1" numFmtId="169" xfId="0" applyBorder="1" applyFont="1" applyNumberFormat="1"/>
    <xf borderId="3" fillId="0" fontId="1" numFmtId="0" xfId="0" applyAlignment="1" applyBorder="1" applyFont="1">
      <alignment horizontal="right" readingOrder="0"/>
    </xf>
    <xf borderId="8" fillId="8" fontId="1" numFmtId="0" xfId="0" applyAlignment="1" applyBorder="1" applyFont="1">
      <alignment horizontal="center"/>
    </xf>
    <xf borderId="2" fillId="21" fontId="1" numFmtId="0" xfId="0" applyBorder="1" applyFill="1" applyFont="1"/>
    <xf borderId="2" fillId="0" fontId="35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center"/>
    </xf>
    <xf borderId="2" fillId="0" fontId="1" numFmtId="164" xfId="0" applyAlignment="1" applyBorder="1" applyFont="1" applyNumberFormat="1">
      <alignment readingOrder="0"/>
    </xf>
    <xf borderId="2" fillId="0" fontId="1" numFmtId="0" xfId="0" applyAlignment="1" applyBorder="1" applyFont="1">
      <alignment horizontal="center" readingOrder="0"/>
    </xf>
    <xf borderId="2" fillId="0" fontId="8" numFmtId="0" xfId="0" applyAlignment="1" applyBorder="1" applyFont="1">
      <alignment horizontal="right" readingOrder="0"/>
    </xf>
    <xf borderId="3" fillId="0" fontId="36" numFmtId="0" xfId="0" applyAlignment="1" applyBorder="1" applyFont="1">
      <alignment horizontal="center" readingOrder="0"/>
    </xf>
    <xf borderId="3" fillId="0" fontId="1" numFmtId="0" xfId="0" applyAlignment="1" applyBorder="1" applyFont="1">
      <alignment readingOrder="0" shrinkToFit="0" wrapText="1"/>
    </xf>
    <xf borderId="3" fillId="0" fontId="37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right" readingOrder="0"/>
    </xf>
    <xf borderId="14" fillId="0" fontId="1" numFmtId="164" xfId="0" applyAlignment="1" applyBorder="1" applyFont="1" applyNumberFormat="1">
      <alignment horizontal="right" readingOrder="0"/>
    </xf>
    <xf borderId="2" fillId="3" fontId="1" numFmtId="0" xfId="0" applyAlignment="1" applyBorder="1" applyFont="1">
      <alignment horizontal="right" readingOrder="0"/>
    </xf>
    <xf borderId="3" fillId="0" fontId="38" numFmtId="0" xfId="0" applyAlignment="1" applyBorder="1" applyFont="1">
      <alignment readingOrder="0"/>
    </xf>
    <xf borderId="7" fillId="0" fontId="39" numFmtId="0" xfId="0" applyAlignment="1" applyBorder="1" applyFont="1">
      <alignment readingOrder="0"/>
    </xf>
    <xf borderId="2" fillId="0" fontId="12" numFmtId="0" xfId="0" applyAlignment="1" applyBorder="1" applyFont="1">
      <alignment readingOrder="0" vertical="bottom"/>
    </xf>
    <xf borderId="2" fillId="0" fontId="12" numFmtId="0" xfId="0" applyAlignment="1" applyBorder="1" applyFont="1">
      <alignment shrinkToFit="0" vertical="bottom" wrapText="1"/>
    </xf>
    <xf borderId="2" fillId="7" fontId="12" numFmtId="0" xfId="0" applyAlignment="1" applyBorder="1" applyFont="1">
      <alignment horizontal="center" vertical="bottom"/>
    </xf>
    <xf borderId="0" fillId="0" fontId="12" numFmtId="164" xfId="0" applyAlignment="1" applyFont="1" applyNumberFormat="1">
      <alignment horizontal="right" vertical="bottom"/>
    </xf>
    <xf borderId="14" fillId="0" fontId="12" numFmtId="164" xfId="0" applyAlignment="1" applyBorder="1" applyFont="1" applyNumberFormat="1">
      <alignment horizontal="right" readingOrder="0" vertical="bottom"/>
    </xf>
    <xf borderId="2" fillId="0" fontId="40" numFmtId="0" xfId="0" applyAlignment="1" applyBorder="1" applyFont="1">
      <alignment horizontal="center" vertical="bottom"/>
    </xf>
    <xf borderId="2" fillId="22" fontId="1" numFmtId="0" xfId="0" applyBorder="1" applyFill="1" applyFont="1"/>
    <xf borderId="2" fillId="22" fontId="1" numFmtId="0" xfId="0" applyAlignment="1" applyBorder="1" applyFont="1">
      <alignment readingOrder="0" shrinkToFit="0" wrapText="1"/>
    </xf>
    <xf borderId="2" fillId="3" fontId="1" numFmtId="164" xfId="0" applyBorder="1" applyFont="1" applyNumberFormat="1"/>
    <xf borderId="2" fillId="4" fontId="3" numFmtId="0" xfId="0" applyAlignment="1" applyBorder="1" applyFont="1">
      <alignment readingOrder="0" shrinkToFit="0" vertical="center" wrapText="1"/>
    </xf>
    <xf borderId="2" fillId="10" fontId="1" numFmtId="169" xfId="0" applyBorder="1" applyFont="1" applyNumberFormat="1"/>
    <xf borderId="3" fillId="0" fontId="8" numFmtId="0" xfId="0" applyAlignment="1" applyBorder="1" applyFont="1">
      <alignment horizontal="right"/>
    </xf>
    <xf borderId="3" fillId="0" fontId="8" numFmtId="164" xfId="0" applyAlignment="1" applyBorder="1" applyFont="1" applyNumberFormat="1">
      <alignment horizontal="right"/>
    </xf>
    <xf borderId="6" fillId="0" fontId="1" numFmtId="0" xfId="0" applyAlignment="1" applyBorder="1" applyFont="1">
      <alignment shrinkToFit="0" wrapText="1"/>
    </xf>
    <xf borderId="3" fillId="0" fontId="41" numFmtId="0" xfId="0" applyBorder="1" applyFont="1"/>
    <xf borderId="3" fillId="0" fontId="42" numFmtId="0" xfId="0" applyAlignment="1" applyBorder="1" applyFont="1">
      <alignment horizontal="center"/>
    </xf>
    <xf borderId="2" fillId="3" fontId="1" numFmtId="0" xfId="0" applyAlignment="1" applyBorder="1" applyFont="1">
      <alignment shrinkToFit="0" wrapText="1"/>
    </xf>
    <xf borderId="0" fillId="0" fontId="1" numFmtId="164" xfId="0" applyAlignment="1" applyFont="1" applyNumberFormat="1">
      <alignment horizontal="right"/>
    </xf>
    <xf borderId="14" fillId="0" fontId="1" numFmtId="164" xfId="0" applyAlignment="1" applyBorder="1" applyFont="1" applyNumberFormat="1">
      <alignment horizontal="right"/>
    </xf>
    <xf borderId="24" fillId="3" fontId="1" numFmtId="0" xfId="0" applyBorder="1" applyFont="1"/>
    <xf borderId="25" fillId="3" fontId="1" numFmtId="0" xfId="0" applyBorder="1" applyFont="1"/>
    <xf borderId="8" fillId="16" fontId="1" numFmtId="0" xfId="0" applyBorder="1" applyFont="1"/>
    <xf borderId="2" fillId="0" fontId="43" numFmtId="0" xfId="0" applyAlignment="1" applyBorder="1" applyFont="1">
      <alignment horizontal="center" readingOrder="0"/>
    </xf>
    <xf borderId="5" fillId="4" fontId="3" numFmtId="0" xfId="0" applyAlignment="1" applyBorder="1" applyFont="1">
      <alignment readingOrder="0"/>
    </xf>
    <xf borderId="5" fillId="4" fontId="3" numFmtId="164" xfId="0" applyAlignment="1" applyBorder="1" applyFont="1" applyNumberFormat="1">
      <alignment horizontal="right"/>
    </xf>
    <xf borderId="5" fillId="4" fontId="1" numFmtId="0" xfId="0" applyBorder="1" applyFont="1"/>
    <xf borderId="5" fillId="4" fontId="1" numFmtId="164" xfId="0" applyBorder="1" applyFont="1" applyNumberFormat="1"/>
    <xf borderId="7" fillId="0" fontId="1" numFmtId="0" xfId="0" applyAlignment="1" applyBorder="1" applyFont="1">
      <alignment readingOrder="0"/>
    </xf>
    <xf borderId="8" fillId="12" fontId="1" numFmtId="0" xfId="0" applyAlignment="1" applyBorder="1" applyFont="1">
      <alignment horizontal="center"/>
    </xf>
    <xf borderId="3" fillId="0" fontId="44" numFmtId="0" xfId="0" applyAlignment="1" applyBorder="1" applyFont="1">
      <alignment horizontal="center" readingOrder="0"/>
    </xf>
    <xf borderId="7" fillId="0" fontId="45" numFmtId="0" xfId="0" applyAlignment="1" applyBorder="1" applyFont="1">
      <alignment horizontal="center" readingOrder="0"/>
    </xf>
    <xf borderId="3" fillId="3" fontId="46" numFmtId="0" xfId="0" applyAlignment="1" applyBorder="1" applyFont="1">
      <alignment horizontal="center"/>
    </xf>
    <xf borderId="3" fillId="3" fontId="1" numFmtId="0" xfId="0" applyAlignment="1" applyBorder="1" applyFont="1">
      <alignment horizontal="right" readingOrder="0"/>
    </xf>
    <xf borderId="3" fillId="3" fontId="1" numFmtId="164" xfId="0" applyAlignment="1" applyBorder="1" applyFont="1" applyNumberFormat="1">
      <alignment horizontal="right"/>
    </xf>
    <xf borderId="2" fillId="3" fontId="1" numFmtId="164" xfId="0" applyAlignment="1" applyBorder="1" applyFont="1" applyNumberFormat="1">
      <alignment horizontal="right"/>
    </xf>
    <xf borderId="3" fillId="3" fontId="1" numFmtId="164" xfId="0" applyBorder="1" applyFont="1" applyNumberFormat="1"/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2" fillId="22" fontId="1" numFmtId="0" xfId="0" applyAlignment="1" applyBorder="1" applyFont="1">
      <alignment shrinkToFit="0" wrapText="1"/>
    </xf>
    <xf borderId="7" fillId="0" fontId="1" numFmtId="166" xfId="0" applyBorder="1" applyFont="1" applyNumberFormat="1"/>
    <xf borderId="8" fillId="10" fontId="1" numFmtId="0" xfId="0" applyBorder="1" applyFont="1"/>
    <xf borderId="7" fillId="10" fontId="1" numFmtId="0" xfId="0" applyBorder="1" applyFont="1"/>
    <xf borderId="7" fillId="10" fontId="1" numFmtId="169" xfId="0" applyBorder="1" applyFont="1" applyNumberFormat="1"/>
    <xf borderId="8" fillId="3" fontId="1" numFmtId="0" xfId="0" applyAlignment="1" applyBorder="1" applyFont="1">
      <alignment shrinkToFit="0" wrapText="1"/>
    </xf>
    <xf borderId="8" fillId="16" fontId="1" numFmtId="165" xfId="0" applyBorder="1" applyFont="1" applyNumberFormat="1"/>
    <xf borderId="8" fillId="10" fontId="1" numFmtId="165" xfId="0" applyBorder="1" applyFont="1" applyNumberFormat="1"/>
    <xf borderId="26" fillId="0" fontId="1" numFmtId="164" xfId="0" applyAlignment="1" applyBorder="1" applyFont="1" applyNumberFormat="1">
      <alignment horizontal="right" readingOrder="0"/>
    </xf>
    <xf borderId="27" fillId="3" fontId="1" numFmtId="0" xfId="0" applyBorder="1" applyFont="1"/>
    <xf borderId="28" fillId="3" fontId="1" numFmtId="0" xfId="0" applyBorder="1" applyFont="1"/>
    <xf borderId="8" fillId="10" fontId="1" numFmtId="169" xfId="0" applyBorder="1" applyFont="1" applyNumberFormat="1"/>
    <xf borderId="6" fillId="0" fontId="12" numFmtId="0" xfId="0" applyAlignment="1" applyBorder="1" applyFont="1">
      <alignment vertical="bottom"/>
    </xf>
    <xf borderId="7" fillId="0" fontId="12" numFmtId="0" xfId="0" applyAlignment="1" applyBorder="1" applyFont="1">
      <alignment shrinkToFit="0" vertical="bottom" wrapText="1"/>
    </xf>
    <xf borderId="8" fillId="7" fontId="12" numFmtId="0" xfId="0" applyAlignment="1" applyBorder="1" applyFont="1">
      <alignment horizontal="center" vertical="bottom"/>
    </xf>
    <xf borderId="7" fillId="0" fontId="12" numFmtId="0" xfId="0" applyAlignment="1" applyBorder="1" applyFont="1">
      <alignment horizontal="right" vertical="bottom"/>
    </xf>
    <xf borderId="7" fillId="0" fontId="12" numFmtId="164" xfId="0" applyAlignment="1" applyBorder="1" applyFont="1" applyNumberFormat="1">
      <alignment horizontal="right" vertical="bottom"/>
    </xf>
    <xf borderId="7" fillId="0" fontId="12" numFmtId="164" xfId="0" applyAlignment="1" applyBorder="1" applyFont="1" applyNumberFormat="1">
      <alignment vertical="bottom"/>
    </xf>
    <xf borderId="3" fillId="0" fontId="47" numFmtId="0" xfId="0" applyAlignment="1" applyBorder="1" applyFont="1">
      <alignment horizontal="center"/>
    </xf>
    <xf borderId="7" fillId="0" fontId="48" numFmtId="0" xfId="0" applyAlignment="1" applyBorder="1" applyFont="1">
      <alignment horizontal="center"/>
    </xf>
    <xf borderId="29" fillId="0" fontId="49" numFmtId="0" xfId="0" applyBorder="1" applyFont="1"/>
    <xf borderId="29" fillId="0" fontId="1" numFmtId="0" xfId="0" applyBorder="1" applyFont="1"/>
    <xf borderId="7" fillId="0" fontId="50" numFmtId="0" xfId="0" applyAlignment="1" applyBorder="1" applyFont="1">
      <alignment horizontal="center"/>
    </xf>
    <xf borderId="8" fillId="17" fontId="1" numFmtId="0" xfId="0" applyBorder="1" applyFont="1"/>
    <xf borderId="8" fillId="10" fontId="1" numFmtId="0" xfId="0" applyAlignment="1" applyBorder="1" applyFont="1">
      <alignment horizontal="right"/>
    </xf>
    <xf borderId="8" fillId="0" fontId="1" numFmtId="0" xfId="0" applyAlignment="1" applyBorder="1" applyFont="1">
      <alignment shrinkToFit="0" wrapText="1"/>
    </xf>
    <xf borderId="29" fillId="0" fontId="51" numFmtId="0" xfId="0" applyBorder="1" applyFont="1"/>
    <xf borderId="2" fillId="23" fontId="1" numFmtId="0" xfId="0" applyBorder="1" applyFill="1" applyFont="1"/>
    <xf borderId="2" fillId="0" fontId="52" numFmtId="0" xfId="0" applyBorder="1" applyFont="1"/>
    <xf borderId="2" fillId="0" fontId="52" numFmtId="0" xfId="0" applyAlignment="1" applyBorder="1" applyFont="1">
      <alignment horizontal="right" readingOrder="0"/>
    </xf>
    <xf borderId="2" fillId="0" fontId="52" numFmtId="164" xfId="0" applyAlignment="1" applyBorder="1" applyFont="1" applyNumberFormat="1">
      <alignment horizontal="right" readingOrder="0"/>
    </xf>
    <xf borderId="0" fillId="0" fontId="53" numFmtId="0" xfId="0" applyFont="1"/>
    <xf borderId="2" fillId="0" fontId="1" numFmtId="4" xfId="0" applyAlignment="1" applyBorder="1" applyFont="1" applyNumberFormat="1">
      <alignment readingOrder="0"/>
    </xf>
    <xf borderId="3" fillId="17" fontId="1" numFmtId="0" xfId="0" applyBorder="1" applyFont="1"/>
    <xf borderId="3" fillId="17" fontId="1" numFmtId="0" xfId="0" applyAlignment="1" applyBorder="1" applyFont="1">
      <alignment readingOrder="0"/>
    </xf>
    <xf borderId="5" fillId="17" fontId="1" numFmtId="0" xfId="0" applyAlignment="1" applyBorder="1" applyFont="1">
      <alignment horizontal="center"/>
    </xf>
    <xf borderId="3" fillId="17" fontId="1" numFmtId="0" xfId="0" applyAlignment="1" applyBorder="1" applyFont="1">
      <alignment horizontal="right" readingOrder="0"/>
    </xf>
    <xf borderId="3" fillId="17" fontId="1" numFmtId="164" xfId="0" applyAlignment="1" applyBorder="1" applyFont="1" applyNumberFormat="1">
      <alignment horizontal="right" readingOrder="0"/>
    </xf>
    <xf borderId="3" fillId="17" fontId="1" numFmtId="164" xfId="0" applyAlignment="1" applyBorder="1" applyFont="1" applyNumberFormat="1">
      <alignment horizontal="right"/>
    </xf>
    <xf borderId="3" fillId="16" fontId="1" numFmtId="0" xfId="0" applyBorder="1" applyFont="1"/>
    <xf borderId="5" fillId="4" fontId="3" numFmtId="0" xfId="0" applyAlignment="1" applyBorder="1" applyFont="1">
      <alignment readingOrder="0" shrinkToFit="0" wrapText="1"/>
    </xf>
    <xf borderId="3" fillId="0" fontId="54" numFmtId="0" xfId="0" applyAlignment="1" applyBorder="1" applyFont="1">
      <alignment horizontal="center"/>
    </xf>
    <xf borderId="7" fillId="0" fontId="55" numFmtId="0" xfId="0" applyAlignment="1" applyBorder="1" applyFont="1">
      <alignment horizontal="center" readingOrder="0"/>
    </xf>
    <xf borderId="7" fillId="20" fontId="1" numFmtId="0" xfId="0" applyAlignment="1" applyBorder="1" applyFont="1">
      <alignment readingOrder="0"/>
    </xf>
    <xf borderId="0" fillId="24" fontId="56" numFmtId="0" xfId="0" applyAlignment="1" applyFill="1" applyFont="1">
      <alignment horizontal="left" shrinkToFit="0" wrapText="1"/>
    </xf>
    <xf borderId="8" fillId="9" fontId="4" numFmtId="0" xfId="0" applyBorder="1" applyFont="1"/>
    <xf borderId="0" fillId="0" fontId="12" numFmtId="0" xfId="0" applyFont="1"/>
    <xf borderId="7" fillId="0" fontId="57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5" fillId="9" fontId="4" numFmtId="0" xfId="0" applyBorder="1" applyFont="1"/>
    <xf borderId="7" fillId="22" fontId="58" numFmtId="0" xfId="0" applyAlignment="1" applyBorder="1" applyFont="1">
      <alignment readingOrder="0"/>
    </xf>
    <xf borderId="7" fillId="22" fontId="1" numFmtId="0" xfId="0" applyAlignment="1" applyBorder="1" applyFont="1">
      <alignment horizontal="right" readingOrder="0"/>
    </xf>
    <xf borderId="7" fillId="22" fontId="1" numFmtId="164" xfId="0" applyAlignment="1" applyBorder="1" applyFont="1" applyNumberFormat="1">
      <alignment horizontal="right" readingOrder="0"/>
    </xf>
    <xf borderId="7" fillId="22" fontId="1" numFmtId="164" xfId="0" applyAlignment="1" applyBorder="1" applyFont="1" applyNumberFormat="1">
      <alignment horizontal="right"/>
    </xf>
    <xf borderId="7" fillId="0" fontId="1" numFmtId="0" xfId="0" applyAlignment="1" applyBorder="1" applyFont="1">
      <alignment horizontal="center" readingOrder="0"/>
    </xf>
    <xf borderId="7" fillId="0" fontId="1" numFmtId="170" xfId="0" applyAlignment="1" applyBorder="1" applyFont="1" applyNumberFormat="1">
      <alignment horizontal="right"/>
    </xf>
    <xf borderId="7" fillId="22" fontId="1" numFmtId="0" xfId="0" applyBorder="1" applyFont="1"/>
    <xf borderId="7" fillId="16" fontId="1" numFmtId="0" xfId="0" applyBorder="1" applyFont="1"/>
    <xf borderId="3" fillId="8" fontId="12" numFmtId="0" xfId="0" applyAlignment="1" applyBorder="1" applyFont="1">
      <alignment horizontal="center" vertical="bottom"/>
    </xf>
    <xf borderId="2" fillId="21" fontId="1" numFmtId="164" xfId="0" applyAlignment="1" applyBorder="1" applyFont="1" applyNumberFormat="1">
      <alignment horizontal="right"/>
    </xf>
    <xf borderId="2" fillId="21" fontId="1" numFmtId="164" xfId="0" applyBorder="1" applyFont="1" applyNumberFormat="1"/>
    <xf borderId="3" fillId="0" fontId="12" numFmtId="0" xfId="0" applyAlignment="1" applyBorder="1" applyFont="1">
      <alignment readingOrder="0" vertical="bottom"/>
    </xf>
    <xf borderId="3" fillId="0" fontId="12" numFmtId="0" xfId="0" applyAlignment="1" applyBorder="1" applyFont="1">
      <alignment vertical="bottom"/>
    </xf>
    <xf borderId="3" fillId="0" fontId="12" numFmtId="0" xfId="0" applyAlignment="1" applyBorder="1" applyFont="1">
      <alignment horizontal="right" vertical="bottom"/>
    </xf>
    <xf borderId="3" fillId="0" fontId="12" numFmtId="164" xfId="0" applyAlignment="1" applyBorder="1" applyFont="1" applyNumberFormat="1">
      <alignment horizontal="right" readingOrder="0" vertical="bottom"/>
    </xf>
    <xf borderId="3" fillId="0" fontId="12" numFmtId="164" xfId="0" applyAlignment="1" applyBorder="1" applyFont="1" applyNumberFormat="1">
      <alignment vertical="bottom"/>
    </xf>
    <xf borderId="3" fillId="0" fontId="12" numFmtId="0" xfId="0" applyAlignment="1" applyBorder="1" applyFont="1">
      <alignment horizontal="right" readingOrder="0" vertical="bottom"/>
    </xf>
    <xf borderId="2" fillId="0" fontId="12" numFmtId="164" xfId="0" applyAlignment="1" applyBorder="1" applyFont="1" applyNumberFormat="1">
      <alignment horizontal="right" readingOrder="0" vertical="bottom"/>
    </xf>
    <xf borderId="14" fillId="11" fontId="1" numFmtId="0" xfId="0" applyAlignment="1" applyBorder="1" applyFont="1">
      <alignment horizontal="center"/>
    </xf>
    <xf borderId="30" fillId="11" fontId="1" numFmtId="0" xfId="0" applyAlignment="1" applyBorder="1" applyFont="1">
      <alignment horizontal="center"/>
    </xf>
    <xf borderId="14" fillId="11" fontId="8" numFmtId="0" xfId="0" applyAlignment="1" applyBorder="1" applyFont="1">
      <alignment horizontal="center"/>
    </xf>
    <xf borderId="0" fillId="0" fontId="1" numFmtId="0" xfId="0" applyFont="1"/>
    <xf borderId="2" fillId="17" fontId="8" numFmtId="0" xfId="0" applyAlignment="1" applyBorder="1" applyFont="1">
      <alignment horizontal="center"/>
    </xf>
    <xf borderId="2" fillId="17" fontId="8" numFmtId="0" xfId="0" applyBorder="1" applyFont="1"/>
    <xf borderId="2" fillId="17" fontId="8" numFmtId="164" xfId="0" applyAlignment="1" applyBorder="1" applyFont="1" applyNumberFormat="1">
      <alignment horizontal="right" readingOrder="0"/>
    </xf>
    <xf borderId="0" fillId="0" fontId="1" numFmtId="0" xfId="0" applyAlignment="1" applyFont="1">
      <alignment horizontal="center"/>
    </xf>
    <xf borderId="5" fillId="4" fontId="3" numFmtId="0" xfId="0" applyBorder="1" applyFont="1"/>
    <xf borderId="2" fillId="25" fontId="13" numFmtId="0" xfId="0" applyAlignment="1" applyBorder="1" applyFill="1" applyFont="1">
      <alignment readingOrder="0" vertical="bottom"/>
    </xf>
    <xf borderId="2" fillId="25" fontId="13" numFmtId="164" xfId="0" applyAlignment="1" applyBorder="1" applyFont="1" applyNumberFormat="1">
      <alignment vertical="bottom"/>
    </xf>
    <xf borderId="2" fillId="25" fontId="13" numFmtId="0" xfId="0" applyAlignment="1" applyBorder="1" applyFont="1">
      <alignment horizontal="center" vertical="bottom"/>
    </xf>
    <xf borderId="0" fillId="25" fontId="13" numFmtId="0" xfId="0" applyAlignment="1" applyFont="1">
      <alignment readingOrder="0" vertical="bottom"/>
    </xf>
    <xf borderId="3" fillId="25" fontId="13" numFmtId="0" xfId="0" applyAlignment="1" applyBorder="1" applyFont="1">
      <alignment horizontal="right" vertical="bottom"/>
    </xf>
    <xf borderId="3" fillId="25" fontId="13" numFmtId="164" xfId="0" applyAlignment="1" applyBorder="1" applyFont="1" applyNumberFormat="1">
      <alignment horizontal="right" readingOrder="0" vertical="bottom"/>
    </xf>
    <xf borderId="2" fillId="25" fontId="13" numFmtId="164" xfId="0" applyAlignment="1" applyBorder="1" applyFont="1" applyNumberFormat="1">
      <alignment horizontal="right" vertical="bottom"/>
    </xf>
    <xf borderId="2" fillId="26" fontId="13" numFmtId="0" xfId="0" applyAlignment="1" applyBorder="1" applyFill="1" applyFont="1">
      <alignment vertical="bottom"/>
    </xf>
    <xf borderId="2" fillId="26" fontId="13" numFmtId="164" xfId="0" applyAlignment="1" applyBorder="1" applyFont="1" applyNumberFormat="1">
      <alignment vertical="bottom"/>
    </xf>
    <xf borderId="2" fillId="26" fontId="13" numFmtId="0" xfId="0" applyAlignment="1" applyBorder="1" applyFont="1">
      <alignment horizontal="center" vertical="bottom"/>
    </xf>
    <xf borderId="2" fillId="26" fontId="59" numFmtId="0" xfId="0" applyAlignment="1" applyBorder="1" applyFont="1">
      <alignment horizontal="center" vertical="bottom"/>
    </xf>
    <xf borderId="2" fillId="26" fontId="13" numFmtId="0" xfId="0" applyAlignment="1" applyBorder="1" applyFont="1">
      <alignment horizontal="right" vertical="bottom"/>
    </xf>
    <xf borderId="2" fillId="26" fontId="13" numFmtId="164" xfId="0" applyAlignment="1" applyBorder="1" applyFont="1" applyNumberFormat="1">
      <alignment horizontal="right" readingOrder="0" vertical="bottom"/>
    </xf>
    <xf borderId="2" fillId="26" fontId="13" numFmtId="164" xfId="0" applyAlignment="1" applyBorder="1" applyFont="1" applyNumberFormat="1">
      <alignment horizontal="right" vertical="bottom"/>
    </xf>
    <xf borderId="2" fillId="26" fontId="13" numFmtId="0" xfId="0" applyAlignment="1" applyBorder="1" applyFont="1">
      <alignment readingOrder="0" vertical="bottom"/>
    </xf>
    <xf borderId="2" fillId="26" fontId="60" numFmtId="0" xfId="0" applyAlignment="1" applyBorder="1" applyFont="1">
      <alignment horizontal="center" readingOrder="0" vertical="bottom"/>
    </xf>
    <xf borderId="2" fillId="26" fontId="13" numFmtId="0" xfId="0" applyAlignment="1" applyBorder="1" applyFont="1">
      <alignment horizontal="right" readingOrder="0" vertical="bottom"/>
    </xf>
    <xf borderId="2" fillId="26" fontId="13" numFmtId="164" xfId="0" applyAlignment="1" applyBorder="1" applyFont="1" applyNumberFormat="1">
      <alignment readingOrder="0" vertical="bottom"/>
    </xf>
    <xf borderId="2" fillId="26" fontId="1" numFmtId="0" xfId="0" applyAlignment="1" applyBorder="1" applyFont="1">
      <alignment readingOrder="0"/>
    </xf>
    <xf borderId="2" fillId="26" fontId="1" numFmtId="0" xfId="0" applyBorder="1" applyFont="1"/>
    <xf borderId="2" fillId="26" fontId="1" numFmtId="0" xfId="0" applyAlignment="1" applyBorder="1" applyFont="1">
      <alignment horizontal="center"/>
    </xf>
    <xf borderId="2" fillId="26" fontId="1" numFmtId="0" xfId="0" applyAlignment="1" applyBorder="1" applyFont="1">
      <alignment horizontal="center" readingOrder="0"/>
    </xf>
    <xf borderId="2" fillId="26" fontId="1" numFmtId="0" xfId="0" applyAlignment="1" applyBorder="1" applyFont="1">
      <alignment horizontal="right" readingOrder="0"/>
    </xf>
    <xf borderId="2" fillId="26" fontId="1" numFmtId="164" xfId="0" applyAlignment="1" applyBorder="1" applyFont="1" applyNumberFormat="1">
      <alignment horizontal="right" readingOrder="0"/>
    </xf>
    <xf borderId="2" fillId="26" fontId="1" numFmtId="164" xfId="0" applyAlignment="1" applyBorder="1" applyFont="1" applyNumberFormat="1">
      <alignment horizontal="right"/>
    </xf>
    <xf borderId="2" fillId="26" fontId="1" numFmtId="164" xfId="0" applyBorder="1" applyFont="1" applyNumberFormat="1"/>
    <xf borderId="2" fillId="26" fontId="1" numFmtId="0" xfId="0" applyAlignment="1" applyBorder="1" applyFont="1">
      <alignment horizontal="right"/>
    </xf>
    <xf borderId="2" fillId="26" fontId="1" numFmtId="0" xfId="0" applyAlignment="1" applyBorder="1" applyFont="1">
      <alignment shrinkToFit="0" wrapText="1"/>
    </xf>
    <xf borderId="2" fillId="26" fontId="2" numFmtId="0" xfId="0" applyAlignment="1" applyBorder="1" applyFont="1">
      <alignment readingOrder="0"/>
    </xf>
    <xf borderId="2" fillId="26" fontId="8" numFmtId="0" xfId="0" applyBorder="1" applyFont="1"/>
    <xf borderId="2" fillId="26" fontId="8" numFmtId="0" xfId="0" applyAlignment="1" applyBorder="1" applyFont="1">
      <alignment shrinkToFit="0" wrapText="1"/>
    </xf>
    <xf borderId="2" fillId="26" fontId="8" numFmtId="0" xfId="0" applyAlignment="1" applyBorder="1" applyFont="1">
      <alignment horizontal="center"/>
    </xf>
    <xf borderId="2" fillId="26" fontId="8" numFmtId="0" xfId="0" applyAlignment="1" applyBorder="1" applyFont="1">
      <alignment horizontal="center" readingOrder="0"/>
    </xf>
    <xf borderId="2" fillId="26" fontId="8" numFmtId="0" xfId="0" applyAlignment="1" applyBorder="1" applyFont="1">
      <alignment horizontal="right"/>
    </xf>
    <xf borderId="2" fillId="26" fontId="8" numFmtId="164" xfId="0" applyAlignment="1" applyBorder="1" applyFont="1" applyNumberFormat="1">
      <alignment horizontal="right" readingOrder="0"/>
    </xf>
    <xf borderId="2" fillId="26" fontId="8" numFmtId="164" xfId="0" applyAlignment="1" applyBorder="1" applyFont="1" applyNumberFormat="1">
      <alignment horizontal="right"/>
    </xf>
    <xf borderId="2" fillId="20" fontId="1" numFmtId="0" xfId="0" applyAlignment="1" applyBorder="1" applyFont="1">
      <alignment readingOrder="0"/>
    </xf>
    <xf borderId="2" fillId="20" fontId="1" numFmtId="0" xfId="0" applyAlignment="1" applyBorder="1" applyFont="1">
      <alignment shrinkToFit="0" wrapText="1"/>
    </xf>
    <xf borderId="2" fillId="20" fontId="1" numFmtId="0" xfId="0" applyAlignment="1" applyBorder="1" applyFont="1">
      <alignment horizontal="center"/>
    </xf>
    <xf borderId="2" fillId="20" fontId="1" numFmtId="0" xfId="0" applyAlignment="1" applyBorder="1" applyFont="1">
      <alignment horizontal="center" readingOrder="0"/>
    </xf>
    <xf borderId="2" fillId="20" fontId="1" numFmtId="0" xfId="0" applyAlignment="1" applyBorder="1" applyFont="1">
      <alignment horizontal="right" readingOrder="0"/>
    </xf>
    <xf borderId="2" fillId="20" fontId="1" numFmtId="164" xfId="0" applyAlignment="1" applyBorder="1" applyFont="1" applyNumberFormat="1">
      <alignment horizontal="right" readingOrder="0"/>
    </xf>
    <xf borderId="2" fillId="20" fontId="1" numFmtId="164" xfId="0" applyAlignment="1" applyBorder="1" applyFont="1" applyNumberFormat="1">
      <alignment horizontal="right"/>
    </xf>
    <xf borderId="2" fillId="20" fontId="1" numFmtId="0" xfId="0" applyAlignment="1" applyBorder="1" applyFont="1">
      <alignment horizontal="right"/>
    </xf>
    <xf borderId="2" fillId="26" fontId="1" numFmtId="164" xfId="0" applyAlignment="1" applyBorder="1" applyFont="1" applyNumberFormat="1">
      <alignment readingOrder="0"/>
    </xf>
    <xf borderId="2" fillId="26" fontId="1" numFmtId="0" xfId="0" applyAlignment="1" applyBorder="1" applyFont="1">
      <alignment readingOrder="0" shrinkToFit="0" wrapText="1"/>
    </xf>
    <xf borderId="7" fillId="26" fontId="1" numFmtId="0" xfId="0" applyBorder="1" applyFont="1"/>
    <xf borderId="8" fillId="26" fontId="1" numFmtId="0" xfId="0" applyAlignment="1" applyBorder="1" applyFont="1">
      <alignment shrinkToFit="0" wrapText="1"/>
    </xf>
    <xf borderId="8" fillId="26" fontId="1" numFmtId="0" xfId="0" applyAlignment="1" applyBorder="1" applyFont="1">
      <alignment horizontal="center"/>
    </xf>
    <xf borderId="7" fillId="26" fontId="1" numFmtId="0" xfId="0" applyAlignment="1" applyBorder="1" applyFont="1">
      <alignment horizontal="right"/>
    </xf>
    <xf borderId="7" fillId="26" fontId="1" numFmtId="164" xfId="0" applyAlignment="1" applyBorder="1" applyFont="1" applyNumberFormat="1">
      <alignment horizontal="right"/>
    </xf>
    <xf borderId="7" fillId="26" fontId="1" numFmtId="164" xfId="0" applyAlignment="1" applyBorder="1" applyFont="1" applyNumberFormat="1">
      <alignment horizontal="right" readingOrder="0"/>
    </xf>
    <xf borderId="2" fillId="26" fontId="52" numFmtId="0" xfId="0" applyBorder="1" applyFont="1"/>
    <xf borderId="2" fillId="26" fontId="61" numFmtId="0" xfId="0" applyAlignment="1" applyBorder="1" applyFont="1">
      <alignment horizontal="center" readingOrder="0"/>
    </xf>
    <xf borderId="2" fillId="26" fontId="52" numFmtId="0" xfId="0" applyAlignment="1" applyBorder="1" applyFont="1">
      <alignment horizontal="right" readingOrder="0"/>
    </xf>
    <xf borderId="2" fillId="26" fontId="52" numFmtId="164" xfId="0" applyAlignment="1" applyBorder="1" applyFont="1" applyNumberFormat="1">
      <alignment horizontal="right" readingOrder="0"/>
    </xf>
    <xf borderId="0" fillId="26" fontId="62" numFmtId="0" xfId="0" applyFont="1"/>
    <xf borderId="2" fillId="26" fontId="63" numFmtId="0" xfId="0" applyAlignment="1" applyBorder="1" applyFont="1">
      <alignment horizontal="center" readingOrder="0"/>
    </xf>
    <xf borderId="2" fillId="27" fontId="1" numFmtId="0" xfId="0" applyBorder="1" applyFill="1" applyFont="1"/>
    <xf borderId="2" fillId="27" fontId="1" numFmtId="0" xfId="0" applyAlignment="1" applyBorder="1" applyFont="1">
      <alignment horizontal="center"/>
    </xf>
    <xf borderId="2" fillId="27" fontId="64" numFmtId="0" xfId="0" applyAlignment="1" applyBorder="1" applyFont="1">
      <alignment horizontal="center" readingOrder="0"/>
    </xf>
    <xf borderId="2" fillId="27" fontId="1" numFmtId="0" xfId="0" applyAlignment="1" applyBorder="1" applyFont="1">
      <alignment horizontal="right"/>
    </xf>
    <xf borderId="2" fillId="27" fontId="1" numFmtId="164" xfId="0" applyAlignment="1" applyBorder="1" applyFont="1" applyNumberFormat="1">
      <alignment horizontal="right" readingOrder="0"/>
    </xf>
    <xf borderId="2" fillId="27" fontId="1" numFmtId="164" xfId="0" applyAlignment="1" applyBorder="1" applyFont="1" applyNumberFormat="1">
      <alignment horizontal="right"/>
    </xf>
    <xf borderId="3" fillId="20" fontId="1" numFmtId="0" xfId="0" applyBorder="1" applyFont="1"/>
    <xf borderId="3" fillId="20" fontId="1" numFmtId="0" xfId="0" applyAlignment="1" applyBorder="1" applyFont="1">
      <alignment horizontal="right" readingOrder="0"/>
    </xf>
    <xf borderId="3" fillId="20" fontId="1" numFmtId="164" xfId="0" applyAlignment="1" applyBorder="1" applyFont="1" applyNumberFormat="1">
      <alignment horizontal="right" readingOrder="0"/>
    </xf>
    <xf borderId="3" fillId="20" fontId="1" numFmtId="164" xfId="0" applyAlignment="1" applyBorder="1" applyFont="1" applyNumberFormat="1">
      <alignment horizontal="right"/>
    </xf>
    <xf borderId="3" fillId="20" fontId="1" numFmtId="164" xfId="0" applyBorder="1" applyFont="1" applyNumberFormat="1"/>
    <xf borderId="3" fillId="20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7" fillId="26" fontId="1" numFmtId="0" xfId="0" applyAlignment="1" applyBorder="1" applyFont="1">
      <alignment readingOrder="0"/>
    </xf>
    <xf borderId="7" fillId="26" fontId="1" numFmtId="0" xfId="0" applyAlignment="1" applyBorder="1" applyFont="1">
      <alignment horizontal="right" readingOrder="0"/>
    </xf>
    <xf borderId="7" fillId="26" fontId="65" numFmtId="0" xfId="0" applyAlignment="1" applyBorder="1" applyFont="1">
      <alignment readingOrder="0"/>
    </xf>
    <xf borderId="0" fillId="0" fontId="8" numFmtId="171" xfId="0" applyFont="1" applyNumberFormat="1"/>
    <xf borderId="31" fillId="15" fontId="66" numFmtId="0" xfId="0" applyAlignment="1" applyBorder="1" applyFont="1">
      <alignment horizontal="center" readingOrder="0" vertical="bottom"/>
    </xf>
    <xf borderId="32" fillId="0" fontId="11" numFmtId="0" xfId="0" applyBorder="1" applyFont="1"/>
    <xf borderId="0" fillId="0" fontId="12" numFmtId="0" xfId="0" applyAlignment="1" applyFont="1">
      <alignment vertical="bottom"/>
    </xf>
    <xf borderId="1" fillId="28" fontId="12" numFmtId="164" xfId="0" applyAlignment="1" applyBorder="1" applyFill="1" applyFont="1" applyNumberFormat="1">
      <alignment vertical="bottom"/>
    </xf>
    <xf borderId="1" fillId="29" fontId="12" numFmtId="164" xfId="0" applyAlignment="1" applyBorder="1" applyFill="1" applyFont="1" applyNumberFormat="1">
      <alignment vertical="bottom"/>
    </xf>
    <xf borderId="0" fillId="30" fontId="12" numFmtId="164" xfId="0" applyAlignment="1" applyFill="1" applyFont="1" applyNumberFormat="1">
      <alignment vertical="bottom"/>
    </xf>
    <xf borderId="0" fillId="0" fontId="12" numFmtId="164" xfId="0" applyAlignment="1" applyFont="1" applyNumberFormat="1">
      <alignment horizontal="right" readingOrder="0" vertical="bottom"/>
    </xf>
    <xf borderId="0" fillId="0" fontId="12" numFmtId="171" xfId="0" applyAlignment="1" applyFont="1" applyNumberFormat="1">
      <alignment horizontal="right" vertical="bottom"/>
    </xf>
    <xf borderId="0" fillId="0" fontId="12" numFmtId="0" xfId="0" applyAlignment="1" applyFont="1">
      <alignment readingOrder="0" vertical="bottom"/>
    </xf>
    <xf borderId="0" fillId="0" fontId="12" numFmtId="164" xfId="0" applyAlignment="1" applyFont="1" applyNumberFormat="1">
      <alignment vertical="bottom"/>
    </xf>
    <xf borderId="0" fillId="0" fontId="12" numFmtId="171" xfId="0" applyAlignment="1" applyFont="1" applyNumberFormat="1">
      <alignment vertical="bottom"/>
    </xf>
    <xf borderId="0" fillId="0" fontId="12" numFmtId="0" xfId="0" applyAlignment="1" applyFont="1">
      <alignment horizontal="center" vertical="bottom"/>
    </xf>
    <xf borderId="0" fillId="0" fontId="10" numFmtId="164" xfId="0" applyAlignment="1" applyFont="1" applyNumberFormat="1">
      <alignment horizontal="right" vertical="bottom"/>
    </xf>
    <xf borderId="0" fillId="30" fontId="12" numFmtId="0" xfId="0" applyAlignment="1" applyFont="1">
      <alignment vertical="bottom"/>
    </xf>
    <xf borderId="0" fillId="30" fontId="10" numFmtId="171" xfId="0" applyAlignment="1" applyFont="1" applyNumberFormat="1">
      <alignment horizontal="right" vertical="bottom"/>
    </xf>
    <xf borderId="0" fillId="31" fontId="12" numFmtId="0" xfId="0" applyAlignment="1" applyFill="1" applyFont="1">
      <alignment vertical="bottom"/>
    </xf>
    <xf borderId="0" fillId="31" fontId="12" numFmtId="0" xfId="0" applyAlignment="1" applyFont="1">
      <alignment readingOrder="0" vertical="bottom"/>
    </xf>
    <xf borderId="0" fillId="0" fontId="12" numFmtId="0" xfId="0" applyAlignment="1" applyFont="1">
      <alignment horizontal="right" vertical="bottom"/>
    </xf>
    <xf borderId="0" fillId="0" fontId="12" numFmtId="0" xfId="0" applyAlignment="1" applyFont="1">
      <alignment horizontal="right" readingOrder="0" vertical="bottom"/>
    </xf>
    <xf borderId="0" fillId="0" fontId="12" numFmtId="0" xfId="0" applyAlignment="1" applyFont="1">
      <alignment horizontal="right" vertical="bottom"/>
    </xf>
    <xf borderId="0" fillId="30" fontId="12" numFmtId="0" xfId="0" applyAlignment="1" applyFont="1">
      <alignment horizontal="right" vertical="bottom"/>
    </xf>
  </cellXfs>
  <cellStyles count="1">
    <cellStyle xfId="0" name="Normal" builtinId="0"/>
  </cellStyles>
  <dxfs count="2">
    <dxf>
      <font>
        <strike/>
      </font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 title="Drawing"/>
        <xdr:cNvGrpSpPr/>
      </xdr:nvGrpSpPr>
      <xdr:grpSpPr>
        <a:xfrm>
          <a:off x="859725" y="3179925"/>
          <a:ext cx="8972550" cy="1200150"/>
          <a:chOff x="859725" y="3179925"/>
          <a:chExt cx="8972550" cy="1200150"/>
        </a:xfrm>
      </xdr:grpSpPr>
      <xdr:grpSp>
        <xdr:nvGrpSpPr>
          <xdr:cNvPr id="3" name="Shape 3" title="Drawing"/>
          <xdr:cNvGrpSpPr/>
        </xdr:nvGrpSpPr>
        <xdr:grpSpPr>
          <a:xfrm>
            <a:off x="859725" y="3179925"/>
            <a:ext cx="8972550" cy="1200150"/>
            <a:chOff x="869250" y="3189450"/>
            <a:chExt cx="8953500" cy="1181100"/>
          </a:xfrm>
        </xdr:grpSpPr>
        <xdr:sp>
          <xdr:nvSpPr>
            <xdr:cNvPr id="4" name="Shape 4"/>
            <xdr:cNvSpPr/>
          </xdr:nvSpPr>
          <xdr:spPr>
            <a:xfrm>
              <a:off x="869250" y="3189450"/>
              <a:ext cx="895350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869250" y="3189450"/>
              <a:ext cx="8953500" cy="118110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esenho"/>
              <xdr:cNvGrpSpPr/>
            </xdr:nvGrpSpPr>
            <xdr:grpSpPr>
              <a:xfrm>
                <a:off x="869250" y="3189450"/>
                <a:ext cx="8953500" cy="1181100"/>
                <a:chOff x="97650" y="526800"/>
                <a:chExt cx="8935800" cy="1161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97650" y="526800"/>
                  <a:ext cx="8935800" cy="116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 flipH="1">
                  <a:off x="97650" y="526800"/>
                  <a:ext cx="8935800" cy="11610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7D5D01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0" name="Shape 10"/>
                <xdr:cNvSpPr txBox="1"/>
              </xdr:nvSpPr>
              <xdr:spPr>
                <a:xfrm>
                  <a:off x="1697425" y="671275"/>
                  <a:ext cx="6090000" cy="4689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1900"/>
                    <a:buFont typeface="Arial"/>
                    <a:buNone/>
                  </a:pPr>
                  <a:r>
                    <a:rPr b="1" lang="en-US" sz="1900">
                      <a:solidFill>
                        <a:srgbClr val="FFFFFF"/>
                      </a:solidFill>
                    </a:rPr>
                    <a:t>Projeto - </a:t>
                  </a:r>
                  <a:r>
                    <a:rPr b="1" lang="en-US" sz="1800">
                      <a:solidFill>
                        <a:schemeClr val="lt1"/>
                      </a:solidFill>
                    </a:rPr>
                    <a:t>Windsor 10Bed</a:t>
                  </a:r>
                  <a:endParaRPr b="1" sz="1900">
                    <a:solidFill>
                      <a:schemeClr val="lt1"/>
                    </a:solidFill>
                  </a:endParaRPr>
                </a:p>
              </xdr:txBody>
            </xdr:sp>
            <xdr:sp>
              <xdr:nvSpPr>
                <xdr:cNvPr id="11" name="Shape 11"/>
                <xdr:cNvSpPr txBox="1"/>
              </xdr:nvSpPr>
              <xdr:spPr>
                <a:xfrm>
                  <a:off x="1697421" y="1052390"/>
                  <a:ext cx="4955700" cy="4020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D9D9D9"/>
                    </a:buClr>
                    <a:buSzPts val="1500"/>
                    <a:buFont typeface="Arial"/>
                    <a:buNone/>
                  </a:pPr>
                  <a:r>
                    <a:rPr b="1" lang="en-US" sz="1500">
                      <a:solidFill>
                        <a:srgbClr val="D9D9D9"/>
                      </a:solidFill>
                    </a:rPr>
                    <a:t>Cliente: MaFe </a:t>
                  </a:r>
                  <a:endParaRPr b="1" sz="1500"/>
                </a:p>
              </xdr:txBody>
            </xdr: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67100" cy="1009650"/>
    <xdr:grpSp>
      <xdr:nvGrpSpPr>
        <xdr:cNvPr id="2" name="Shape 2"/>
        <xdr:cNvGrpSpPr/>
      </xdr:nvGrpSpPr>
      <xdr:grpSpPr>
        <a:xfrm>
          <a:off x="3612450" y="3275175"/>
          <a:ext cx="3467100" cy="1009650"/>
          <a:chOff x="3612450" y="3275175"/>
          <a:chExt cx="3467100" cy="1009650"/>
        </a:xfrm>
      </xdr:grpSpPr>
      <xdr:grpSp>
        <xdr:nvGrpSpPr>
          <xdr:cNvPr id="12" name="Shape 12" title="Drawing"/>
          <xdr:cNvGrpSpPr/>
        </xdr:nvGrpSpPr>
        <xdr:grpSpPr>
          <a:xfrm>
            <a:off x="3612450" y="3275175"/>
            <a:ext cx="3467100" cy="100965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4" name="Shape 14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" name="Shape 15" title="Desenho"/>
              <xdr:cNvGrpSpPr/>
            </xdr:nvGrpSpPr>
            <xdr:grpSpPr>
              <a:xfrm>
                <a:off x="3621975" y="3284700"/>
                <a:ext cx="3448050" cy="990600"/>
                <a:chOff x="319550" y="718200"/>
                <a:chExt cx="3426600" cy="975600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319550" y="718200"/>
                  <a:ext cx="3426600" cy="975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7" name="Shape 17"/>
                <xdr:cNvSpPr/>
              </xdr:nvSpPr>
              <xdr:spPr>
                <a:xfrm>
                  <a:off x="319550" y="718200"/>
                  <a:ext cx="3426600" cy="9756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F3F3F3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8" name="Shape 18"/>
                <xdr:cNvSpPr txBox="1"/>
              </xdr:nvSpPr>
              <xdr:spPr>
                <a:xfrm>
                  <a:off x="401275" y="837125"/>
                  <a:ext cx="985200" cy="323100"/>
                </a:xfrm>
                <a:prstGeom prst="rect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a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19" name="Shape 19"/>
                <xdr:cNvSpPr txBox="1"/>
              </xdr:nvSpPr>
              <xdr:spPr>
                <a:xfrm>
                  <a:off x="415275" y="1233400"/>
                  <a:ext cx="985200" cy="323100"/>
                </a:xfrm>
                <a:prstGeom prst="rect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Comprado</a:t>
                  </a:r>
                  <a:endParaRPr b="1" sz="900"/>
                </a:p>
              </xdr:txBody>
            </xdr:sp>
            <xdr:sp>
              <xdr:nvSpPr>
                <xdr:cNvPr id="20" name="Shape 20"/>
                <xdr:cNvSpPr txBox="1"/>
              </xdr:nvSpPr>
              <xdr:spPr>
                <a:xfrm>
                  <a:off x="1544275" y="837125"/>
                  <a:ext cx="985200" cy="323100"/>
                </a:xfrm>
                <a:prstGeom prst="rect">
                  <a:avLst/>
                </a:prstGeom>
                <a:solidFill>
                  <a:srgbClr val="00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Warehouse</a:t>
                  </a:r>
                  <a:endParaRPr b="1" sz="900"/>
                </a:p>
              </xdr:txBody>
            </xdr:sp>
            <xdr:sp>
              <xdr:nvSpPr>
                <xdr:cNvPr id="21" name="Shape 21"/>
                <xdr:cNvSpPr txBox="1"/>
              </xdr:nvSpPr>
              <xdr:spPr>
                <a:xfrm>
                  <a:off x="1522925" y="1233400"/>
                  <a:ext cx="985200" cy="323100"/>
                </a:xfrm>
                <a:prstGeom prst="rect">
                  <a:avLst/>
                </a:prstGeom>
                <a:solidFill>
                  <a:srgbClr val="00FF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Entregue Casa</a:t>
                  </a:r>
                  <a:endParaRPr b="1" sz="900"/>
                </a:p>
              </xdr:txBody>
            </xdr:sp>
            <xdr:sp>
              <xdr:nvSpPr>
                <xdr:cNvPr id="22" name="Shape 22"/>
                <xdr:cNvSpPr txBox="1"/>
              </xdr:nvSpPr>
              <xdr:spPr>
                <a:xfrm>
                  <a:off x="2639475" y="837125"/>
                  <a:ext cx="985200" cy="323100"/>
                </a:xfrm>
                <a:prstGeom prst="rect">
                  <a:avLst/>
                </a:prstGeom>
                <a:solidFill>
                  <a:srgbClr val="0000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Troca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23" name="Shape 23"/>
                <xdr:cNvSpPr txBox="1"/>
              </xdr:nvSpPr>
              <xdr:spPr>
                <a:xfrm>
                  <a:off x="2630575" y="1233400"/>
                  <a:ext cx="985200" cy="454800"/>
                </a:xfrm>
                <a:prstGeom prst="rect">
                  <a:avLst/>
                </a:prstGeom>
                <a:solidFill>
                  <a:srgbClr val="FF99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NAO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 title="Drawing"/>
        <xdr:cNvGrpSpPr/>
      </xdr:nvGrpSpPr>
      <xdr:grpSpPr>
        <a:xfrm>
          <a:off x="859725" y="3179925"/>
          <a:ext cx="8972550" cy="1200150"/>
          <a:chOff x="859725" y="3179925"/>
          <a:chExt cx="8972550" cy="1200150"/>
        </a:xfrm>
      </xdr:grpSpPr>
      <xdr:grpSp>
        <xdr:nvGrpSpPr>
          <xdr:cNvPr id="3" name="Shape 3" title="Drawing"/>
          <xdr:cNvGrpSpPr/>
        </xdr:nvGrpSpPr>
        <xdr:grpSpPr>
          <a:xfrm>
            <a:off x="859725" y="3179925"/>
            <a:ext cx="8972550" cy="1200150"/>
            <a:chOff x="869250" y="3189450"/>
            <a:chExt cx="8953500" cy="1181100"/>
          </a:xfrm>
        </xdr:grpSpPr>
        <xdr:sp>
          <xdr:nvSpPr>
            <xdr:cNvPr id="4" name="Shape 4"/>
            <xdr:cNvSpPr/>
          </xdr:nvSpPr>
          <xdr:spPr>
            <a:xfrm>
              <a:off x="869250" y="3189450"/>
              <a:ext cx="895350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869250" y="3189450"/>
              <a:ext cx="8953500" cy="118110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esenho"/>
              <xdr:cNvGrpSpPr/>
            </xdr:nvGrpSpPr>
            <xdr:grpSpPr>
              <a:xfrm>
                <a:off x="869250" y="3189450"/>
                <a:ext cx="8953500" cy="1181100"/>
                <a:chOff x="97650" y="526800"/>
                <a:chExt cx="8935800" cy="1161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97650" y="526800"/>
                  <a:ext cx="8935800" cy="116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 flipH="1">
                  <a:off x="97650" y="526800"/>
                  <a:ext cx="8935800" cy="11610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7D5D01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0" name="Shape 10"/>
                <xdr:cNvSpPr txBox="1"/>
              </xdr:nvSpPr>
              <xdr:spPr>
                <a:xfrm>
                  <a:off x="1697425" y="671275"/>
                  <a:ext cx="6090000" cy="4689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1900"/>
                    <a:buFont typeface="Arial"/>
                    <a:buNone/>
                  </a:pPr>
                  <a:r>
                    <a:rPr b="1" lang="en-US" sz="1900">
                      <a:solidFill>
                        <a:srgbClr val="FFFFFF"/>
                      </a:solidFill>
                    </a:rPr>
                    <a:t>Projeto - </a:t>
                  </a:r>
                  <a:r>
                    <a:rPr b="1" lang="en-US" sz="1800">
                      <a:solidFill>
                        <a:schemeClr val="lt1"/>
                      </a:solidFill>
                    </a:rPr>
                    <a:t>Windsor 10Bed</a:t>
                  </a:r>
                  <a:endParaRPr b="1" sz="1900">
                    <a:solidFill>
                      <a:schemeClr val="lt1"/>
                    </a:solidFill>
                  </a:endParaRPr>
                </a:p>
              </xdr:txBody>
            </xdr:sp>
            <xdr:sp>
              <xdr:nvSpPr>
                <xdr:cNvPr id="11" name="Shape 11"/>
                <xdr:cNvSpPr txBox="1"/>
              </xdr:nvSpPr>
              <xdr:spPr>
                <a:xfrm>
                  <a:off x="1697421" y="1052390"/>
                  <a:ext cx="4955700" cy="4020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D9D9D9"/>
                    </a:buClr>
                    <a:buSzPts val="1500"/>
                    <a:buFont typeface="Arial"/>
                    <a:buNone/>
                  </a:pPr>
                  <a:r>
                    <a:rPr b="1" lang="en-US" sz="1500">
                      <a:solidFill>
                        <a:srgbClr val="D9D9D9"/>
                      </a:solidFill>
                    </a:rPr>
                    <a:t>Cliente: MaFe </a:t>
                  </a:r>
                  <a:endParaRPr b="1" sz="1500"/>
                </a:p>
              </xdr:txBody>
            </xdr: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67100" cy="1009650"/>
    <xdr:grpSp>
      <xdr:nvGrpSpPr>
        <xdr:cNvPr id="2" name="Shape 2"/>
        <xdr:cNvGrpSpPr/>
      </xdr:nvGrpSpPr>
      <xdr:grpSpPr>
        <a:xfrm>
          <a:off x="3612450" y="3275175"/>
          <a:ext cx="3467100" cy="1009650"/>
          <a:chOff x="3612450" y="3275175"/>
          <a:chExt cx="3467100" cy="1009650"/>
        </a:xfrm>
      </xdr:grpSpPr>
      <xdr:grpSp>
        <xdr:nvGrpSpPr>
          <xdr:cNvPr id="12" name="Shape 12" title="Drawing"/>
          <xdr:cNvGrpSpPr/>
        </xdr:nvGrpSpPr>
        <xdr:grpSpPr>
          <a:xfrm>
            <a:off x="3612450" y="3275175"/>
            <a:ext cx="3467100" cy="100965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4" name="Shape 14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" name="Shape 15" title="Desenho"/>
              <xdr:cNvGrpSpPr/>
            </xdr:nvGrpSpPr>
            <xdr:grpSpPr>
              <a:xfrm>
                <a:off x="3621975" y="3284700"/>
                <a:ext cx="3448050" cy="990600"/>
                <a:chOff x="319550" y="718200"/>
                <a:chExt cx="3426600" cy="975600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319550" y="718200"/>
                  <a:ext cx="3426600" cy="975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7" name="Shape 17"/>
                <xdr:cNvSpPr/>
              </xdr:nvSpPr>
              <xdr:spPr>
                <a:xfrm>
                  <a:off x="319550" y="718200"/>
                  <a:ext cx="3426600" cy="9756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F3F3F3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8" name="Shape 18"/>
                <xdr:cNvSpPr txBox="1"/>
              </xdr:nvSpPr>
              <xdr:spPr>
                <a:xfrm>
                  <a:off x="401275" y="837125"/>
                  <a:ext cx="985200" cy="323100"/>
                </a:xfrm>
                <a:prstGeom prst="rect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a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19" name="Shape 19"/>
                <xdr:cNvSpPr txBox="1"/>
              </xdr:nvSpPr>
              <xdr:spPr>
                <a:xfrm>
                  <a:off x="415275" y="1233400"/>
                  <a:ext cx="985200" cy="323100"/>
                </a:xfrm>
                <a:prstGeom prst="rect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Comprado</a:t>
                  </a:r>
                  <a:endParaRPr b="1" sz="900"/>
                </a:p>
              </xdr:txBody>
            </xdr:sp>
            <xdr:sp>
              <xdr:nvSpPr>
                <xdr:cNvPr id="20" name="Shape 20"/>
                <xdr:cNvSpPr txBox="1"/>
              </xdr:nvSpPr>
              <xdr:spPr>
                <a:xfrm>
                  <a:off x="1544275" y="837125"/>
                  <a:ext cx="985200" cy="323100"/>
                </a:xfrm>
                <a:prstGeom prst="rect">
                  <a:avLst/>
                </a:prstGeom>
                <a:solidFill>
                  <a:srgbClr val="00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Warehouse</a:t>
                  </a:r>
                  <a:endParaRPr b="1" sz="900"/>
                </a:p>
              </xdr:txBody>
            </xdr:sp>
            <xdr:sp>
              <xdr:nvSpPr>
                <xdr:cNvPr id="21" name="Shape 21"/>
                <xdr:cNvSpPr txBox="1"/>
              </xdr:nvSpPr>
              <xdr:spPr>
                <a:xfrm>
                  <a:off x="1522925" y="1233400"/>
                  <a:ext cx="985200" cy="323100"/>
                </a:xfrm>
                <a:prstGeom prst="rect">
                  <a:avLst/>
                </a:prstGeom>
                <a:solidFill>
                  <a:srgbClr val="00FF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Entregue Casa</a:t>
                  </a:r>
                  <a:endParaRPr b="1" sz="900"/>
                </a:p>
              </xdr:txBody>
            </xdr:sp>
            <xdr:sp>
              <xdr:nvSpPr>
                <xdr:cNvPr id="22" name="Shape 22"/>
                <xdr:cNvSpPr txBox="1"/>
              </xdr:nvSpPr>
              <xdr:spPr>
                <a:xfrm>
                  <a:off x="2639475" y="837125"/>
                  <a:ext cx="985200" cy="323100"/>
                </a:xfrm>
                <a:prstGeom prst="rect">
                  <a:avLst/>
                </a:prstGeom>
                <a:solidFill>
                  <a:srgbClr val="0000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Troca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23" name="Shape 23"/>
                <xdr:cNvSpPr txBox="1"/>
              </xdr:nvSpPr>
              <xdr:spPr>
                <a:xfrm>
                  <a:off x="2630575" y="1233400"/>
                  <a:ext cx="985200" cy="454800"/>
                </a:xfrm>
                <a:prstGeom prst="rect">
                  <a:avLst/>
                </a:prstGeom>
                <a:solidFill>
                  <a:srgbClr val="FF99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NAO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</xdr:grpSp>
        </xdr:grp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66675</xdr:rowOff>
    </xdr:from>
    <xdr:ext cx="8991600" cy="1219200"/>
    <xdr:grpSp>
      <xdr:nvGrpSpPr>
        <xdr:cNvPr id="2" name="Shape 2" title="Drawing"/>
        <xdr:cNvGrpSpPr/>
      </xdr:nvGrpSpPr>
      <xdr:grpSpPr>
        <a:xfrm>
          <a:off x="859725" y="3179925"/>
          <a:ext cx="8972550" cy="1200150"/>
          <a:chOff x="859725" y="3179925"/>
          <a:chExt cx="8972550" cy="1200150"/>
        </a:xfrm>
      </xdr:grpSpPr>
      <xdr:grpSp>
        <xdr:nvGrpSpPr>
          <xdr:cNvPr id="3" name="Shape 3" title="Drawing"/>
          <xdr:cNvGrpSpPr/>
        </xdr:nvGrpSpPr>
        <xdr:grpSpPr>
          <a:xfrm>
            <a:off x="859725" y="3179925"/>
            <a:ext cx="8972550" cy="1200150"/>
            <a:chOff x="869250" y="3189450"/>
            <a:chExt cx="8953500" cy="1181100"/>
          </a:xfrm>
        </xdr:grpSpPr>
        <xdr:sp>
          <xdr:nvSpPr>
            <xdr:cNvPr id="4" name="Shape 4"/>
            <xdr:cNvSpPr/>
          </xdr:nvSpPr>
          <xdr:spPr>
            <a:xfrm>
              <a:off x="869250" y="3189450"/>
              <a:ext cx="8953500" cy="11811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869250" y="3189450"/>
              <a:ext cx="8953500" cy="1181100"/>
              <a:chOff x="869250" y="3189450"/>
              <a:chExt cx="8953500" cy="1181100"/>
            </a:xfrm>
          </xdr:grpSpPr>
          <xdr:sp>
            <xdr:nvSpPr>
              <xdr:cNvPr id="6" name="Shape 6"/>
              <xdr:cNvSpPr/>
            </xdr:nvSpPr>
            <xdr:spPr>
              <a:xfrm>
                <a:off x="869250" y="3189450"/>
                <a:ext cx="8953500" cy="1181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 title="Desenho"/>
              <xdr:cNvGrpSpPr/>
            </xdr:nvGrpSpPr>
            <xdr:grpSpPr>
              <a:xfrm>
                <a:off x="869250" y="3189450"/>
                <a:ext cx="8953500" cy="1181100"/>
                <a:chOff x="97650" y="526800"/>
                <a:chExt cx="8935800" cy="11610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97650" y="526800"/>
                  <a:ext cx="8935800" cy="11610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9" name="Shape 9"/>
                <xdr:cNvSpPr/>
              </xdr:nvSpPr>
              <xdr:spPr>
                <a:xfrm flipH="1">
                  <a:off x="97650" y="526800"/>
                  <a:ext cx="8935800" cy="11610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7D5D01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0" name="Shape 10"/>
                <xdr:cNvSpPr txBox="1"/>
              </xdr:nvSpPr>
              <xdr:spPr>
                <a:xfrm>
                  <a:off x="1697425" y="671275"/>
                  <a:ext cx="6090000" cy="4689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1900"/>
                    <a:buFont typeface="Arial"/>
                    <a:buNone/>
                  </a:pPr>
                  <a:r>
                    <a:rPr b="1" lang="en-US" sz="1900">
                      <a:solidFill>
                        <a:srgbClr val="FFFFFF"/>
                      </a:solidFill>
                    </a:rPr>
                    <a:t>Projeto - </a:t>
                  </a:r>
                  <a:r>
                    <a:rPr b="1" lang="en-US" sz="1800">
                      <a:solidFill>
                        <a:schemeClr val="lt1"/>
                      </a:solidFill>
                    </a:rPr>
                    <a:t>Windsor 10Bed</a:t>
                  </a:r>
                  <a:endParaRPr b="1" sz="1900">
                    <a:solidFill>
                      <a:schemeClr val="lt1"/>
                    </a:solidFill>
                  </a:endParaRPr>
                </a:p>
              </xdr:txBody>
            </xdr:sp>
            <xdr:sp>
              <xdr:nvSpPr>
                <xdr:cNvPr id="11" name="Shape 11"/>
                <xdr:cNvSpPr txBox="1"/>
              </xdr:nvSpPr>
              <xdr:spPr>
                <a:xfrm>
                  <a:off x="1697421" y="1052390"/>
                  <a:ext cx="4955700" cy="402000"/>
                </a:xfrm>
                <a:prstGeom prst="rect">
                  <a:avLst/>
                </a:prstGeom>
                <a:solidFill>
                  <a:srgbClr val="7D5D01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D9D9D9"/>
                    </a:buClr>
                    <a:buSzPts val="1500"/>
                    <a:buFont typeface="Arial"/>
                    <a:buNone/>
                  </a:pPr>
                  <a:r>
                    <a:rPr b="1" lang="en-US" sz="1500">
                      <a:solidFill>
                        <a:srgbClr val="D9D9D9"/>
                      </a:solidFill>
                    </a:rPr>
                    <a:t>Cliente: MaFe </a:t>
                  </a:r>
                  <a:endParaRPr b="1" sz="1500"/>
                </a:p>
              </xdr:txBody>
            </xdr:sp>
          </xdr:grpSp>
        </xdr:grpSp>
      </xdr:grpSp>
    </xdr:grpSp>
    <xdr:clientData fLocksWithSheet="0"/>
  </xdr:oneCellAnchor>
  <xdr:oneCellAnchor>
    <xdr:from>
      <xdr:col>7</xdr:col>
      <xdr:colOff>142875</xdr:colOff>
      <xdr:row>1</xdr:row>
      <xdr:rowOff>76200</xdr:rowOff>
    </xdr:from>
    <xdr:ext cx="3467100" cy="1009650"/>
    <xdr:grpSp>
      <xdr:nvGrpSpPr>
        <xdr:cNvPr id="2" name="Shape 2"/>
        <xdr:cNvGrpSpPr/>
      </xdr:nvGrpSpPr>
      <xdr:grpSpPr>
        <a:xfrm>
          <a:off x="3612450" y="3275175"/>
          <a:ext cx="3467100" cy="1009650"/>
          <a:chOff x="3612450" y="3275175"/>
          <a:chExt cx="3467100" cy="1009650"/>
        </a:xfrm>
      </xdr:grpSpPr>
      <xdr:grpSp>
        <xdr:nvGrpSpPr>
          <xdr:cNvPr id="12" name="Shape 12" title="Drawing"/>
          <xdr:cNvGrpSpPr/>
        </xdr:nvGrpSpPr>
        <xdr:grpSpPr>
          <a:xfrm>
            <a:off x="3612450" y="3275175"/>
            <a:ext cx="3467100" cy="1009650"/>
            <a:chOff x="3621975" y="3284700"/>
            <a:chExt cx="3448050" cy="990600"/>
          </a:xfrm>
        </xdr:grpSpPr>
        <xdr:sp>
          <xdr:nvSpPr>
            <xdr:cNvPr id="4" name="Shape 4"/>
            <xdr:cNvSpPr/>
          </xdr:nvSpPr>
          <xdr:spPr>
            <a:xfrm>
              <a:off x="3621975" y="3284700"/>
              <a:ext cx="3448050" cy="9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13" name="Shape 13"/>
            <xdr:cNvGrpSpPr/>
          </xdr:nvGrpSpPr>
          <xdr:grpSpPr>
            <a:xfrm>
              <a:off x="3621975" y="3284700"/>
              <a:ext cx="3448050" cy="990600"/>
              <a:chOff x="3621975" y="3284700"/>
              <a:chExt cx="3448050" cy="990600"/>
            </a:xfrm>
          </xdr:grpSpPr>
          <xdr:sp>
            <xdr:nvSpPr>
              <xdr:cNvPr id="14" name="Shape 14"/>
              <xdr:cNvSpPr/>
            </xdr:nvSpPr>
            <xdr:spPr>
              <a:xfrm>
                <a:off x="3621975" y="3284700"/>
                <a:ext cx="3448050" cy="990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15" name="Shape 15" title="Desenho"/>
              <xdr:cNvGrpSpPr/>
            </xdr:nvGrpSpPr>
            <xdr:grpSpPr>
              <a:xfrm>
                <a:off x="3621975" y="3284700"/>
                <a:ext cx="3448050" cy="990600"/>
                <a:chOff x="319550" y="718200"/>
                <a:chExt cx="3426600" cy="975600"/>
              </a:xfrm>
            </xdr:grpSpPr>
            <xdr:sp>
              <xdr:nvSpPr>
                <xdr:cNvPr id="16" name="Shape 16"/>
                <xdr:cNvSpPr/>
              </xdr:nvSpPr>
              <xdr:spPr>
                <a:xfrm>
                  <a:off x="319550" y="718200"/>
                  <a:ext cx="3426600" cy="9756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7" name="Shape 17"/>
                <xdr:cNvSpPr/>
              </xdr:nvSpPr>
              <xdr:spPr>
                <a:xfrm>
                  <a:off x="319550" y="718200"/>
                  <a:ext cx="3426600" cy="975600"/>
                </a:xfrm>
                <a:prstGeom prst="roundRect">
                  <a:avLst>
                    <a:gd fmla="val 16667" name="adj"/>
                  </a:avLst>
                </a:prstGeom>
                <a:solidFill>
                  <a:srgbClr val="F3F3F3"/>
                </a:solidFill>
                <a:ln cap="flat" cmpd="sng" w="9525">
                  <a:solidFill>
                    <a:srgbClr val="000000"/>
                  </a:solidFill>
                  <a:prstDash val="solid"/>
                  <a:round/>
                  <a:headEnd len="sm" w="sm" type="none"/>
                  <a:tailEnd len="sm" w="sm" type="none"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sp>
              <xdr:nvSpPr>
                <xdr:cNvPr id="18" name="Shape 18"/>
                <xdr:cNvSpPr txBox="1"/>
              </xdr:nvSpPr>
              <xdr:spPr>
                <a:xfrm>
                  <a:off x="401275" y="837125"/>
                  <a:ext cx="985200" cy="323100"/>
                </a:xfrm>
                <a:prstGeom prst="rect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a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19" name="Shape 19"/>
                <xdr:cNvSpPr txBox="1"/>
              </xdr:nvSpPr>
              <xdr:spPr>
                <a:xfrm>
                  <a:off x="415275" y="1233400"/>
                  <a:ext cx="985200" cy="323100"/>
                </a:xfrm>
                <a:prstGeom prst="rect">
                  <a:avLst/>
                </a:prstGeom>
                <a:solidFill>
                  <a:srgbClr val="FF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Comprado</a:t>
                  </a:r>
                  <a:endParaRPr b="1" sz="900"/>
                </a:p>
              </xdr:txBody>
            </xdr:sp>
            <xdr:sp>
              <xdr:nvSpPr>
                <xdr:cNvPr id="20" name="Shape 20"/>
                <xdr:cNvSpPr txBox="1"/>
              </xdr:nvSpPr>
              <xdr:spPr>
                <a:xfrm>
                  <a:off x="1544275" y="837125"/>
                  <a:ext cx="985200" cy="323100"/>
                </a:xfrm>
                <a:prstGeom prst="rect">
                  <a:avLst/>
                </a:prstGeom>
                <a:solidFill>
                  <a:srgbClr val="00FF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Warehouse</a:t>
                  </a:r>
                  <a:endParaRPr b="1" sz="900"/>
                </a:p>
              </xdr:txBody>
            </xdr:sp>
            <xdr:sp>
              <xdr:nvSpPr>
                <xdr:cNvPr id="21" name="Shape 21"/>
                <xdr:cNvSpPr txBox="1"/>
              </xdr:nvSpPr>
              <xdr:spPr>
                <a:xfrm>
                  <a:off x="1522925" y="1233400"/>
                  <a:ext cx="985200" cy="323100"/>
                </a:xfrm>
                <a:prstGeom prst="rect">
                  <a:avLst/>
                </a:prstGeom>
                <a:solidFill>
                  <a:srgbClr val="00FF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SzPts val="900"/>
                    <a:buFont typeface="Arial"/>
                    <a:buNone/>
                  </a:pPr>
                  <a:r>
                    <a:rPr b="1" lang="en-US" sz="900"/>
                    <a:t>Entregue Casa</a:t>
                  </a:r>
                  <a:endParaRPr b="1" sz="900"/>
                </a:p>
              </xdr:txBody>
            </xdr:sp>
            <xdr:sp>
              <xdr:nvSpPr>
                <xdr:cNvPr id="22" name="Shape 22"/>
                <xdr:cNvSpPr txBox="1"/>
              </xdr:nvSpPr>
              <xdr:spPr>
                <a:xfrm>
                  <a:off x="2639475" y="837125"/>
                  <a:ext cx="985200" cy="323100"/>
                </a:xfrm>
                <a:prstGeom prst="rect">
                  <a:avLst/>
                </a:prstGeom>
                <a:solidFill>
                  <a:srgbClr val="0000FF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Troca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  <xdr:sp>
              <xdr:nvSpPr>
                <xdr:cNvPr id="23" name="Shape 23"/>
                <xdr:cNvSpPr txBox="1"/>
              </xdr:nvSpPr>
              <xdr:spPr>
                <a:xfrm>
                  <a:off x="2630575" y="1233400"/>
                  <a:ext cx="985200" cy="454800"/>
                </a:xfrm>
                <a:prstGeom prst="rect">
                  <a:avLst/>
                </a:prstGeom>
                <a:solidFill>
                  <a:srgbClr val="FF9900"/>
                </a:solidFill>
                <a:ln>
                  <a:noFill/>
                </a:ln>
              </xdr:spPr>
              <xdr:txBody>
                <a:bodyPr anchorCtr="0" anchor="t" bIns="91425" lIns="91425" spcFirstLastPara="1" rIns="91425" wrap="square" tIns="91425">
                  <a:spAutoFit/>
                </a:bodyPr>
                <a:lstStyle/>
                <a:p>
                  <a:pPr indent="0" lvl="0" marL="0" rtl="0" algn="ctr">
                    <a:spcBef>
                      <a:spcPts val="0"/>
                    </a:spcBef>
                    <a:spcAft>
                      <a:spcPts val="0"/>
                    </a:spcAft>
                    <a:buClr>
                      <a:srgbClr val="FFFFFF"/>
                    </a:buClr>
                    <a:buSzPts val="900"/>
                    <a:buFont typeface="Arial"/>
                    <a:buNone/>
                  </a:pPr>
                  <a:r>
                    <a:rPr b="1" lang="en-US" sz="900">
                      <a:solidFill>
                        <a:srgbClr val="FFFFFF"/>
                      </a:solidFill>
                    </a:rPr>
                    <a:t>NAO COMPRAR</a:t>
                  </a:r>
                  <a:endParaRPr b="1" sz="900">
                    <a:solidFill>
                      <a:srgbClr val="FFFFFF"/>
                    </a:solidFill>
                  </a:endParaRPr>
                </a:p>
              </xdr:txBody>
            </xdr:sp>
          </xdr:grpSp>
        </xdr:grpSp>
      </xdr:grp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42" Type="http://schemas.openxmlformats.org/officeDocument/2006/relationships/hyperlink" Target="https://www.walmart.com/ip/Beautiful-2-in-1-Panini-Press-Grill-White-Icing-by-Drew-Barrymore/5144605435?classType=VARIANT&amp;athbdg=L1600" TargetMode="External"/><Relationship Id="rId41" Type="http://schemas.openxmlformats.org/officeDocument/2006/relationships/hyperlink" Target="https://www.walmart.com/ip/Beautiful-6-Qt-Air-Fryer-with-TurboCrisp-Technology-and-Touch-Activated-Display-Rose-by-Drew-Barrymore/597932797" TargetMode="External"/><Relationship Id="rId44" Type="http://schemas.openxmlformats.org/officeDocument/2006/relationships/hyperlink" Target="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" TargetMode="External"/><Relationship Id="rId194" Type="http://schemas.openxmlformats.org/officeDocument/2006/relationships/hyperlink" Target="https://www.amazon.com/gp/product/B07P72ZB37/ref=ppx_yo_dt_b_search_asin_title?ie=UTF8&amp;th=1" TargetMode="External"/><Relationship Id="rId43" Type="http://schemas.openxmlformats.org/officeDocument/2006/relationships/hyperlink" Target="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" TargetMode="External"/><Relationship Id="rId193" Type="http://schemas.openxmlformats.org/officeDocument/2006/relationships/hyperlink" Target="https://www.walmart.com/ip/50UA7500ZUA-AUS/14364014573?classType=REGULAR&amp;athbdg=L1300&amp;adsRedirect=true" TargetMode="External"/><Relationship Id="rId46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2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45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1" Type="http://schemas.openxmlformats.org/officeDocument/2006/relationships/hyperlink" Target="https://www.amazon.com/gp/product/B0BFCY84XY/ref=ppx_yo_dt_b_search_asin_title?ie=UTF8&amp;th=1" TargetMode="External"/><Relationship Id="rId48" Type="http://schemas.openxmlformats.org/officeDocument/2006/relationships/hyperlink" Target="https://www.amazon.com/gp/product/B0998MSMZQ/ref=ppx_yo_dt_b_search_asin_title?ie=UTF8&amp;th=1" TargetMode="External"/><Relationship Id="rId187" Type="http://schemas.openxmlformats.org/officeDocument/2006/relationships/hyperlink" Target="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" TargetMode="External"/><Relationship Id="rId47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86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185" Type="http://schemas.openxmlformats.org/officeDocument/2006/relationships/hyperlink" Target="https://www.walmart.com/ip/50UA7500ZUA-AUS/14364014573?classType=REGULAR&amp;athbdg=L1300&amp;adsRedirect=true" TargetMode="External"/><Relationship Id="rId49" Type="http://schemas.openxmlformats.org/officeDocument/2006/relationships/hyperlink" Target="https://www.amazon.com/gp/product/B08FR6VFGY/ref=ppx_yo_dt_b_search_asin_title?ie=UTF8&amp;psc=1" TargetMode="External"/><Relationship Id="rId18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89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88" Type="http://schemas.openxmlformats.org/officeDocument/2006/relationships/hyperlink" Target="https://www.amazon.com/gp/product/B09NPMJCZD/ref=ox_sc_act_title_9?th=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32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182" Type="http://schemas.openxmlformats.org/officeDocument/2006/relationships/hyperlink" Target="https://www.amazon.com/gp/product/B07T1RFHGW/ref=ox_sc_act_title_12?smid=A9R60ZNAJMSU9&amp;th=1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gp/product/B0BFCZMNCY/ref=ppx_yo_dt_b_search_asin_title?ie=UTF8&amp;th=1" TargetMode="External"/><Relationship Id="rId34" Type="http://schemas.openxmlformats.org/officeDocument/2006/relationships/hyperlink" Target="http://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" TargetMode="External"/><Relationship Id="rId180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97" Type="http://schemas.openxmlformats.org/officeDocument/2006/relationships/hyperlink" Target="https://www.amazon.com/PERMO-Sconces-Classic-Textile-Hardwired/dp/B0F3V1K89H/ref=sr_1_97_sspa?crid=2FHFNYCQE9J9M&amp;dib=eyJ2IjoiMSJ9.oo5WtEuCAOo9klz9w-2dUjn7VEXxC6qngu3tpIkU_qasc4VrCvMt2XG6cU6DPIttQy6HZU8_9RMffK-XS0CnVuuRVo_arCht5_ivDxss_TE.RC8MSpMq3FUSJcxH2G6uYkjdWIQ3A7D719HgBpkYFxk&amp;dib_tag=se&amp;keywords=sconce%2Bgold&amp;qid=1761615028&amp;sprefix=sconce%2Bgol%2Caps%2C144&amp;sr=8-97-spons&amp;xpid=0-CT0goJilkl7&amp;sp_csd=d2lkZ2V0TmFtZT1zcF9hdGZfbmV4dA&amp;th=1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dp/B0DK5HNFSM?ref=emc_s_m_5_i_atc" TargetMode="External"/><Relationship Id="rId296" Type="http://schemas.openxmlformats.org/officeDocument/2006/relationships/hyperlink" Target="https://www.amazon.com/KSANA-Pendant-Lights-Kitchen-Island/dp/B0DCNNPJSB/ref=sr_1_58?crid=1RE3C05ZPN5JO&amp;dib=eyJ2IjoiMSJ9.w00w26Qt2gVsM1KOKI0Nq_wK0U0WyrNwjQNSrBEG0HkCdNpsy1DBj4RdaocGeE56I8XGdpN9vR4L7pQaMRusCKFW0UE3aZNr5AEquoEWV6vqq0Up-ZRDBj4l-XPHH_jAEP3sbKbjaPRqAWcAnDefqKDG0enYchVQ729ML3HIbaMrWwP8--bRhDwETCovrdT-CCg4F7-bYGk1KZJQdzVd3n6T74r7yVRmgwWaChuopiIFtDk9UxusCJ-8CTHAniWRCfutOZFMVRlRBfS_SwBP7df3pK9pJWRpUZh_Z787HPc.X9DnrF7mdcOgEloHmJ8UQJG-HbCvGnfq-OrRjUn78fY&amp;dib_tag=se&amp;keywords=lighting%2Bpendant%2Bvintagee&amp;qid=1761615829&amp;sprefix=lighting%2Bpendant%2Bvintagee%2Caps%2C123&amp;sr=8-58&amp;th=1" TargetMode="External"/><Relationship Id="rId39" Type="http://schemas.openxmlformats.org/officeDocument/2006/relationships/hyperlink" Target="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" TargetMode="External"/><Relationship Id="rId174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95" Type="http://schemas.openxmlformats.org/officeDocument/2006/relationships/hyperlink" Target="https://www.amazon.com/TRABEATOGA-Life-size-Decoration-Sculpture-Taxidermy/dp/B0B9GTXJYC/ref=sr_1_3?crid=1HUHSG5HDZLBN&amp;dib=eyJ2IjoiMSJ9.AfF6xFgV1OBJUR1roeRKtBYjLcSQ5wvC1NkaZ0NzbBHc0dEh5zn74uP-LrG14hq5KYHf2YPJGIZb1bxwHt1TJL0JBtxb9yTeV7qdwSgRXhctbffDXT5BmN6KvoKSCQvAtU21Z9k24rMLh7ULBHfr0FoPpKSeNFV2en6nUdstZgBBxuur98CIOh2fY0GGzZoJ-NHLesH8WBTYPHGSNRORW4bAIKcUy0XTfoCM8T8swY27ri5ctHjGmOmsW6_EkdM4BY7JQiN7rVYlSLtyWkRIBke7oq8EFvB6vemxBEslMYg.42sOcAXEYhEtTT4dTrZKBjXiHH6QBmMHNvF9iss42lA&amp;dib_tag=se&amp;keywords=faux+moose+head&amp;qid=1764384971&amp;sprefix=faux+moose+head%2Caps%2C189&amp;sr=8-3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" TargetMode="External"/><Relationship Id="rId294" Type="http://schemas.openxmlformats.org/officeDocument/2006/relationships/hyperlink" Target="https://www.amazon.com/Personalized-Custom-Business-Fathers-Husband/dp/B09H89PZCR/ref=sxin_15_sbv_search_btf?content-id=amzn1.sym.c8b39f81-ded8-4d75-80c2-6dfa03cbb699%3Aamzn1.sym.c8b39f81-ded8-4d75-80c2-6dfa03cbb699&amp;crid=1RA8QXCX3R78Y&amp;cv_ct_cx=pub%2Blighting%2Bdecor&amp;keywords=pub%2Blighting%2Bdecor&amp;pd_rd_i=B09H89PZCR&amp;pd_rd_r=0c46a450-abb6-4946-b07e-cc8d6297d980&amp;pd_rd_w=XdwQD&amp;pd_rd_wg=GUfpG&amp;pf_rd_p=c8b39f81-ded8-4d75-80c2-6dfa03cbb699&amp;pf_rd_r=WQPJW730Q4ECJX6EMGY3&amp;qid=1762830645&amp;sbo=RZvfv%2F%2FHxDF%2BO5021pAnSA%3D%3D&amp;sprefix=pub%2Blighting%2Bdec%2Caps%2C193&amp;sr=1-1-5190daf0-67e3-427c-bea6-c72c1df98776&amp;th=1" TargetMode="External"/><Relationship Id="rId179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78" Type="http://schemas.openxmlformats.org/officeDocument/2006/relationships/hyperlink" Target="https://www.amazon.com/dp/B0DB1GPNFB/ref=twister_B0FB3ZMZ1M?th=1" TargetMode="External"/><Relationship Id="rId299" Type="http://schemas.openxmlformats.org/officeDocument/2006/relationships/hyperlink" Target="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" TargetMode="External"/><Relationship Id="rId177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298" Type="http://schemas.openxmlformats.org/officeDocument/2006/relationships/hyperlink" Target="https://www.atgames.us/products/legends-ultimate" TargetMode="External"/><Relationship Id="rId20" Type="http://schemas.openxmlformats.org/officeDocument/2006/relationships/hyperlink" Target="https://www.costco.com/mikasa-huntington-40-piece-bone-china-dinnerware-set.product.100493960.html" TargetMode="External"/><Relationship Id="rId22" Type="http://schemas.openxmlformats.org/officeDocument/2006/relationships/hyperlink" Target="https://www.walmart.com/ip/Beautiful-PowerExact-Blender-System-Cornflower-Blue-by-Drew-Barrymore/5284775960" TargetMode="External"/><Relationship Id="rId21" Type="http://schemas.openxmlformats.org/officeDocument/2006/relationships/hyperlink" Target="https://www.amazon.com/Mikasa-Everett-101-Piece-Stainless-Flatware/dp/B09LF68VJN/ref=sr_1_1?crid=QGCK62Q5NURK&amp;dib=eyJ2IjoiMSJ9.yibCSDorcBdnhSEhnqiGn9UbEvt7kSAQlMQs1T_VzhVR2NH96MVAGAcjbpDF-BKSEOOW3Sfw6rq0s5x3tGoasJ1V5jquqltrG5SxIqJMdxb8fYmAznJQ3V5P4Z5cmD_twB69eIWm3S37t-xgLxcAxmejepH68yFDANiaXeuR1_TbVCjo6R9XCJYMCnyJmcoh2cJ7krtn2zhcyu01ndcv9Q87UJGNsT96wl_g2gGdahzEK9zDrhwtsqkRkjd7m2TOEGw-uZ69M-2SNujdAQLEQjR-RZVNdfqXyNWA62t0TLU.YUvvfqa9RkRjWt4lLNXFS7UyYc5tX26x6fSek4NVgFk&amp;dib_tag=se&amp;keywords=mikasa%2Bsilverware%2Bset18%2F10&amp;qid=1765679169&amp;sprefix=mikasa%2Bsilverware%2Bset18%2F10%2Caps%2C223&amp;sr=8-1&amp;ufe=app_do%3Aamzn1.fos.9fe8cbfa-bf43-43d1-a707-3f4e65a4b666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gp/product/B010E0N7ZU/ref=ppx_yo_dt_b_search_asin_title?ie=UTF8&amp;th=1" TargetMode="External"/><Relationship Id="rId12" Type="http://schemas.openxmlformats.org/officeDocument/2006/relationships/hyperlink" Target="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" TargetMode="External"/><Relationship Id="rId17" Type="http://schemas.openxmlformats.org/officeDocument/2006/relationships/hyperlink" Target="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" TargetMode="External"/><Relationship Id="rId196" Type="http://schemas.openxmlformats.org/officeDocument/2006/relationships/hyperlink" Target="https://www.amazon.com/Chandelier-Farmhouse-Industrial-Lighting-Chandeliers/dp/B0DP2WRTBR?th=1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" TargetMode="External"/><Relationship Id="rId19" Type="http://schemas.openxmlformats.org/officeDocument/2006/relationships/hyperlink" Target="https://www.costco.com/t-fal-excellence-ceramic-non-stick-cookware-set-10-piece.product.4000202536.html" TargetMode="External"/><Relationship Id="rId18" Type="http://schemas.openxmlformats.org/officeDocument/2006/relationships/hyperlink" Target="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" TargetMode="External"/><Relationship Id="rId199" Type="http://schemas.openxmlformats.org/officeDocument/2006/relationships/hyperlink" Target="https://www.bestbuy.com/product/samsung-43-m70f-4k-uhd-smart-monitor-with-samsungvision-ai-built-in-speakers-usb-c-black/JJGRFXFLTP/sku/6632216?utm_source=feed&amp;extStoreId=&amp;ref=212&amp;loc=20606267184&amp;gad_source=1&amp;gad_campaignid=20615841985&amp;gbraid=0AAAAAD-ORIhLyD8stkhBo1IvUsV4HHu0f&amp;gclid=CjwKCAiAraXJBhBJEiwAjz7MZZo4OHEbU1h1i0WR3UsC7fAHABcpCrsTS-fhlcpnTqHhOAL7FhV_GRoCzHUQAvD_BwE&amp;gclsrc=aw.ds" TargetMode="External"/><Relationship Id="rId84" Type="http://schemas.openxmlformats.org/officeDocument/2006/relationships/hyperlink" Target="https://www.amazon.com/uxcell-Sparkling-Decorative-Pillowcases-Thanksgiving/dp/B07RWF3MBL/ref=sr_1_4?crid=2W3X4J7635163&amp;dib=eyJ2IjoiMSJ9.mKBcmi7RLWSgeiHhWO_v1YJAOx0GkTujXXoYi6qyaLfBURfdM5ZJs-LIIXw2e0_fTy0VVwc-F-FtUyYqUo2tXfYi9TISBJwrBR08q58k2h77GYppS1uEC908Dt0mW6HGEis6dnj4kpmzZo5m9uB6N7mlir3bbSWDBBmJ4Zw_S2fD0KW5LseJbNc3TzFK7eAtTrx8vPaple1S_GNCtJxN9PsrFjdWNpvhOg0kv7IduUeOtnrMH7wBH3IduMBIBExuHo5hNGI6or-E7lhgfnw5FkV08G-q-rP9cyJ3wPUDjiw.2YY68wGdCjeb4tsQEenak_2mpGXJnS1iij5zr13XvKA&amp;dib_tag=se&amp;keywords=Frozen%2Bdecor%2Bpillow&amp;qid=1764363887&amp;sprefix=frozen%2Bdecor%2Bpillo%2Caps%2C204&amp;sr=8-4&amp;th=1" TargetMode="External"/><Relationship Id="rId8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86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85" Type="http://schemas.openxmlformats.org/officeDocument/2006/relationships/hyperlink" Target="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" TargetMode="External"/><Relationship Id="rId8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50" Type="http://schemas.openxmlformats.org/officeDocument/2006/relationships/hyperlink" Target="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" TargetMode="External"/><Relationship Id="rId271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87" Type="http://schemas.openxmlformats.org/officeDocument/2006/relationships/hyperlink" Target="https://www.amazon.com/gp/product/B07T1RFHGW/ref=ox_sc_act_title_12?smid=A9R60ZNAJMSU9&amp;th=1" TargetMode="External"/><Relationship Id="rId270" Type="http://schemas.openxmlformats.org/officeDocument/2006/relationships/hyperlink" Target="https://www.nintendo.com/us/store/products/donkey-kong-10-plush-107373/?srsltid=AfmBOooaLnudDwzOQpb6X-2cxcnX6TLKtkJETw3APJCXQviM6BN--ibM" TargetMode="External"/><Relationship Id="rId89" Type="http://schemas.openxmlformats.org/officeDocument/2006/relationships/hyperlink" Target="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" TargetMode="External"/><Relationship Id="rId80" Type="http://schemas.openxmlformats.org/officeDocument/2006/relationships/hyperlink" Target="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" TargetMode="External"/><Relationship Id="rId82" Type="http://schemas.openxmlformats.org/officeDocument/2006/relationships/hyperlink" Target="https://www.amazon.com/dp/B0DK5HNFSM?ref=emc_s_m_5_i_atc" TargetMode="External"/><Relationship Id="rId8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www.amazon.com/PLUS-Haven-Backing-Welcome-Beautiful/dp/B07THN5B78/ref=sr_1_3?crid=1CUP5UCJP874X&amp;dib=eyJ2IjoiMSJ9.lz18oYd6nfRxC3mDGRvEoA.PUp1OF1kBo4kacBLYvJzZ9b7KyNzkQ8Kel1nN27GqiA&amp;dib_tag=se&amp;keywords=B07THN5B78&amp;qid=1743466263&amp;sprefix=b07thn5b78%2Caps%2C173&amp;sr=8-3&amp;th=1" TargetMode="External"/><Relationship Id="rId3" Type="http://schemas.openxmlformats.org/officeDocument/2006/relationships/hyperlink" Target="https://www.amazon.com/Oversized-Standing-Bedroom-Shatterproof-Tempered/dp/B0F186K1D5/ref=sr_1_1_sspa?crid=2OOYVKXKX85R1&amp;dib=eyJ2IjoiMSJ9.__eqhdstIpBb6JhpCaG-YqX1wDBhGqxClbKJxSweNngsgZ6LoLXQxlUkRhyL11o0OiSAtJ4YzKgJBxFgLyiS3-NTmchFLBrA_M2jaSKujbuPtJMWAiTnaMWalpEBxNCou9oUxWIQmy_dF7ppWzXJlqccODl3rDH6sX2WdAXqt_k0fCLVsyd5m3YEHlsclunPxWfE-e6RuDJHOGKGkBKEcNfLxHzzifRH2JsUoTPSWQTS4EGlf3TpnMVQbd1cjsWfjWJPRGHDRLhRkA54AP0DwecNUJjYzC9nBR-3F2KlQGQ.K4bC5ytgS5WjKwvg1JS_daYYWhs-uhAtRLC6B69PsXM&amp;dib_tag=se&amp;keywords=44x72%2Bmirror%2Bblack&amp;qid=1765670779&amp;sprefix=mirror%2B44x72%2Caps%2C187&amp;sr=8-1-spons&amp;sp_csd=d2lkZ2V0TmFtZT1zcF9hdGY&amp;th=1" TargetMode="External"/><Relationship Id="rId149" Type="http://schemas.openxmlformats.org/officeDocument/2006/relationships/hyperlink" Target="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" TargetMode="External"/><Relationship Id="rId4" Type="http://schemas.openxmlformats.org/officeDocument/2006/relationships/hyperlink" Target="https://www.amazon.com/Flyrose-Pendant-Minimalist-Lighting-Industrial/dp/B0CFFB5BC7/ref=sr_1_2?dib=eyJ2IjoiMSJ9.aFUwolCo39YbxvlTe8AgzA.perHelgl_v5oQIOQiDuQ37vRynhmgDQHfsXQIAndlYc&amp;dib_tag=se&amp;keywords=B0CFFB5BC7&amp;qid=1743466346&amp;sr=8-2&amp;th=1" TargetMode="External"/><Relationship Id="rId148" Type="http://schemas.openxmlformats.org/officeDocument/2006/relationships/hyperlink" Target="https://www.amazon.com/dp/B087YTKF97/ref=twister_B0814B6D9G?_encoding=UTF8&amp;th=1" TargetMode="External"/><Relationship Id="rId269" Type="http://schemas.openxmlformats.org/officeDocument/2006/relationships/hyperlink" Target="https://shop.universalorlando.com/shop/shop-by-brands/super-nintendo-world/toys-490516-1/super-nintendo-world-medium-yoshi-plush-1358872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264" Type="http://schemas.openxmlformats.org/officeDocument/2006/relationships/hyperlink" Target="https://www.disneystore.com/pluto-plush-medium-13-34-412312273766.html?isProductSearch=1&amp;searchType=regular" TargetMode="External"/><Relationship Id="rId142" Type="http://schemas.openxmlformats.org/officeDocument/2006/relationships/hyperlink" Target="https://www.amazon.com/gp/product/B07P72ZB37/ref=ppx_yo_dt_b_search_asin_title?ie=UTF8&amp;th=1" TargetMode="External"/><Relationship Id="rId263" Type="http://schemas.openxmlformats.org/officeDocument/2006/relationships/hyperlink" Target="https://www.disneystore.com/minnie-mouse-plush-red-medium-17-34-412312273438.html" TargetMode="External"/><Relationship Id="rId141" Type="http://schemas.openxmlformats.org/officeDocument/2006/relationships/hyperlink" Target="https://www.walmart.com/ip/50UA7500ZUA-AUS/14364014573?classType=REGULAR&amp;athbdg=L1300&amp;adsRedirect=true" TargetMode="External"/><Relationship Id="rId262" Type="http://schemas.openxmlformats.org/officeDocument/2006/relationships/hyperlink" Target="https://www.disneystore.com/mickey-mouse-plush-medium-17-34-412312273353.html" TargetMode="External"/><Relationship Id="rId14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61" Type="http://schemas.openxmlformats.org/officeDocument/2006/relationships/hyperlink" Target="https://www.amazon.com/GTPLAYER-Computer-Footrest-Adjustable-360%C2%B0-Swivel/dp/B0FFGSFKBQ/ref=sr_1_4_sspa?crid=1KIPUSC7IL2PG&amp;dib=eyJ2IjoiMSJ9.HT9IefGViXtHmx89WpnN_6IaKqzzZ1wAPzHN6SrDm0cgaEdsKS9rQ6IJsMsbQK0LDYzhjkEdOqgnG189D6sriFtqQK1x6NaWfFNQ4t0yIBXMFAM4g2Azp8GBpCpDsyTA_XI0r6wBiyNAQ-sBMEXRGvYAoKC5Ig2dgk9l0K3F5nN-7YMH60ZhA4tZpwLimQE7w76t_ZBJkZSnYFSAYGoB-xdoAvRUjTzgulYhuVeEWMv9jTKTyDwkHYKF1xeP69ggxgysA4DR0ZV0BFzxeSR0YWsuFCAe8cTNc7bE77LNTPA.h8lmDWcdtZDti0TA78h4RcllnoCiX_MmhJqGfiu1MAA&amp;dib_tag=se&amp;keywords=Game%2Bchair&amp;qid=1764379198&amp;sprefix=game%2Bchair%2Caps%2C153&amp;sr=8-4-spons&amp;sp_csd=d2lkZ2V0TmFtZT1zcF9hdGY&amp;th=1" TargetMode="External"/><Relationship Id="rId5" Type="http://schemas.openxmlformats.org/officeDocument/2006/relationships/hyperlink" Target="https://www.amazon.com/LightingWill-Downlight-Directional-3000K-3500K-Equivalent/dp/B01KZJ8F34/ref=sr_1_3?crid=2VL1B4IHDS6CM&amp;dib=eyJ2IjoiMSJ9.gucbm69BYM-iG_Dvwj1gvw.WnyFvEP2zTfMAFYfeSGsHEJRrq_lNt39rFhYHCJglL8&amp;dib_tag=se&amp;keywords=B01KZJ8F34&amp;qid=1743466397&amp;sprefix=b01kzj8f34%2Caps%2C92&amp;sr=8-3&amp;th=1" TargetMode="External"/><Relationship Id="rId147" Type="http://schemas.openxmlformats.org/officeDocument/2006/relationships/hyperlink" Target="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" TargetMode="External"/><Relationship Id="rId268" Type="http://schemas.openxmlformats.org/officeDocument/2006/relationships/hyperlink" Target="https://shop.universalorlando.com/shop/shop-by-brands/super-nintendo-world/toys-490516-1/super-nintendo-world-medium-mario-plush-1346217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" TargetMode="External"/><Relationship Id="rId267" Type="http://schemas.openxmlformats.org/officeDocument/2006/relationships/hyperlink" Target="https://www.disneystore.com/daisy-duck-plush-medium-13-412312274008.html?isProductSearch=1&amp;searchType=regular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walmart.com/ip/LG-32-Ultragear-Gaming-Monitor-32G60WA-B/13658407275?classType=REGULAR&amp;athbdg=L1600&amp;adsRedirect=true" TargetMode="External"/><Relationship Id="rId266" Type="http://schemas.openxmlformats.org/officeDocument/2006/relationships/hyperlink" Target="https://www.disneystore.com/donald-duck-plush-medium-15-34-412312273926.html?isProductSearch=1&amp;searchType=regular" TargetMode="External"/><Relationship Id="rId8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4" Type="http://schemas.openxmlformats.org/officeDocument/2006/relationships/hyperlink" Target="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" TargetMode="External"/><Relationship Id="rId265" Type="http://schemas.openxmlformats.org/officeDocument/2006/relationships/hyperlink" Target="https://www.disneystore.com/goofy-plush-medium-18-12-412312273841.html?isProductSearch=1&amp;searchType=regular" TargetMode="External"/><Relationship Id="rId73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72" Type="http://schemas.openxmlformats.org/officeDocument/2006/relationships/hyperlink" Target="https://www.amazon.com/gp/product/B07P72ZB37/ref=ppx_yo_dt_b_search_asin_title?ie=UTF8&amp;th=1" TargetMode="External"/><Relationship Id="rId75" Type="http://schemas.openxmlformats.org/officeDocument/2006/relationships/hyperlink" Target="https://www.amazon.com/Joomer-Christmas-Waterproof-Connectable-Decoration/dp/B093GWKVLW/ref=sr_1_10?crid=IWN0T9HTW0ZH&amp;dib=eyJ2IjoiMSJ9.De1squRIKfalP59m7nNQuxzwrhmH4W32eioHlB21ZizUw07Llqevd_yo-uyTFmPEazv5iHaSRVgeLdodEKx-bwKN6BdTUOjZkU5JyGmkd8dX8FrNyJJELeAtMMGoqaIWEb9n7WJu3HbLb9NxsiO0ExdSEPyvJwSJoh0GwhyltgEjM5nvKHj2vDO6bEtSXRidA86BWW0-GwNl0SpwN4mDSCoLvMb1FVmkbmAIhHZwmGnC9ieaejJNeYv0e2wlxJUyh33HB_IjmkNtqSm0-dl7YiWIUYWdYW916ecFC_cT6_4.-9g0FTQoWb-Xz5Ml0cFmjsezgdDaDt8uyl_wc-Q17ro&amp;dib_tag=se&amp;keywords=ice%2Blighting&amp;qid=1764365956&amp;sprefix=ice%2Blightin%2Caps%2C230&amp;sr=8-10&amp;th=1" TargetMode="External"/><Relationship Id="rId74" Type="http://schemas.openxmlformats.org/officeDocument/2006/relationships/hyperlink" Target="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" TargetMode="External"/><Relationship Id="rId77" Type="http://schemas.openxmlformats.org/officeDocument/2006/relationships/hyperlink" Target="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" TargetMode="External"/><Relationship Id="rId260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76" Type="http://schemas.openxmlformats.org/officeDocument/2006/relationships/hyperlink" Target="https://www.wayfair.com/furniture/pdp/lark-manor-blane-7-drawer-dresser-w110442504.html?piid=559504" TargetMode="External"/><Relationship Id="rId79" Type="http://schemas.openxmlformats.org/officeDocument/2006/relationships/hyperlink" Target="https://www.amazon.com/Retardant-Skateboard-Gymnastics-Companies-Trampoline/dp/B01KYBUWFW/ref=sr_1_7?crid=34QE0FJHO1LAF&amp;dib=eyJ2IjoiMSJ9.DKNxr9Um5yVl14q_dLBsbyUrUWpGM9d-qN1F3ulQQHC2CTU8BqCgcd4ILIq7Okz1VUdSL7EdHVqTSl5mJ9spNjgFhA-SEncCb2j8gJ-CGg4xOo8ERNUJlQu9suNsgltZbE6fgBp5xzdQSsu_6godNV1GM2c_oGki-jyVecAumd40WkzNBiVshGlyNIZt3zltRTIO4_YQCME5hBVbH8u-2Dk3LaM5M0i7Q7nWQqioPdCsyq1AiIx9N4FRorocwQ_iGLbtzrfP6BlEdMKCcQeU7FBjI3bmAXlhfm2eJynOdPA.fTR5GbLF2bIft1c23NBAwFoDVo3WIFcY0vXWikTDNdI&amp;dib_tag=se&amp;keywords=foam%2Bpit%2Bcube%2Bwhite&amp;qid=1764363276&amp;sprefix=foam%2Bpit%2Bcube%2Bwhite%2Caps%2C132&amp;sr=8-7&amp;th=1" TargetMode="External"/><Relationship Id="rId78" Type="http://schemas.openxmlformats.org/officeDocument/2006/relationships/hyperlink" Target="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" TargetMode="External"/><Relationship Id="rId71" Type="http://schemas.openxmlformats.org/officeDocument/2006/relationships/hyperlink" Target="https://www.walmart.com/ip/LG-55-4K-UHD-Smart-TV-2160p-webOS-55UQ7070ZUE/332111459?classType=REGULAR&amp;athbdg=L1102&amp;adsRedirect=true" TargetMode="External"/><Relationship Id="rId7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38" Type="http://schemas.openxmlformats.org/officeDocument/2006/relationships/hyperlink" Target="https://www.amazon.com/gp/product/B07T1RFHGW/ref=ox_sc_act_title_12?smid=A9R60ZNAJMSU9&amp;th=1" TargetMode="External"/><Relationship Id="rId259" Type="http://schemas.openxmlformats.org/officeDocument/2006/relationships/hyperlink" Target="https://www.amazon.com/82515-Theater-Popcorn-Machine-Nonstick/dp/B01HRGJE88/ref=sr_1_20?dib=eyJ2IjoiMSJ9.Yn8jVg99JLfmcm695qDWg5ZhQ_xVEjVfX17KU570gYy8b652u98IGCaslM4yJlLNR8MY0yBTXBKMhziTvJpwMPdX01WWD_tq18FV1YRGTZ0f9N-A3zmEcWjWeEv-8-eopmee0lcVThPGkRTHO61ml44j3dTnFKKL0i-Xt7E6zZ3MjRSUtTRUjJeeXOOaXU4PmJWpUrngyQa9DDnLTp1_u3nM8QVf72K9XPg3jGeqsR4.1lNkeSeCqNqNy63P7-sIbS8xptGorE9V4ax7K07KPxQ&amp;dib_tag=se&amp;keywords=popcorn%2Bmachine&amp;qid=1764378838&amp;sr=8-20&amp;th=1" TargetMode="External"/><Relationship Id="rId137" Type="http://schemas.openxmlformats.org/officeDocument/2006/relationships/hyperlink" Target="https://www.amazon.com/gp/product/B0BFCY84XY/ref=ppx_yo_dt_b_search_asin_title?ie=UTF8&amp;th=1" TargetMode="External"/><Relationship Id="rId258" Type="http://schemas.openxmlformats.org/officeDocument/2006/relationships/hyperlink" Target="https://www.amazon.com/gp/product/B07LDWLNVF/ref=ppx_yo_dt_b_search_asin_title?ie=UTF8&amp;psc=1" TargetMode="External"/><Relationship Id="rId132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53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131" Type="http://schemas.openxmlformats.org/officeDocument/2006/relationships/hyperlink" Target="https://www.amazon.com/dp/B0DK5HNFSM?ref=emc_s_m_5_i_atc" TargetMode="External"/><Relationship Id="rId252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130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51" Type="http://schemas.openxmlformats.org/officeDocument/2006/relationships/hyperlink" Target="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" TargetMode="External"/><Relationship Id="rId250" Type="http://schemas.openxmlformats.org/officeDocument/2006/relationships/hyperlink" Target="https://www.atgames.us/products/legends-ultimate" TargetMode="External"/><Relationship Id="rId13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57" Type="http://schemas.openxmlformats.org/officeDocument/2006/relationships/hyperlink" Target="https://www.walmart.com/ip/50UA7500ZUA-AUS/14364014573?classType=REGULAR&amp;athbdg=L1300&amp;adsRedirect=true" TargetMode="External"/><Relationship Id="rId13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56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134" Type="http://schemas.openxmlformats.org/officeDocument/2006/relationships/hyperlink" Target="https://www.amazon.com/gp/product/B09NPMJCZD/ref=ox_sc_act_title_9?th=1" TargetMode="External"/><Relationship Id="rId255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33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254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62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gp/product/B09NPMJCZD/ref=ox_sc_act_title_9?th=1" TargetMode="External"/><Relationship Id="rId63" Type="http://schemas.openxmlformats.org/officeDocument/2006/relationships/hyperlink" Target="https://www.amazon.com/Easly-Standing-Hanging-Aluminum-Cloakroom/dp/B0CMX15M23/ref=sr_1_2_sspa?crid=8L01PGI1LBZS&amp;dib=eyJ2IjoiMSJ9.4XjJCjlGB2WI0Hh31jFCpRh4GBdlcdVhIlRbwXxt7OIVQ59X6goJ2dYxYAIhg5-ewSOqdpd4ENRWEAJoa8k_p7rzNkAS2fKXmsipNzZJwgrq2jmjMHVdXpOpLKusaiQEwsVTf_MGgl_mJ6KYgFQ5wYfAdLetwJWHzKczoCQWgLrnqkaF2CIxvWunTZyB9v3akPVclEQGr6MrRos8_1CTdZdnFxknq8u5CqtPwH4y2eikiUFIgQ7ev-PwneFLmF67kb4PpCFvvlbHLpD1OdHMFPLT5BfSlIDeLrfqAA2Yw1Q.J7O6t0skZ1rjdv12ownK3CKeR-oj-ijxoXo2oGalJ0I&amp;dib_tag=se&amp;keywords=Wall%2BMirror%2Bwith%2BWide%2BFrame%2BLARGE&amp;qid=1765681378&amp;sprefix=wall%2Bmirror%2Bwith%2Bwide%2Bframe%2Blarge%2Caps%2C197&amp;sr=8-2-spons&amp;sp_csd=d2lkZ2V0TmFtZT1zcF9hdGY&amp;th=1" TargetMode="External"/><Relationship Id="rId6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72" Type="http://schemas.openxmlformats.org/officeDocument/2006/relationships/hyperlink" Target="https://www.walmart.com/ip/50UA7500ZUA-AUS/14364014573?classType=REGULAR&amp;athbdg=L1300&amp;adsRedirect=true" TargetMode="External"/><Relationship Id="rId293" Type="http://schemas.openxmlformats.org/officeDocument/2006/relationships/hyperlink" Target="https://www.etsy.com/listing/763599122/guinness-stout-pub-sign-12-solid-wood?gpla=1&amp;gao=1&amp;&amp;utm_source=google&amp;utm_medium=cpc&amp;utm_campaign=shopping_us_ps-a-home_and_living&amp;utm_custom1=_k_CjwKCAiAt8bIBhBpEiwAzH1w6WgtOwv01GkT7dutlLhKjyQhA5vHCufVjgdUnTVBDtr2TQxduwHwpRoC72sQAvD_BwE_k_&amp;utm_content=go_21500568237_167985819359_716809480267_pla-303628061699_c__763599122_110478201&amp;utm_custom2=21500568237&amp;gad_source=1&amp;gad_campaignid=21500568237&amp;gbraid=0AAAAADtcfRIbBsMcpXZbBfaSj1h2fEQHa&amp;gclid=CjwKCAiAt8bIBhBpEiwAzH1w6WgtOwv01GkT7dutlLhKjyQhA5vHCufVjgdUnTVBDtr2TQxduwHwpRoC72sQAvD_BwE" TargetMode="External"/><Relationship Id="rId6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71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292" Type="http://schemas.openxmlformats.org/officeDocument/2006/relationships/hyperlink" Target="https://www.wayfair.com/outdoor/pdp/trinx-led-3d-marquee-game-room-light-up-arrow-vintage-sign-poker-chips-home-bar-man-cave-pub-wall-decor-w111790101.html" TargetMode="External"/><Relationship Id="rId68" Type="http://schemas.openxmlformats.org/officeDocument/2006/relationships/hyperlink" Target="https://www.amazon.com/gp/product/B07T1RFHGW/ref=ox_sc_act_title_12?smid=A9R60ZNAJMSU9&amp;th=1" TargetMode="External"/><Relationship Id="rId170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91" Type="http://schemas.openxmlformats.org/officeDocument/2006/relationships/hyperlink" Target="https://www.homedepot.com/pep/American-Art-Decor-Vintage-LED-Marquee-Wall-Decor-Retro-Wall-Sign-Bar-Decor-Man-Cave-Garage-Record-Town-10-x-30-172728WEB/334449448?g_store=&amp;source=shoppingads&amp;locale=en-US&amp;pla&amp;mtc=SHOPPING-BF-HDH-GGL-D59H-059_035_WALL_DECOR-NA-Multi-NA-PMAX-NA-RDC-NA-NA-NBR-NA-NA-NA-All_In_Subclass_PMAX&amp;cm_mmc=SHOPPING-BF-HDH-GGL-D59H-059_035_WALL_DECOR-NA-Multi-NA-PMAX-NA-RDC-NA-NA-NBR-NA-NA-NA-All_In_Subclass_PMAX-21273643652--&amp;gad_source=1&amp;gad_campaignid=21277626853&amp;gbraid=0AAAAADq61UcXPaUJL2aLgtdk8FsvH9HNx&amp;gclid=CjwKCAiAt8bIBhBpEiwAzH1w6azbRITep9lhKH-EJadw0bNpzELnIAlGllTa802OlWYjLN8YFHwyCBoCjxUQAvD_BwE&amp;gclsrc=aw.ds" TargetMode="External"/><Relationship Id="rId67" Type="http://schemas.openxmlformats.org/officeDocument/2006/relationships/hyperlink" Target="https://www.amazon.com/gp/product/B0BFCY84XY/ref=ppx_yo_dt_b_search_asin_title?ie=UTF8&amp;th=1" TargetMode="External"/><Relationship Id="rId290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60" Type="http://schemas.openxmlformats.org/officeDocument/2006/relationships/hyperlink" Target="https://www.amazon.com/dp/B0DK5HNFSM?ref=emc_s_m_5_i_atc" TargetMode="External"/><Relationship Id="rId165" Type="http://schemas.openxmlformats.org/officeDocument/2006/relationships/hyperlink" Target="https://www.amazon.com/dp/B09NPMKMN2/ref=twister_B0FB3ZMZ1M?th=1" TargetMode="External"/><Relationship Id="rId286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6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64" Type="http://schemas.openxmlformats.org/officeDocument/2006/relationships/hyperlink" Target="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" TargetMode="External"/><Relationship Id="rId285" Type="http://schemas.openxmlformats.org/officeDocument/2006/relationships/hyperlink" Target="https://www.amazon.com/gp/product/B08L58DVCJ/ref=ppx_yo_dt_b_search_asin_title?ie=UTF8&amp;th=1" TargetMode="External"/><Relationship Id="rId163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84" Type="http://schemas.openxmlformats.org/officeDocument/2006/relationships/hyperlink" Target="https://www.amazon.com/gp/product/B0D7HLZD2H/ref=ppx_yo_dt_b_search_asin_title?ie=UTF8&amp;th=1" TargetMode="External"/><Relationship Id="rId162" Type="http://schemas.openxmlformats.org/officeDocument/2006/relationships/hyperlink" Target="https://www.amazon.com/dp/B0DK5HNFSM?ref=emc_s_m_5_i_atc" TargetMode="External"/><Relationship Id="rId283" Type="http://schemas.openxmlformats.org/officeDocument/2006/relationships/hyperlink" Target="https://www.wayfair.com/furniture/pdp/corrigan-studio-kymberlynn-swivel-upholstered-low-back-bar-counter-stool-with-metal-frame-w100391215.html?piid=1912750044%2C1926543887" TargetMode="External"/><Relationship Id="rId169" Type="http://schemas.openxmlformats.org/officeDocument/2006/relationships/hyperlink" Target="https://www.amazon.com/gp/product/B07T1RFHGW/ref=ox_sc_act_title_12?smid=A9R60ZNAJMSU9&amp;th=1" TargetMode="External"/><Relationship Id="rId168" Type="http://schemas.openxmlformats.org/officeDocument/2006/relationships/hyperlink" Target="https://www.amazon.com/gp/product/B0BFCZMNCY/ref=ppx_yo_dt_b_search_asin_title?ie=UTF8&amp;th=1" TargetMode="External"/><Relationship Id="rId289" Type="http://schemas.openxmlformats.org/officeDocument/2006/relationships/hyperlink" Target="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" TargetMode="External"/><Relationship Id="rId167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88" Type="http://schemas.openxmlformats.org/officeDocument/2006/relationships/hyperlink" Target="https://www.amazon.com/gp/product/B07P72ZB37/ref=ppx_yo_dt_b_search_asin_title?ie=UTF8&amp;th=10" TargetMode="External"/><Relationship Id="rId166" Type="http://schemas.openxmlformats.org/officeDocument/2006/relationships/hyperlink" Target="https://www.amazon.com/dp/B01M16WBW1/ref=twister_B0D5BZDH7Y?_encoding=UTF8&amp;psc=1" TargetMode="External"/><Relationship Id="rId287" Type="http://schemas.openxmlformats.org/officeDocument/2006/relationships/hyperlink" Target="https://www.walmart.com/ip/LG-32-Ultragear-Gaming-Monitor-32G60WA-B/13658407275?classType=REGULAR&amp;athbdg=L1600&amp;adsRedirect=true" TargetMode="External"/><Relationship Id="rId51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50" Type="http://schemas.openxmlformats.org/officeDocument/2006/relationships/hyperlink" Target="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" TargetMode="External"/><Relationship Id="rId53" Type="http://schemas.openxmlformats.org/officeDocument/2006/relationships/hyperlink" Target="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" TargetMode="External"/><Relationship Id="rId52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55" Type="http://schemas.openxmlformats.org/officeDocument/2006/relationships/hyperlink" Target="https://www.amazon.com/gp/product/0847836797/ref=ppx_yo_dt_b_search_asin_title?ie=UTF8&amp;psc=1" TargetMode="External"/><Relationship Id="rId161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82" Type="http://schemas.openxmlformats.org/officeDocument/2006/relationships/hyperlink" Target="https://www.webstaurantstore.com/lancaster-table-seating-crimson-double-ring-barstool-with-3-1-2-thick-seat/164GS605BCR.html" TargetMode="External"/><Relationship Id="rId54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160" Type="http://schemas.openxmlformats.org/officeDocument/2006/relationships/hyperlink" Target="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" TargetMode="External"/><Relationship Id="rId281" Type="http://schemas.openxmlformats.org/officeDocument/2006/relationships/hyperlink" Target="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" TargetMode="External"/><Relationship Id="rId57" Type="http://schemas.openxmlformats.org/officeDocument/2006/relationships/hyperlink" Target="https://www.amazon.com/gp/product/B08J3K4N15/ref=ppx_yo_dt_b_search_asin_title?ie=UTF8&amp;psc=1" TargetMode="External"/><Relationship Id="rId280" Type="http://schemas.openxmlformats.org/officeDocument/2006/relationships/hyperlink" Target="https://www.amazon.com/Tic-Tac-Toe-Spinner-Panel/dp/B07CRPSFZ7/ref=sr_1_7?crid=3VUUL8NLJ8PJ4&amp;dib=eyJ2IjoiMSJ9.0pQS9IZceC0U7zAyVsYgyQM08rcwHtCGXT3g2Xq0-MOb91wxmoljTsDDztbaZ01CFGOkm9jFOzEjbaVjTe6JL5DSANKJ-oV84qcWbo4btsljrKukHzvf9Osa0QU8ms6aqApiT5IkNGdZ3zNoeQenlWW44h2GQqD0JW-HRyzz4tYLNufgqo2DgFnLWqSUcqhX25ytMxyorUpPD6r0I42Rx0sDgiEOHk1vbffbbrqB5xXIQoY_rrbVR6NZpdqEHfwq7E25ba_MuK5o9cFwoa2xOTLiP1rJCOmAJWsd_R13oFs.CdBlDtgESWWIJyIHv8ZC3Xgf2upQZpjg1zIBIIzu8iA&amp;dib_tag=se&amp;keywords=Tic+Tac+Toe+Spinner+Panel&amp;qid=1765732485&amp;sprefix=tic+tac+toe+spinner%2Caps%2C167&amp;sr=8-7" TargetMode="External"/><Relationship Id="rId56" Type="http://schemas.openxmlformats.org/officeDocument/2006/relationships/hyperlink" Target="https://www.walmart.com/ip/86UA7500ZUA-AUSQ/14363012836?classType=REGULAR&amp;adsRedirect=true" TargetMode="External"/><Relationship Id="rId159" Type="http://schemas.openxmlformats.org/officeDocument/2006/relationships/hyperlink" Target="https://www.homedepot.com/pep/Acme-Furniture-Cargo-6-Drawer-Gunmetal-Dresser-37955/317268309?g_store=&amp;source=shoppingads&amp;locale=en-US&amp;fp=ggl&amp;pla&amp;mtc=SHOPPING-BF-HDH-GGL-D59H-059_034_INT_FURN-NA-NA-NA-PMAX-NA-RDC-NA-NA-NBR-NA-NA-NA-All_In_Subclass_PMAX&amp;cm_mmc=SHOPPING-BF-HDH-GGL-D59H-059_034_INT_FURN-NA-NA-NA-PMAX-NA-RDC-NA-NA-NBR-NA-NA-NA-All_In_Subclass_PMAX-21266992005--&amp;gclsrc=aw.ds&amp;gad_source=1&amp;gad_campaignid=21273442763&amp;gbraid=0AAAAADq61UegDAp5YrZiMLjnqzDHPVrvJ&amp;gclid=CjwKCAiA3fnJBhAgEiwAyqmY5QnOc0tGEPO1AFk--cZbbRluQPjx2CJmncdFogcQXVigL52kA6vRJRoCr2oQAvD_BwE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4" Type="http://schemas.openxmlformats.org/officeDocument/2006/relationships/hyperlink" Target="https://www.amazon.com/dp/B00MW4ZK8O/ref=twister_B0CYCRVKD1?_encoding=UTF8&amp;th=1" TargetMode="External"/><Relationship Id="rId275" Type="http://schemas.openxmlformats.org/officeDocument/2006/relationships/hyperlink" Target="https://www.amazon.com/Outdoor-Exterior-Waterproof-Anti-Rust-Entryway/dp/B0CRQWLXYQ/ref=sr_1_14_sspa?crid=1BU962EDJUBBQ&amp;dib=eyJ2IjoiMSJ9.AtyH5dI8XG6ptGnWlCqpL7MttgbJ81I3_Su1DaAtrJ3vTynYYEc0wA_45PJ0Qtt1PjkbzUd9U0HbVhni4fMyV_gEC4jka7a908hj5ktSLyTm99a992LVpAlcNbMu5hbRYzw41YtoinGVNZICygX-fHXRNOgMj5mNSTSB2w0-It4xQJRhJaSSg0-2bEWlZC-X7oY9KZqnnvDp_ydUUD3r_uHjSNXEanldyycnViCUSpM7HGyJ94sf8ShIcU0kfnCZ96j_LTZMXxeRMqZR1ZiLFk15GyuWmhK_uq9vfSm7E74.K0pTeboKhDk4ug9tyHCrGztRJTIJl9l0L-W0hRVVlS4&amp;dib_tag=se&amp;keywords=sconce%2Bblack&amp;qid=1764379376&amp;sprefix=sconce%2Bblack%2Caps%2C160&amp;sr=8-14-spons&amp;sp_csd=d2lkZ2V0TmFtZT1zcF9tdGY&amp;th=1" TargetMode="External"/><Relationship Id="rId58" Type="http://schemas.openxmlformats.org/officeDocument/2006/relationships/hyperlink" Target="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" TargetMode="External"/><Relationship Id="rId153" Type="http://schemas.openxmlformats.org/officeDocument/2006/relationships/hyperlink" Target="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" TargetMode="External"/><Relationship Id="rId274" Type="http://schemas.openxmlformats.org/officeDocument/2006/relationships/hyperlink" Target="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" TargetMode="External"/><Relationship Id="rId152" Type="http://schemas.openxmlformats.org/officeDocument/2006/relationships/hyperlink" Target="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" TargetMode="External"/><Relationship Id="rId273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151" Type="http://schemas.openxmlformats.org/officeDocument/2006/relationships/hyperlink" Target="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" TargetMode="External"/><Relationship Id="rId272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158" Type="http://schemas.openxmlformats.org/officeDocument/2006/relationships/hyperlink" Target="https://www.amazon.com/10-5inch-Portable-1920x1280P-External-Ultra-Thin/dp/B0C7KPPXTZ/ref=sr_1_3?crid=34O5Q68B1YJ60&amp;dib=eyJ2IjoiMSJ9.S8AhBrPaiFkSMEjQHOEFtb0ukc61OsDZ9PLkH9uYTxuDfLfE6hlQkU0hMt5KqzyWFAj5IMIhCmPZA-JLE-80G1DbJwD9P1k6l-9njcN1O8-2xSpMrHsjNpS8ax9YEeBe10DrgY6XJR8d_PzSwjbKGCOshddAASDcQV-xRjBxhtsdnDuA3JsXy_0nEG75dHKKfQtOjAt3ALBT-aukd6h0pjV7uPi15WTnAkcraVpRkfA.AhwKEME9tShrsx975mACfQY6tCUqhSoedv2OeOnvbPk&amp;dib_tag=se&amp;keywords=g-story%2Bportable%2Bmonitor%2B10.5%22&amp;qid=1764373010&amp;sprefix=g-story%2Bportable%2Bmonitor%2B10.5%2B%2Caps%2C125&amp;sr=8-3&amp;th=1" TargetMode="External"/><Relationship Id="rId279" Type="http://schemas.openxmlformats.org/officeDocument/2006/relationships/hyperlink" Target="https://www.walmart.com/ip/LG-32-Ultragear-Gaming-Monitor-32G60WA-B/13658407275?classType=REGULAR&amp;athbdg=L1200&amp;from=/search" TargetMode="External"/><Relationship Id="rId157" Type="http://schemas.openxmlformats.org/officeDocument/2006/relationships/hyperlink" Target="https://www.walmart.com/ip/50UA7500ZUA-AUS/14364014573?classType=REGULAR&amp;athbdg=L1300&amp;adsRedirect=true" TargetMode="External"/><Relationship Id="rId278" Type="http://schemas.openxmlformats.org/officeDocument/2006/relationships/hyperlink" Target="https://www.walmart.com/ip/KOORUI-22-FHD-100-Hz-Computer-Monitor-with-Speakers-S01-Black/2937398359?classType=VARIANT&amp;athbdg=L1800&amp;adsRedirect=true" TargetMode="External"/><Relationship Id="rId156" Type="http://schemas.openxmlformats.org/officeDocument/2006/relationships/hyperlink" Target="https://www.amazon.com/dp/B00MW4ZK8O/ref=twister_B0CYCRVKD1?_encoding=UTF8&amp;th=1" TargetMode="External"/><Relationship Id="rId277" Type="http://schemas.openxmlformats.org/officeDocument/2006/relationships/hyperlink" Target="https://www.amazon.com/dp/B0DWSMSY6B/ref=sspa_dk_detail_2?pd_rd_i=B0DWSMSY6B&amp;pd_rd_w=k3m2U&amp;content-id=amzn1.sym.f2f1cf8f-cab4-44dc-82ba-0ca811fb90cc&amp;pf_rd_p=f2f1cf8f-cab4-44dc-82ba-0ca811fb90cc&amp;pf_rd_r=RDT70WNDDQ0T0G6HYSFT&amp;pd_rd_wg=Vdonj&amp;pd_rd_r=658d70d9-b342-4651-93b8-2375d4b7af50&amp;sp_csd=d2lkZ2V0TmFtZT1zcF9kZXRhaWxfdGhlbWF0aWM&amp;th=1" TargetMode="External"/><Relationship Id="rId155" Type="http://schemas.openxmlformats.org/officeDocument/2006/relationships/hyperlink" Target="https://www.amazon.com/dp/B0CKYZCVXK/ref=twister_B0DYZ28XZV?_encoding=UTF8&amp;th=1" TargetMode="External"/><Relationship Id="rId276" Type="http://schemas.openxmlformats.org/officeDocument/2006/relationships/hyperlink" Target="https://www.amazon.com/Lightdot-Included-Waterproof-Aluminum-Replaceable/dp/B0DTHXRQKJ/ref=sr_1_97_sspa?crid=294CSZ1TDWS5W&amp;dib=eyJ2IjoiMSJ9.nIhFaciaY6P_hsFjLbuFj_UoDQcajSE7A9yP6yMSo62QItxuML4lBge49bTdKRMHaNqTsjnylJm7k4ItTh3KXb7pBm-Ek0idYs1YsAlKCfo.qnoqtbTSz7Du4qD4ydUENPNOQ6eTyhzM1qCUM7ugJ_I&amp;dib_tag=se&amp;keywords=lighting%2Bpole&amp;qid=1764379600&amp;sprefix=lighting%2Bpol%2Caps%2C156&amp;sr=8-97-spons&amp;xpid=bomKkrQ2Q8-Nl&amp;sp_csd=d2lkZ2V0TmFtZT1zcF9hdGZfbmV4dA&amp;th=1" TargetMode="External"/><Relationship Id="rId107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28" Type="http://schemas.openxmlformats.org/officeDocument/2006/relationships/hyperlink" Target="https://www.amazon.com/MIULEE-Waterproof-Decorative-Resistant-Hypoallergenic/dp/B0DGL75K37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" TargetMode="External"/><Relationship Id="rId106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7" Type="http://schemas.openxmlformats.org/officeDocument/2006/relationships/hyperlink" Target="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" TargetMode="External"/><Relationship Id="rId105" Type="http://schemas.openxmlformats.org/officeDocument/2006/relationships/hyperlink" Target="https://www.amazon.com/gp/product/B07T1RFHGW/ref=ox_sc_act_title_12?smid=A9R60ZNAJMSU9&amp;th=1" TargetMode="External"/><Relationship Id="rId226" Type="http://schemas.openxmlformats.org/officeDocument/2006/relationships/hyperlink" Target="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" TargetMode="External"/><Relationship Id="rId104" Type="http://schemas.openxmlformats.org/officeDocument/2006/relationships/hyperlink" Target="https://www.amazon.com/gp/product/B0CZ8DC3MT/ref=ppx_yo_dt_b_search_asin_title?ie=UTF8&amp;th=1" TargetMode="External"/><Relationship Id="rId225" Type="http://schemas.openxmlformats.org/officeDocument/2006/relationships/hyperlink" Target="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" TargetMode="External"/><Relationship Id="rId109" Type="http://schemas.openxmlformats.org/officeDocument/2006/relationships/hyperlink" Target="https://www.walmart.com/ip/50UA7500ZUA-AUS/14364014573?classType=REGULAR&amp;athbdg=L1300&amp;adsRedirect=true" TargetMode="External"/><Relationship Id="rId108" Type="http://schemas.openxmlformats.org/officeDocument/2006/relationships/hyperlink" Target="https://www.amazon.com/dp/B00MW50754/ref=twister_B0CYCRVKD1?_encoding=UTF8&amp;th=1" TargetMode="External"/><Relationship Id="rId229" Type="http://schemas.openxmlformats.org/officeDocument/2006/relationships/hyperlink" Target="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" TargetMode="External"/><Relationship Id="rId220" Type="http://schemas.openxmlformats.org/officeDocument/2006/relationships/hyperlink" Target="https://www.ikea.com/us/en/p/bolmen-toilet-brush-holder-white-40574435/" TargetMode="External"/><Relationship Id="rId103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24" Type="http://schemas.openxmlformats.org/officeDocument/2006/relationships/hyperlink" Target="https://www.amazon.com/gp/product/B09B9P9M8L/ref=ppx_yo_dt_b_search_asin_title?ie=UTF8&amp;th=1" TargetMode="External"/><Relationship Id="rId102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23" Type="http://schemas.openxmlformats.org/officeDocument/2006/relationships/hyperlink" Target="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" TargetMode="External"/><Relationship Id="rId101" Type="http://schemas.openxmlformats.org/officeDocument/2006/relationships/hyperlink" Target="https://www.amazon.com/gp/product/B0BFCY84XY/ref=ppx_yo_dt_b_search_asin_title?ie=UTF8&amp;th=1" TargetMode="External"/><Relationship Id="rId22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100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21" Type="http://schemas.openxmlformats.org/officeDocument/2006/relationships/hyperlink" Target="https://www.ikea.com/us/en/p/snoerpa-pedal-bin-stainless-steel-10511208/" TargetMode="External"/><Relationship Id="rId217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216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15" Type="http://schemas.openxmlformats.org/officeDocument/2006/relationships/hyperlink" Target="https://www.ikea.com/us/en/p/snoerpa-pedal-bin-stainless-steel-10511208/" TargetMode="External"/><Relationship Id="rId214" Type="http://schemas.openxmlformats.org/officeDocument/2006/relationships/hyperlink" Target="https://www.ikea.com/us/en/p/bolmen-toilet-brush-holder-white-40574435/" TargetMode="External"/><Relationship Id="rId219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218" Type="http://schemas.openxmlformats.org/officeDocument/2006/relationships/hyperlink" Target="https://www.amazon.com/gp/product/B09B9P9M8L/ref=ppx_yo_dt_b_search_asin_title?ie=UTF8&amp;th=1" TargetMode="External"/><Relationship Id="rId213" Type="http://schemas.openxmlformats.org/officeDocument/2006/relationships/hyperlink" Target="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" TargetMode="External"/><Relationship Id="rId212" Type="http://schemas.openxmlformats.org/officeDocument/2006/relationships/hyperlink" Target="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" TargetMode="External"/><Relationship Id="rId211" Type="http://schemas.openxmlformats.org/officeDocument/2006/relationships/hyperlink" Target="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" TargetMode="External"/><Relationship Id="rId210" Type="http://schemas.openxmlformats.org/officeDocument/2006/relationships/hyperlink" Target="https://www.amazon.com/AmazerBath-Bathroom-Adjustable-Segmented-Installation/dp/B0CLRRK69P/ref=sr_1_3_sspa?crid=1FQU0DJL8LMZQ&amp;keywords=B07WQV896S&amp;qid=1743561511&amp;sprefix=b07wqv896s%2Caps%2C108&amp;sr=8-3-spons&amp;sp_csd=d2lkZ2V0TmFtZT1zcF9tdGY&amp;th=1" TargetMode="External"/><Relationship Id="rId129" Type="http://schemas.openxmlformats.org/officeDocument/2006/relationships/hyperlink" Target="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" TargetMode="External"/><Relationship Id="rId128" Type="http://schemas.openxmlformats.org/officeDocument/2006/relationships/hyperlink" Target="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" TargetMode="External"/><Relationship Id="rId249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27" Type="http://schemas.openxmlformats.org/officeDocument/2006/relationships/hyperlink" Target="https://www.roomstogo.com/furniture/product/arena-brown-dresser/30500981?region_id=001000" TargetMode="External"/><Relationship Id="rId248" Type="http://schemas.openxmlformats.org/officeDocument/2006/relationships/hyperlink" Target="https://www.amazon.com/Retardant-Trampoline-Gymnastics-Skateboard-Playground/dp/B0C9ZYL2X3/ref=sr_1_10?crid=99CL5EEGR7EZ&amp;dib=eyJ2IjoiMSJ9.ptJZjR_Gq37E1KicOvNKnm9_ma62Qg22rB1XuM8Q6BnOFMNvfH42SnDpPzzSlAKMVzbb4msgt5Ikl-lSarE26tZooLjoF8JvEG4nrI_pef9UtbbMlSKDurdfuVMnlcyleP84hwoJ6OyBBkygPNXyKzAt1rI7V7E4IO8ft7WGd3uhvUjKwZhj6kxamai2vbkJMJ4Tb8LDbg-y2Zu1POtj8P6A-xDZRPZXoGA0ZbiGM8rxi4Aa1KlkvrbjJ4NCWKksf69d8PDXIol697N8MAkhPtpeg7feOXbjtMX_t245tH8.M9uhkBb8peDtmYQb50sYVZQ71sjI51gu_SDzszbMh7s&amp;dib_tag=se&amp;keywords=foam%2Bpit%2Bcube&amp;qid=1764378557&amp;sprefix=foam%2Bpit%2Bcube%2Caps%2C126&amp;sr=8-10&amp;th=1" TargetMode="External"/><Relationship Id="rId126" Type="http://schemas.openxmlformats.org/officeDocument/2006/relationships/hyperlink" Target="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" TargetMode="External"/><Relationship Id="rId247" Type="http://schemas.openxmlformats.org/officeDocument/2006/relationships/hyperlink" Target="https://www.amazon.com/HONEY-JOY-30-Piece-Register-Children/dp/B0FPCVTJ8T/ref=sr_1_12_sspa?crid=36VEFPX6T5ESG&amp;dib=eyJ2IjoiMSJ9.jD8ORRds2WijnfnbhNS8hWdgVNnatjzUKn2m_6qnbcKygREi8Lvrz9hxcm4krRi4yHCZCc2d0pSFug-H71jKXrorif7-4VVoJnAJktADR1GxTcBx9YY4xdq8WhUBfHlz1lK7MwPuHkprBBLglsIFxK69uWr5qp0oa8RHpLLuJfMyhLLwUOnAE7fwZp6BswFjsIgN3QEVcqMLbPZTaJ9Io_KcHoHgc51QJ-nsIoH-CA3-czb8g9C7usj4Auj08C3zi950_8RBGEtuynI9ZsMwbOH62OznmwWofCipt32J8m8.5cH92TNJsbuBCJGgwyrmuB-uUscGe8WtcD8cjR7hmIM&amp;dib_tag=se&amp;keywords=market%2Bkids&amp;qid=1763351854&amp;sprefix=market%2Bkids%2Caps%2C152&amp;sr=8-12-spons&amp;sp_csd=d2lkZ2V0TmFtZT1zcF9tdGY&amp;th=1" TargetMode="External"/><Relationship Id="rId121" Type="http://schemas.openxmlformats.org/officeDocument/2006/relationships/hyperlink" Target="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" TargetMode="External"/><Relationship Id="rId242" Type="http://schemas.openxmlformats.org/officeDocument/2006/relationships/hyperlink" Target="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" TargetMode="External"/><Relationship Id="rId120" Type="http://schemas.openxmlformats.org/officeDocument/2006/relationships/hyperlink" Target="https://www.amazon.com/dp/B00MW50754/ref=twister_B0CYCRVKD1?_encoding=UTF8&amp;th=1" TargetMode="External"/><Relationship Id="rId241" Type="http://schemas.openxmlformats.org/officeDocument/2006/relationships/hyperlink" Target="https://www.amazon.com/gp/product/B08L58DVCJ/ref=ppx_yo_dt_b_search_asin_title?ie=UTF8&amp;th=1" TargetMode="External"/><Relationship Id="rId240" Type="http://schemas.openxmlformats.org/officeDocument/2006/relationships/hyperlink" Target="https://www.amazon.com/gp/product/B0D7HLZD2H/ref=ppx_yo_dt_b_search_asin_title?ie=UTF8&amp;th=1" TargetMode="External"/><Relationship Id="rId125" Type="http://schemas.openxmlformats.org/officeDocument/2006/relationships/hyperlink" Target="https://www.disneystore.com/disney-animators-collection-belle-doll-beauty-and-the-beast-16-460020241065.html" TargetMode="External"/><Relationship Id="rId246" Type="http://schemas.openxmlformats.org/officeDocument/2006/relationships/hyperlink" Target="https://www.amazon.com/ROBUD-Toddlers-Realistic-Accessories-Features/dp/B0CWL9NKQW/ref=sxin_16_pa_sp_search_thematic-asin_sspa?content-id=amzn1.sym.9d434705-1b7e-4771-9e2b-12ee15160dbd%3Aamzn1.sym.9d434705-1b7e-4771-9e2b-12ee15160dbd&amp;crid=PVHRBOS2SIVQ&amp;cv_ct_cx=Kids%2Bkitchen&amp;keywords=Kids%2Bkitchen&amp;pd_rd_i=B0CWL9NKQW&amp;pd_rd_r=7eb2b429-ff66-4b76-b041-093114a7934f&amp;pd_rd_w=62htx&amp;pd_rd_wg=lSRKf&amp;pf_rd_p=9d434705-1b7e-4771-9e2b-12ee15160dbd&amp;pf_rd_r=3RBFE7P3ST5S9ZB46KJF&amp;qid=1763351649&amp;sbo=RZvfv%2F%2FHxDF%2BO5021pAnSA%3D%3D&amp;sprefix=kids%2Bkitchen%2Caps%2C196&amp;sr=1-5-81b96d55-037b-4f7e-b551-051825564156-spons&amp;ufe=app_do%3Aamzn1.fos.9fe8cbfa-bf43-43d1-a707-3f4e65a4b666&amp;aref=65GVle2lIW&amp;sp_csd=d2lkZ2V0TmFtZT1zcF9zZWFyY2hfdGhlbWF0aWM&amp;th=1" TargetMode="External"/><Relationship Id="rId124" Type="http://schemas.openxmlformats.org/officeDocument/2006/relationships/hyperlink" Target="https://www.disneystore.com/belle-plush-doll-beauty-and-the-beast-14-12-412333393535.html" TargetMode="External"/><Relationship Id="rId245" Type="http://schemas.openxmlformats.org/officeDocument/2006/relationships/hyperlink" Target="https://www.amazon.com/Costzon-Activity-Classroom-Playroom-Furniture/dp/B0B6VM1PMY/ref=sr_1_50_sspa?crid=BJF8ZXA0SQLU&amp;dib=eyJ2IjoiMSJ9.JshEax0rzhoQWY3KtbH1Tg3yYs5S2EEW-SJs8O-LtcA69K6x3p6dubfRIcjRAc82DgNLTP3kmIJZWOSvYsSh2h20LmdluSOm75HiyOwp_bRsLWaTtU_k47g4XsgnqxvUxbObppAY_LS3otsS3hiDhInO9tNmj9NOowj1a7MDTgj1XBAO80h02So-VNd-1znGbi4iyC_aHRXm2w78dlsrTf8D0UexyPpXgQYzUby7mlI5C0Sus5LgwR9kroLqyeMDSoTZX9FZL00hT8KA9UQ9TKhBA5wraWZ3rdIO2S7fvuA.AJ2-UYba7d2Em03h1RE4BxgGCN3EZYfN2Y3mr9XJepU&amp;dib_tag=se&amp;keywords=Kids%2BTable&amp;qid=1763351465&amp;sprefix=kids%2Btabl%2Caps%2C154&amp;sr=8-50-spons&amp;xpid=LLM-89DXdIuSS&amp;sp_csd=d2lkZ2V0TmFtZT1zcF9tdGY&amp;th=1" TargetMode="External"/><Relationship Id="rId123" Type="http://schemas.openxmlformats.org/officeDocument/2006/relationships/hyperlink" Target="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" TargetMode="External"/><Relationship Id="rId244" Type="http://schemas.openxmlformats.org/officeDocument/2006/relationships/hyperlink" Target="https://www.amazon.com/gp/product/B07P72ZB37/ref=ppx_yo_dt_b_search_asin_title?ie=UTF8&amp;th=10" TargetMode="External"/><Relationship Id="rId122" Type="http://schemas.openxmlformats.org/officeDocument/2006/relationships/hyperlink" Target="https://www.walmart.com/ip/50UA7500ZUA-AUS/14364014573?classType=REGULAR&amp;athbdg=L1300&amp;adsRedirect=true" TargetMode="External"/><Relationship Id="rId243" Type="http://schemas.openxmlformats.org/officeDocument/2006/relationships/hyperlink" Target="https://www.walmart.com/ip/LG-32-Ultragear-Gaming-Monitor-32G60WA-B/13658407275?classType=REGULAR&amp;athbdg=L1600&amp;adsRedirect=true" TargetMode="External"/><Relationship Id="rId9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94" Type="http://schemas.openxmlformats.org/officeDocument/2006/relationships/hyperlink" Target="https://www.amazon.com/dp/B0DK5HNFSM?ref=emc_s_m_5_i_atc" TargetMode="External"/><Relationship Id="rId97" Type="http://schemas.openxmlformats.org/officeDocument/2006/relationships/hyperlink" Target="https://www.amazon.com/gp/product/B0DB1H4QVP/ref=ox_sc_act_title_9?th=1" TargetMode="External"/><Relationship Id="rId96" Type="http://schemas.openxmlformats.org/officeDocument/2006/relationships/hyperlink" Target="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9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8" Type="http://schemas.openxmlformats.org/officeDocument/2006/relationships/hyperlink" Target="https://www.amazon.com/gp/product/B0CV63M3YH/ref=ox_sc_act_title_4?smid=AISR8NQB2ETL&amp;th=1" TargetMode="External"/><Relationship Id="rId91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90" Type="http://schemas.openxmlformats.org/officeDocument/2006/relationships/hyperlink" Target="https://www.walmart.com/ip/50UA7500ZUA-AUS/14364014573?classType=REGULAR&amp;athbdg=L1300&amp;adsRedirect=true" TargetMode="External"/><Relationship Id="rId9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92" Type="http://schemas.openxmlformats.org/officeDocument/2006/relationships/hyperlink" Target="https://www.amazon.com/dp/B0B6BBVPCJ/ref=twister_B0B6BB2TRJ?_encoding=UTF8&amp;th=1" TargetMode="External"/><Relationship Id="rId118" Type="http://schemas.openxmlformats.org/officeDocument/2006/relationships/hyperlink" Target="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" TargetMode="External"/><Relationship Id="rId239" Type="http://schemas.openxmlformats.org/officeDocument/2006/relationships/hyperlink" Target="https://www.amazon.com/FDW-Counter-Height-Leather-Adjustable/dp/B0DSKXYTDQ/ref=sr_1_42?crid=1B0H2FJKCSNQK&amp;dib=eyJ2IjoiMSJ9.UWUfRV_RYHwckJK6GTQBk-vEdWUgl_bNCmyDuXesN0gSRnD6gOOd2J-GfoWnUxb30UaO2ADAUodE3Y7yQQeGpp64YGPsmfYEMsWER-LZe-HwsS0-NUIgMZZPWL2Ic3_GxUs80_g358oSkaA1MSjBwvvxVXCtNQ4IECuFGXUBHaTdbozWZOx42jRswYEV87iJ2ngF0tJeg3ZckLWhaMPsSKzNTcrcFY6zLluBjtIUT8bYzDUaZrBfs3ZWPtYfBn0nHfOk3h3grO7DC04CbFIXFXFOSzey0Ia0s_6PzTHV4gQ.31_kHwu-m25eLPU4Y8KF5DXDb1sh8mx3hALpWl2TdIA&amp;dib_tag=se&amp;keywords=counter%2Bstool%2Bred&amp;qid=1764377673&amp;sprefix=counter%2Bstool%2Bred%2Caps%2C136&amp;sr=8-42&amp;th=1" TargetMode="External"/><Relationship Id="rId117" Type="http://schemas.openxmlformats.org/officeDocument/2006/relationships/hyperlink" Target="https://www.amazon.com/dp/B07BJZTWGR/ref=sspa_dk_detail_10?pf_rd_p=386c274b-4bfe-4421-9052-a1a56db557ab&amp;pf_rd_r=5X85G3G03CQKDHPZNGXB&amp;pd_rd_wg=OsBaO&amp;pd_rd_w=9KFDo&amp;content-id=amzn1.sym.386c274b-4bfe-4421-9052-a1a56db557ab&amp;pd_rd_r=7b8d9c74-bb97-426d-9916-018389676476&amp;s=sporting-goods&amp;sp_csd=d2lkZ2V0TmFtZT1zcF9kZXRhaWxfdGhlbWF0aWM&amp;th=1" TargetMode="External"/><Relationship Id="rId238" Type="http://schemas.openxmlformats.org/officeDocument/2006/relationships/hyperlink" Target="https://www.amazon.com/BANGSON-Fridge-Freezer-Refrigerator-Bedroom/dp/B09VNXL17Q/ref=sr_1_2_sspa?crid=1RLIHBA5B9BX6&amp;dib=eyJ2IjoiMSJ9.DzcsUgsFsZM2sLILxc5jGw5c1NukYkPfyMpzoEclJF9Uo4amz9Z__aDi0jhyC1DUB-_3AMRBUxiCN1klqIhUbg7csRz1_-aSQQMwgTEWvOTxGD8eBcmqcl8dblD3LIgIQxfg5v9K2NmPGQ-Q14n8HiIj9netX-3Qe_-3DE37XmYiGjo__vnjZckMrTwmGWvuTI7jPnLBejo737MKdDgQr93vakgVWzTtVvGWdfrpor4.tTruCvtMJYHWGWYWAunQr1Xlz9lV9_NqehTONPssliQ&amp;dib_tag=se&amp;keywords=frigidaire%2Bred&amp;qid=1764377601&amp;sprefix=frigidaire%2Bred%2Caps%2C147&amp;sr=8-2-spons&amp;sp_csd=d2lkZ2V0TmFtZT1zcF9hdGY&amp;th=1" TargetMode="External"/><Relationship Id="rId116" Type="http://schemas.openxmlformats.org/officeDocument/2006/relationships/hyperlink" Target="https://www.amazon.com/Retardant-Trampoline-Gymnastics-Skateboard-Playground/dp/B0CYSWR1KY/ref=sr_1_1_sspa?crid=3AGU7B030WET3&amp;dib=eyJ2IjoiMSJ9.oOgglE7zuz5QXUFc-GeLBWnr8EVa7-fiwRo5TovOeBqJ6rZL8yrg0phneYld6EO0we_J53hQKKYHghQcj3xZtcBMaZ4nTgdJ3MVXVWTR7mfzZTTFdXmTRPsjjSZMpBxc8VntQiaTT1hVtxsLDPi3CKn0oFR6JH4Y-YoWop-A6ZQ0ORmuvG5nfuR0rWx883u9rnDsNiEfyzEgM3nlT84OCv-UDmCKoNhD4XxXDaqajOjHaR2t01gp6wbhjemwsgAu__nM_QtHbDM_aYd2-sa3yua8Ge6CIBCKYXBU1TGk_Sc.w7bVRm2LBSVUuyeQcx4QYUmXq5sE1YnTLk2zmzl-cOg&amp;dib_tag=se&amp;keywords=foam%2Bcube&amp;qid=1758329248&amp;sprefix=foam%2Bcube%2Caps%2C129&amp;sr=8-1-spons&amp;sp_csd=d2lkZ2V0TmFtZT1zcF9hdGY&amp;th=1" TargetMode="External"/><Relationship Id="rId237" Type="http://schemas.openxmlformats.org/officeDocument/2006/relationships/hyperlink" Target="https://www.amazon.com/Umbresen-Swimming-Inflatable-Floaties-Supplies/dp/B0B2LFTT5N/ref=sr_1_7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7&amp;th=1" TargetMode="External"/><Relationship Id="rId115" Type="http://schemas.openxmlformats.org/officeDocument/2006/relationships/hyperlink" Target="https://www.amazon.com/Swing-N-Slide-NE-4678-1YB-Winder-Slide/dp/B000UH0SX2/ref=sr_1_19?crid=3G7Y2OVY7PYK5&amp;dib=eyJ2IjoiMSJ9.wKQPaaxqAKGCe9FjBL6Xp7vcihw9y9TLmaVtENFfc_2CxqiZSzoFxVVce4kqxJ5wf9cfEaIhy8uPloOKww4tBeCNHpjagq3DG96w35NvMK-KxHt9Bo-7GhzyoBqlOtdO8a7d1ljPGn2LAauEwN7iRmf5M2q5NmZk2SpOjvbb0aFjYad7r_RAZT9cSYWTjsRzP7nEn9QzDJReGE-eWJIibtiHBbKLW4OdP-crlFPejQYoKtgaXvAaq30Xc9QQgKxII882TmZ7F7p6fLpmF0wRaDGtwKszMHTcve17sViyLcc.GmUuEIiO1U99d5Kq4_SzPHcCJGAxXguqjyH1kqto-7w&amp;dib_tag=se&amp;keywords=slide+curvo&amp;qid=1765733529&amp;sprefix=slide+curvo%2Caps%2C151&amp;sr=8-19" TargetMode="External"/><Relationship Id="rId236" Type="http://schemas.openxmlformats.org/officeDocument/2006/relationships/hyperlink" Target="https://www.amazon.com/Disney-Mickey-Mouse-Float-GoFloats/dp/B091SPHL33/ref=sr_1_4?crid=29FCBY0BMLYP1&amp;dib=eyJ2IjoiMSJ9.KBYf2cjv9cRIyaPHXVx-uMpBHxQS7weHUB31p0Fr-uk3D7fD0u_Sn1EbUTdOWLK7rX0ZT4lq-Ojk9OJ7X_uwfOyRhXfewX7EoWOgn6mRFsP8_RHOKcZ0fKbcMZIUU7IGL3L3VNUnst6TnvF3uBjBWmHCRYenSVriG4knvGMzfnsO099m6CCE-QcRJhC0ngNSfjdbSOnLopBHHvFOPY1PSSgZDxTFptjmBQvaqmW42rT_48aqHROaED8bosEhE11QYwT_XtERytFwFkAvN4VCuM34ruLoWzajybwqdIv_83I.i7vavAH_4hs_XJxrjFRsxUQywg4HljpVExmlaLXTFjY&amp;dib_tag=se&amp;keywords=MICKEY%2BAND%2BMINIE%2BPOOL%2BFLOAT&amp;qid=1765735906&amp;s=toys-and-games&amp;sprefix=mickey%2Band%2Bminie%2Bpool%2Bfloat%2Ctoys-and-games%2C133&amp;sr=1-4&amp;th=1" TargetMode="External"/><Relationship Id="rId119" Type="http://schemas.openxmlformats.org/officeDocument/2006/relationships/hyperlink" Target="https://www.amazon.com/dp/B0CKYZHV5D/ref=twister_B0DYZ28XZV?_encoding=UTF8&amp;th=1" TargetMode="External"/><Relationship Id="rId110" Type="http://schemas.openxmlformats.org/officeDocument/2006/relationships/hyperlink" Target="https://www.amazon.com/gp/product/B07P72ZB37/ref=ppx_yo_dt_b_search_asin_title?ie=UTF8&amp;th=1" TargetMode="External"/><Relationship Id="rId231" Type="http://schemas.openxmlformats.org/officeDocument/2006/relationships/hyperlink" Target="https://www.wayfair.com/outdoor/pdp/lark-manor-alyah-rectangular-8-person-838-long-aluminum-dining-set-w004770254.html?piid=526125330" TargetMode="External"/><Relationship Id="rId230" Type="http://schemas.openxmlformats.org/officeDocument/2006/relationships/hyperlink" Target="https://www.wayfair.com/outdoor/pdp/wade-logan-caggiano-7756-long-reclining-chaise-lounges-w005616407.html?piid=1113835958" TargetMode="External"/><Relationship Id="rId114" Type="http://schemas.openxmlformats.org/officeDocument/2006/relationships/hyperlink" Target="https://www.amazon.com/Twin-Size-Piece-Sheet-Set/dp/B07PH3PJ78/ref=sr_1_1_sspa?crid=35BGCKF83ILZ9&amp;dib=eyJ2IjoiMSJ9.JVqoqAQFW-cE0zvlKOF7Kj_E7avxFPsarrIU0sIzOFYWocbiI2D18f_HVRZcEPB-v17dGRhKsB7G3D75hSleJ9O6v4N4vguZvYpG-xtjsiwunif1FOHqJPj50G4wFpD4C7gBxl4i-s-1WqPsw115vK5S-YQICFWJPfbqA80rmLQEg8QxHPpXPo2syPi9UhKqpZgceQBZEFOmCFhoZEeLRLkFPAreXb2vn6EiM1FDyyvV1qftbLmRCu0oU1BXTRkTb2bf6gEH9Bcgotnbr2RUO5IC4u9Eb2QD1L_vy6L6mvg.4AdtgMbfdIROXIc6edhuQ2YgiXuGXhV3uPzs8etrPxg&amp;dib_tag=se&amp;keywords=sheet%2Bset%2Byellow%2Btwin&amp;qid=1764370348&amp;sprefix=sheet%2Bset%2Byellow%2Btwin%2Caps%2C151&amp;sr=8-1-spons&amp;sp_csd=d2lkZ2V0TmFtZT1zcF9hdGY&amp;th=1" TargetMode="External"/><Relationship Id="rId235" Type="http://schemas.openxmlformats.org/officeDocument/2006/relationships/hyperlink" Target="https://www.lowes.com/pd/Breezary-65-in-Satin-Nickel-Color-changing-Indoor-Ceiling-Fan-with-Light-and-Remote-8-Blade/5015042515" TargetMode="External"/><Relationship Id="rId113" Type="http://schemas.openxmlformats.org/officeDocument/2006/relationships/hyperlink" Target="https://www.amazon.com/CozyLux-Comforter-Breathable-Alternative-Pillowcase/dp/B0DCJR367K/ref=sr_1_40?crid=2O7NYJ7QGSDPB&amp;dib=eyJ2IjoiMSJ9.VHicvyD9iQxJPuN2KF0nczF_KDMfJSoJIWrPiaqFFhzXntRkm3kcOpdtXqYmvPZPGyn9JHSTqedb9YGK-tnAk2fUuinBldtFrFp_NUWNSOh0sdlceM6mzocUTpX5i0h6i1guiuI7pM0KnqDwJ-G_L1CdGY0zLKZ3FHbM4xHxNDigIv5kN69DevqihLOMS7K6B7SUa8zHaLZh1coChfORg8PyNBBj0WDfG03dxVsBP2YriSOQClW00rHfQcOp_k64hXhFZo9MGh93-8AWe4WjtFr564nqCbNskOJ_9egtOuo.03xRWlBYiifv95-nGS0sT7OkqTX37SWzcZQm24mqJq0&amp;dib_tag=se&amp;keywords=comforter%2Btwin%2Bblue&amp;qid=1764370142&amp;sprefix=comforter%2Btwin%2Bblu%2Caps%2C133&amp;sr=8-40&amp;th=1" TargetMode="External"/><Relationship Id="rId23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112" Type="http://schemas.openxmlformats.org/officeDocument/2006/relationships/hyperlink" Target="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" TargetMode="External"/><Relationship Id="rId233" Type="http://schemas.openxmlformats.org/officeDocument/2006/relationships/hyperlink" Target="https://www.wayfair.com/outdoor/pdp/corrigan-studio-patio-bar-stool-with-cushion-w008317995.html?piid=1136818852" TargetMode="External"/><Relationship Id="rId111" Type="http://schemas.openxmlformats.org/officeDocument/2006/relationships/hyperlink" Target="https://www.amazon.com/LEYAOYAO-Drawers-Farmhouse-Organizer-Dressers/dp/B0F3CSWWZZ/ref=sr_1_24?dib=eyJ2IjoiMSJ9.D1OTOv1vRcORWRGA7m4G4KaosbLEoXZW9zB0srH0vkp1A-Ft0rwSSNuQvRr9ATNYjlOa9v15h2f7F0U5Sutzi9MmVttwLKQ8YDbx0vFhkb0VaOrWxcdn_-QvOID1tera6BX9BwklexOLTfQ88Zon6XfgpdfuMWwnyAyl5FgEiYdu9cQyyXki36hHiM5rgleivY4PtIC6dqHuOtOogpyv08aRNZEVdu5Ccxgo2oK58WgWW56FrQo0nfO_Jap6cTIpT-PY8bMbRyGe3zlqj1Jg2GJ864Wi0eOt8wFYKIW7gNE.sMwcAo37xUW43SafpLFnVmS3VLC013jg1mZrTuztq9Q&amp;dib_tag=se&amp;keywords=dresser%2Bblue&amp;qid=1757875605&amp;sr=8-24&amp;th=1" TargetMode="External"/><Relationship Id="rId232" Type="http://schemas.openxmlformats.org/officeDocument/2006/relationships/hyperlink" Target="https://www.vigfurniture.com/patio/renava-cocoon-mini-outdoor-beige-wicker-lounge-bed.html" TargetMode="External"/><Relationship Id="rId305" Type="http://schemas.openxmlformats.org/officeDocument/2006/relationships/hyperlink" Target="https://www.walmart.com/ip/50UA7500ZUA-AUS/14364014573?classType=REGULAR&amp;athbdg=L1300&amp;adsRedirect=true" TargetMode="External"/><Relationship Id="rId304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303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302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309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308" Type="http://schemas.openxmlformats.org/officeDocument/2006/relationships/hyperlink" Target="https://www.amazon.com/gp/product/B087YP24MS/ref=ppx_yo_dt_b_search_asin_title?ie=UTF8&amp;th=1" TargetMode="External"/><Relationship Id="rId307" Type="http://schemas.openxmlformats.org/officeDocument/2006/relationships/hyperlink" Target="https://www.amazon.com/gp/product/B07LDWLNVF/ref=ppx_yo_dt_b_search_asin_title?ie=UTF8&amp;psc=1" TargetMode="External"/><Relationship Id="rId306" Type="http://schemas.openxmlformats.org/officeDocument/2006/relationships/hyperlink" Target="https://www.walmart.com/ip/86UA7500ZUA-AUSQ/14363012836?classType=REGULAR&amp;athbdg=L1300" TargetMode="External"/><Relationship Id="rId301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300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206" Type="http://schemas.openxmlformats.org/officeDocument/2006/relationships/hyperlink" Target="https://www.amazon.com/Wizarding-World-Talking-Sorting-Phrases/dp/B08SVXG1XY/ref=sr_1_47?dib=eyJ2IjoiMSJ9.uh9LKSbh1xuxYY7a2zXhovsTKQ5BPog3doSRAu4sOSr_RFE2IopduSUo7zc5_mDf_l0zUORLzAOP-PG_4nvUNu3e3Njz1QswszxJ70a5_2YqgRQn6Yt2_pt4G4F95j-Y_u7y7kHxoI5rzzHIFWMArEdfDXqsOwdSbPw9bIOupU7DdBXYLoq8q1pCY-uLxN4UH06XgyinVFJZqUBGTbgFPCHpr2Ck9PEljOIWdBJDZ2Av2ofJu-DXY22J02oKwewIntZqX5xD4XFYVEyzEB_ZWmMOeW3dZtmBuj2RX1Voaq4.k_ZiQu-OlBM5_1KlEJ4u2NkBJDotUjEGeqKrEPxhTTs&amp;dib_tag=se&amp;keywords=harry%2Bpotter%2Bdecor&amp;qid=1764376393&amp;sr=8-47&amp;th=1" TargetMode="External"/><Relationship Id="rId327" Type="http://schemas.openxmlformats.org/officeDocument/2006/relationships/hyperlink" Target="https://www.amazon.com/Whynter-BWR-1002SD-Compressor-Refrigerator-Stainless-Steel/dp/B079YZP2VW/ref=sr_1_5?crid=2FGCMQHQC1P5W&amp;dib=eyJ2IjoiMSJ9.oEYwBuf5rsLrBgqNI7IEvbgB8QXVDIfmEiIxujvmU4KT27GidIqonWBMvQ-xyC1Ou6Ukk1klazhrjPXBs2kpMSEXasPFDpbTGzPuf0bKaTnltCA1OUXHnU6pqEG1fcSwDdLCyoQ66gbNAT3eNjJal8b_Cq_FNNJePBYyhsi3996_PHXrhjYrGXPL0VGja60xVMVdYmn0y4XXR3LkOhRTtPFUH6BqxtXaONIro0gvZ7U._aitP4vgjnT6kSl7LXUtRGglNQt4mnqVOLOmxHS8UZE&amp;dib_tag=se&amp;keywords=wine%2Bfridge%2B100%2Bbottle&amp;qid=1758313719&amp;sprefix=wine%2Bfridge%2B100%2Caps%2C136&amp;sr=8-5&amp;th=1" TargetMode="External"/><Relationship Id="rId205" Type="http://schemas.openxmlformats.org/officeDocument/2006/relationships/hyperlink" Target="https://www.amazon.com/Jay-Franco-Warner-Brothers-Stuffed/dp/B07DGCQJWR/ref=sr_1_1_sspa?crid=1KA6E9Y0EDAZC&amp;dib=eyJ2IjoiMSJ9.VqrkKbxaA2RphJJybpptFwSuz7_uSlMfsEKGiUzm_vkm4Z5Ue2qZBxx73szq9ZLGn4YoPz-Nu2b2TDtUKDItoDCCwADpwNQ3ZLG4gW0QWXQdpFKsMdkxal0aTBPGMssKcf2NOtSNeYPGDuslQvItC8CzAV_KHwQk9OB0z6vLlDNQuG5mXM1DhYAQk2SD4xmixNE5YxTzY8CUt5Hp7xl6opOGq7UCswJfOd3KVM0gqOE.SkZB2-TMBfCeFeUWzxmNKyHPTx7Th5-j6UvRL9xnqQ8&amp;dib_tag=se&amp;keywords=Plush%2Bpillow%2Bharry%2Bpotter&amp;qid=1743561364&amp;sprefix=plush%2Bpillow%2Bharry%2Bpotter%2Caps%2C92&amp;sr=8-1-spons&amp;sp_csd=d2lkZ2V0TmFtZT1zcF9hdGY&amp;th=1" TargetMode="External"/><Relationship Id="rId326" Type="http://schemas.openxmlformats.org/officeDocument/2006/relationships/hyperlink" Target="https://www.amazon.com/Billiard-Mounted-Boyfriend-Billiards-Accessories/dp/B0CZ3C7QYD/ref=sr_1_37?crid=35IIIH3SNI46R&amp;dib=eyJ2IjoiMSJ9.zO2ZEkuYY1cd0Nq-mv5P0OMVrMQz0E8ZD1aVzkw9bBSt-4o4Cqp7dihCABlaq8bnDT_HDvN4sRjyBMuaxInvS6O3ad808wToIkvMjOfo3NHXvGqvTjPYiWuLryrEQFd9E0VVZnHVe12PuxgJgzsnpgKWKL8Bp9QExzu8EZRwr2boeSS6OrvXtVsWF7G4Bty0YEZUHWNbBMGbtqJT3drUag3Ac7LGUgx5oPZMS7ThR54qFWTzXjVBBqy-hyLZmLDfp8TPIab5t2TpBiRk7naeuGjhJqQE33sqebMXhtSyLDg.4ImvtiLj6KB1dIpbk7lKawlwKDYpLO9tt-2YcO5pVok&amp;dib_tag=se&amp;keywords=billiard%2Baccessories&amp;qid=1758555368&amp;sprefix=billiard%2Baccessories%2Caps%2C147&amp;sr=8-37&amp;th=1" TargetMode="External"/><Relationship Id="rId204" Type="http://schemas.openxmlformats.org/officeDocument/2006/relationships/hyperlink" Target="https://www.amazon.com/Paladone-Harry-Potter-Hogwarts-Control/dp/B09XN5SQ9R/ref=sxin_17_sbv_search_btf?content-id=amzn1.sym.7032aefd-3c59-4a1e-aaf4-8d3a944207a4%3Aamzn1.sym.7032aefd-3c59-4a1e-aaf4-8d3a944207a4&amp;crid=38FR3IBZ0F3OO&amp;cv_ct_cx=Harry+potter+decor&amp;keywords=Harry+potter+decor&amp;pd_rd_i=B09XN5SQ9R&amp;pd_rd_r=468e5cf0-0b58-4ba8-ba2d-0a7c44cd8717&amp;pd_rd_w=QsGyv&amp;pd_rd_wg=ada5K&amp;pf_rd_p=7032aefd-3c59-4a1e-aaf4-8d3a944207a4&amp;pf_rd_r=Q41FMR3F1CJXB0AMMT1W&amp;qid=1743561085&amp;sbo=RZvfv%2F%2FHxDF%2BO5021pAnSA%3D%3D&amp;sprefix=harry+potter+decor+%2Caps%2C170&amp;sr=1-1-5190daf0-67e3-427c-bea6-c72c1df98776" TargetMode="External"/><Relationship Id="rId325" Type="http://schemas.openxmlformats.org/officeDocument/2006/relationships/hyperlink" Target="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" TargetMode="External"/><Relationship Id="rId203" Type="http://schemas.openxmlformats.org/officeDocument/2006/relationships/hyperlink" Target="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" TargetMode="External"/><Relationship Id="rId324" Type="http://schemas.openxmlformats.org/officeDocument/2006/relationships/hyperlink" Target="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" TargetMode="External"/><Relationship Id="rId209" Type="http://schemas.openxmlformats.org/officeDocument/2006/relationships/hyperlink" Target="https://www.walmart.com/ip/50UA7500ZUA-AUS/14364014573?classType=REGULAR&amp;athbdg=L1300&amp;adsRedirect=true" TargetMode="External"/><Relationship Id="rId208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329" Type="http://schemas.openxmlformats.org/officeDocument/2006/relationships/vmlDrawing" Target="../drawings/vmlDrawing1.vml"/><Relationship Id="rId207" Type="http://schemas.openxmlformats.org/officeDocument/2006/relationships/hyperlink" Target="https://www.amazon.com/Zinus-Mattress-Fiberglass-Pressure-Certified/dp/B0CKYZCVXK?th=1" TargetMode="External"/><Relationship Id="rId328" Type="http://schemas.openxmlformats.org/officeDocument/2006/relationships/drawing" Target="../drawings/drawing1.xml"/><Relationship Id="rId202" Type="http://schemas.openxmlformats.org/officeDocument/2006/relationships/hyperlink" Target="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" TargetMode="External"/><Relationship Id="rId323" Type="http://schemas.openxmlformats.org/officeDocument/2006/relationships/hyperlink" Target="https://www.amazon.com/EastPoint-Sports-Belmont-Bristle-Dartboard/dp/B07GDQWHH3/ref=sr_1_7?crid=2CTQ2LYRGITDZ&amp;dib=eyJ2IjoiMSJ9.jSph2FojnmfCnaGGbBu2DAGmHPvXc6PunkEerVXYPq506oDwCDwD62ovJtTEy0s3RwNMxgylGYg_ARoWWETQuFt3xugAQw3fZ96cSjkAOm4bkVtHTjqsoWKQvfMn4k6lEnHAVR4kUtgQIqZwN9Uqmpbw63HD1gCFx0-UMbc3F4fzEyxw6jOL4hZK372HX4A6m6beEH_P_fj_JcEtoNqDWlyVQyiiPFyMowVNvHGkw2CErmyo42OwvhTIzugGAWSxhWfNxLYOBKhBqeZCrm8G0TfFPDJbceiTOGZ8orgr3Wo.N0mhChwX1aw3tkWTI_Q132-ARX4GI56ztDPAMeir_X0&amp;dib_tag=se&amp;keywords=dardo%2Bprofessional&amp;qid=1764384370&amp;sprefix=dardo%2Bprofessional%2Caps%2C109&amp;sr=8-7&amp;th=1" TargetMode="External"/><Relationship Id="rId201" Type="http://schemas.openxmlformats.org/officeDocument/2006/relationships/hyperlink" Target="https://www.amazon.com/Outdoor-Exterior-Waterproof-Anti-Rust-Entryway/dp/B0CPXXDBQK/ref=sr_1_246?crid=366TO2APB1S81&amp;dib=eyJ2IjoiMSJ9.9bnDZeRWCxIGsLhQWph5CD2KSBOagWinWqIOLPvgnHLJ2WmRa1kOV1QgDZkZdxTxP0RPuIGdJWen2B-Dk4gd2eAP6F8yfJGh-XGjBQPyg7g.v8Ue0iSeoslp4q0CUfu6F4vOWekXkmZbHJcxnBuHpN8&amp;dib_tag=se&amp;keywords=sconce%2Brustic%2Bblack&amp;qid=1764376232&amp;sprefix=sconce%2Brustic%2Bblack%2Caps%2C136&amp;sr=8-246&amp;xpid=0DpjHjjLMCgMs&amp;th=1" TargetMode="External"/><Relationship Id="rId322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200" Type="http://schemas.openxmlformats.org/officeDocument/2006/relationships/hyperlink" Target="https://www.wayfair.com/furniture/pdp/steelside-urbana-black-faux-leather-vintage-4-drawer-room-chest-with-buckle-straps-gold-stud-accents-atgd5726.html" TargetMode="External"/><Relationship Id="rId321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320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316" Type="http://schemas.openxmlformats.org/officeDocument/2006/relationships/hyperlink" Target="https://www.disneystore.com/daisy-duck-plush-medium-13-412312274008.html?isProductSearch=1&amp;searchType=regular" TargetMode="External"/><Relationship Id="rId315" Type="http://schemas.openxmlformats.org/officeDocument/2006/relationships/hyperlink" Target="https://www.disneystore.com/donald-duck-plush-medium-15-34-412312273926.html?isProductSearch=1&amp;searchType=regular" TargetMode="External"/><Relationship Id="rId314" Type="http://schemas.openxmlformats.org/officeDocument/2006/relationships/hyperlink" Target="https://www.disneystore.com/goofy-plush-medium-18-12-412312273841.html?isProductSearch=1&amp;searchType=regular" TargetMode="External"/><Relationship Id="rId313" Type="http://schemas.openxmlformats.org/officeDocument/2006/relationships/hyperlink" Target="https://www.disneystore.com/pluto-plush-medium-13-34-412312273766.html?isProductSearch=1&amp;searchType=regular" TargetMode="External"/><Relationship Id="rId319" Type="http://schemas.openxmlformats.org/officeDocument/2006/relationships/hyperlink" Target="https://www.nintendo.com/us/store/products/donkey-kong-10-plush-107373/?srsltid=AfmBOooaLnudDwzOQpb6X-2cxcnX6TLKtkJETw3APJCXQviM6BN--ibM" TargetMode="External"/><Relationship Id="rId318" Type="http://schemas.openxmlformats.org/officeDocument/2006/relationships/hyperlink" Target="https://shop.universalorlando.com/shop/shop-by-brands/super-nintendo-world/toys-490516-1/super-nintendo-world-medium-yoshi-plush-1358872" TargetMode="External"/><Relationship Id="rId317" Type="http://schemas.openxmlformats.org/officeDocument/2006/relationships/hyperlink" Target="https://shop.universalorlando.com/shop/shop-by-brands/super-nintendo-world/toys-490516-1/super-nintendo-world-medium-mario-plush-1346217" TargetMode="External"/><Relationship Id="rId312" Type="http://schemas.openxmlformats.org/officeDocument/2006/relationships/hyperlink" Target="https://www.disneystore.com/minnie-mouse-plush-red-medium-17-34-412312273438.html" TargetMode="External"/><Relationship Id="rId311" Type="http://schemas.openxmlformats.org/officeDocument/2006/relationships/hyperlink" Target="https://www.disneystore.com/mickey-mouse-plush-medium-17-34-412312273353.html" TargetMode="External"/><Relationship Id="rId310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lmart.com/ip/Beautiful-6-Qt-Air-Fryer-with-TurboCrisp-Technology-and-Touch-Activated-Display-Rose-by-Drew-Barrymore/597932797" TargetMode="External"/><Relationship Id="rId190" Type="http://schemas.openxmlformats.org/officeDocument/2006/relationships/hyperlink" Target="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" TargetMode="External"/><Relationship Id="rId42" Type="http://schemas.openxmlformats.org/officeDocument/2006/relationships/hyperlink" Target="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" TargetMode="External"/><Relationship Id="rId41" Type="http://schemas.openxmlformats.org/officeDocument/2006/relationships/hyperlink" Target="https://www.walmart.com/ip/Beautiful-2-in-1-Panini-Press-Grill-White-Icing-by-Drew-Barrymore/5144605435?classType=VARIANT&amp;athbdg=L1600" TargetMode="External"/><Relationship Id="rId44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4" Type="http://schemas.openxmlformats.org/officeDocument/2006/relationships/hyperlink" Target="https://www.amazon.com/Jay-Franco-Warner-Brothers-Stuffed/dp/B07DGCQJWR/ref=sr_1_1_sspa?crid=1KA6E9Y0EDAZC&amp;dib=eyJ2IjoiMSJ9.VqrkKbxaA2RphJJybpptFwSuz7_uSlMfsEKGiUzm_vkm4Z5Ue2qZBxx73szq9ZLGn4YoPz-Nu2b2TDtUKDItoDCCwADpwNQ3ZLG4gW0QWXQdpFKsMdkxal0aTBPGMssKcf2NOtSNeYPGDuslQvItC8CzAV_KHwQk9OB0z6vLlDNQuG5mXM1DhYAQk2SD4xmixNE5YxTzY8CUt5Hp7xl6opOGq7UCswJfOd3KVM0gqOE.SkZB2-TMBfCeFeUWzxmNKyHPTx7Th5-j6UvRL9xnqQ8&amp;dib_tag=se&amp;keywords=Plush%2Bpillow%2Bharry%2Bpotter&amp;qid=1743561364&amp;sprefix=plush%2Bpillow%2Bharry%2Bpotter%2Caps%2C92&amp;sr=8-1-spons&amp;sp_csd=d2lkZ2V0TmFtZT1zcF9hdGY&amp;th=1" TargetMode="External"/><Relationship Id="rId43" Type="http://schemas.openxmlformats.org/officeDocument/2006/relationships/hyperlink" Target="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" TargetMode="External"/><Relationship Id="rId193" Type="http://schemas.openxmlformats.org/officeDocument/2006/relationships/hyperlink" Target="https://www.amazon.com/Paladone-Harry-Potter-Hogwarts-Control/dp/B09XN5SQ9R/ref=sxin_17_sbv_search_btf?content-id=amzn1.sym.7032aefd-3c59-4a1e-aaf4-8d3a944207a4%3Aamzn1.sym.7032aefd-3c59-4a1e-aaf4-8d3a944207a4&amp;crid=38FR3IBZ0F3OO&amp;cv_ct_cx=Harry+potter+decor&amp;keywords=Harry+potter+decor&amp;pd_rd_i=B09XN5SQ9R&amp;pd_rd_r=468e5cf0-0b58-4ba8-ba2d-0a7c44cd8717&amp;pd_rd_w=QsGyv&amp;pd_rd_wg=ada5K&amp;pf_rd_p=7032aefd-3c59-4a1e-aaf4-8d3a944207a4&amp;pf_rd_r=Q41FMR3F1CJXB0AMMT1W&amp;qid=1743561085&amp;sbo=RZvfv%2F%2FHxDF%2BO5021pAnSA%3D%3D&amp;sprefix=harry+potter+decor+%2Caps%2C170&amp;sr=1-1-5190daf0-67e3-427c-bea6-c72c1df98776" TargetMode="External"/><Relationship Id="rId46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92" Type="http://schemas.openxmlformats.org/officeDocument/2006/relationships/hyperlink" Target="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" TargetMode="External"/><Relationship Id="rId45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1" Type="http://schemas.openxmlformats.org/officeDocument/2006/relationships/hyperlink" Target="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" TargetMode="External"/><Relationship Id="rId48" Type="http://schemas.openxmlformats.org/officeDocument/2006/relationships/hyperlink" Target="https://www.amazon.com/gp/product/B08FR6VFGY/ref=ppx_yo_dt_b_search_asin_title?ie=UTF8&amp;psc=1" TargetMode="External"/><Relationship Id="rId187" Type="http://schemas.openxmlformats.org/officeDocument/2006/relationships/hyperlink" Target="https://www.amazon.com/gp/product/B07P72ZB37/ref=ppx_yo_dt_b_search_asin_title?ie=UTF8&amp;th=1" TargetMode="External"/><Relationship Id="rId47" Type="http://schemas.openxmlformats.org/officeDocument/2006/relationships/hyperlink" Target="https://www.amazon.com/gp/product/B0998MSMZQ/ref=ppx_yo_dt_b_search_asin_title?ie=UTF8&amp;th=1" TargetMode="External"/><Relationship Id="rId186" Type="http://schemas.openxmlformats.org/officeDocument/2006/relationships/hyperlink" Target="https://www.walmart.com/ip/50UA7500ZUA-AUS/14364014573?classType=REGULAR&amp;athbdg=L1300&amp;adsRedirect=true" TargetMode="External"/><Relationship Id="rId185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49" Type="http://schemas.openxmlformats.org/officeDocument/2006/relationships/hyperlink" Target="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" TargetMode="External"/><Relationship Id="rId184" Type="http://schemas.openxmlformats.org/officeDocument/2006/relationships/hyperlink" Target="https://www.amazon.com/gp/product/B0BFCY84XY/ref=ppx_yo_dt_b_search_asin_title?ie=UTF8&amp;th=1" TargetMode="External"/><Relationship Id="rId189" Type="http://schemas.openxmlformats.org/officeDocument/2006/relationships/hyperlink" Target="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" TargetMode="External"/><Relationship Id="rId188" Type="http://schemas.openxmlformats.org/officeDocument/2006/relationships/hyperlink" Target="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" TargetMode="External"/><Relationship Id="rId31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30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3" Type="http://schemas.openxmlformats.org/officeDocument/2006/relationships/hyperlink" Target="http://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" TargetMode="External"/><Relationship Id="rId183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32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2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35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81" Type="http://schemas.openxmlformats.org/officeDocument/2006/relationships/hyperlink" Target="https://www.amazon.com/gp/product/B09NPMJCZD/ref=ox_sc_act_title_9?th=1" TargetMode="External"/><Relationship Id="rId34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0" Type="http://schemas.openxmlformats.org/officeDocument/2006/relationships/hyperlink" Target="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" TargetMode="External"/><Relationship Id="rId37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6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97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36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5" Type="http://schemas.openxmlformats.org/officeDocument/2006/relationships/hyperlink" Target="https://www.amazon.com/gp/product/B07T1RFHGW/ref=ox_sc_act_title_12?smid=A9R60ZNAJMSU9&amp;th=1" TargetMode="External"/><Relationship Id="rId296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39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74" Type="http://schemas.openxmlformats.org/officeDocument/2006/relationships/hyperlink" Target="https://www.amazon.com/gp/product/B0BFCZMNCY/ref=ppx_yo_dt_b_search_asin_title?ie=UTF8&amp;th=1" TargetMode="External"/><Relationship Id="rId295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38" Type="http://schemas.openxmlformats.org/officeDocument/2006/relationships/hyperlink" Target="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" TargetMode="External"/><Relationship Id="rId173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94" Type="http://schemas.openxmlformats.org/officeDocument/2006/relationships/hyperlink" Target="https://www.nintendo.com/us/store/products/donkey-kong-10-plush-107373/?srsltid=AfmBOooaLnudDwzOQpb6X-2cxcnX6TLKtkJETw3APJCXQviM6BN--ibM" TargetMode="External"/><Relationship Id="rId179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178" Type="http://schemas.openxmlformats.org/officeDocument/2006/relationships/hyperlink" Target="https://www.walmart.com/ip/50UA7500ZUA-AUS/14364014573?classType=REGULAR&amp;athbdg=L1300&amp;adsRedirect=true" TargetMode="External"/><Relationship Id="rId299" Type="http://schemas.openxmlformats.org/officeDocument/2006/relationships/hyperlink" Target="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" TargetMode="External"/><Relationship Id="rId177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98" Type="http://schemas.openxmlformats.org/officeDocument/2006/relationships/hyperlink" Target="https://www.amazon.com/Yirinatek-Electronic-Decorative-Electric-Dartboard/dp/B0DHVTFK58/ref=sr_1_4_sspa?crid=3USCBIDWNFNNL&amp;dib=eyJ2IjoiMSJ9.tgYu0auyXxfm4RqV0BNC2veMIz5svvzTrAr6gJMsoK8j9X4nVvi-i7197-uPSHijDiyiHHLzlhvYVBlx_6VwexEW-Ksfvf1ZDDnU2whY1rrkiDTgtZOnI6oxcQkTyQLqOgJ4Pzp6-jAB5eDNhS1gggGFN7uWPktHRhtQcj8hCidfjVk9kAKa_bKR8-zEUsPp8-wI2-ky2ORtwtb1QEm0xK8PJE_k6AWiH8k0uHC_QhHzpAOeckpr6ewuwx-uAQ1xMhKz3D2a5AtyfkYnFeMTw1r5SC1dO3KQoWBXq1tsEPc.nOoMMSLNZh6QnoDlU8F5jzl2-YZmbKVS66TWOynSEvc&amp;dib_tag=se&amp;keywords=dardo%2Bboard&amp;qid=1757893666&amp;sprefix=dardo%2Bboard%2Caps%2C121&amp;sr=8-4-spons&amp;sp_csd=d2lkZ2V0TmFtZT1zcF9hdGY&amp;th=1" TargetMode="External"/><Relationship Id="rId20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2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1" Type="http://schemas.openxmlformats.org/officeDocument/2006/relationships/hyperlink" Target="https://www.walmart.com/ip/Beautiful-PowerExact-Blender-System-Cornflower-Blue-by-Drew-Barrymore/5284775960" TargetMode="External"/><Relationship Id="rId24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3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6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5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8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27" Type="http://schemas.openxmlformats.org/officeDocument/2006/relationships/hyperlink" Target="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" TargetMode="External"/><Relationship Id="rId29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11" Type="http://schemas.openxmlformats.org/officeDocument/2006/relationships/hyperlink" Target="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" TargetMode="External"/><Relationship Id="rId10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3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2" Type="http://schemas.openxmlformats.org/officeDocument/2006/relationships/hyperlink" Target="https://www.amazon.com/gp/product/B010E0N7ZU/ref=ppx_yo_dt_b_search_asin_title?ie=UTF8&amp;th=1" TargetMode="External"/><Relationship Id="rId15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8" Type="http://schemas.openxmlformats.org/officeDocument/2006/relationships/hyperlink" Target="https://www.walmart.com/ip/50UA7500ZUA-AUS/14364014573?classType=REGULAR&amp;athbdg=L1300&amp;adsRedirect=true" TargetMode="External"/><Relationship Id="rId14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7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7" Type="http://schemas.openxmlformats.org/officeDocument/2006/relationships/hyperlink" Target="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" TargetMode="External"/><Relationship Id="rId196" Type="http://schemas.openxmlformats.org/officeDocument/2006/relationships/hyperlink" Target="https://www.amazon.com/Zinus-Mattress-Fiberglass-Pressure-Certified/dp/B0CKYZCVXK?th=1" TargetMode="External"/><Relationship Id="rId16" Type="http://schemas.openxmlformats.org/officeDocument/2006/relationships/hyperlink" Target="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" TargetMode="External"/><Relationship Id="rId195" Type="http://schemas.openxmlformats.org/officeDocument/2006/relationships/hyperlink" Target="https://www.amazon.com/Paladone-Hogwarts-Officially-Licensed-Merchandise/dp/B09RLRHDC6/ref=sr_1_22_sspa?dib=eyJ2IjoiMSJ9.vLzuydNxh9Lg4cdCBwCnQlo1gzSyH4XlVNsfJOMpB6mBTga2vhxS8ujKz9leuhXeP9aiELbELnNcJFTsxh2bvT3uPEzAHzfoNYZG6e6DPBk4_uoS3DI35MGwLKGkYk3H4PSiAZHh_ZdntNDOcRx7Jg5mWOhzy4lod9ZqjgZlr6TdHvAYYIFg2sgg7vxqzKLtammTM1Wq4MeDdw-UjyqfDz_gqUWdHV-2WdzklfGKFnU.4lSceB_fs4VrSUGFZ81bjf888KgMD3ndTkDuBV7n4XA&amp;dib_tag=se&amp;keywords=decor+pillow+harry+potter&amp;qid=1743561283&amp;sr=8-22-spons&amp;sp_csd=d2lkZ2V0TmFtZT1zcF9idGY&amp;psc=1" TargetMode="External"/><Relationship Id="rId19" Type="http://schemas.openxmlformats.org/officeDocument/2006/relationships/hyperlink" Target="https://www.costco.com/mikasa-huntington-40-piece-bone-china-dinnerware-set.product.100493960.html" TargetMode="External"/><Relationship Id="rId18" Type="http://schemas.openxmlformats.org/officeDocument/2006/relationships/hyperlink" Target="https://www.costco.com/t-fal-excellence-ceramic-non-stick-cookware-set-10-piece.product.4000202536.html" TargetMode="External"/><Relationship Id="rId199" Type="http://schemas.openxmlformats.org/officeDocument/2006/relationships/hyperlink" Target="https://www.amazon.com/AmazerBath-Bathroom-Adjustable-Segmented-Installation/dp/B0CLRRK69P/ref=sr_1_3_sspa?crid=1FQU0DJL8LMZQ&amp;keywords=B07WQV896S&amp;qid=1743561511&amp;sprefix=b07wqv896s%2Caps%2C108&amp;sr=8-3-spons&amp;sp_csd=d2lkZ2V0TmFtZT1zcF9tdGY&amp;th=1" TargetMode="External"/><Relationship Id="rId8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3" Type="http://schemas.openxmlformats.org/officeDocument/2006/relationships/hyperlink" Target="https://www.amazon.com/gp/product/B07T1RFHGW/ref=ox_sc_act_title_12?smid=A9R60ZNAJMSU9&amp;th=1" TargetMode="External"/><Relationship Id="rId86" Type="http://schemas.openxmlformats.org/officeDocument/2006/relationships/hyperlink" Target="https://www.walmart.com/ip/50UA7500ZUA-AUS/14364014573?classType=REGULAR&amp;athbdg=L1300&amp;adsRedirect=true" TargetMode="External"/><Relationship Id="rId85" Type="http://schemas.openxmlformats.org/officeDocument/2006/relationships/hyperlink" Target="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" TargetMode="External"/><Relationship Id="rId88" Type="http://schemas.openxmlformats.org/officeDocument/2006/relationships/hyperlink" Target="https://www.amazon.com/dp/B0B6BBVPCJ/ref=twister_B0B6BB2TRJ?_encoding=UTF8&amp;th=1" TargetMode="External"/><Relationship Id="rId150" Type="http://schemas.openxmlformats.org/officeDocument/2006/relationships/hyperlink" Target="https://www.amazon.com/dp/B0CKYZHV5D/ref=twister_B0DYZ28XZV?_encoding=UTF8&amp;th=1" TargetMode="External"/><Relationship Id="rId271" Type="http://schemas.openxmlformats.org/officeDocument/2006/relationships/hyperlink" Target="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" TargetMode="External"/><Relationship Id="rId87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270" Type="http://schemas.openxmlformats.org/officeDocument/2006/relationships/hyperlink" Target="https://www.amazon.com/gp/product/B07P72ZB37/ref=ppx_yo_dt_b_search_asin_title?ie=UTF8&amp;th=10" TargetMode="External"/><Relationship Id="rId8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8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82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81" Type="http://schemas.openxmlformats.org/officeDocument/2006/relationships/hyperlink" Target="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www.amazon.com/PLUS-Haven-Backing-Welcome-Beautiful/dp/B07THN5B78/ref=sr_1_3?crid=1CUP5UCJP874X&amp;dib=eyJ2IjoiMSJ9.lz18oYd6nfRxC3mDGRvEoA.PUp1OF1kBo4kacBLYvJzZ9b7KyNzkQ8Kel1nN27GqiA&amp;dib_tag=se&amp;keywords=B07THN5B78&amp;qid=1743466263&amp;sprefix=b07thn5b78%2Caps%2C173&amp;sr=8-3&amp;th=1" TargetMode="External"/><Relationship Id="rId3" Type="http://schemas.openxmlformats.org/officeDocument/2006/relationships/hyperlink" Target="https://www.amazon.com/Flyrose-Pendant-Minimalist-Lighting-Industrial/dp/B0CFFB5BC7/ref=sr_1_2?dib=eyJ2IjoiMSJ9.aFUwolCo39YbxvlTe8AgzA.perHelgl_v5oQIOQiDuQ37vRynhmgDQHfsXQIAndlYc&amp;dib_tag=se&amp;keywords=B0CFFB5BC7&amp;qid=1743466346&amp;sr=8-2&amp;th=1" TargetMode="External"/><Relationship Id="rId149" Type="http://schemas.openxmlformats.org/officeDocument/2006/relationships/hyperlink" Target="https://www.amazon.com/dp/B00MW4ZK8O/ref=twister_B0CYCRVKD1?_encoding=UTF8&amp;th=1" TargetMode="External"/><Relationship Id="rId4" Type="http://schemas.openxmlformats.org/officeDocument/2006/relationships/hyperlink" Target="https://www.amazon.com/LightingWill-Downlight-Directional-3000K-3500K-Equivalent/dp/B01KZJ8F34/ref=sr_1_3?crid=2VL1B4IHDS6CM&amp;dib=eyJ2IjoiMSJ9.gucbm69BYM-iG_Dvwj1gvw.WnyFvEP2zTfMAFYfeSGsHEJRrq_lNt39rFhYHCJglL8&amp;dib_tag=se&amp;keywords=B01KZJ8F34&amp;qid=1743466397&amp;sprefix=b01kzj8f34%2Caps%2C92&amp;sr=8-3&amp;th=1" TargetMode="External"/><Relationship Id="rId148" Type="http://schemas.openxmlformats.org/officeDocument/2006/relationships/hyperlink" Target="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" TargetMode="External"/><Relationship Id="rId269" Type="http://schemas.openxmlformats.org/officeDocument/2006/relationships/hyperlink" Target="https://www.walmart.com/ip/LG-32-Ultragear-Gaming-Monitor-32G60WA-B/13658407275?classType=REGULAR&amp;athbdg=L1600&amp;adsRedirect=true" TargetMode="External"/><Relationship Id="rId9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43" Type="http://schemas.openxmlformats.org/officeDocument/2006/relationships/hyperlink" Target="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" TargetMode="External"/><Relationship Id="rId264" Type="http://schemas.openxmlformats.org/officeDocument/2006/relationships/hyperlink" Target="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" TargetMode="External"/><Relationship Id="rId142" Type="http://schemas.openxmlformats.org/officeDocument/2006/relationships/hyperlink" Target="http://amazon.com/dp/B087Z632WM/ref=twister_B0814B6D9G?_encoding=UTF8&amp;psc=1" TargetMode="External"/><Relationship Id="rId263" Type="http://schemas.openxmlformats.org/officeDocument/2006/relationships/hyperlink" Target="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" TargetMode="External"/><Relationship Id="rId141" Type="http://schemas.openxmlformats.org/officeDocument/2006/relationships/hyperlink" Target="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" TargetMode="External"/><Relationship Id="rId262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140" Type="http://schemas.openxmlformats.org/officeDocument/2006/relationships/hyperlink" Target="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" TargetMode="External"/><Relationship Id="rId261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5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7" Type="http://schemas.openxmlformats.org/officeDocument/2006/relationships/hyperlink" Target="https://www.amazon.com/Avengers-Infinity-Gauntlet-Electronic-Roleplay/dp/B07TB5M2SF/ref=sr_1_67?crid=2QRQEXJY6VIAF&amp;dib=eyJ2IjoiMSJ9.ud5zsOolx3GzfT_4GzjhawkVy6HB7f6C79x4fSpEN8gjYo9OhlwzzThfSXk-2kW1ssXwDHG6a6sYH8xRtqTzFqgdtEAw6YD3jg5GRN_BzKWl6QaBC0UoGguBfqNKvZM0O4pqA4JlAjQOoMY3kxDVy_ei_scP7O3CJunooYIZH7MNO7Hcegp2Gy31YwekdsM2r5v2OoZs0aLat3ZUtDY5LQj6BQ_6TeW-95uzhaOduPk.Wxyll7OwRzH5_-Zvj9A7W1So8QPlheIDRylCzs9sGa8&amp;dib_tag=se&amp;keywords=AVENGERS+PLUSH&amp;qid=1743560395&amp;sprefix=avengers+plush%2Caps%2C110&amp;sr=8-67&amp;xpid=OJ6XxeEPeoY2T" TargetMode="External"/><Relationship Id="rId268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6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6" Type="http://schemas.openxmlformats.org/officeDocument/2006/relationships/hyperlink" Target="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" TargetMode="External"/><Relationship Id="rId267" Type="http://schemas.openxmlformats.org/officeDocument/2006/relationships/hyperlink" Target="https://www.amazon.com/gp/product/B08L58DVCJ/ref=ppx_yo_dt_b_search_asin_title?ie=UTF8&amp;th=1" TargetMode="External"/><Relationship Id="rId7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5" Type="http://schemas.openxmlformats.org/officeDocument/2006/relationships/hyperlink" Target="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" TargetMode="External"/><Relationship Id="rId266" Type="http://schemas.openxmlformats.org/officeDocument/2006/relationships/hyperlink" Target="https://www.amazon.com/gp/product/B0D7HLZD2H/ref=ppx_yo_dt_b_search_asin_title?ie=UTF8&amp;th=1" TargetMode="External"/><Relationship Id="rId8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4" Type="http://schemas.openxmlformats.org/officeDocument/2006/relationships/hyperlink" Target="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" TargetMode="External"/><Relationship Id="rId265" Type="http://schemas.openxmlformats.org/officeDocument/2006/relationships/hyperlink" Target="https://www.webstaurantstore.com/lancaster-table-seating-crimson-double-ring-barstool-with-3-1-2-thick-seat/164GS605BCR.html" TargetMode="External"/><Relationship Id="rId73" Type="http://schemas.openxmlformats.org/officeDocument/2006/relationships/hyperlink" Target="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" TargetMode="External"/><Relationship Id="rId72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75" Type="http://schemas.openxmlformats.org/officeDocument/2006/relationships/hyperlink" Target="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" TargetMode="External"/><Relationship Id="rId74" Type="http://schemas.openxmlformats.org/officeDocument/2006/relationships/hyperlink" Target="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" TargetMode="External"/><Relationship Id="rId77" Type="http://schemas.openxmlformats.org/officeDocument/2006/relationships/hyperlink" Target="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" TargetMode="External"/><Relationship Id="rId260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76" Type="http://schemas.openxmlformats.org/officeDocument/2006/relationships/hyperlink" Target="https://www.amazon.com/dp/B0F9XZBLLJ/ref=twister_B0FJ245Z1V?_encoding=UTF8&amp;th=1" TargetMode="External"/><Relationship Id="rId79" Type="http://schemas.openxmlformats.org/officeDocument/2006/relationships/hyperlink" Target="https://www.amazon.com/dp/B0DK5HNFSM?ref=emc_s_m_5_i_atc" TargetMode="External"/><Relationship Id="rId7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1" Type="http://schemas.openxmlformats.org/officeDocument/2006/relationships/hyperlink" Target="https://www.amazon.com/gp/product/B07P72ZB37/ref=ppx_yo_dt_b_search_asin_title?ie=UTF8&amp;th=1" TargetMode="External"/><Relationship Id="rId70" Type="http://schemas.openxmlformats.org/officeDocument/2006/relationships/hyperlink" Target="https://www.walmart.com/ip/LG-55-4K-UHD-Smart-TV-2160p-webOS-55UQ7070ZUE/332111459?classType=REGULAR&amp;athbdg=L1102&amp;adsRedirect=true" TargetMode="External"/><Relationship Id="rId139" Type="http://schemas.openxmlformats.org/officeDocument/2006/relationships/hyperlink" Target="https://www.walmart.com/ip/LG-32-Ultragear-Gaming-Monitor-32G60WA-B/13658407275?classType=REGULAR&amp;athbdg=L1600&amp;adsRedirect=true" TargetMode="External"/><Relationship Id="rId138" Type="http://schemas.openxmlformats.org/officeDocument/2006/relationships/hyperlink" Target="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" TargetMode="External"/><Relationship Id="rId259" Type="http://schemas.openxmlformats.org/officeDocument/2006/relationships/hyperlink" Target="https://www.nintendo.com/us/store/products/donkey-kong-10-plush-107373/?srsltid=AfmBOooaLnudDwzOQpb6X-2cxcnX6TLKtkJETw3APJCXQviM6BN--ibM" TargetMode="External"/><Relationship Id="rId137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258" Type="http://schemas.openxmlformats.org/officeDocument/2006/relationships/hyperlink" Target="https://shop.universalorlando.com/shop/shop-by-brands/super-nintendo-world/toys-490516-1/super-nintendo-world-medium-yoshi-plush-1358872" TargetMode="External"/><Relationship Id="rId13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53" Type="http://schemas.openxmlformats.org/officeDocument/2006/relationships/hyperlink" Target="https://www.disneystore.com/pluto-plush-medium-13-34-412312273766.html?isProductSearch=1&amp;searchType=regular" TargetMode="External"/><Relationship Id="rId131" Type="http://schemas.openxmlformats.org/officeDocument/2006/relationships/hyperlink" Target="https://www.amazon.com/gp/product/B07T1RFHGW/ref=ox_sc_act_title_12?smid=A9R60ZNAJMSU9&amp;th=1" TargetMode="External"/><Relationship Id="rId252" Type="http://schemas.openxmlformats.org/officeDocument/2006/relationships/hyperlink" Target="https://www.disneystore.com/minnie-mouse-plush-red-medium-17-34-412312273438.html" TargetMode="External"/><Relationship Id="rId130" Type="http://schemas.openxmlformats.org/officeDocument/2006/relationships/hyperlink" Target="https://www.amazon.com/gp/product/B0BFCY84XY/ref=ppx_yo_dt_b_search_asin_title?ie=UTF8&amp;th=1" TargetMode="External"/><Relationship Id="rId251" Type="http://schemas.openxmlformats.org/officeDocument/2006/relationships/hyperlink" Target="https://www.disneystore.com/mickey-mouse-plush-medium-17-34-412312273353.html" TargetMode="External"/><Relationship Id="rId250" Type="http://schemas.openxmlformats.org/officeDocument/2006/relationships/hyperlink" Target="https://www.amazon.com/GTRACING-Ergonomic-Computer-Headrest-360%C2%B0-Swivel/dp/B0FK4QTM41/ref=sr_1_31?crid=1I4HA2K7BN7KE&amp;dib=eyJ2IjoiMSJ9.F7yHZYfLKpzMWowfq_VKdAa7b2G69imf8jfG7h0cYYg9P8x2FOY1QYRCGG7tPj4yOybvV7LZzsky66vn5z1shVsE3T6LzVoLHjuQ73wGhG2mDUC_qqMtTPYHExffPhCClNOJP2UDLyDXMkuCFAcTqBYiV5jrOnSs3VI-Ou3q0Lu8Mv8F4ZekZe-moq1W9voU--_AOBstLhaMlGRnTMYOB_Ik6UtK-GIKvNDvN79Zr4ra5QOTTndsWV5nJlUHhWSoE_xSgyRfokv9NiXh8iB8eyaJ7WA30_xCGMLVFTmnAgY.LO1utnrylyzZKoWe4anhzt1c_wH1Bgsv4lmRIB5pht0&amp;dib_tag=se&amp;keywords=Nintendo%2BVideo%2BGaming%2BChair&amp;qid=1757894762&amp;sprefix=nintendo%2Bvideo%2Bgaming%2Bchair%2Caps%2C152&amp;sr=8-31&amp;th=1" TargetMode="External"/><Relationship Id="rId136" Type="http://schemas.openxmlformats.org/officeDocument/2006/relationships/hyperlink" Target="https://www.amazon.com/Storkcraft-Santos-Drawer-Dresser-Midnight/dp/B0CSJ9Z7TS/ref=sr_1_6?crid=387PZ6HTALC24&amp;dib=eyJ2IjoiMSJ9.tOzjDVpMpZFbdOMGVcF5v0W-r2RCArAeVwFI9dkcaR76kWoXOGGN8XIw2zsmPHK8SlshCh6F4OlIIrCxGqSWjX_y0FoRz0-mlqd0vj-uPUwBXjfyf7JJ58CQIGVtkwj_lZrqmFVTeZ2H99YsO8ejODXXVpNi7RU0Z83nfEgWCAk3NyMsLayxx8Fsi6SxrvOa33lNEvtSrGM_P3u6ZbFAU-XbtaXimSw_n3pgX7Oi5WCrYOgYCjxEYucV6xLDlUmp4G-v5rfVGXvA6DJ4Oy2PunM7lyKh-UJdAmqnJWatPmDTtvST4wCIcr2RCNCERD2kYagZyDZb-zBHZ5SjcA2_o6STkWGDwAjpHF0gmis0qR6yousia8w_9l9CC6e0UQ4oF5eNdMG1V52K6nqWj-6PWM3ZF2htOj0wVFplT3iBC8bk4HKLiAke69u1hVrgtx5B.3rVlDEm0tp7bgM9Nw8BCX_1TfgfStQfktQJ30iG0VPQ&amp;dib_tag=se&amp;keywords=Blue%2Bdresser&amp;qid=1743558608&amp;sprefix=blue%2Bdresser%2Caps%2C112&amp;sr=8-6&amp;th=1" TargetMode="External"/><Relationship Id="rId257" Type="http://schemas.openxmlformats.org/officeDocument/2006/relationships/hyperlink" Target="https://shop.universalorlando.com/shop/shop-by-brands/super-nintendo-world/toys-490516-1/super-nintendo-world-medium-mario-plush-1346217" TargetMode="External"/><Relationship Id="rId135" Type="http://schemas.openxmlformats.org/officeDocument/2006/relationships/hyperlink" Target="https://www.amazon.com/gp/product/B07P72ZB37/ref=ppx_yo_dt_b_search_asin_title?ie=UTF8&amp;th=1" TargetMode="External"/><Relationship Id="rId256" Type="http://schemas.openxmlformats.org/officeDocument/2006/relationships/hyperlink" Target="https://www.disneystore.com/daisy-duck-plush-medium-13-412312274008.html?isProductSearch=1&amp;searchType=regular" TargetMode="External"/><Relationship Id="rId134" Type="http://schemas.openxmlformats.org/officeDocument/2006/relationships/hyperlink" Target="https://www.walmart.com/ip/50UA7500ZUA-AUS/14364014573?classType=REGULAR&amp;athbdg=L1300&amp;adsRedirect=true" TargetMode="External"/><Relationship Id="rId255" Type="http://schemas.openxmlformats.org/officeDocument/2006/relationships/hyperlink" Target="https://www.disneystore.com/donald-duck-plush-medium-15-34-412312273926.html?isProductSearch=1&amp;searchType=regular" TargetMode="External"/><Relationship Id="rId13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54" Type="http://schemas.openxmlformats.org/officeDocument/2006/relationships/hyperlink" Target="https://www.disneystore.com/goofy-plush-medium-18-12-412312273841.html?isProductSearch=1&amp;searchType=regular" TargetMode="External"/><Relationship Id="rId62" Type="http://schemas.openxmlformats.org/officeDocument/2006/relationships/hyperlink" Target="https://www.wayfair.com/decor-pillows/pdp/ebern-designs-gabrielle-rectangle-ps-leaning-mirror-wall-mirror-with-wide-frame-w110561832.html" TargetMode="External"/><Relationship Id="rId61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64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63" Type="http://schemas.openxmlformats.org/officeDocument/2006/relationships/hyperlink" Target="https://www.amazon.com/gp/product/B09NPMJCZD/ref=ox_sc_act_title_9?th=1" TargetMode="External"/><Relationship Id="rId66" Type="http://schemas.openxmlformats.org/officeDocument/2006/relationships/hyperlink" Target="https://www.amazon.com/gp/product/B0BFCY84XY/ref=ppx_yo_dt_b_search_asin_title?ie=UTF8&amp;th=1" TargetMode="External"/><Relationship Id="rId172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93" Type="http://schemas.openxmlformats.org/officeDocument/2006/relationships/hyperlink" Target="https://shop.universalorlando.com/shop/shop-by-brands/super-nintendo-world/toys-490516-1/super-nintendo-world-medium-yoshi-plush-1358872" TargetMode="External"/><Relationship Id="rId65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71" Type="http://schemas.openxmlformats.org/officeDocument/2006/relationships/hyperlink" Target="https://www.amazon.com/dp/B0DB1GPNFB/ref=twister_B0FB3ZMZ1M?th=1" TargetMode="External"/><Relationship Id="rId292" Type="http://schemas.openxmlformats.org/officeDocument/2006/relationships/hyperlink" Target="https://shop.universalorlando.com/shop/shop-by-brands/super-nintendo-world/toys-490516-1/super-nintendo-world-medium-mario-plush-1346217" TargetMode="External"/><Relationship Id="rId68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70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291" Type="http://schemas.openxmlformats.org/officeDocument/2006/relationships/hyperlink" Target="https://www.disneystore.com/daisy-duck-plush-medium-13-412312274008.html?isProductSearch=1&amp;searchType=regular" TargetMode="External"/><Relationship Id="rId67" Type="http://schemas.openxmlformats.org/officeDocument/2006/relationships/hyperlink" Target="https://www.amazon.com/gp/product/B07T1RFHGW/ref=ox_sc_act_title_12?smid=A9R60ZNAJMSU9&amp;th=1" TargetMode="External"/><Relationship Id="rId290" Type="http://schemas.openxmlformats.org/officeDocument/2006/relationships/hyperlink" Target="https://www.disneystore.com/donald-duck-plush-medium-15-34-412312273926.html?isProductSearch=1&amp;searchType=regular" TargetMode="External"/><Relationship Id="rId6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65" Type="http://schemas.openxmlformats.org/officeDocument/2006/relationships/hyperlink" Target="https://www.walmart.com/ip/50UA7500ZUA-AUS/14364014573?classType=REGULAR&amp;athbdg=L1300&amp;adsRedirect=true" TargetMode="External"/><Relationship Id="rId286" Type="http://schemas.openxmlformats.org/officeDocument/2006/relationships/hyperlink" Target="https://www.disneystore.com/mickey-mouse-plush-medium-17-34-412312273353.html" TargetMode="External"/><Relationship Id="rId69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64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285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16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84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162" Type="http://schemas.openxmlformats.org/officeDocument/2006/relationships/hyperlink" Target="https://www.amazon.com/gp/product/B07T1RFHGW/ref=ox_sc_act_title_12?smid=A9R60ZNAJMSU9&amp;th=1" TargetMode="External"/><Relationship Id="rId283" Type="http://schemas.openxmlformats.org/officeDocument/2006/relationships/hyperlink" Target="https://www.amazon.com/gp/product/B087YP24MS/ref=ppx_yo_dt_b_search_asin_title?ie=UTF8&amp;th=1" TargetMode="External"/><Relationship Id="rId169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68" Type="http://schemas.openxmlformats.org/officeDocument/2006/relationships/hyperlink" Target="https://www.amazon.com/dp/B0DK5HNFSM?ref=emc_s_m_5_i_atc" TargetMode="External"/><Relationship Id="rId289" Type="http://schemas.openxmlformats.org/officeDocument/2006/relationships/hyperlink" Target="https://www.disneystore.com/goofy-plush-medium-18-12-412312273841.html?isProductSearch=1&amp;searchType=regular" TargetMode="External"/><Relationship Id="rId167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88" Type="http://schemas.openxmlformats.org/officeDocument/2006/relationships/hyperlink" Target="https://www.disneystore.com/pluto-plush-medium-13-34-412312273766.html?isProductSearch=1&amp;searchType=regular" TargetMode="External"/><Relationship Id="rId166" Type="http://schemas.openxmlformats.org/officeDocument/2006/relationships/hyperlink" Target="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" TargetMode="External"/><Relationship Id="rId287" Type="http://schemas.openxmlformats.org/officeDocument/2006/relationships/hyperlink" Target="https://www.disneystore.com/minnie-mouse-plush-red-medium-17-34-412312273438.html" TargetMode="External"/><Relationship Id="rId51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50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53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52" Type="http://schemas.openxmlformats.org/officeDocument/2006/relationships/hyperlink" Target="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" TargetMode="External"/><Relationship Id="rId55" Type="http://schemas.openxmlformats.org/officeDocument/2006/relationships/hyperlink" Target="https://www.walmart.com/ip/86UA7500ZUA-AUSQ/14363012836?classType=REGULAR&amp;adsRedirect=true" TargetMode="External"/><Relationship Id="rId161" Type="http://schemas.openxmlformats.org/officeDocument/2006/relationships/hyperlink" Target="https://www.amazon.com/gp/product/B0BFCZMNCY/ref=ppx_yo_dt_b_search_asin_title?ie=UTF8&amp;th=1" TargetMode="External"/><Relationship Id="rId282" Type="http://schemas.openxmlformats.org/officeDocument/2006/relationships/hyperlink" Target="https://www.amazon.com/gp/product/B07LDWLNVF/ref=ppx_yo_dt_b_search_asin_title?ie=UTF8&amp;psc=1" TargetMode="External"/><Relationship Id="rId54" Type="http://schemas.openxmlformats.org/officeDocument/2006/relationships/hyperlink" Target="https://www.amazon.com/gp/product/0847836797/ref=ppx_yo_dt_b_search_asin_title?ie=UTF8&amp;psc=1" TargetMode="External"/><Relationship Id="rId160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81" Type="http://schemas.openxmlformats.org/officeDocument/2006/relationships/hyperlink" Target="https://www.walmart.com/ip/50UA7500ZUA-AUS/14364014573?classType=REGULAR&amp;athbdg=L1300&amp;adsRedirect=true" TargetMode="External"/><Relationship Id="rId57" Type="http://schemas.openxmlformats.org/officeDocument/2006/relationships/hyperlink" Target="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" TargetMode="External"/><Relationship Id="rId280" Type="http://schemas.openxmlformats.org/officeDocument/2006/relationships/hyperlink" Target="https://www.walmart.com/ip/50UA7500ZUA-AUS/14364014573?classType=REGULAR&amp;athbdg=L1300&amp;adsRedirect=true" TargetMode="External"/><Relationship Id="rId56" Type="http://schemas.openxmlformats.org/officeDocument/2006/relationships/hyperlink" Target="https://www.amazon.com/gp/product/B08J3K4N15/ref=ppx_yo_dt_b_search_asin_title?ie=UTF8&amp;psc=1" TargetMode="External"/><Relationship Id="rId159" Type="http://schemas.openxmlformats.org/officeDocument/2006/relationships/hyperlink" Target="https://www.amazon.com/dp/B01M16WBW1/ref=twister_B0D5BZDH7Y?_encoding=UTF8&amp;psc=1" TargetMode="External"/><Relationship Id="rId59" Type="http://schemas.openxmlformats.org/officeDocument/2006/relationships/hyperlink" Target="https://www.amazon.com/dp/B0DK5HNFSM?ref=emc_s_m_5_i_atc" TargetMode="External"/><Relationship Id="rId154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75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5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3" Type="http://schemas.openxmlformats.org/officeDocument/2006/relationships/hyperlink" Target="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" TargetMode="External"/><Relationship Id="rId274" Type="http://schemas.openxmlformats.org/officeDocument/2006/relationships/hyperlink" Target="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" TargetMode="External"/><Relationship Id="rId152" Type="http://schemas.openxmlformats.org/officeDocument/2006/relationships/hyperlink" Target="https://www.walmart.com/ip/50UA7500ZUA-AUS/14364014573?classType=REGULAR&amp;athbdg=L1300&amp;adsRedirect=true" TargetMode="External"/><Relationship Id="rId273" Type="http://schemas.openxmlformats.org/officeDocument/2006/relationships/hyperlink" Target="https://www.atgames.us/products/legends-ultimate" TargetMode="External"/><Relationship Id="rId151" Type="http://schemas.openxmlformats.org/officeDocument/2006/relationships/hyperlink" Target="https://www.amazon.com/dp/B00MW50754/ref=twister_B0CYCRVKD1?_encoding=UTF8&amp;th=1" TargetMode="External"/><Relationship Id="rId272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58" Type="http://schemas.openxmlformats.org/officeDocument/2006/relationships/hyperlink" Target="https://www.amazon.com/dp/B09NPMKMN2/ref=twister_B0FB3ZMZ1M?th=1" TargetMode="External"/><Relationship Id="rId279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157" Type="http://schemas.openxmlformats.org/officeDocument/2006/relationships/hyperlink" Target="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" TargetMode="External"/><Relationship Id="rId278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56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77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155" Type="http://schemas.openxmlformats.org/officeDocument/2006/relationships/hyperlink" Target="https://www.amazon.com/dp/B0DK5HNFSM?ref=emc_s_m_5_i_atc" TargetMode="External"/><Relationship Id="rId276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107" Type="http://schemas.openxmlformats.org/officeDocument/2006/relationships/hyperlink" Target="https://www.amazon.com/LEYAOYAO-Drawers-Farmhouse-Organizer-Dressers/dp/B0F3CSWWZZ/ref=sr_1_24?dib=eyJ2IjoiMSJ9.D1OTOv1vRcORWRGA7m4G4KaosbLEoXZW9zB0srH0vkp1A-Ft0rwSSNuQvRr9ATNYjlOa9v15h2f7F0U5Sutzi9MmVttwLKQ8YDbx0vFhkb0VaOrWxcdn_-QvOID1tera6BX9BwklexOLTfQ88Zon6XfgpdfuMWwnyAyl5FgEiYdu9cQyyXki36hHiM5rgleivY4PtIC6dqHuOtOogpyv08aRNZEVdu5Ccxgo2oK58WgWW56FrQo0nfO_Jap6cTIpT-PY8bMbRyGe3zlqj1Jg2GJ864Wi0eOt8wFYKIW7gNE.sMwcAo37xUW43SafpLFnVmS3VLC013jg1mZrTuztq9Q&amp;dib_tag=se&amp;keywords=dresser%2Bblue&amp;qid=1757875605&amp;sr=8-24&amp;th=1" TargetMode="External"/><Relationship Id="rId228" Type="http://schemas.openxmlformats.org/officeDocument/2006/relationships/hyperlink" Target="https://www.webstaurantstore.com/lancaster-table-seating-crimson-double-ring-barstool-with-3-1-2-thick-seat/164GS605BCR.html" TargetMode="External"/><Relationship Id="rId106" Type="http://schemas.openxmlformats.org/officeDocument/2006/relationships/hyperlink" Target="https://www.amazon.com/gp/product/B07P72ZB37/ref=ppx_yo_dt_b_search_asin_title?ie=UTF8&amp;th=1" TargetMode="External"/><Relationship Id="rId227" Type="http://schemas.openxmlformats.org/officeDocument/2006/relationships/hyperlink" Target="https://www.amazon.com/FRIGIDAIRE-EFR376-BLACK-Fridge-Bottle-Opener/dp/B07LDWLNVF/ref=sr_1_9?crid=13CLEG5L981ZC&amp;dib=eyJ2IjoiMSJ9.tmh1b9OH0Nm1thSrAAZOBp4-aDhsQL0KNfzPfJEFIJW61fofD4w1M7xUvcok3CHvTs_Py3wY79hGVwWHQB919eVSngBiYyHESIndAEc6l6tSHM5qx_0VE0ZOYKqcrAYAZTmmbj4n-tXarilpWV4vDHIjjzdTLmb5kupYSu4odjFzbaWt4NACvcLs-VhbHlmnBbvJvlr3Mf2iETN80nd6F5bTBlInkS4-cx49NRrW_bj0r3XzuI1RszPOs7kWanl8MllQDmdWpMeHAulXjbgZlOUh8L3HLUQZmjJ2W3YsKVI.To2KchMqm-Kzg9lboxlQhgh-Ez2mk7v8UuQKPXlkmv4&amp;dib_tag=se&amp;keywords=frigidaire&amp;qid=1755625736&amp;sprefix=frigidair%2Caps%2C124&amp;sr=8-9" TargetMode="External"/><Relationship Id="rId105" Type="http://schemas.openxmlformats.org/officeDocument/2006/relationships/hyperlink" Target="https://www.walmart.com/ip/50UA7500ZUA-AUS/14364014573?classType=REGULAR&amp;athbdg=L1300&amp;adsRedirect=true" TargetMode="External"/><Relationship Id="rId226" Type="http://schemas.openxmlformats.org/officeDocument/2006/relationships/hyperlink" Target="https://www.amazon.com/gp/product/B0C52PSRG3/ref=ppx_yo_dt_b_search_asin_title?ie=UTF8&amp;psc=1" TargetMode="External"/><Relationship Id="rId104" Type="http://schemas.openxmlformats.org/officeDocument/2006/relationships/hyperlink" Target="https://www.amazon.com/dp/B00MW50754/ref=twister_B0CYCRVKD1?_encoding=UTF8&amp;th=1" TargetMode="External"/><Relationship Id="rId225" Type="http://schemas.openxmlformats.org/officeDocument/2006/relationships/hyperlink" Target="https://www.amazon.com/gp/product/B083B979JB/ref=ppx_yo_dt_b_search_asin_title?ie=UTF8&amp;th=1" TargetMode="External"/><Relationship Id="rId109" Type="http://schemas.openxmlformats.org/officeDocument/2006/relationships/hyperlink" Target="https://www.amazon.com/Franco-Bedding-Super-Comforter-Minions/dp/B08N5ZZMLC/ref=sr_1_1_sspa?crid=3SSTFMAJDSEYG&amp;dib=eyJ2IjoiMSJ9.c7Arb9aLrwSljrHk4XSy0_VVp_19U3kNEuMu2DE-eBRs5aF66QITSU2zYPuO9OnkwCaylpQuxXwNElXuqVtRKtXo3LWgLa2i8hwTjby3nR7sv1nslL0uPSrY781QvLQrKOKKZcW9UzEIwd6NVYY6EfOSlAkYgI4PQcmcj-SEnxjiLk6Dcd5o5coqqDE3-dLw4rRq_lRNnta_YrVILO2svCCV76HNzqw164z4obOFFZlkQCAvMyFb8ct3FR_qAENDIYyIQdgizWiDd8wZO8YrFy0a2gmdKN5I5AqsdiDlqus.o7PJg1zRKZ7qpuUGU4ftNvfQprfgp7dwJ7yTtTVNn7I&amp;dib_tag=se&amp;keywords=comforter%2Bminions&amp;qid=1757875749&amp;sprefix=comforter%2Bminions%2Caps%2C147&amp;sr=8-1-spons&amp;sp_csd=d2lkZ2V0TmFtZT1zcF9hdGY&amp;th=1" TargetMode="External"/><Relationship Id="rId108" Type="http://schemas.openxmlformats.org/officeDocument/2006/relationships/hyperlink" Target="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" TargetMode="External"/><Relationship Id="rId229" Type="http://schemas.openxmlformats.org/officeDocument/2006/relationships/hyperlink" Target="https://www.amazon.com/gp/product/B0D7HLZD2H/ref=ppx_yo_dt_b_search_asin_title?ie=UTF8&amp;th=1" TargetMode="External"/><Relationship Id="rId220" Type="http://schemas.openxmlformats.org/officeDocument/2006/relationships/hyperlink" Target="https://www.wayfair.com/outdoor/pdp/lark-manor-alyah-rectangular-8-person-838-long-aluminum-dining-set-w004770254.html?piid=526125330" TargetMode="External"/><Relationship Id="rId103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24" Type="http://schemas.openxmlformats.org/officeDocument/2006/relationships/hyperlink" Target="https://www.lowes.com/pd/Breezary-65-in-Satin-Nickel-Color-changing-Indoor-Ceiling-Fan-with-Light-and-Remote-8-Blade/5015042515" TargetMode="External"/><Relationship Id="rId102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3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101" Type="http://schemas.openxmlformats.org/officeDocument/2006/relationships/hyperlink" Target="https://www.amazon.com/gp/product/B07T1RFHGW/ref=ox_sc_act_title_12?smid=A9R60ZNAJMSU9&amp;th=1" TargetMode="External"/><Relationship Id="rId222" Type="http://schemas.openxmlformats.org/officeDocument/2006/relationships/hyperlink" Target="https://www.wayfair.com/outdoor/pdp/corrigan-studio-patio-bar-stool-with-cushion-w008317995.html?piid=1136818852" TargetMode="External"/><Relationship Id="rId100" Type="http://schemas.openxmlformats.org/officeDocument/2006/relationships/hyperlink" Target="https://www.amazon.com/gp/product/B0CZ81NXYZ/ref=ppx_yo_dt_b_search_asin_title?ie=UTF8&amp;th=1" TargetMode="External"/><Relationship Id="rId221" Type="http://schemas.openxmlformats.org/officeDocument/2006/relationships/hyperlink" Target="https://www.vigfurniture.com/patio/renava-cocoon-mini-outdoor-beige-wicker-lounge-bed.html" TargetMode="External"/><Relationship Id="rId217" Type="http://schemas.openxmlformats.org/officeDocument/2006/relationships/hyperlink" Target="https://www.amazon.com/MIULEE-Waterproof-Decorative-Resistant-Hypoallergenic/dp/B0DGL6P82T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" TargetMode="External"/><Relationship Id="rId216" Type="http://schemas.openxmlformats.org/officeDocument/2006/relationships/hyperlink" Target="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" TargetMode="External"/><Relationship Id="rId215" Type="http://schemas.openxmlformats.org/officeDocument/2006/relationships/hyperlink" Target="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" TargetMode="External"/><Relationship Id="rId214" Type="http://schemas.openxmlformats.org/officeDocument/2006/relationships/hyperlink" Target="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" TargetMode="External"/><Relationship Id="rId219" Type="http://schemas.openxmlformats.org/officeDocument/2006/relationships/hyperlink" Target="https://www.wayfair.com/outdoor/pdp/wade-logan-caggiano-7756-long-reclining-chaise-lounges-w005616407.html?piid=1113835958" TargetMode="External"/><Relationship Id="rId218" Type="http://schemas.openxmlformats.org/officeDocument/2006/relationships/hyperlink" Target="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" TargetMode="External"/><Relationship Id="rId213" Type="http://schemas.openxmlformats.org/officeDocument/2006/relationships/hyperlink" Target="https://www.amazon.com/gp/product/B09B9P9M8L/ref=ppx_yo_dt_b_search_asin_title?ie=UTF8&amp;th=1" TargetMode="External"/><Relationship Id="rId212" Type="http://schemas.openxmlformats.org/officeDocument/2006/relationships/hyperlink" Target="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" TargetMode="External"/><Relationship Id="rId211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10" Type="http://schemas.openxmlformats.org/officeDocument/2006/relationships/hyperlink" Target="https://www.ikea.com/us/en/p/snoerpa-pedal-bin-stainless-steel-10511208/" TargetMode="External"/><Relationship Id="rId129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2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49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127" Type="http://schemas.openxmlformats.org/officeDocument/2006/relationships/hyperlink" Target="https://www.amazon.com/gp/product/B09NPMJCZD/ref=ox_sc_act_title_9?th=1" TargetMode="External"/><Relationship Id="rId248" Type="http://schemas.openxmlformats.org/officeDocument/2006/relationships/hyperlink" Target="https://www.amazon.com/dp/B0DP3W7VN3/ref=sspa_dk_detail_1?pd_rd_i=B0FP59KG2W&amp;pd_rd_w=QplOf&amp;content-id=amzn1.sym.386c274b-4bfe-4421-9052-a1a56db557ab&amp;pf_rd_p=386c274b-4bfe-4421-9052-a1a56db557ab&amp;pf_rd_r=AMZV8F1SHG1N587MYM9Q&amp;pd_rd_wg=wCNeW&amp;pd_rd_r=5e5a6a3f-1983-4f23-9636-f98f4ce9529e&amp;sp_csd=d2lkZ2V0TmFtZT1zcF9kZXRhaWxfdGhlbWF0aWM&amp;th=1" TargetMode="External"/><Relationship Id="rId126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247" Type="http://schemas.openxmlformats.org/officeDocument/2006/relationships/hyperlink" Target="https://www.amazon.com/gp/product/B07LDWLNVF/ref=ppx_yo_dt_b_search_asin_title?ie=UTF8&amp;psc=1" TargetMode="External"/><Relationship Id="rId121" Type="http://schemas.openxmlformats.org/officeDocument/2006/relationships/hyperlink" Target="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" TargetMode="External"/><Relationship Id="rId242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120" Type="http://schemas.openxmlformats.org/officeDocument/2006/relationships/hyperlink" Target="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" TargetMode="External"/><Relationship Id="rId241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240" Type="http://schemas.openxmlformats.org/officeDocument/2006/relationships/hyperlink" Target="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" TargetMode="External"/><Relationship Id="rId125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46" Type="http://schemas.openxmlformats.org/officeDocument/2006/relationships/hyperlink" Target="https://www.walmart.com/ip/50UA7500ZUA-AUS/14364014573?classType=REGULAR&amp;athbdg=L1300&amp;adsRedirect=true" TargetMode="External"/><Relationship Id="rId124" Type="http://schemas.openxmlformats.org/officeDocument/2006/relationships/hyperlink" Target="https://www.amazon.com/dp/B0DK5HNFSM?ref=emc_s_m_5_i_atc" TargetMode="External"/><Relationship Id="rId245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123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44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22" Type="http://schemas.openxmlformats.org/officeDocument/2006/relationships/hyperlink" Target="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" TargetMode="External"/><Relationship Id="rId243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9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4" Type="http://schemas.openxmlformats.org/officeDocument/2006/relationships/hyperlink" Target="https://www.amazon.com/gp/product/B0CV63M3YH/ref=ox_sc_act_title_4?smid=AISR8NQB2ETL&amp;th=1" TargetMode="External"/><Relationship Id="rId97" Type="http://schemas.openxmlformats.org/officeDocument/2006/relationships/hyperlink" Target="https://www.amazon.com/gp/product/B0BFCY84XY/ref=ppx_yo_dt_b_search_asin_title?ie=UTF8&amp;th=1" TargetMode="External"/><Relationship Id="rId9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99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98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90" Type="http://schemas.openxmlformats.org/officeDocument/2006/relationships/hyperlink" Target="https://www.amazon.com/dp/B0DK5HNFSM?ref=emc_s_m_5_i_atc" TargetMode="External"/><Relationship Id="rId93" Type="http://schemas.openxmlformats.org/officeDocument/2006/relationships/hyperlink" Target="https://www.amazon.com/gp/product/B0DB1H4QVP/ref=ox_sc_act_title_9?th=1" TargetMode="External"/><Relationship Id="rId92" Type="http://schemas.openxmlformats.org/officeDocument/2006/relationships/hyperlink" Target="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18" Type="http://schemas.openxmlformats.org/officeDocument/2006/relationships/hyperlink" Target="https://www.disneystore.com/belle-plush-doll-beauty-and-the-beast-14-12-412333393535.html" TargetMode="External"/><Relationship Id="rId239" Type="http://schemas.openxmlformats.org/officeDocument/2006/relationships/hyperlink" Target="https://www.atgames.us/products/legends-ultimate" TargetMode="External"/><Relationship Id="rId117" Type="http://schemas.openxmlformats.org/officeDocument/2006/relationships/hyperlink" Target="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" TargetMode="External"/><Relationship Id="rId238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16" Type="http://schemas.openxmlformats.org/officeDocument/2006/relationships/hyperlink" Target="https://www.walmart.com/ip/50UA7500ZUA-AUS/14364014573?classType=REGULAR&amp;athbdg=L1300&amp;adsRedirect=true" TargetMode="External"/><Relationship Id="rId237" Type="http://schemas.openxmlformats.org/officeDocument/2006/relationships/hyperlink" Target="https://www.amazon.com/Educational-Trampoline-Gymnastics-Skateboard-Playground/dp/B0FFB4P78L/ref=sr_1_4?crid=16AV5PDW9OJHL&amp;dib=eyJ2IjoiMSJ9.J2Idv3RDeumAYk0CkLclZ28BmXE-KIAzkRJHyd4eNsAhab02TUNWYkWKUFDQDSXkzZf6rhJicOcQHKpfs_UekQYN3ZzmThP6a54E6aleEaorC6b6P4uoGlAzhOEYuIhv-CRiqzdtOhkcjmveY4FmGiFBSq-wMDxSLfezXoOnghdzVqTM6QWlkKSIatG2x_aaO387j_O0uEAP_94rXHzQ17awvtanHfH6HV_Nkt_MdKhULiBSCWyiS8NfV5y4ID-Qf9LEDNuDwzdej2_SJhITmqDHZ6x55j-TjrUEuXdkRcc.SoFvsYyRvHKmpHiXxIrLwY9UivNiicVKW-QX0O18GHQ&amp;dib_tag=se&amp;keywords=cube%2Bfoam&amp;qid=1757897879&amp;s=toys-and-games&amp;sprefix=cube%2Bfoam%2Ctoys-and-games%2C111&amp;sr=1-4&amp;xpid=Wh-0OlA9oaFbG&amp;th=1" TargetMode="External"/><Relationship Id="rId115" Type="http://schemas.openxmlformats.org/officeDocument/2006/relationships/hyperlink" Target="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" TargetMode="External"/><Relationship Id="rId236" Type="http://schemas.openxmlformats.org/officeDocument/2006/relationships/hyperlink" Target="https://www.amazon.com/dp/B01NCNKR7H/ref=sspa_dk_detail_0?psc=1&amp;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" TargetMode="External"/><Relationship Id="rId119" Type="http://schemas.openxmlformats.org/officeDocument/2006/relationships/hyperlink" Target="https://www.disneystore.com/disney-animators-collection-belle-doll-beauty-and-the-beast-16-460020241065.html" TargetMode="External"/><Relationship Id="rId110" Type="http://schemas.openxmlformats.org/officeDocument/2006/relationships/hyperlink" Target="https://www.amazon.com/Retardant-Trampoline-Gymnastics-Skateboard-Playground/dp/B0CYSWR1KY/ref=sr_1_1_sspa?crid=3AGU7B030WET3&amp;dib=eyJ2IjoiMSJ9.oOgglE7zuz5QXUFc-GeLBWnr8EVa7-fiwRo5TovOeBqJ6rZL8yrg0phneYld6EO0we_J53hQKKYHghQcj3xZtcBMaZ4nTgdJ3MVXVWTR7mfzZTTFdXmTRPsjjSZMpBxc8VntQiaTT1hVtxsLDPi3CKn0oFR6JH4Y-YoWop-A6ZQ0ORmuvG5nfuR0rWx883u9rnDsNiEfyzEgM3nlT84OCv-UDmCKoNhD4XxXDaqajOjHaR2t01gp6wbhjemwsgAu__nM_QtHbDM_aYd2-sa3yua8Ge6CIBCKYXBU1TGk_Sc.w7bVRm2LBSVUuyeQcx4QYUmXq5sE1YnTLk2zmzl-cOg&amp;dib_tag=se&amp;keywords=foam%2Bcube&amp;qid=1758329248&amp;sprefix=foam%2Bcube%2Caps%2C129&amp;sr=8-1-spons&amp;sp_csd=d2lkZ2V0TmFtZT1zcF9hdGY&amp;th=1" TargetMode="External"/><Relationship Id="rId231" Type="http://schemas.openxmlformats.org/officeDocument/2006/relationships/hyperlink" Target="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" TargetMode="External"/><Relationship Id="rId230" Type="http://schemas.openxmlformats.org/officeDocument/2006/relationships/hyperlink" Target="https://www.amazon.com/gp/product/B08L58DVCJ/ref=ppx_yo_dt_b_search_asin_title?ie=UTF8&amp;th=1" TargetMode="External"/><Relationship Id="rId114" Type="http://schemas.openxmlformats.org/officeDocument/2006/relationships/hyperlink" Target="https://www.amazon.com/dp/B00MW50B6Y/ref=twister_B0CYCRVKD1?_encoding=UTF8&amp;th=1" TargetMode="External"/><Relationship Id="rId235" Type="http://schemas.openxmlformats.org/officeDocument/2006/relationships/hyperlink" Target="https://www.amazon.com/dp/B0D2VMKCPT/ref=sspa_dk_detail_6?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&amp;th=1" TargetMode="External"/><Relationship Id="rId113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234" Type="http://schemas.openxmlformats.org/officeDocument/2006/relationships/hyperlink" Target="https://www.amazon.com/Melissa-Doug-Solid-Table-Chairs/dp/B00CE69IGA/ref=sr_1_4?crid=3L3AUQ10RW3V6&amp;dib=eyJ2IjoiMSJ9.H00GxnWJWQT5Ht7zPuSpvrroalJawoEZFgc3G4y06e4WyjH6za9kgG7iASs8XPiQTN5FpvfDKrT4DZCEcpoUKlBr-L0jVVSAKjvHdB4Gx4qYmTCWFYTXVSyupH4MQ6CU9c0vHEQ9hcrAHPUlp-7BqaWxHrYDP6HmPdjhJd_sBL52-sVbXwABpChQj19an496fy9xm3BdENWwqnPROuTqo8Bmv95qRkDsjcOghcKvhSstjHEGQ2k3jGWJLQSuhBGfbF0oMbk6kClOj8j0slmXVuErcwIC4swIza0WGdrqEGQ.Ih6lmSJcxt7VYo5MM1Jv9i2S4KajyJTeyUmQL_TNFpw&amp;dib_tag=se&amp;keywords=KIDS%2BWOOD%2BTABLE&amp;qid=1757898760&amp;s=toys-and-games&amp;sprefix=kids%2Bwood%2Btable%2Ctoys-and-games%2C110&amp;sr=1-4&amp;xpid=ta-Unfc5JYt6H&amp;th=1" TargetMode="External"/><Relationship Id="rId112" Type="http://schemas.openxmlformats.org/officeDocument/2006/relationships/hyperlink" Target="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" TargetMode="External"/><Relationship Id="rId233" Type="http://schemas.openxmlformats.org/officeDocument/2006/relationships/hyperlink" Target="https://www.amazon.com/gp/product/B07P72ZB37/ref=ppx_yo_dt_b_search_asin_title?ie=UTF8&amp;th=10" TargetMode="External"/><Relationship Id="rId111" Type="http://schemas.openxmlformats.org/officeDocument/2006/relationships/hyperlink" Target="https://www.amazon.com/dp/B07BJZTWGR/ref=sspa_dk_detail_10?pf_rd_p=386c274b-4bfe-4421-9052-a1a56db557ab&amp;pf_rd_r=5X85G3G03CQKDHPZNGXB&amp;pd_rd_wg=OsBaO&amp;pd_rd_w=9KFDo&amp;content-id=amzn1.sym.386c274b-4bfe-4421-9052-a1a56db557ab&amp;pd_rd_r=7b8d9c74-bb97-426d-9916-018389676476&amp;s=sporting-goods&amp;sp_csd=d2lkZ2V0TmFtZT1zcF9kZXRhaWxfdGhlbWF0aWM&amp;th=1" TargetMode="External"/><Relationship Id="rId232" Type="http://schemas.openxmlformats.org/officeDocument/2006/relationships/hyperlink" Target="https://www.walmart.com/ip/LG-32-Ultragear-Gaming-Monitor-32G60WA-B/13658407275?classType=REGULAR&amp;athbdg=L1600&amp;adsRedirect=true" TargetMode="External"/><Relationship Id="rId304" Type="http://schemas.openxmlformats.org/officeDocument/2006/relationships/vmlDrawing" Target="../drawings/vmlDrawing2.vml"/><Relationship Id="rId303" Type="http://schemas.openxmlformats.org/officeDocument/2006/relationships/drawing" Target="../drawings/drawing2.xml"/><Relationship Id="rId302" Type="http://schemas.openxmlformats.org/officeDocument/2006/relationships/hyperlink" Target="https://www.amazon.com/Whynter-BWR-1002SD-Compressor-Refrigerator-Stainless-Steel/dp/B079YZP2VW/ref=sr_1_5?crid=2FGCMQHQC1P5W&amp;dib=eyJ2IjoiMSJ9.oEYwBuf5rsLrBgqNI7IEvbgB8QXVDIfmEiIxujvmU4KT27GidIqonWBMvQ-xyC1Ou6Ukk1klazhrjPXBs2kpMSEXasPFDpbTGzPuf0bKaTnltCA1OUXHnU6pqEG1fcSwDdLCyoQ66gbNAT3eNjJal8b_Cq_FNNJePBYyhsi3996_PHXrhjYrGXPL0VGja60xVMVdYmn0y4XXR3LkOhRTtPFUH6BqxtXaONIro0gvZ7U._aitP4vgjnT6kSl7LXUtRGglNQt4mnqVOLOmxHS8UZE&amp;dib_tag=se&amp;keywords=wine%2Bfridge%2B100%2Bbottle&amp;qid=1758313719&amp;sprefix=wine%2Bfridge%2B100%2Caps%2C136&amp;sr=8-5&amp;th=1" TargetMode="External"/><Relationship Id="rId301" Type="http://schemas.openxmlformats.org/officeDocument/2006/relationships/hyperlink" Target="https://www.amazon.com/Billiard-Mounted-Boyfriend-Billiards-Accessories/dp/B0CZ3C7QYD/ref=sr_1_37?crid=35IIIH3SNI46R&amp;dib=eyJ2IjoiMSJ9.zO2ZEkuYY1cd0Nq-mv5P0OMVrMQz0E8ZD1aVzkw9bBSt-4o4Cqp7dihCABlaq8bnDT_HDvN4sRjyBMuaxInvS6O3ad808wToIkvMjOfo3NHXvGqvTjPYiWuLryrEQFd9E0VVZnHVe12PuxgJgzsnpgKWKL8Bp9QExzu8EZRwr2boeSS6OrvXtVsWF7G4Bty0YEZUHWNbBMGbtqJT3drUag3Ac7LGUgx5oPZMS7ThR54qFWTzXjVBBqy-hyLZmLDfp8TPIab5t2TpBiRk7naeuGjhJqQE33sqebMXhtSyLDg.4ImvtiLj6KB1dIpbk7lKawlwKDYpLO9tt-2YcO5pVok&amp;dib_tag=se&amp;keywords=billiard%2Baccessories&amp;qid=1758555368&amp;sprefix=billiard%2Baccessories%2Caps%2C147&amp;sr=8-37&amp;th=1" TargetMode="External"/><Relationship Id="rId300" Type="http://schemas.openxmlformats.org/officeDocument/2006/relationships/hyperlink" Target="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" TargetMode="External"/><Relationship Id="rId206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205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04" Type="http://schemas.openxmlformats.org/officeDocument/2006/relationships/hyperlink" Target="https://www.ikea.com/us/en/p/snoerpa-pedal-bin-stainless-steel-10511208/" TargetMode="External"/><Relationship Id="rId203" Type="http://schemas.openxmlformats.org/officeDocument/2006/relationships/hyperlink" Target="https://www.ikea.com/us/en/p/bolmen-toilet-brush-holder-white-40574435/" TargetMode="External"/><Relationship Id="rId209" Type="http://schemas.openxmlformats.org/officeDocument/2006/relationships/hyperlink" Target="https://www.ikea.com/us/en/p/bolmen-toilet-brush-holder-white-40574435/" TargetMode="External"/><Relationship Id="rId208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207" Type="http://schemas.openxmlformats.org/officeDocument/2006/relationships/hyperlink" Target="https://www.amazon.com/gp/product/B09B9P9M8L/ref=ppx_yo_dt_b_search_asin_title?ie=UTF8&amp;th=1" TargetMode="External"/><Relationship Id="rId202" Type="http://schemas.openxmlformats.org/officeDocument/2006/relationships/hyperlink" Target="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" TargetMode="External"/><Relationship Id="rId201" Type="http://schemas.openxmlformats.org/officeDocument/2006/relationships/hyperlink" Target="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" TargetMode="External"/><Relationship Id="rId200" Type="http://schemas.openxmlformats.org/officeDocument/2006/relationships/hyperlink" Target="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amazon.com/Chef-Craft-21568-Microwave-Cover/dp/B00LQCB6I6/ref=sr_1_11?crid=3VCAH8FT0F0A7&amp;dib=eyJ2IjoiMSJ9.0S3xz_o2iWDjbWs936ohdH9vr1l7nqJFWWpWLX-h_aLbk64PNvsj4gnnrEn1x7J1H8R0mg1f_7RCobh68AwaaK2_nUOMOvmUSon3hOtbEklKHZY_yvhOKZCfC0us_zTG40PeJyZEmCgK5TSuPNFicKxqXWydGgAdvRTjJJi2S5gR1ZwrzXBgWdgrp1Ggla3GtLHOCtCYGXuczpF2V5_EjX4sI3Ta9eHg4GT6flJQ2HXq728CyTAWPn64b4R2_dXMltJhFd1mUS_buuj56ULNOn0uZQe8I_-lr4dv0W-7Cf-r6crHcH1D-xf0_TEK02ptXzilG7ZJIKHzBlFj-V1IXBCJEKnY60JR_ZE2vbCJA9I.LCrrO-8fOzT-HHVnxKP8xKcMHTcNo9NjWRFYlD5IpDg&amp;dib_tag=se&amp;keywords=microwave+cover&amp;qid=1739476747&amp;s=home-garden&amp;sprefix=microwave+cover%2Cgarden%2C117&amp;sr=1-11" TargetMode="External"/><Relationship Id="rId190" Type="http://schemas.openxmlformats.org/officeDocument/2006/relationships/hyperlink" Target="https://www.amazon.com/dp/B0DNMJ7GSB/ref=sspa_dk_detail_6?psc=1&amp;pd_rd_i=B0DNMJ7GSB&amp;pd_rd_w=GvPrs&amp;content-id=amzn1.sym.f2f1cf8f-cab4-44dc-82ba-0ca811fb90cc&amp;pf_rd_p=f2f1cf8f-cab4-44dc-82ba-0ca811fb90cc&amp;pf_rd_r=1C52VPPA4Y041K4KS4J5&amp;pd_rd_wg=FOAQH&amp;pd_rd_r=b31b5147-7994-4bdc-a54c-701f4bc5d2f1&amp;s=hi&amp;sp_csd=d2lkZ2V0TmFtZT1zcF9kZXRhaWxfdGhlbWF0aWM" TargetMode="External"/><Relationship Id="rId42" Type="http://schemas.openxmlformats.org/officeDocument/2006/relationships/hyperlink" Target="https://www.walmart.com/ip/Beautiful-2-in-1-Panini-Press-Grill-White-Icing-by-Drew-Barrymore/5144605435?classType=VARIANT&amp;athbdg=L1600" TargetMode="External"/><Relationship Id="rId41" Type="http://schemas.openxmlformats.org/officeDocument/2006/relationships/hyperlink" Target="https://www.walmart.com/ip/Beautiful-6-Qt-Air-Fryer-with-TurboCrisp-Technology-and-Touch-Activated-Display-Rose-by-Drew-Barrymore/597932797" TargetMode="External"/><Relationship Id="rId44" Type="http://schemas.openxmlformats.org/officeDocument/2006/relationships/hyperlink" Target="https://www.amazon.com/dp/B00P7VW2H6/ref=sspa_dk_detail_3?psc=1&amp;pd_rd_i=B00P7VW2H6&amp;pd_rd_w=drhQV&amp;content-id=amzn1.sym.f2f1cf8f-cab4-44dc-82ba-0ca811fb90cc&amp;pf_rd_p=f2f1cf8f-cab4-44dc-82ba-0ca811fb90cc&amp;pf_rd_r=TTVMZAH0AGF6XJFZV933&amp;pd_rd_wg=wnOun&amp;pd_rd_r=86cba001-81f7-47f4-95bd-1441a7d3e36d&amp;sp_csd=d2lkZ2V0TmFtZT1zcF9kZXRhaWxfdGhlbWF0aWM" TargetMode="External"/><Relationship Id="rId194" Type="http://schemas.openxmlformats.org/officeDocument/2006/relationships/hyperlink" Target="https://www.amazon.com/Paladone-Harry-Potter-Hogwarts-Control/dp/B09XN5SQ9R/ref=sxin_17_sbv_search_btf?content-id=amzn1.sym.7032aefd-3c59-4a1e-aaf4-8d3a944207a4%3Aamzn1.sym.7032aefd-3c59-4a1e-aaf4-8d3a944207a4&amp;crid=38FR3IBZ0F3OO&amp;cv_ct_cx=Harry+potter+decor&amp;keywords=Harry+potter+decor&amp;pd_rd_i=B09XN5SQ9R&amp;pd_rd_r=468e5cf0-0b58-4ba8-ba2d-0a7c44cd8717&amp;pd_rd_w=QsGyv&amp;pd_rd_wg=ada5K&amp;pf_rd_p=7032aefd-3c59-4a1e-aaf4-8d3a944207a4&amp;pf_rd_r=Q41FMR3F1CJXB0AMMT1W&amp;qid=1743561085&amp;sbo=RZvfv%2F%2FHxDF%2BO5021pAnSA%3D%3D&amp;sprefix=harry+potter+decor+%2Caps%2C170&amp;sr=1-1-5190daf0-67e3-427c-bea6-c72c1df98776" TargetMode="External"/><Relationship Id="rId43" Type="http://schemas.openxmlformats.org/officeDocument/2006/relationships/hyperlink" Target="https://www.amazon.com/dp/B09V5NPHP3/ref=sspa_dk_detail_1?pd_rd_i=B09V5NPHP3&amp;pd_rd_w=V3VE6&amp;content-id=amzn1.sym.386c274b-4bfe-4421-9052-a1a56db557ab&amp;pf_rd_p=386c274b-4bfe-4421-9052-a1a56db557ab&amp;pf_rd_r=ATEP8TVZC9W1YH3CGSD6&amp;pd_rd_wg=omtjI&amp;pd_rd_r=7ec46565-b3cc-48e1-8008-a3814fc92f30&amp;sp_csd=d2lkZ2V0TmFtZT1zcF9kZXRhaWxfdGhlbWF0aWM&amp;th=1" TargetMode="External"/><Relationship Id="rId193" Type="http://schemas.openxmlformats.org/officeDocument/2006/relationships/hyperlink" Target="https://www.amazon.com/Douglas-Wizard-Snowy-Stuffed-Animal/dp/B00JIAOMJI/ref=sr_1_14?crid=S0PMJU3AVG6D&amp;dib=eyJ2IjoiMSJ9.uZWkJ_IttrT9VzJ_N3Z9JWWQnqDihxlLsGxTDRmCioQh84zGdARYSs5HkVDwsx23N1usxj2NbWFWJ0F6d37iI51nPZDuK-0YArt1qrIHugBBJfyYnVPH4ddECbZ8dEnmWUkfxmqrHYRzO3fTqIgELSyBzQtwtdUuncTgynvv0JIpuPqqxJeyPmfWdGC4P5-IXfXB2RZ574p_dJ5DjSNnBDz2nfv3uzGEg3u9oyS_uOo.SmT383bQqFGHov_Q4j6fnAKLErKELD6J6b-yGsGVam4&amp;dib_tag=se&amp;keywords=Plush+Harry+potter&amp;qid=1746627775&amp;sprefix=plush+harry+potte%2Caps%2C106&amp;sr=8-14" TargetMode="External"/><Relationship Id="rId46" Type="http://schemas.openxmlformats.org/officeDocument/2006/relationships/hyperlink" Target="https://www.amazon.com/Cedar-EasyWring-Microfiber-Bucket-Cleaning/dp/B00WSWGVZQ/ref=sr_1_3?crid=29U0B51TPPWIY&amp;dib=eyJ2IjoiMSJ9.7turIUr0Te9KD_B_2OXB3w.N0TeLYPiLG2nxX2F-Th5_xoOzhrbwagsJ4sNdwGZnpQ&amp;dib_tag=se&amp;keywords=B00WSWGVZQ&amp;qid=1743528390&amp;sprefix=b00wswgvzq%2Caps%2C104&amp;sr=8-3&amp;th=1" TargetMode="External"/><Relationship Id="rId192" Type="http://schemas.openxmlformats.org/officeDocument/2006/relationships/hyperlink" Target="https://www.amazon.com/Jay-Franco-Reversible-Comforter-Spellbound/dp/B076VNLZ53/ref=sr_1_6?crid=3HU2LI5Z15509&amp;dib=eyJ2IjoiMSJ9.rHbhGUpOIBZVUez5ZkTI0Ujze2y1J4NRWwGfDsPZE5dPdTedzC1fdiDUC4OqbmDhQKkGIh2PTmG2WXMKW00FNEXRVVvfqWw_Wkui18y4C3OVpiytlwUHN5HUz1h9xDi7qVHepYoLQAz7sydCsJ0Gh9lsEHgN8vFCFWOZ6DjubfHoF79kv2xb_5R0wmVsDFvHQbCJkL_HTsh_8QdL_yHo2nuZ1B2voq-JX1f0_ZfLjXk.6t9k4P8DK2C15wbEk6BT1Nk4lA1pZjuC3YESHOOJex4&amp;dib_tag=se&amp;keywords=comforter%2Btwin%2Bharry%2Bpotter&amp;qid=1743560892&amp;sprefix=conforter%2Btwin%2Bharry%2Bpotter%2Caps%2C143&amp;sr=8-6&amp;th=1" TargetMode="External"/><Relationship Id="rId45" Type="http://schemas.openxmlformats.org/officeDocument/2006/relationships/hyperlink" Target="https://www.amazon.com/BLACK-DECKER-Steam-Compact-IR40V/dp/B01NB05WI5/ref=sr_1_1_sspa?crid=1T1WA43LJU13J&amp;dib=eyJ2IjoiMSJ9.MFoKSP8e84wxs3yUrukvZw.mjssvGadJ8CTzn6i1q0IKlONzQYlCFyf4frMpOJTxuU&amp;dib_tag=se&amp;keywords=B01NB05WI5&amp;qid=1743528378&amp;sprefix=b01nb05wi5%2Caps%2C89&amp;sr=8-1-spons&amp;sp_csd=d2lkZ2V0TmFtZT1zcF9hdGY&amp;psc=1" TargetMode="External"/><Relationship Id="rId191" Type="http://schemas.openxmlformats.org/officeDocument/2006/relationships/hyperlink" Target="https://www.amazon.com/TJOY-Equivalent-Dimmable-Decorative-Filament/dp/B0B5KYTX52?pd_rd_w=uKxEb&amp;content-id=amzn1.sym.ea1d9533-fbb7-4608-bb6f-bfdceb6f6336&amp;pf_rd_p=ea1d9533-fbb7-4608-bb6f-bfdceb6f6336&amp;pf_rd_r=CPA59XWN62GTNPD4S92X&amp;pd_rd_wg=kJBtY&amp;pd_rd_r=c785d50b-8805-4ac8-af21-8f4c373b6d96&amp;ref_=sspa_dk_detail_2&amp;sp_csd=d2lkZ2V0TmFtZT1zcF9kZXRhaWxfdGhlbWF0aWM&amp;th=1" TargetMode="External"/><Relationship Id="rId48" Type="http://schemas.openxmlformats.org/officeDocument/2006/relationships/hyperlink" Target="https://www.amazon.com/gp/product/B0998MSMZQ/ref=ppx_yo_dt_b_search_asin_title?ie=UTF8&amp;th=1" TargetMode="External"/><Relationship Id="rId187" Type="http://schemas.openxmlformats.org/officeDocument/2006/relationships/hyperlink" Target="https://www.amazon.com/dp/B0CKYZHV5D/ref=twister_B0DYZ28XZV?_encoding=UTF8&amp;th=1" TargetMode="External"/><Relationship Id="rId47" Type="http://schemas.openxmlformats.org/officeDocument/2006/relationships/hyperlink" Target="https://www.amazon.com/Broom-Dustpan-Small-Kitchen-Necessities/dp/B096RXNDYT/ref=sr_1_3?crid=UZ8S9P9L84GW&amp;dib=eyJ2IjoiMSJ9.pvuSwed6n-oHyYaKXOZrCw.n8AF2hlyWhjlFQfs1kZ22rg05-7WE_4i8Jy0iwUTwx0&amp;dib_tag=se&amp;keywords=B096RXNDYT&amp;qid=1743528402&amp;sprefix=b096rxndyt%2Caps%2C108&amp;sr=8-3&amp;th=1" TargetMode="External"/><Relationship Id="rId186" Type="http://schemas.openxmlformats.org/officeDocument/2006/relationships/hyperlink" Target="https://www.amazon.com/Avengers-Infinity-Gauntlet-Electronic-Roleplay/dp/B07TB5M2SF/ref=sr_1_67?crid=2QRQEXJY6VIAF&amp;dib=eyJ2IjoiMSJ9.ud5zsOolx3GzfT_4GzjhawkVy6HB7f6C79x4fSpEN8gjYo9OhlwzzThfSXk-2kW1ssXwDHG6a6sYH8xRtqTzFqgdtEAw6YD3jg5GRN_BzKWl6QaBC0UoGguBfqNKvZM0O4pqA4JlAjQOoMY3kxDVy_ei_scP7O3CJunooYIZH7MNO7Hcegp2Gy31YwekdsM2r5v2OoZs0aLat3ZUtDY5LQj6BQ_6TeW-95uzhaOduPk.Wxyll7OwRzH5_-Zvj9A7W1So8QPlheIDRylCzs9sGa8&amp;dib_tag=se&amp;keywords=AVENGERS+PLUSH&amp;qid=1743560395&amp;sprefix=avengers+plush%2Caps%2C110&amp;sr=8-67&amp;xpid=OJ6XxeEPeoY2T" TargetMode="External"/><Relationship Id="rId185" Type="http://schemas.openxmlformats.org/officeDocument/2006/relationships/hyperlink" Target="http://amazon.com/dp/B087Z632WM/ref=twister_B0814B6D9G?_encoding=UTF8&amp;psc=1" TargetMode="External"/><Relationship Id="rId49" Type="http://schemas.openxmlformats.org/officeDocument/2006/relationships/hyperlink" Target="https://www.amazon.com/gp/product/B08FR6VFGY/ref=ppx_yo_dt_b_search_asin_title?ie=UTF8&amp;psc=1" TargetMode="External"/><Relationship Id="rId184" Type="http://schemas.openxmlformats.org/officeDocument/2006/relationships/hyperlink" Target="https://www.walmart.com/ip/LG-32-Ultragear-Gaming-Monitor-32G60WA-B/13658407275?classType=REGULAR&amp;athbdg=L1600&amp;adsRedirect=true" TargetMode="External"/><Relationship Id="rId189" Type="http://schemas.openxmlformats.org/officeDocument/2006/relationships/hyperlink" Target="https://www.walmart.com/ip/50UA7500ZUA-AUS/14364014573?classType=REGULAR&amp;athbdg=L1300&amp;adsRedirect=true" TargetMode="External"/><Relationship Id="rId188" Type="http://schemas.openxmlformats.org/officeDocument/2006/relationships/hyperlink" Target="https://www.amazon.com/dp/B00MW50754/ref=twister_B0CYCRVKD1?_encoding=UTF8&amp;th=1" TargetMode="External"/><Relationship Id="rId31" Type="http://schemas.openxmlformats.org/officeDocument/2006/relationships/hyperlink" Target="https://www.amazon.com/Luvan-Mixing-Storage-Cooking-Prepping/dp/B072MQH8B8/ref=sr_1_5_sspa?crid=1A7K2N0M7TU2T&amp;dib=eyJ2IjoiMSJ9.XO9lTe6l9jFebBwvNzwKdw.y_r-tCNZAsg0IvYSsJkojcShkrjg7CO5KKB5RT_WRcQ&amp;dib_tag=se&amp;keywords=B09V7DV9J9&amp;qid=1739476191&amp;s=home-garden&amp;sprefix=b09v7dv9j9%2Cgarden%2C107&amp;sr=1-5-spons&amp;sp_csd=d2lkZ2V0TmFtZT1zcF9idGY&amp;th=1" TargetMode="External"/><Relationship Id="rId30" Type="http://schemas.openxmlformats.org/officeDocument/2006/relationships/hyperlink" Target="https://www.amazon.com/Waiter-Corkscrew-Professional-Servers-Bartenders/dp/B0BV92S5R2/ref=sr_1_1?crid=2ZHYOX7OM5D99&amp;dib=eyJ2IjoiMSJ9.7KXxrBsZFjmM9dr7E3gPoQ.mEfHZzcWPbU3ma_fnvzs691bmv-u8Lp-9_3YD3SgDkk&amp;dib_tag=se&amp;keywords=B0BV92S5R2&amp;qid=1739476136&amp;s=home-garden&amp;sprefix=b0bv92s5r2%2Cgarden%2C94&amp;sr=1-1&amp;th=1" TargetMode="External"/><Relationship Id="rId33" Type="http://schemas.openxmlformats.org/officeDocument/2006/relationships/hyperlink" Target="https://www.amazon.com/Stainless-One-Handed-Operation-Countertop-Dispenser/dp/B0BHNJRKMJ/ref=sr_1_1_sspa?crid=ZB9Q92QGBJT2&amp;dib=eyJ2IjoiMSJ9.j59nLgxjloQSUga7Ov260XiWMXnL8y_q6tuiwKFtPDW3hcvny7aOCbKK6VZbCZTpAOTiE27uxMezT8Y2SHsJsGnBWyfTKu4zD6Zz-mGdjLgD1btgGQJTWoHr_H77bMOB-GWViFlNDWmOd540jOGZFap25VPJ71OG4MxUob1ouSChcKz7O4k5-SUx2AtnzBHJq5VSPWqEArlZ_RRx7ZakarYoVc5WsQXh7Y0OVXiOAbXep5E3n7dTEPv_eVDaBvBmWE-LH01vLxIDH9FxmX4JGTSjIQUadZHv55b23FArYkg.yxeSZZ4SLNPGmpFrMJvw4q-8ZhHbT2eaeD39AoBCfA4&amp;dib_tag=se&amp;keywords=soporte%2Bpapel%2Btoalha%2Bgold&amp;qid=1739476299&amp;s=home-garden&amp;sprefix=suporte%2Bpaple%2Btoalha%2Bgold%2Cgarden%2C96&amp;sr=1-1-spons&amp;sp_csd=d2lkZ2V0TmFtZT1zcF9hdGY&amp;th=1" TargetMode="External"/><Relationship Id="rId183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32" Type="http://schemas.openxmlformats.org/officeDocument/2006/relationships/hyperlink" Target="https://www.amazon.com/salt-and-pepper-grinder-set-salt-pepper-grinder-set/dp/B01N33U6Y5/ref=sr_1_10?crid=3KHT0AKIJMCYX&amp;dib=eyJ2IjoiMSJ9.qoEAb34LNNT4ecMSCfAx1YAsYnVyhuKZQkLxM4cbkeIVYMY9ktjkVdqjRr-Dw16pGfIa9tyZZsDkvwcLcEaRKIlo2BMv1rHHSFT0e5Rpz9RE-746vbtzu_GK0EVWauEwVyFa3BQBJejbqDmye8qO5a_0G_boINQyUcS5bteGYIZpeMJdO-Q2xonB4NZTi1_2ulAXh6O_cawpyIP49gcKerZqP6JoXazaPB-38gdugo8qlrrAflru9wwseIVztmEFiRVkVxiqjT_VBlbgGSgJ9M6DtOGJ5j80H6YoRMN9lT5Yii07VUvv27Y1Ca938zqTW32alriPeHUAVl8f6xVNxSAQzj6lQMiwehc4fS5W7O0.WsfAXEY8ylcu9ruY6L4k1L6LmwqfzwDQ-8yI5FRPGjo&amp;dib_tag=se&amp;keywords=salt%2Band%2Bpepper%2Bgrinder%2Bset&amp;qid=1739476230&amp;s=home-garden&amp;sprefix=salt%2Band%2Bpe%2Cgarden%2C131&amp;sr=1-10&amp;th=1" TargetMode="External"/><Relationship Id="rId182" Type="http://schemas.openxmlformats.org/officeDocument/2006/relationships/hyperlink" Target="https://www.amazon.com/IEDHFNGDBFV-Cabinet-Dresser-Hardware-Bathroom/dp/B0DL5LVPRY/ref=sr_1_2?crid=2HFDUBSSHG653&amp;dib=eyJ2IjoiMSJ9.VEKK3PzfP4Eo0xy5nPWDl6hzPaqJNkfZqkJ9Z3eCk9o-FBduNyirFL4NPng4WxB1TlRqez8NmnmzDJSUy8PPQQq5lErp0UxhIpQeXBnZV-0Apw4v7FtMReyHgHubyUmzmo9rpVkE0Nx1_pm3liIRGfrTY3xB_aNf0a3Z_cORfNU_GfUDQMTIA1LE__P_jYrM3gcpEdwwBWiZT92sfOmY4BUIJm6v_HlfiFuhNYGwg8s.IffR6fqYAQidmRRqg9BRxmZ-XUjAlvG1TI95WqbXHC8&amp;dib_tag=se&amp;keywords=knob%2Bspider%2Bman&amp;qid=1743559132&amp;sprefix=knob%2Bspider%2Bman%2Caps%2C103&amp;sr=8-2&amp;th=1" TargetMode="External"/><Relationship Id="rId35" Type="http://schemas.openxmlformats.org/officeDocument/2006/relationships/hyperlink" Target="https://www.amazon.com/CZUMJJ-Glasses-Durable-Wedding-Dishwasher/dp/B0BNL4YZZW/ref=sxts_b2b_sx_fused_v3_desktop_ref-tab-0?content-id=amzn1.sym.a949ec2f-983d-439e-ae6a-4028e2c2d8cc%3Aamzn1.sym.a949ec2f-983d-439e-ae6a-4028e2c2d8cc&amp;crid=26STPH91CF4IX&amp;cv_ct_cx=wine%2Bglasses%2Bset%2Bof%2B12&amp;keywords=wine%2Bglasses%2Bset%2Bof%2B12&amp;pd_rd_i=B0BNL4YZZW&amp;pd_rd_r=4be00001-5e82-444f-a0cd-ec50cd99928c&amp;pd_rd_w=7qgXI&amp;pd_rd_wg=alu3G&amp;pf_rd_p=a949ec2f-983d-439e-ae6a-4028e2c2d8cc&amp;pf_rd_r=3G8JE1H2WRNY3EKWSDDY&amp;qid=1739476399&amp;s=home-garden&amp;sbo=RZvfv%2F%2FHxDF%2BO5021pAnSA%3D%3D&amp;sprefix=wine%2Bglass%2Cgarden%2C122&amp;sr=1-4-c3caa9c6-537b-4b39-bbc5-5db9f871bef5&amp;th=1" TargetMode="External"/><Relationship Id="rId181" Type="http://schemas.openxmlformats.org/officeDocument/2006/relationships/hyperlink" Target="https://www.amazon.com/Storkcraft-Santos-Drawer-Dresser-Midnight/dp/B0CSJ9Z7TS/ref=sr_1_6?crid=387PZ6HTALC24&amp;dib=eyJ2IjoiMSJ9.tOzjDVpMpZFbdOMGVcF5v0W-r2RCArAeVwFI9dkcaR76kWoXOGGN8XIw2zsmPHK8SlshCh6F4OlIIrCxGqSWjX_y0FoRz0-mlqd0vj-uPUwBXjfyf7JJ58CQIGVtkwj_lZrqmFVTeZ2H99YsO8ejODXXVpNi7RU0Z83nfEgWCAk3NyMsLayxx8Fsi6SxrvOa33lNEvtSrGM_P3u6ZbFAU-XbtaXimSw_n3pgX7Oi5WCrYOgYCjxEYucV6xLDlUmp4G-v5rfVGXvA6DJ4Oy2PunM7lyKh-UJdAmqnJWatPmDTtvST4wCIcr2RCNCERD2kYagZyDZb-zBHZ5SjcA2_o6STkWGDwAjpHF0gmis0qR6yousia8w_9l9CC6e0UQ4oF5eNdMG1V52K6nqWj-6PWM3ZF2htOj0wVFplT3iBC8bk4HKLiAke69u1hVrgtx5B.3rVlDEm0tp7bgM9Nw8BCX_1TfgfStQfktQJ30iG0VPQ&amp;dib_tag=se&amp;keywords=Blue%2Bdresser&amp;qid=1743558608&amp;sprefix=blue%2Bdresser%2Caps%2C112&amp;sr=8-6&amp;th=1" TargetMode="External"/><Relationship Id="rId34" Type="http://schemas.openxmlformats.org/officeDocument/2006/relationships/hyperlink" Target="http://amazon.com/dp/B0DDSWGYJY/ref=sspa_dk_detail_4?psc=1&amp;pd_rd_i=B0DDSWGYJY&amp;pd_rd_w=KmYKI&amp;content-id=amzn1.sym.f2f1cf8f-cab4-44dc-82ba-0ca811fb90cc&amp;pf_rd_p=f2f1cf8f-cab4-44dc-82ba-0ca811fb90cc&amp;pf_rd_r=8B5MJHA139Z2TGKBSG58&amp;pd_rd_wg=qC9yX&amp;pd_rd_r=8015de0a-aab6-4ac6-b218-6a208586c410&amp;s=home-garden&amp;sp_csd=d2lkZ2V0TmFtZT1zcF9kZXRhaWxfdGhlbWF0aWM" TargetMode="External"/><Relationship Id="rId180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37" Type="http://schemas.openxmlformats.org/officeDocument/2006/relationships/hyperlink" Target="https://www.amazon.com/24-Piece-Storage-Containers-Upgraded-Locking/dp/B07Z9Y1677/ref=sr_1_4?crid=1HMM8LYM4ODVK&amp;dib=eyJ2IjoiMSJ9.Sh3DRz26_BH0KHJOisrDCw.P-ASp9S1yQwdqJfzK0haAUx96IRen0fTyoQnMSrXZhU&amp;dib_tag=se&amp;keywords=B07Z9Y1677&amp;qid=1739476540&amp;s=home-garden&amp;sprefix=b07z9y1677%2Cgarden%2C116&amp;sr=1-4&amp;th=1" TargetMode="External"/><Relationship Id="rId176" Type="http://schemas.openxmlformats.org/officeDocument/2006/relationships/hyperlink" Target="https://www.amazon.com/gp/product/B07T1RFHGW/ref=ox_sc_act_title_12?smid=A9R60ZNAJMSU9&amp;th=1" TargetMode="External"/><Relationship Id="rId297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36" Type="http://schemas.openxmlformats.org/officeDocument/2006/relationships/hyperlink" Target="https://www.walmart.com/ip/Beautiful-4-Slice-Toaster-with-Touch-Activated-Display-White-Icing-by-Drew-Barrymore/248647480?classType=VARIANT" TargetMode="External"/><Relationship Id="rId175" Type="http://schemas.openxmlformats.org/officeDocument/2006/relationships/hyperlink" Target="https://www.amazon.com/gp/product/B0BFCZMNCY/ref=ppx_yo_dt_b_search_asin_title?ie=UTF8&amp;th=1" TargetMode="External"/><Relationship Id="rId296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39" Type="http://schemas.openxmlformats.org/officeDocument/2006/relationships/hyperlink" Target="https://www.amazon.com/dp/B0DYF79JBN/ref=sspa_dk_detail_6?pd_rd_i=B0DYF79JBN&amp;pd_rd_w=UAGN6&amp;content-id=amzn1.sym.8c2f9165-8e93-42a1-8313-73d3809141a2&amp;pf_rd_p=8c2f9165-8e93-42a1-8313-73d3809141a2&amp;pf_rd_r=YM1BGXXNYMXDE1RNX6CB&amp;pd_rd_wg=LDHr1&amp;pd_rd_r=bd4dfaf1-0139-4ea5-9e4d-e26d18953d3a&amp;s=home-garden&amp;sp_csd=d2lkZ2V0TmFtZT1zcF9kZXRhaWw&amp;th=1" TargetMode="External"/><Relationship Id="rId174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95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38" Type="http://schemas.openxmlformats.org/officeDocument/2006/relationships/hyperlink" Target="https://www.amazon.com/UMEIED-Champagne-Sparkling-Anniversary-Christmas/dp/B0CPLM8CBD/ref=sr_1_1?crid=3KXSFZY51A1PX&amp;dib=eyJ2IjoiMSJ9.GUKiZhL3RyMP9IWvqnohzQ.UpgKe8NCgovH5xomH8HMiGToiLtA8XxFgCOz31FdO-Q&amp;dib_tag=se&amp;keywords=B0CPLM8CBD&amp;qid=1739476564&amp;s=home-garden&amp;sprefix=b0cplm8cbd%2Cgarden%2C295&amp;sr=1-1&amp;th=1" TargetMode="External"/><Relationship Id="rId173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94" Type="http://schemas.openxmlformats.org/officeDocument/2006/relationships/hyperlink" Target="https://www.nintendo.com/us/store/products/donkey-kong-10-plush-107373/?srsltid=AfmBOooaLnudDwzOQpb6X-2cxcnX6TLKtkJETw3APJCXQviM6BN--ibM" TargetMode="External"/><Relationship Id="rId179" Type="http://schemas.openxmlformats.org/officeDocument/2006/relationships/hyperlink" Target="https://www.walmart.com/ip/50UA7500ZUA-AUS/14364014573?classType=REGULAR&amp;athbdg=L1300&amp;adsRedirect=true" TargetMode="External"/><Relationship Id="rId178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99" Type="http://schemas.openxmlformats.org/officeDocument/2006/relationships/hyperlink" Target="https://www.amazon.com/XCSOURCE-Stick-Holder-Mount-Billiard/dp/B092HTZXNL/ref=sr_1_2_sspa?crid=IKUQZ841RT6W&amp;dib=eyJ2IjoiMSJ9.WzMIJajUVxw6enWAwuIBs-0WIlY6LzUGgk1ahiD_VSjklAZJMfmO_x8WJXE_gCAt5yXAcZc6awG2w83Rb9jNpvgrMiift62kH-atCHDWJWXCnalKlxZ5I-_4BMUSEaPsBmY4nFyxqtrPVx8I5DHnRzEThQW75veFtuJ6sIb9gNDnLbPCCtdxe04otUgzYweRjf8ctdB9iAYiJC1kyl4JtN37BsIhPIcjMzf1dy-6E-bPalZuPAdLf98aOr61uiUfdU_nuf4mOwvZw-Y3bp1AUGjhJqQE33sqebMXhtSyLDg.ZAAQ1_s27we_oJKfq87PvK4sgQN-lcMenEufn_7Spl8&amp;dib_tag=se&amp;keywords=billiard%2Baccessories&amp;qid=1757893134&amp;sprefix=billiard%2Bacessories%2Caps%2C209&amp;sr=8-2-spons&amp;sp_csd=d2lkZ2V0TmFtZT1zcF9hdGY&amp;th=1" TargetMode="External"/><Relationship Id="rId177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98" Type="http://schemas.openxmlformats.org/officeDocument/2006/relationships/hyperlink" Target="https://www.amazon.com/Yirinatek-Electronic-Decorative-Electric-Dartboard/dp/B0DHVTFK58/ref=sr_1_4_sspa?crid=3USCBIDWNFNNL&amp;dib=eyJ2IjoiMSJ9.tgYu0auyXxfm4RqV0BNC2veMIz5svvzTrAr6gJMsoK8j9X4nVvi-i7197-uPSHijDiyiHHLzlhvYVBlx_6VwexEW-Ksfvf1ZDDnU2whY1rrkiDTgtZOnI6oxcQkTyQLqOgJ4Pzp6-jAB5eDNhS1gggGFN7uWPktHRhtQcj8hCidfjVk9kAKa_bKR8-zEUsPp8-wI2-ky2ORtwtb1QEm0xK8PJE_k6AWiH8k0uHC_QhHzpAOeckpr6ewuwx-uAQ1xMhKz3D2a5AtyfkYnFeMTw1r5SC1dO3KQoWBXq1tsEPc.nOoMMSLNZh6QnoDlU8F5jzl2-YZmbKVS66TWOynSEvc&amp;dib_tag=se&amp;keywords=dardo%2Bboard&amp;qid=1757893666&amp;sprefix=dardo%2Bboard%2Caps%2C121&amp;sr=8-4-spons&amp;sp_csd=d2lkZ2V0TmFtZT1zcF9hdGY&amp;th=1" TargetMode="External"/><Relationship Id="rId20" Type="http://schemas.openxmlformats.org/officeDocument/2006/relationships/hyperlink" Target="https://www.costco.com/mikasa-huntington-40-piece-bone-china-dinnerware-set.product.100493960.html" TargetMode="External"/><Relationship Id="rId22" Type="http://schemas.openxmlformats.org/officeDocument/2006/relationships/hyperlink" Target="https://www.walmart.com/ip/Beautiful-PowerExact-Blender-System-Cornflower-Blue-by-Drew-Barrymore/5284775960" TargetMode="External"/><Relationship Id="rId21" Type="http://schemas.openxmlformats.org/officeDocument/2006/relationships/hyperlink" Target="https://www.amazon.com/KINGSTONE-Silverware-Stainless-Dishwasher-Restaurant/dp/B0CMCLD4K4/ref=sr_1_7_sspa?crid=25A4MEI8LVONT&amp;dib=eyJ2IjoiMSJ9.LrgF6mOvcmq_CLdwWbMr6G85ztWPj4IpC38TkZ-39uGnl_yjnSdoGPoRZkscZmV2MTEr9O8UXs6iKZXIGE8ymlyvJpq9VI3FoTQUjPShkeUh0gAZVbXvq6EY_5Jb95RbTGl4b0N7ugI2YBkbA6QkL_RYioA8nfriP6mwqoeEepMK3wnvddK8v55998DwtekKhxJl9aIP0Q0nmC8TvP0oi5qhC-Sa61pSHX3mneQq5bU.PXfNn4zoQFHE8wWAmU2k8lnzCuz9n-wm_2uhxbp8Zcg&amp;dib_tag=se&amp;keywords=mikasa%2Bsilverware%2Bset18%2F10&amp;qid=1739474250&amp;sprefix=Mikasa%2Bsilver%2Caps%2C123&amp;sr=8-7-spons&amp;sp_csd=d2lkZ2V0TmFtZT1zcF9tdGY&amp;th=1" TargetMode="External"/><Relationship Id="rId24" Type="http://schemas.openxmlformats.org/officeDocument/2006/relationships/hyperlink" Target="https://www.amazon.com/Utopia-Home-Restaurant-Napkins-Inches/dp/B07PKQCPLF/ref=sr_1_1_sspa?crid=2JX8PDNKB6I5G&amp;dib=eyJ2IjoiMSJ9.tI9buTCy94KeOZtEZTrAgQ.u2iBnwRzLUPnFqIWy4Y3Bqff5HtS1ksHGrPtdCrtS7c&amp;dib_tag=se&amp;keywords=B075YP4JTZ&amp;qid=1739475696&amp;sprefix=b075yp4jtz%2Caps%2C134&amp;sr=8-1-spons&amp;sp_csd=d2lkZ2V0TmFtZT1zcF9hdGY&amp;th=1" TargetMode="External"/><Relationship Id="rId23" Type="http://schemas.openxmlformats.org/officeDocument/2006/relationships/hyperlink" Target="https://www.amazon.com/Vaincre-Oven-Mitts-Heat-Resistant/dp/B0C1YQPB4Y/ref=sr_1_3?crid=F8JIAKPBJCEY&amp;dib=eyJ2IjoiMSJ9.gheiylOqX0Jyz6kBCxqZdA.JdmIkz5isb6lBK50TUKf8njJnMpKRBLaOaY_we9gmPQ&amp;dib_tag=se&amp;keywords=B0C1YQPB4Y&amp;qid=1739475573&amp;sprefix=b0c1yqpb4y%2Caps%2C164&amp;sr=8-3" TargetMode="External"/><Relationship Id="rId26" Type="http://schemas.openxmlformats.org/officeDocument/2006/relationships/hyperlink" Target="https://www.amazon.com/TureTech-SP-1-Holder-Kitchen-Sink/dp/B07KCJSSVS/ref=sr_1_5?crid=21ZPRW57XMPF1&amp;dib=eyJ2IjoiMSJ9.QcBYjyJGbeZm0phcphG-E8pF_8M0fsavAsD9NR1Remh7L-TEXRCIpMBcHIZqWKK5AicJleB1eGLFau6rXK5rFs56oXNi6J2FDDpUqgGwHfA.aWmnz3a1-S9kRemxP-GaiYeNqqlmKWNEOJw3iGJy79I&amp;dib_tag=se&amp;keywords=porta%2Bbucha&amp;qid=1739476016&amp;s=home-garden&amp;sprefix=porta%2Bbuch%2Cgarden%2C123&amp;sr=1-5&amp;th=1" TargetMode="External"/><Relationship Id="rId25" Type="http://schemas.openxmlformats.org/officeDocument/2006/relationships/hyperlink" Target="https://www.amazon.com/HYER-KITCHEN-Microfiber-Absorbent-Dishcloth/dp/B08KXN5NRB/ref=sxin_16_pa_sp_search_thematic_sspa?content-id=amzn1.sym.c5787da2-212d-48eb-a894-9ea5a87adeb3%3Aamzn1.sym.c5787da2-212d-48eb-a894-9ea5a87adeb3&amp;crid=20JO6HWYY51JH&amp;cv_ct_cx=B07WMQP4SF&amp;keywords=B07WMQP4SF&amp;pd_rd_i=B08KXPSTFG&amp;pd_rd_r=eb6b9cbb-3a72-4900-83a4-5e416c827cea&amp;pd_rd_w=onwyY&amp;pd_rd_wg=H1vZa&amp;pf_rd_p=c5787da2-212d-48eb-a894-9ea5a87adeb3&amp;pf_rd_r=VKC3G9P0YBTXFX8D0830&amp;qid=1739475936&amp;sbo=RZvfv%2F%2FHxDF%2BO5021pAnSA%3D%3D&amp;sprefix=b07wmqp4sf%2Caps%2C137&amp;sr=1-4-6024b2a3-78e4-4fed-8fed-e1613be3bcce-spons&amp;sp_csd=d2lkZ2V0TmFtZT1zcF9zZWFyY2hfdGhlbWF0aWM&amp;th=1" TargetMode="External"/><Relationship Id="rId28" Type="http://schemas.openxmlformats.org/officeDocument/2006/relationships/hyperlink" Target="https://www.amazon.com/dp/B0DZNS76GZ/ref=sspa_dk_detail_5?pd_rd_i=B0F23FBQQY&amp;pd_rd_w=FRkDF&amp;content-id=amzn1.sym.f2f1cf8f-cab4-44dc-82ba-0ca811fb90cc&amp;pf_rd_p=f2f1cf8f-cab4-44dc-82ba-0ca811fb90cc&amp;pf_rd_r=FSPEMF5KPBPWJY1NTVEY&amp;pd_rd_wg=7C1Ru&amp;pd_rd_r=5ebd05fc-ecc1-4c4e-a6f0-804fc57c222d&amp;s=home-garden&amp;sp_csd=d2lkZ2V0TmFtZT1zcF9kZXRhaWxfdGhlbWF0aWM&amp;th=1" TargetMode="External"/><Relationship Id="rId27" Type="http://schemas.openxmlformats.org/officeDocument/2006/relationships/hyperlink" Target="https://www.amazon.com/LWSFF-Countertops-Cocktail-Dispenser-Suitable/dp/B0D3DVNT35/ref=sr_1_2_sspa?crid=75QRITI21WJQ&amp;dib=eyJ2IjoiMSJ9.M3vwOjxNUrk1DCsItmEBqykZT0xzjuoIrtS7Z3SzqRjzzWYTFlkRbddikZ3Jnd76U4GRgCpxMS9_5UlHs0t0v_7nUawx99FzK01e4jaoFxKkb7_tD2xs8txnnfWry64RNPZSGpmzZVCZxq5Nqv6Q9WHVR1An8mJHnOwqZxZTwS3e1Qwj67E_uZF3-ugQVsmRneiAQjc13o9kFJHZhKY2mt_GAfjULZLAxVEtNeEdCDRNtPpWsuZxj6YV-nCJG2HSdMF3FYAzNFri1A2ydeRxFQSs36EfriiQ9CNdGAwbF9I.cn1PuV1w5rnh_Xzp0xb1ED4qBksAWp4gyUWAj9UP78o&amp;dib_tag=se&amp;keywords=porta%2Bguardanapo&amp;qid=1739476038&amp;s=home-garden&amp;sprefix=porta%2Bguardanapo%2Cgarden%2C94&amp;sr=1-2-spons&amp;sp_csd=d2lkZ2V0TmFtZT1zcF9hdGY&amp;th=1" TargetMode="External"/><Relationship Id="rId29" Type="http://schemas.openxmlformats.org/officeDocument/2006/relationships/hyperlink" Target="https://www.amazon.com/Rings-12-Holders-Buckles-Wedding-Decorations/dp/B0CZLBN56L/ref=sr_1_6?crid=3AJI489UDK2NC&amp;dib=eyJ2IjoiMSJ9.zdvLmrqO68KuZbD3d1E9ukg0LPNIqYgJ22kMh_JohA1-siBUEeXINHuQwQJO9N_PnF_r95vRML29koe2BVP1jj0OnmO0LFsOUQERmoSNngEyNcavMJf5B1D68_wm3Fnm5EAh8bDM_9eihx4r_5E8sV0PQqJN8oLs3y0CedGGb04Q2yjKfixCU4hHmJKcGypDt8GJd0J9EnBXU_pDbSbuBTd27apyDuPW2PcINSYOTDsWzUYvfFD29swClGqIeBAuJINn-4FnWuSdlUqxOib100urj0GCxtNfshK-lnFP0BDtMPjMuuphOsJN8Cq0fHHvwg7KuhIIvKqi01WbK-lDRp6-D9oMBfdD9mW8kwfBsis.4qGPip6gHlwWgxgSb_Fb8Ncl7j64XhJ_UG4eRKMfaf4&amp;dib_tag=se&amp;keywords=ring%2Bfor%2Bnapkins%2Bset%2B12&amp;qid=1739476114&amp;s=home-garden&amp;sprefix=ring%2Bfor%2Bnapkins%2Bset%2B12%2Cgarden%2C191&amp;sr=1-6&amp;th=1" TargetMode="External"/><Relationship Id="rId11" Type="http://schemas.openxmlformats.org/officeDocument/2006/relationships/hyperlink" Target="https://www.amazon.com/Zhuoyue-Kitchen-Utensils-Nonstick-Cookware/dp/B07RK6T93J/ref=sr_1_2_sspa?crid=3A8DUN9VH4IW0&amp;dib=eyJ2IjoiMSJ9.hLIs9A_GlrrmcBCsSbipRw.YASqbceZppw6shwMj0kGMh4280g0K7VRQuuIhFu3zoQ&amp;dib_tag=se&amp;keywords=B0785LCP1S&amp;qid=1739465972&amp;sprefix=b0785lcp1s%2Caps%2C94&amp;sr=8-2-spons&amp;sp_csd=d2lkZ2V0TmFtZT1zcF9hdGY&amp;psc=1" TargetMode="External"/><Relationship Id="rId10" Type="http://schemas.openxmlformats.org/officeDocument/2006/relationships/hyperlink" Target="https://www.amazon.com/Natural-Coasters-inches-Holder-Storage/dp/B0754MKRYH/ref=sr_1_3?crid=MZ3W13U16478&amp;dib=eyJ2IjoiMSJ9.0cyAVLhjoJnGRVOLKxTBkw.P1qiE_q8q40M2BDMYotJZ0rfT1ZysbWav1RHd2SaJ3U&amp;dib_tag=se&amp;keywords=B0754MKRYH&amp;qid=1739465958&amp;sprefix=b0754mkryh%2Caps%2C111&amp;sr=8-3" TargetMode="External"/><Relationship Id="rId13" Type="http://schemas.openxmlformats.org/officeDocument/2006/relationships/hyperlink" Target="https://www.amazon.com/gp/product/B010E0N7ZU/ref=ppx_yo_dt_b_search_asin_title?ie=UTF8&amp;th=1" TargetMode="External"/><Relationship Id="rId12" Type="http://schemas.openxmlformats.org/officeDocument/2006/relationships/hyperlink" Target="https://www.amazon.com/FDPBY-Pendant-Hanging-Lighting-Entryway/dp/B0C4KGZ581/ref=sr_1_9?crid=2KHLKKASP76K6&amp;dib=eyJ2IjoiMSJ9.LrR-e57YDHo7PdZA0pmSqg_MH1YwjxVWtEJshB6uvQ742C05r3Qoe220jLHPQuVFz1ZCcPCGthHnIJzXG6meIEz2LT0lY9ZXyvnMOuLYwZWy3OmxaAzilKJKdZd28UT0ju5iMTpAfVfIR6cLEsthWmsFblzYgLV0Ibt5InSnLCXb4vVdjqCpaxzlwR8wG8A3-dzgyXL3-ow93515eoma1iIzbRvZrfHANDgv79iYzNnQAFdnisMjTe7Z_QrIQtktsRMPybTQCSD1gTA6hKJTOYHX5g6Omhow_A5zw8L8zM8.i0T4U9gv2B0r8yhpWtL8TCZ67pNOFI7nRMN7a6jjbe4&amp;dib_tag=se&amp;keywords=Lighting%2Bpendant%2Bglobe&amp;qid=1751229345&amp;s=hi&amp;sprefix=lighting%2Bpendant%2Bglobe%2Ctools%2C91&amp;sr=1-9&amp;th=1" TargetMode="External"/><Relationship Id="rId15" Type="http://schemas.openxmlformats.org/officeDocument/2006/relationships/hyperlink" Target="https://www.amazon.com/ExcelSteel-5-Quart-Stainless-Steel-Colander/dp/B00555ETXY/ref=sr_1_3?crid=2NIT9RUZYXAX8&amp;dib=eyJ2IjoiMSJ9.rhyvkJ3ldthLmDmA7ZBDNxgf2ahdFTFequ-NQdlE3Eh48tKmmQY_CBN9BR18SiGfJExgW-SBlc5E13zBVlca6Tnu7vfCxgQoXTqI129_TrNVWTUfU3KuF4GpzhDW0VKAviDdqOxYR2XHN93ky6WS3rToSyAczQxPmRYLFKlvLjkQLoCwI_gsNkNqAHJET3cGWc4tsA9vNciV4cla2tIRZmMOUQRBsFm82XDKZ8VKzJM.rKBi-kmo4UiZUjCO2xMkl_AJOAX2-PrRUOR_XD6-ZDw&amp;dib_tag=se&amp;keywords=escorredor+de+macarr%C3%A3o&amp;qid=1739466297&amp;sprefix=escorredor+de+%2Caps%2C104&amp;sr=8-3" TargetMode="External"/><Relationship Id="rId198" Type="http://schemas.openxmlformats.org/officeDocument/2006/relationships/hyperlink" Target="https://www.amazon.com/Linenspa-Premium-Smooth-Mattress-Protector/dp/B00MW4ZK8O/ref=sr_1_1_sspa?crid=QYPQZ5I8X8UX&amp;dib=eyJ2IjoiMSJ9.koxMFNoF0bsW1Kvru2xkgw.yJ7KbD2c6tmhmA0KNZjiwpdH6gAhtpHABxTZqD3vOmE&amp;dib_tag=se&amp;keywords=B00MW4ZK8O&amp;qid=1737044757&amp;sprefix=b00mw4zk8o%2Caps%2C112&amp;sr=8-1-spons&amp;sp_csd=d2lkZ2V0TmFtZT1zcF9hdGY&amp;th=1" TargetMode="External"/><Relationship Id="rId14" Type="http://schemas.openxmlformats.org/officeDocument/2006/relationships/hyperlink" Target="https://www.amazon.com/Walfos-Silicone-Trivet-Mats-Multipurpose/dp/B08JLB2PQ2/ref=sr_1_1_sspa?crid=1QG3XT4JIKMIX&amp;dib=eyJ2IjoiMSJ9.Jze9lB458YiTt9LVIveoFA.2rqiL-OGGO2fUGUkMmrlScMQzjCXrQU_Rx8irCLd2nc&amp;dib_tag=se&amp;keywords=B08JLB2PQ2&amp;qid=1739466273&amp;sprefix=b08jlb2pq2%2Caps%2C112&amp;sr=8-1-spons&amp;sp_csd=d2lkZ2V0TmFtZT1zcF9hdGY&amp;psc=1" TargetMode="External"/><Relationship Id="rId197" Type="http://schemas.openxmlformats.org/officeDocument/2006/relationships/hyperlink" Target="https://www.amazon.com/Zinus-Mattress-Fiberglass-Pressure-Certified/dp/B0CKYZCVXK?th=1" TargetMode="External"/><Relationship Id="rId17" Type="http://schemas.openxmlformats.org/officeDocument/2006/relationships/hyperlink" Target="https://www.amazon.com/Libbey-Orbita-16-Piece-Tumbler-Rocks/dp/B0778KMLY9/ref=sr_1_3?crid=IFO80W2RASY&amp;dib=eyJ2IjoiMSJ9.9aOeeqSrZinQZgShAN1IHg.3aFljb5K1IsL2rfPTp2NZJwsgNTRUsJw5v9xz_-KP10&amp;dib_tag=se&amp;keywords=B00865OTOE&amp;qid=1739466482&amp;sprefix=b00865otoe%2Caps%2C97&amp;sr=8-3&amp;th=1" TargetMode="External"/><Relationship Id="rId196" Type="http://schemas.openxmlformats.org/officeDocument/2006/relationships/hyperlink" Target="https://www.amazon.com/Paladone-Hogwarts-Officially-Licensed-Merchandise/dp/B09RLRHDC6/ref=sr_1_22_sspa?dib=eyJ2IjoiMSJ9.vLzuydNxh9Lg4cdCBwCnQlo1gzSyH4XlVNsfJOMpB6mBTga2vhxS8ujKz9leuhXeP9aiELbELnNcJFTsxh2bvT3uPEzAHzfoNYZG6e6DPBk4_uoS3DI35MGwLKGkYk3H4PSiAZHh_ZdntNDOcRx7Jg5mWOhzy4lod9ZqjgZlr6TdHvAYYIFg2sgg7vxqzKLtammTM1Wq4MeDdw-UjyqfDz_gqUWdHV-2WdzklfGKFnU.4lSceB_fs4VrSUGFZ81bjf888KgMD3ndTkDuBV7n4XA&amp;dib_tag=se&amp;keywords=decor+pillow+harry+potter&amp;qid=1743561283&amp;sr=8-22-spons&amp;sp_csd=d2lkZ2V0TmFtZT1zcF9idGY&amp;psc=1" TargetMode="External"/><Relationship Id="rId16" Type="http://schemas.openxmlformats.org/officeDocument/2006/relationships/hyperlink" Target="https://www.amazon.com/Leetaltree-Placemats-Resistant-Non-Slip-Washable/dp/B0C6HX1XW8/ref=sr_1_6?crid=1S1TKCUUH7S72&amp;dib=eyJ2IjoiMSJ9.Jx_cYYR9Fwiif8kJ7u-Jp2pYOgb15Ne-8Bon0LVvFjMRMyLb8otroAz7IH5ZU0VLIILMZzLVyNfRfQPeG70hHRG1aO2F4SLJekiEPJdvtwBhiRm6viDlZAq9IjCc1lIVUOXrVO9IU7PNvcRCL6ZTn2neFw3_T2II3rBB8Hklcz0qJjwX4fuYL_Of4SeEQ-bk9V7oMVHRTou-psWxeamZ8vCq5CdMuoHfCjDne6mrrds.AbO0CEg8QA0b3u-_s3m5Lq_Al_gP7fNPBqRPF_WlSb8&amp;dib_tag=se&amp;keywords=jogo%2Bamericano&amp;qid=1739466404&amp;sprefix=jogo%2Bamericano%2Caps%2C104&amp;sr=8-6&amp;th=1" TargetMode="External"/><Relationship Id="rId195" Type="http://schemas.openxmlformats.org/officeDocument/2006/relationships/hyperlink" Target="https://www.amazon.com/Jay-Franco-Warner-Brothers-Stuffed/dp/B07DGCQJWR/ref=sr_1_1_sspa?crid=1KA6E9Y0EDAZC&amp;dib=eyJ2IjoiMSJ9.VqrkKbxaA2RphJJybpptFwSuz7_uSlMfsEKGiUzm_vkm4Z5Ue2qZBxx73szq9ZLGn4YoPz-Nu2b2TDtUKDItoDCCwADpwNQ3ZLG4gW0QWXQdpFKsMdkxal0aTBPGMssKcf2NOtSNeYPGDuslQvItC8CzAV_KHwQk9OB0z6vLlDNQuG5mXM1DhYAQk2SD4xmixNE5YxTzY8CUt5Hp7xl6opOGq7UCswJfOd3KVM0gqOE.SkZB2-TMBfCeFeUWzxmNKyHPTx7Th5-j6UvRL9xnqQ8&amp;dib_tag=se&amp;keywords=Plush%2Bpillow%2Bharry%2Bpotter&amp;qid=1743561364&amp;sprefix=plush%2Bpillow%2Bharry%2Bpotter%2Caps%2C92&amp;sr=8-1-spons&amp;sp_csd=d2lkZ2V0TmFtZT1zcF9hdGY&amp;th=1" TargetMode="External"/><Relationship Id="rId19" Type="http://schemas.openxmlformats.org/officeDocument/2006/relationships/hyperlink" Target="https://www.costco.com/t-fal-excellence-ceramic-non-stick-cookware-set-10-piece.product.4000202536.html" TargetMode="External"/><Relationship Id="rId18" Type="http://schemas.openxmlformats.org/officeDocument/2006/relationships/hyperlink" Target="https://www.amazon.com/Cuisinart-C55-12PCER1-Advantage-Collection-Multicolored/dp/B00N9HWFLS/ref=dp_fod_d_sccl_1/147-1871314-7552764?pd_rd_w=5nwdy&amp;content-id=amzn1.sym.9cf17164-13e4-4652-96f9-f76b8f33fec0&amp;pf_rd_p=9cf17164-13e4-4652-96f9-f76b8f33fec0&amp;pf_rd_r=Y57ZYEWE136A7A58HWBF&amp;pd_rd_wg=TxF5Z&amp;pd_rd_r=94002668-2f1c-416c-98b3-d7cb9129669b&amp;pd_rd_i=B00N9HWFLS&amp;th=1" TargetMode="External"/><Relationship Id="rId199" Type="http://schemas.openxmlformats.org/officeDocument/2006/relationships/hyperlink" Target="https://www.walmart.com/ip/50UA7500ZUA-AUS/14364014573?classType=REGULAR&amp;athbdg=L1300&amp;adsRedirect=true" TargetMode="External"/><Relationship Id="rId8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83" Type="http://schemas.openxmlformats.org/officeDocument/2006/relationships/hyperlink" Target="https://www.amazon.com/gp/product/B07T1RFHGW/ref=ox_sc_act_title_12?smid=A9R60ZNAJMSU9&amp;th=1" TargetMode="External"/><Relationship Id="rId86" Type="http://schemas.openxmlformats.org/officeDocument/2006/relationships/hyperlink" Target="https://www.walmart.com/ip/LG-55-4K-UHD-Smart-TV-2160p-webOS-55UQ7070ZUE/332111459?classType=REGULAR&amp;athbdg=L1102&amp;adsRedirect=true" TargetMode="External"/><Relationship Id="rId85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88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150" Type="http://schemas.openxmlformats.org/officeDocument/2006/relationships/hyperlink" Target="https://www.amazon.com/dp/B00MW4ZK8O/ref=twister_B0CYCRVKD1?_encoding=UTF8&amp;th=1" TargetMode="External"/><Relationship Id="rId271" Type="http://schemas.openxmlformats.org/officeDocument/2006/relationships/hyperlink" Target="https://www.amazon.com/gp/product/B07P72ZB37/ref=ppx_yo_dt_b_search_asin_title?ie=UTF8&amp;th=10" TargetMode="External"/><Relationship Id="rId87" Type="http://schemas.openxmlformats.org/officeDocument/2006/relationships/hyperlink" Target="https://www.amazon.com/gp/product/B07P72ZB37/ref=ppx_yo_dt_b_search_asin_title?ie=UTF8&amp;th=1" TargetMode="External"/><Relationship Id="rId270" Type="http://schemas.openxmlformats.org/officeDocument/2006/relationships/hyperlink" Target="https://www.walmart.com/ip/LG-32-Ultragear-Gaming-Monitor-32G60WA-B/13658407275?classType=REGULAR&amp;athbdg=L1600&amp;adsRedirect=true" TargetMode="External"/><Relationship Id="rId89" Type="http://schemas.openxmlformats.org/officeDocument/2006/relationships/hyperlink" Target="https://www.amazon.com/dp/B0B6BBVPCJ/ref=twister_B0B6BB2TRJ?_encoding=UTF8&amp;th=1" TargetMode="External"/><Relationship Id="rId80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82" Type="http://schemas.openxmlformats.org/officeDocument/2006/relationships/hyperlink" Target="https://www.amazon.com/gp/product/B0BFCY84XY/ref=ppx_yo_dt_b_search_asin_title?ie=UTF8&amp;th=1" TargetMode="External"/><Relationship Id="rId81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" Type="http://schemas.openxmlformats.org/officeDocument/2006/relationships/comments" Target="../comments3.xml"/><Relationship Id="rId2" Type="http://schemas.openxmlformats.org/officeDocument/2006/relationships/hyperlink" Target="https://www.amazon.com/PLUS-Haven-Backing-Welcome-Beautiful/dp/B07THN5B78/ref=sr_1_3?crid=1CUP5UCJP874X&amp;dib=eyJ2IjoiMSJ9.lz18oYd6nfRxC3mDGRvEoA.PUp1OF1kBo4kacBLYvJzZ9b7KyNzkQ8Kel1nN27GqiA&amp;dib_tag=se&amp;keywords=B07THN5B78&amp;qid=1743466263&amp;sprefix=b07thn5b78%2Caps%2C173&amp;sr=8-3&amp;th=1" TargetMode="External"/><Relationship Id="rId3" Type="http://schemas.openxmlformats.org/officeDocument/2006/relationships/hyperlink" Target="https://www.amazon.com/MELOMOIR-Oversized-Freestanding-Bedroom-Tempered/dp/B0DG8FBHXR/ref=sxin_15_pa_sp_search_thematic_sspa?content-id=amzn1.sym.2da95b6c-f59a-4699-bc43-d0ff036c6388%3Aamzn1.sym.2da95b6c-f59a-4699-bc43-d0ff036c6388&amp;crid=3ETLG1E5LNBE2&amp;cv_ct_cx=BIG%2BMIRROR&amp;keywords=BIG%2BMIRROR&amp;pd_rd_i=B0DG8FBHXR&amp;pd_rd_r=f5415906-653d-4ed2-bfbd-7e2795a37173&amp;pd_rd_w=3vUk3&amp;pd_rd_wg=ph0OD&amp;pf_rd_p=2da95b6c-f59a-4699-bc43-d0ff036c6388&amp;pf_rd_r=S3GQEYCTFZTZCMQKQHCH&amp;qid=1752765329&amp;sbo=RZvfv%2F%2FHxDF%2BO5021pAnSA%3D%3D&amp;sprefix=big%2Bmirror%2B%2Caps%2C384&amp;sr=1-5-6024b2a3-78e4-4fed-8fed-e1613be3bcce-spons&amp;sp_csd=d2lkZ2V0TmFtZT1zcF9zZWFyY2hfdGhlbWF0aWM&amp;th=1" TargetMode="External"/><Relationship Id="rId149" Type="http://schemas.openxmlformats.org/officeDocument/2006/relationships/hyperlink" Target="https://www.amazon.com/Zinus-Mattress-Fiberglass-Pressure-Certified/dp/B0CKYZCVXK/ref=sr_1_5?crid=2WJD6FXX20X4H&amp;dib=eyJ2IjoiMSJ9.DO_w8f1J0X5rYl6o_167bA.omAaGWjoKmESkuGUxhE9YvSCsTseb2mrjxJRHbPNhx0&amp;dib_tag=se&amp;keywords=B0CKYZHV5D&amp;qid=1737043383&amp;sprefix=b0ckyzhv5d%2Caps%2C96&amp;sr=8-5&amp;th=1" TargetMode="External"/><Relationship Id="rId4" Type="http://schemas.openxmlformats.org/officeDocument/2006/relationships/hyperlink" Target="https://www.amazon.com/Flyrose-Pendant-Minimalist-Lighting-Industrial/dp/B0CFFB5BC7/ref=sr_1_2?dib=eyJ2IjoiMSJ9.aFUwolCo39YbxvlTe8AgzA.perHelgl_v5oQIOQiDuQ37vRynhmgDQHfsXQIAndlYc&amp;dib_tag=se&amp;keywords=B0CFFB5BC7&amp;qid=1743466346&amp;sr=8-2&amp;th=1" TargetMode="External"/><Relationship Id="rId148" Type="http://schemas.openxmlformats.org/officeDocument/2006/relationships/hyperlink" Target="https://www.amazon.com/Pllieay-Needlework-Dressmaking-Embroidery-Tablecloths/dp/B0924CGRQ2/ref=rvi_d_sccl_15/137-7602536-0262240?pd_rd_w=38Nl8&amp;content-id=amzn1.sym.f5690a4d-f2bb-45d9-9d1b-736fee412437&amp;pf_rd_p=f5690a4d-f2bb-45d9-9d1b-736fee412437&amp;pf_rd_r=EN0BMZ5HQTBPW3YW59DK&amp;pd_rd_wg=NcD6L&amp;pd_rd_r=039dc81a-2175-43d8-8c43-f1e233327965&amp;pd_rd_i=B0924CGRQ2&amp;psc=1" TargetMode="External"/><Relationship Id="rId269" Type="http://schemas.openxmlformats.org/officeDocument/2006/relationships/hyperlink" Target="https://www.amazon.com/dp/B0C1XRJPKX/ref=sspa_dk_detail_1?pd_rd_i=B0C1XRJPKX&amp;pd_rd_w=WHEUM&amp;content-id=amzn1.sym.30062d3d-2c31-47f3-af26-55177a669bb5&amp;pf_rd_p=30062d3d-2c31-47f3-af26-55177a669bb5&amp;pf_rd_r=RNE8GRT0T34S2TRTWG5H&amp;pd_rd_wg=hJYB5&amp;pd_rd_r=8f325d8b-13df-4e30-9c72-5f2b2e40971e&amp;sp_csd=d2lkZ2V0TmFtZT1zcF9kZXRhaWxfdGhlbWF0aWM&amp;th=1" TargetMode="External"/><Relationship Id="rId9" Type="http://schemas.openxmlformats.org/officeDocument/2006/relationships/hyperlink" Target="https://www.amazon.com/Primula-Stewart-Whistling-Stovetop-Stainless/dp/B0858VCYTB/ref=sr_1_3?crid=H419X85IBNE7&amp;dib=eyJ2IjoiMSJ9.dmNgltKhAsdbNhXHAnVdMA.QkbztiNejunqH2sVw5LykPBiknEUYZPn__WnCR7Atpg&amp;dib_tag=se&amp;keywords=B0858VCYTB&amp;qid=1739465933&amp;sprefix=b0858vcytb%2Caps%2C98&amp;sr=8-3" TargetMode="External"/><Relationship Id="rId143" Type="http://schemas.openxmlformats.org/officeDocument/2006/relationships/hyperlink" Target="https://www.amazon.com/Decoration-Hangings-Fishing-Wedding-Photographing/dp/B07BQK6WLH/ref=sr_1_7_sspa?crid=32FS76Y8JVYXA&amp;dib=eyJ2IjoiMSJ9.WAruMPSLht7W-UUBoqNW6ki5Qsa8WP3sQeDAsxkY8vbaZF13swFBUUFEFHVfAgLd-FuspI1Kv5PAqBUsDDTTQKD9eqHaF7NgkG4kB-9Ew93LX6aNQff6YQoj4DcUzp7hhHdh30EMqnVl7VNrQshpKG_Tro18O8Oe5aGzLVOJaHPUGl4zH9HqVqufm3GDb1jvqCPEhTp-MjgNvHYSyDFK3ldhXL0l2icUpZmtg8iC7pc.NWe2FZ3b75leSL0PCmUy5XeUbYCInhYAhWhyF4SGzys&amp;dib_tag=se&amp;keywords=rede%2Bde%2Bpesca&amp;qid=1745020401&amp;sprefix=rede%2Bde%2Bpesca%2Caps%2C114&amp;sr=8-7-spons&amp;sp_csd=d2lkZ2V0TmFtZT1zcF9tdGY&amp;th=1" TargetMode="External"/><Relationship Id="rId264" Type="http://schemas.openxmlformats.org/officeDocument/2006/relationships/hyperlink" Target="https://www.amazon.com/Ceiling-XINDAR-Creative-Stepless-Childrens/dp/B08LZ1ZVNF/ref=sr_1_4?crid=HU9PVE9KJ8MB&amp;dib=eyJ2IjoiMSJ9.cF4FKqdjrqNtsHl5DSMJItUrT_Cryrztew8Aprsc5lkSqmt6fW_mQT_bdUsHW6yrzPqau6GhoxvCQOb9GMkYnxB5mLAMB1MMjBq8GgV6xKqBFVMfQkvK2nIfi9RNYjpnFewbHu8THFtbKPJGbDSZKmtqMsrlmkyjqaLHTuXSi_d0BCqLmh7quJe80n2jqOGeCIn8Mtvn3rZl1LDQLkeMP0IbY3rN5bxZ6RQLBDjbvVw.IrO2d9axpc2not43aCrsbfuilWuu1KKexTmjtuMs1k0&amp;dib_tag=se&amp;keywords=Lighting%2BMickey&amp;qid=1745167199&amp;sprefix=lighting%2Bmickey%2B%2Caps%2C122&amp;sr=8-4&amp;th=1" TargetMode="External"/><Relationship Id="rId142" Type="http://schemas.openxmlformats.org/officeDocument/2006/relationships/hyperlink" Target="https://www.amazon.com/PARTYGEARS-Specially-Designed-Children-Multicolor/dp/B0BQ1XK2JJ/ref=sr_1_10?crid=R5PP2KXGZ9IZ&amp;dib=eyJ2IjoiMSJ9.49SkeNffbD7MRID4bvR_-FMJo_vh28i8dNW42UflQoMxJVXyV0ul-6Q6jv6xXvYucwEALjPQk6SO7gSo5TLYHjzL0U6362jMC2qp0XE5lbL2PxGDv3OykaNY2oqYpUieBh69F9Ey_zrTqP1ESXLP9dCgte8DwpkbJrEhm_qY3giVmhNmuJb65PDI2R2g4JpjJCvgcn6L27X69Ykf_KXIwTrRvnHjDjfboX5bfVYsrC7P2fkiVReeFN18cINmeR4_jO810bjl50esVbZQA40TqswHTdEc9FhqFpDMYTM2Oa0.4LAZsfaYRKws6nLi_KcwJyfFvagL9a_tXgOAwGPzY4I&amp;dib_tag=se&amp;keywords=viking+fake+plastic+sword&amp;qid=1744730618&amp;sprefix=viking+fake+plastic+sword%2Caps%2C75&amp;sr=8-10" TargetMode="External"/><Relationship Id="rId263" Type="http://schemas.openxmlformats.org/officeDocument/2006/relationships/hyperlink" Target="https://www.amazon.com/Utopia-Bedding-Decorative-Pillow-Insert/dp/B0714K41PB/ref=sr_1_4?crid=2CWE3RXA8I6F0&amp;dib=eyJ2IjoiMSJ9.83WK9wPPpXjkJKnR4s-uuXKP1dCNSse3G7ywbi-9ud6efksRp2pjLmKAqGBqjFTZb5k7F4sDlUUFcuNV3On0ajh3Yvlh9tTv_Ze3fluuq1g_CvYKJ_o48G1S_4Sw_Sb_J831uk4HzHiwOW20gTNGSwhMk2hz9ZJWtl1tq3aedCqxPVdrb-itk8M8TEYOeGSsEtRJIPDJ2Ax0niPMgY7gctvge15yn56AjOdjQ08AzjU.rYPydXqdaXjzENCcaNtgR0nO_lZ6L0dxh2MJdc-ddMo&amp;dib_tag=se&amp;keywords=pillow%2Binsert%2B18%2Bx%2B18&amp;qid=1739484814&amp;sprefix=Pillow%2Binsert%2B18%2Caps%2C120&amp;sr=8-4&amp;th=1" TargetMode="External"/><Relationship Id="rId141" Type="http://schemas.openxmlformats.org/officeDocument/2006/relationships/hyperlink" Target="https://www.amazon.com/Utopia-Bedding-Alternative-Comforter-White/dp/B01JPECQF8/ref=sr_1_3?crid=2SG2ZK73IR8YI&amp;dib=eyJ2IjoiMSJ9.7z8T0XsIfTQs11mDQHzrD-LrC_2KkTlQ3jm9aEztWR0dYeZfvmp_RANDkUlG5k-zvSS0M5eRhYSyLQkpZSm_gCD41Q6iHdyLMY9NvMn0xmSfw5VrPBB4QlAx2EBBOPqmEEs4MJWd7gytge8secoYQoonOTqITDkPcUkR_ENtCz4ls8GZg6-jmIjkvPTTY99Q4SR1nQqzxobc8dqIaYx4mqLo50JIdSV-lSJ01UkqkV8.Kff4fp1p_b2TBX6S9eaJBqBPsV0IosAHaahKe-4He-8&amp;dib_tag=se&amp;keywords=twin%2Bcomforter%2Binsert&amp;qid=1745019842&amp;sprefix=twin%2Bconforter%2Binser%2Caps%2C119&amp;sr=8-3&amp;th=1" TargetMode="External"/><Relationship Id="rId262" Type="http://schemas.openxmlformats.org/officeDocument/2006/relationships/hyperlink" Target="https://www.amazon.com/ZLINA-Striped-Pillowcase-Cushion-Bedroom/dp/B0BHBBT185/ref=sr_1_20?crid=31V4I99X1SIEK&amp;dib=eyJ2IjoiMSJ9.9BbO0hit_vrAF9QT2QFDwsTwf4_PkXHKvcZhareHYdgIyKfgEx-po0VKwfKLEGQcmMbvtep_LKbtJZnmp71mxjZ4qzfF50-RAsf42MwSuLJl73YRtNDl-K5WMXiah3H9UOy-h7hJXHtAZXCRRzZEc1rszAdqvkd5qmrPKM_kvdCWTec31H7DFSMc8LD6aH0n9uvhu5Iey4TBNCOTQUUmFZm_nI1zaperfsakBEFsICM.DGsTZBBa4hXytsQ_XzIuBoTt2FFRtbojd6qo0dWHo78&amp;dib_tag=se&amp;keywords=pillow%2Binsert%2Bblack&amp;qid=1739484531&amp;sprefix=pillow%2Binsert%2Bblack%2Caps%2C140&amp;sr=8-20&amp;xpid=U8Hv3JX4tmB0P&amp;th=1" TargetMode="External"/><Relationship Id="rId140" Type="http://schemas.openxmlformats.org/officeDocument/2006/relationships/hyperlink" Target="https://www.amazon.com/Franco-Bedding-Super-Comforter-Minions/dp/B08N5ZZMLC/ref=sr_1_1_sspa?crid=3SSTFMAJDSEYG&amp;dib=eyJ2IjoiMSJ9.c7Arb9aLrwSljrHk4XSy0_VVp_19U3kNEuMu2DE-eBRs5aF66QITSU2zYPuO9OnkwCaylpQuxXwNElXuqVtRKtXo3LWgLa2i8hwTjby3nR7sv1nslL0uPSrY781QvLQrKOKKZcW9UzEIwd6NVYY6EfOSlAkYgI4PQcmcj-SEnxjiLk6Dcd5o5coqqDE3-dLw4rRq_lRNnta_YrVILO2svCCV76HNzqw164z4obOFFZlkQCAvMyFb8ct3FR_qAENDIYyIQdgizWiDd8wZO8YrFy0a2gmdKN5I5AqsdiDlqus.o7PJg1zRKZ7qpuUGU4ftNvfQprfgp7dwJ7yTtTVNn7I&amp;dib_tag=se&amp;keywords=comforter%2Bminions&amp;qid=1757875749&amp;sprefix=comforter%2Bminions%2Caps%2C147&amp;sr=8-1-spons&amp;sp_csd=d2lkZ2V0TmFtZT1zcF9hdGY&amp;th=1" TargetMode="External"/><Relationship Id="rId261" Type="http://schemas.openxmlformats.org/officeDocument/2006/relationships/hyperlink" Target="https://www.amazon.com/Cartoon-Standard-Decorative-Pillowcases-Colorful/dp/B09BL7TN1L/ref=sr_1_28?crid=3IYFZ7O2OVO3K&amp;dib=eyJ2IjoiMSJ9.hkHh8912vaR3tu2yK4p6IsIvxYW7Y3XopYO8k-7gLn4otNDzGVEEaq-ejlvuXnyq0VniGWDhU487QEh09ukl1C85fL4ohMfYDVpgOFJlUjUfSuz63vAUywQp-VaPzGKK9wMn-XSmEnR1oVTcnAk8rlWC-DxMM5rtaIcUm2yl19NNxB1f7N-gjgyY2nrKfEntTBhGb5VBdiLjFdZCfuvK_EN72QSg3SMP71QgCn5znlg.9WiAr6htETwkZK7K0a_HPeGbNx_DMUyTGpK6f4yMYYc&amp;dib_tag=se&amp;keywords=pillow%2Binsert%2Bmickey&amp;qid=1739484327&amp;sprefix=pillow%2Binsert%2Bmickey%2B%2Caps%2C123&amp;sr=8-28&amp;xpid=C3iUP8Bnbv47W&amp;th=1" TargetMode="External"/><Relationship Id="rId5" Type="http://schemas.openxmlformats.org/officeDocument/2006/relationships/hyperlink" Target="https://www.amazon.com/LightingWill-Downlight-Directional-3000K-3500K-Equivalent/dp/B01KZJ8F34/ref=sr_1_3?crid=2VL1B4IHDS6CM&amp;dib=eyJ2IjoiMSJ9.gucbm69BYM-iG_Dvwj1gvw.WnyFvEP2zTfMAFYfeSGsHEJRrq_lNt39rFhYHCJglL8&amp;dib_tag=se&amp;keywords=B01KZJ8F34&amp;qid=1743466397&amp;sprefix=b01kzj8f34%2Caps%2C92&amp;sr=8-3&amp;th=1" TargetMode="External"/><Relationship Id="rId147" Type="http://schemas.openxmlformats.org/officeDocument/2006/relationships/hyperlink" Target="https://www.amazon.com/Industrial-Farmhouse-Chandeliers-Fixtures-Restaurant/dp/B0BZVHDK6Z/ref=sr_1_33_sspa?crid=33W3YEZGJPCFV&amp;dib=eyJ2IjoiMSJ9.O-6_OhRhqpuzeceG9D88j6rTArdVA2s-jLrU6X5XPqvGjHj071QN20LucGBJIEps.xJ7WxK6sko2vQ8W9W3MAFaOGO0u5jD9r7QgwEs3e11o&amp;dib_tag=se&amp;keywords=Rustic%2Blighting%2Bpendant&amp;qid=1745022266&amp;sprefix=rustic%2Blighting%2Bpendant%2Caps%2C117&amp;sr=8-33-spons&amp;xpid=UoP7VlHUEdNZy&amp;sp_csd=d2lkZ2V0TmFtZT1zcF9hdGZfbmV4dA&amp;th=1" TargetMode="External"/><Relationship Id="rId268" Type="http://schemas.openxmlformats.org/officeDocument/2006/relationships/hyperlink" Target="https://www.amazon.com/gp/product/B08L58DVCJ/ref=ppx_yo_dt_b_search_asin_title?ie=UTF8&amp;th=1" TargetMode="External"/><Relationship Id="rId6" Type="http://schemas.openxmlformats.org/officeDocument/2006/relationships/hyperlink" Target="https://www.amazon.com/Utensils-Resistant-Silicone-Nonstick-Cookware/dp/B0CTG8HZVS/ref=sr_1_1_sspa?crid=3UG8DQYGUPFGQ&amp;dib=eyJ2IjoiMSJ9.YMHbxXg6cy1HYeqeY-wwwA.dYcellOVDa9HQtJIxf9pjtfvTpGBUv6iHMDF6bnRVx4&amp;dib_tag=se&amp;keywords=B0CTG8HZVS&amp;qid=1739465523&amp;sprefix=b0ctg8hzvs%2Caps%2C167&amp;sr=8-1-spons&amp;sp_csd=d2lkZ2V0TmFtZT1zcF9hdGY&amp;th=1" TargetMode="External"/><Relationship Id="rId146" Type="http://schemas.openxmlformats.org/officeDocument/2006/relationships/hyperlink" Target="https://www.amazon.com/dp/B078WPWL4C/ref=sspa_dk_detail_1?psc=1&amp;pd_rd_i=B078WPWL4C&amp;pd_rd_w=MMPJD&amp;content-id=amzn1.sym.f2f1cf8f-cab4-44dc-82ba-0ca811fb90cc&amp;pf_rd_p=f2f1cf8f-cab4-44dc-82ba-0ca811fb90cc&amp;pf_rd_r=KYFYV06XEHC58GC1V2QQ&amp;pd_rd_wg=s8FwW&amp;pd_rd_r=a10a53fa-8a8b-4c3d-b00d-d643b9a691ee&amp;s=hi&amp;sp_csd=d2lkZ2V0TmFtZT1zcF9kZXRhaWxfdGhlbWF0aWM" TargetMode="External"/><Relationship Id="rId267" Type="http://schemas.openxmlformats.org/officeDocument/2006/relationships/hyperlink" Target="https://www.amazon.com/gp/product/B0D7HLZD2H/ref=ppx_yo_dt_b_search_asin_title?ie=UTF8&amp;th=1" TargetMode="External"/><Relationship Id="rId7" Type="http://schemas.openxmlformats.org/officeDocument/2006/relationships/hyperlink" Target="https://www.amazon.com/Nordic-Ware-Natural-Aluminum-Commercial/dp/B079Q671Q5/ref=sr_1_3?crid=3PDHVNDXPYPDC&amp;dib=eyJ2IjoiMSJ9.YdDI5Y9poog1c9lzOuCwFQ.pnzC-_VjNR3gciZ5MV9y7eFMKoifcx0nE_8i-7vhmhU&amp;dib_tag=se&amp;keywords=B0049C2S32&amp;qid=1739465713&amp;sprefix=b0049c2s32%2Caps%2C131&amp;sr=8-3&amp;th=1" TargetMode="External"/><Relationship Id="rId145" Type="http://schemas.openxmlformats.org/officeDocument/2006/relationships/hyperlink" Target="https://www.amazon.com/dp/B07BJZTWGR/ref=sspa_dk_detail_10?pf_rd_p=386c274b-4bfe-4421-9052-a1a56db557ab&amp;pf_rd_r=5X85G3G03CQKDHPZNGXB&amp;pd_rd_wg=OsBaO&amp;pd_rd_w=9KFDo&amp;content-id=amzn1.sym.386c274b-4bfe-4421-9052-a1a56db557ab&amp;pd_rd_r=7b8d9c74-bb97-426d-9916-018389676476&amp;s=sporting-goods&amp;sp_csd=d2lkZ2V0TmFtZT1zcF9kZXRhaWxfdGhlbWF0aWM&amp;th=1" TargetMode="External"/><Relationship Id="rId266" Type="http://schemas.openxmlformats.org/officeDocument/2006/relationships/hyperlink" Target="https://www.webstaurantstore.com/lancaster-table-seating-crimson-double-ring-barstool-with-3-1-2-thick-seat/164GS605BCR.html" TargetMode="External"/><Relationship Id="rId8" Type="http://schemas.openxmlformats.org/officeDocument/2006/relationships/hyperlink" Target="https://www.walmart.com/ip/Beautiful-14-Cup-Programmable-Drip-Coffee-Maker-with-Touch-Activated-Display-Porcini-Taupe-by-Drew-Barrymore/770079902" TargetMode="External"/><Relationship Id="rId144" Type="http://schemas.openxmlformats.org/officeDocument/2006/relationships/hyperlink" Target="https://www.amazon.com/dp/B0CD7NY1GZ/ref=sspa_dk_detail_0?pf_rd_p=8c2f9165-8e93-42a1-8313-73d3809141a2&amp;pf_rd_r=TD46S4ZSA80MWD4DTN0M&amp;pd_rd_wg=epEX3&amp;pd_rd_w=WZZoj&amp;content-id=amzn1.sym.8c2f9165-8e93-42a1-8313-73d3809141a2&amp;pd_rd_r=251a8a80-f16e-49a5-9f80-fe64788598ae&amp;s=toys-and-games&amp;sp_csd=d2lkZ2V0TmFtZT1zcF9kZXRhaWw&amp;th=1" TargetMode="External"/><Relationship Id="rId265" Type="http://schemas.openxmlformats.org/officeDocument/2006/relationships/hyperlink" Target="https://www.amazon.com/Electactic-Beverage-Refrigerator-forSoda-Temperature/dp/B0DHCYHJW4/ref=sr_1_1_sspa?crid=3P2R38YZ7RAZ0&amp;dib=eyJ2IjoiMSJ9.HRMjiwG2c0xqNTGA3c1JxvIPYcYP6Z0b1Fd1Omr5a72vY6eMdkVZxrZZtE-S0Z4ZYuNQockrPNx7T6LtWbWShvXQKbkhBo5Oox484U-SidEaO4SnsuefU17mC0eo-h3GoE3Z7Sd5V3SdRQgGoZkpcQOOEq2Q-d3iJ6lORlFCfFO61Ps_NaZOIJn7qZ_TgOnlGnnqnVqxNjcObTzb4dX_7GVm4p7FJMHvUOR9lAjMNu8.gYoT7X0sILgh5WQniYIFqWs9HTMBTW7lfFBlgFnlFmU&amp;dib_tag=se&amp;keywords=frigobar&amp;qid=1755625906&amp;sprefix=frigoba%2Caps%2C135&amp;sr=8-1-spons&amp;sp_csd=d2lkZ2V0TmFtZT1zcF9hdGY&amp;th=1" TargetMode="External"/><Relationship Id="rId73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72" Type="http://schemas.openxmlformats.org/officeDocument/2006/relationships/hyperlink" Target="https://www.amazon.com/gp/product/B07P72ZB37/ref=ppx_yo_dt_b_search_asin_title?ie=UTF8&amp;th=1" TargetMode="External"/><Relationship Id="rId75" Type="http://schemas.openxmlformats.org/officeDocument/2006/relationships/hyperlink" Target="https://www.amazon.com/BAODEN-Lighting-Industrial-Finished-Lampshade/dp/B0925HZPST/ref=sr_1_3?crid=2QD1X62URWEZ4&amp;dib=eyJ2IjoiMSJ9.2owsVV-jf8PERrbHWP7VvQ.bq7epzKxx1G2FdAOpZqakdn_kQ4BlPbv7iCuO_hk4s0&amp;dib_tag=se&amp;keywords=B0925HZPST&amp;qid=1743549602&amp;sprefix=b0925hzpst%2Caps%2C121&amp;sr=8-3&amp;th=1" TargetMode="External"/><Relationship Id="rId74" Type="http://schemas.openxmlformats.org/officeDocument/2006/relationships/hyperlink" Target="https://www.amazon.com/Sputnik-Chandelier-KAISITE-8-Lights-Universal/dp/B08FHRSDDT/ref=sr_1_3_sspa?crid=7DD2FKMTF3EU&amp;dib=eyJ2IjoiMSJ9.Fw-oGsXh46qRuJF1DK0L7lU2qgaC1dGhfZlbHPKkdgUzf0abaQRNkoyx4l8ft71TSc0oFBjud2yvHtbHoggUElLBzzXlyPdCxzRa3xTZRX9Kb3ckDAPLwoGgsxZNMOTVTN2TFDeXfBTQKajnA95m0BBgun4y03blkPoDHOx3CkRn7zjeXwRAOXs5QYNnmh4slKb6haivI--_8vR5wzD8t9--oZyak5Ju_B2bhNwrvFXigxGq-aKZVoCo1V5SkxYGu_QLkKeNFmTnObilgmfCLtVnbJALmuk4u6opXQrZvzM.nOpM--cn7n-P2rta89z4FLlL61TLaDMu8Mc03BsjrjI&amp;dib_tag=se&amp;keywords=chandelier&amp;qid=1737041787&amp;s=hi&amp;sprefix=chandelie%2Ctools%2C131&amp;sr=1-3-spons&amp;sp_csd=d2lkZ2V0TmFtZT1zcF9hdGY&amp;th=1" TargetMode="External"/><Relationship Id="rId77" Type="http://schemas.openxmlformats.org/officeDocument/2006/relationships/hyperlink" Target="https://www.amazon.com/dp/B0DK5HNFSM?ref=emc_s_m_5_i_atc" TargetMode="External"/><Relationship Id="rId260" Type="http://schemas.openxmlformats.org/officeDocument/2006/relationships/hyperlink" Target="https://www.nintendo.com/us/store/products/donkey-kong-10-plush-107373/?srsltid=AfmBOooaLnudDwzOQpb6X-2cxcnX6TLKtkJETw3APJCXQviM6BN--ibM" TargetMode="External"/><Relationship Id="rId76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79" Type="http://schemas.openxmlformats.org/officeDocument/2006/relationships/hyperlink" Target="https://www.amazon.com/gp/product/B09NPMJCZD/ref=ox_sc_act_title_9?th=1" TargetMode="External"/><Relationship Id="rId78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71" Type="http://schemas.openxmlformats.org/officeDocument/2006/relationships/hyperlink" Target="https://www.walmart.com/ip/LG-55-4K-UHD-Smart-TV-2160p-webOS-55UQ7070ZUE/332111459?classType=REGULAR&amp;athbdg=L1102&amp;adsRedirect=true" TargetMode="External"/><Relationship Id="rId70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139" Type="http://schemas.openxmlformats.org/officeDocument/2006/relationships/hyperlink" Target="https://www.amazon.com/LEYAOYAO-Drawers-Farmhouse-Organizer-Dressers/dp/B0F3CSWWZZ/ref=sr_1_24?dib=eyJ2IjoiMSJ9.D1OTOv1vRcORWRGA7m4G4KaosbLEoXZW9zB0srH0vkp1A-Ft0rwSSNuQvRr9ATNYjlOa9v15h2f7F0U5Sutzi9MmVttwLKQ8YDbx0vFhkb0VaOrWxcdn_-QvOID1tera6BX9BwklexOLTfQ88Zon6XfgpdfuMWwnyAyl5FgEiYdu9cQyyXki36hHiM5rgleivY4PtIC6dqHuOtOogpyv08aRNZEVdu5Ccxgo2oK58WgWW56FrQo0nfO_Jap6cTIpT-PY8bMbRyGe3zlqj1Jg2GJ864Wi0eOt8wFYKIW7gNE.sMwcAo37xUW43SafpLFnVmS3VLC013jg1mZrTuztq9Q&amp;dib_tag=se&amp;keywords=dresser%2Bblue&amp;qid=1757875605&amp;sr=8-24&amp;th=1" TargetMode="External"/><Relationship Id="rId138" Type="http://schemas.openxmlformats.org/officeDocument/2006/relationships/hyperlink" Target="https://www.amazon.com/gp/product/B07P72ZB37/ref=ppx_yo_dt_b_search_asin_title?ie=UTF8&amp;th=1" TargetMode="External"/><Relationship Id="rId259" Type="http://schemas.openxmlformats.org/officeDocument/2006/relationships/hyperlink" Target="https://shop.universalorlando.com/shop/shop-by-brands/super-nintendo-world/toys-490516-1/super-nintendo-world-medium-yoshi-plush-1358872" TargetMode="External"/><Relationship Id="rId137" Type="http://schemas.openxmlformats.org/officeDocument/2006/relationships/hyperlink" Target="https://www.walmart.com/ip/50UA7500ZUA-AUS/14364014573?classType=REGULAR&amp;athbdg=L1300&amp;adsRedirect=true" TargetMode="External"/><Relationship Id="rId258" Type="http://schemas.openxmlformats.org/officeDocument/2006/relationships/hyperlink" Target="https://shop.universalorlando.com/shop/shop-by-brands/super-nintendo-world/toys-490516-1/super-nintendo-world-medium-mario-plush-1346217" TargetMode="External"/><Relationship Id="rId132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53" Type="http://schemas.openxmlformats.org/officeDocument/2006/relationships/hyperlink" Target="https://www.disneystore.com/minnie-mouse-plush-red-medium-17-34-412312273438.html" TargetMode="External"/><Relationship Id="rId131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252" Type="http://schemas.openxmlformats.org/officeDocument/2006/relationships/hyperlink" Target="https://www.disneystore.com/mickey-mouse-plush-medium-17-34-412312273353.html" TargetMode="External"/><Relationship Id="rId130" Type="http://schemas.openxmlformats.org/officeDocument/2006/relationships/hyperlink" Target="https://www.amazon.com/gp/product/B09NPMJCZD/ref=ox_sc_act_title_9?th=1" TargetMode="External"/><Relationship Id="rId251" Type="http://schemas.openxmlformats.org/officeDocument/2006/relationships/hyperlink" Target="https://www.amazon.com/GTRACING-Ergonomic-Computer-Headrest-360%C2%B0-Swivel/dp/B0FK4QTM41/ref=sr_1_31?crid=1I4HA2K7BN7KE&amp;dib=eyJ2IjoiMSJ9.F7yHZYfLKpzMWowfq_VKdAa7b2G69imf8jfG7h0cYYg9P8x2FOY1QYRCGG7tPj4yOybvV7LZzsky66vn5z1shVsE3T6LzVoLHjuQ73wGhG2mDUC_qqMtTPYHExffPhCClNOJP2UDLyDXMkuCFAcTqBYiV5jrOnSs3VI-Ou3q0Lu8Mv8F4ZekZe-moq1W9voU--_AOBstLhaMlGRnTMYOB_Ik6UtK-GIKvNDvN79Zr4ra5QOTTndsWV5nJlUHhWSoE_xSgyRfokv9NiXh8iB8eyaJ7WA30_xCGMLVFTmnAgY.LO1utnrylyzZKoWe4anhzt1c_wH1Bgsv4lmRIB5pht0&amp;dib_tag=se&amp;keywords=Nintendo%2BVideo%2BGaming%2BChair&amp;qid=1757894762&amp;sprefix=nintendo%2Bvideo%2Bgaming%2Bchair%2Caps%2C152&amp;sr=8-31&amp;th=1" TargetMode="External"/><Relationship Id="rId250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136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57" Type="http://schemas.openxmlformats.org/officeDocument/2006/relationships/hyperlink" Target="https://www.disneystore.com/daisy-duck-plush-medium-13-412312274008.html?isProductSearch=1&amp;searchType=regular" TargetMode="External"/><Relationship Id="rId135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56" Type="http://schemas.openxmlformats.org/officeDocument/2006/relationships/hyperlink" Target="https://www.disneystore.com/donald-duck-plush-medium-15-34-412312273926.html?isProductSearch=1&amp;searchType=regular" TargetMode="External"/><Relationship Id="rId134" Type="http://schemas.openxmlformats.org/officeDocument/2006/relationships/hyperlink" Target="https://www.amazon.com/gp/product/B07T1RFHGW/ref=ox_sc_act_title_12?smid=A9R60ZNAJMSU9&amp;th=1" TargetMode="External"/><Relationship Id="rId255" Type="http://schemas.openxmlformats.org/officeDocument/2006/relationships/hyperlink" Target="https://www.disneystore.com/goofy-plush-medium-18-12-412312273841.html?isProductSearch=1&amp;searchType=regular" TargetMode="External"/><Relationship Id="rId133" Type="http://schemas.openxmlformats.org/officeDocument/2006/relationships/hyperlink" Target="https://www.amazon.com/gp/product/B0BFCY84XY/ref=ppx_yo_dt_b_search_asin_title?ie=UTF8&amp;th=1" TargetMode="External"/><Relationship Id="rId254" Type="http://schemas.openxmlformats.org/officeDocument/2006/relationships/hyperlink" Target="https://www.disneystore.com/pluto-plush-medium-13-34-412312273766.html?isProductSearch=1&amp;searchType=regular" TargetMode="External"/><Relationship Id="rId62" Type="http://schemas.openxmlformats.org/officeDocument/2006/relationships/hyperlink" Target="https://www.amazon.com/Satanga-cabinets-Concealed-Aluminum-Installation/dp/B092LVMYTZ/ref=sr_1_1?crid=2J13A3915N9J0&amp;dib=eyJ2IjoiMSJ9.unPgrJo_nMx0reRWFKzplg.zHB7KRLP-4VhT2zugWMy8_PrN4DJ6CRkZlRWWKaSMSc&amp;dib_tag=se&amp;keywords=B0B6VVNVCJ&amp;qid=1737042021&amp;s=hi&amp;sprefix=b0b6vvnvcj%2Ctools%2C139&amp;sr=1-1&amp;th=1" TargetMode="External"/><Relationship Id="rId61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64" Type="http://schemas.openxmlformats.org/officeDocument/2006/relationships/hyperlink" Target="https://www.amazon.com/gp/product/B09NPMJCZD/ref=ox_sc_act_title_9?th=1" TargetMode="External"/><Relationship Id="rId63" Type="http://schemas.openxmlformats.org/officeDocument/2006/relationships/hyperlink" Target="https://www.wayfair.com/decor-pillows/pdp/ebern-designs-gabrielle-rectangle-ps-leaning-mirror-wall-mirror-with-wide-frame-w110561832.html" TargetMode="External"/><Relationship Id="rId66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172" Type="http://schemas.openxmlformats.org/officeDocument/2006/relationships/hyperlink" Target="https://www.amazon.com/dp/B0DB1GPNFB/ref=twister_B0FB3ZMZ1M?th=1" TargetMode="External"/><Relationship Id="rId293" Type="http://schemas.openxmlformats.org/officeDocument/2006/relationships/hyperlink" Target="https://shop.universalorlando.com/shop/shop-by-brands/super-nintendo-world/toys-490516-1/super-nintendo-world-medium-yoshi-plush-1358872" TargetMode="External"/><Relationship Id="rId65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171" Type="http://schemas.openxmlformats.org/officeDocument/2006/relationships/hyperlink" Target="https://www.amazon.com/BUKOBYHE-Champagne-Hardware-Cabinets-Cupboard/dp/B0C6KRQ6D3/ref=sr_1_19_sspa?crid=26S31BY0BDVOA&amp;dib=eyJ2IjoiMSJ9.gaBDwL3jABpVjuQw912ntBeg0ZGUcHIBub3qstLaVncDGbpO192toG8kuuUIPXvnrW5vyRKWYRodvuvKX-GjqYUcsLCg37dQGE8xr_4QnxknSWi5pb8hgGLa4hPraatv3NgQ0zgnQFpU7gNPfTbmPGcIlDXvEtgJA21VyssJm3hYrOmPWZApEf4FlbE08hhJWsEMiM7sANqykROffRl-4ayf-l5KL1VeWKl_Dux0SFaxq0l6Q7rOJbwzaT1LCI9zntD4sk2ujRM5avgO79u6jafkqT5eQAixEfLLjNKUIec.W9oSHWn6KMQ7eedYN3U175t3FgboCR1dYiu0negif6c&amp;dib_tag=se&amp;keywords=handle%2Bsilver&amp;qid=1737044112&amp;sprefix=handle%2Bsilver%2Caps%2C135&amp;sr=8-19-spons&amp;sp_csd=d2lkZ2V0TmFtZT1zcF9tdGY&amp;th=1" TargetMode="External"/><Relationship Id="rId292" Type="http://schemas.openxmlformats.org/officeDocument/2006/relationships/hyperlink" Target="https://shop.universalorlando.com/shop/shop-by-brands/super-nintendo-world/toys-490516-1/super-nintendo-world-medium-mario-plush-1346217" TargetMode="External"/><Relationship Id="rId68" Type="http://schemas.openxmlformats.org/officeDocument/2006/relationships/hyperlink" Target="https://www.amazon.com/gp/product/B07T1RFHGW/ref=ox_sc_act_title_12?smid=A9R60ZNAJMSU9&amp;th=1" TargetMode="External"/><Relationship Id="rId170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91" Type="http://schemas.openxmlformats.org/officeDocument/2006/relationships/hyperlink" Target="https://www.disneystore.com/daisy-duck-plush-medium-13-412312274008.html?isProductSearch=1&amp;searchType=regular" TargetMode="External"/><Relationship Id="rId67" Type="http://schemas.openxmlformats.org/officeDocument/2006/relationships/hyperlink" Target="https://www.amazon.com/gp/product/B0BFCY84XY/ref=ppx_yo_dt_b_search_asin_title?ie=UTF8&amp;th=1" TargetMode="External"/><Relationship Id="rId290" Type="http://schemas.openxmlformats.org/officeDocument/2006/relationships/hyperlink" Target="https://www.disneystore.com/donald-duck-plush-medium-15-34-412312273926.html?isProductSearch=1&amp;searchType=regular" TargetMode="External"/><Relationship Id="rId60" Type="http://schemas.openxmlformats.org/officeDocument/2006/relationships/hyperlink" Target="https://www.amazon.com/dp/B0DK5HNFSM?ref=emc_s_m_5_i_atc" TargetMode="External"/><Relationship Id="rId165" Type="http://schemas.openxmlformats.org/officeDocument/2006/relationships/hyperlink" Target="https://www.amazon.com/Linenspa-Premium-Smooth-Mattress-Protector/dp/B00MW50FKG/ref=sr_1_5?crid=1BR07LQNILBRU&amp;dib=eyJ2IjoiMSJ9.6mVtZC-y3V_lIKegVbsP3A.yfyiqkhsBI6D8oH4ZySA4dpT9GmWlQVm53lyeqZZAx4&amp;dib_tag=se&amp;keywords=B00MW50EDY&amp;qid=1737039915&amp;sprefix=b00mw50edy%2Caps%2C121&amp;sr=8-5&amp;th=1" TargetMode="External"/><Relationship Id="rId286" Type="http://schemas.openxmlformats.org/officeDocument/2006/relationships/hyperlink" Target="https://www.disneystore.com/mickey-mouse-plush-medium-17-34-412312273353.html" TargetMode="External"/><Relationship Id="rId69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164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85" Type="http://schemas.openxmlformats.org/officeDocument/2006/relationships/hyperlink" Target="https://www.amazon.com/Rocker-Official-Pedestal-Gaming-Chair-Mario/dp/B09SZ71848/ref=sr_1_1?crid=KMF99JYLQFWX&amp;dib=eyJ2IjoiMSJ9.cVZHFmtWM5I9uFaJZr7Wow.aQHsM9lwQnlTS8Rtrq_62Yxdisb74JPVL2kLhsrQQm4&amp;dib_tag=se&amp;keywords=B09SZ71848&amp;qid=1737047634&amp;sprefix=b09sz71848%2Caps%2C181&amp;sr=8-1" TargetMode="External"/><Relationship Id="rId163" Type="http://schemas.openxmlformats.org/officeDocument/2006/relationships/hyperlink" Target="https://www.amazon.com/gp/product/B07T1RFHGW/ref=ox_sc_act_title_12?smid=A9R60ZNAJMSU9&amp;th=1" TargetMode="External"/><Relationship Id="rId284" Type="http://schemas.openxmlformats.org/officeDocument/2006/relationships/hyperlink" Target="https://www.amazon.com/ZEEGOO-Capacity-Containers-Convenient-Supplies/dp/B0CCJPLB2T/ref=sr_1_17_sspa?crid=2DFNH6F5T5RDZ&amp;dib=eyJ2IjoiMSJ9.nHDxNB4C1scVObqXEVfw_WoAXP3pqLJjn3p72RQp0YQsEvaiWA_UxTYGh7uD5tzz96Y8MB4TZn_1zFva-TU6DellWVj38w_x3nY-JJgGZRE6GSjLk4piwzWa_cRt-QHcFCKXuVCvVq7BoSQo5VUHoKzF4qXGNs4MlDKGjQ5SyOBhyTTZLatUqZyu3mRq50KXUsMan7KjSqET0FUp70zHmAJ59gpz5fCZ9-bbYjvXeN7EtDIACRKd_jkMI3U3UpcPRO2LPaIVZSyouoqotcGdSoqTZhfjWQ_6KHWmV_TuxTA.Lw3u1UZnyjZujDq_rOGva_qSM9Bh1jLw5JsFML-yXqw&amp;dib_tag=se&amp;keywords=popcorn%2Bbags&amp;qid=1745028217&amp;s=home-garden&amp;sprefix=popcorn%2Bbags%2Cgarden%2C124&amp;sr=1-17-spons&amp;sp_csd=d2lkZ2V0TmFtZT1zcF9tdGY&amp;th=1" TargetMode="External"/><Relationship Id="rId162" Type="http://schemas.openxmlformats.org/officeDocument/2006/relationships/hyperlink" Target="https://www.amazon.com/gp/product/B0BFCZMNCY/ref=ppx_yo_dt_b_search_asin_title?ie=UTF8&amp;th=1" TargetMode="External"/><Relationship Id="rId283" Type="http://schemas.openxmlformats.org/officeDocument/2006/relationships/hyperlink" Target="https://www.amazon.com/gp/product/B087YP24MS/ref=ppx_yo_dt_b_search_asin_title?ie=UTF8&amp;th=1" TargetMode="External"/><Relationship Id="rId169" Type="http://schemas.openxmlformats.org/officeDocument/2006/relationships/hyperlink" Target="https://www.amazon.com/dp/B0DK5HNFSM?ref=emc_s_m_5_i_atc" TargetMode="External"/><Relationship Id="rId168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89" Type="http://schemas.openxmlformats.org/officeDocument/2006/relationships/hyperlink" Target="https://www.disneystore.com/goofy-plush-medium-18-12-412312273841.html?isProductSearch=1&amp;searchType=regular" TargetMode="External"/><Relationship Id="rId167" Type="http://schemas.openxmlformats.org/officeDocument/2006/relationships/hyperlink" Target="https://www.amazon.com/8-Light-Sputnik-Chandelier-Chandeliers-Farmhouse/dp/B0B6B8T1Y7/ref=pd_bxgy_d_sccl_2/147-1871314-7552764?pd_rd_w=jyKtN&amp;content-id=amzn1.sym.de9a1315-b9df-4c24-863c-7afcb2e4cc0a&amp;pf_rd_p=de9a1315-b9df-4c24-863c-7afcb2e4cc0a&amp;pf_rd_r=PP2B4E3X6SBYV7NWGGF9&amp;pd_rd_wg=wrviZ&amp;pd_rd_r=f3119ffe-f596-44ca-a01c-fffbb7fcd4a3&amp;pd_rd_i=B0B6B8T1Y7&amp;th=1" TargetMode="External"/><Relationship Id="rId288" Type="http://schemas.openxmlformats.org/officeDocument/2006/relationships/hyperlink" Target="https://www.disneystore.com/pluto-plush-medium-13-34-412312273766.html?isProductSearch=1&amp;searchType=regular" TargetMode="External"/><Relationship Id="rId166" Type="http://schemas.openxmlformats.org/officeDocument/2006/relationships/hyperlink" Target="https://www.walmart.com/ip/50UA7500ZUA-AUS/14364014573?classType=REGULAR&amp;athbdg=L1300&amp;adsRedirect=true" TargetMode="External"/><Relationship Id="rId287" Type="http://schemas.openxmlformats.org/officeDocument/2006/relationships/hyperlink" Target="https://www.disneystore.com/minnie-mouse-plush-red-medium-17-34-412312273438.html" TargetMode="External"/><Relationship Id="rId51" Type="http://schemas.openxmlformats.org/officeDocument/2006/relationships/hyperlink" Target="https://www.amazon.com/ROVSUN-Freestanding-Compressor-Temperature-Double-layer/dp/B08K93NJP8/ref=sr_1_9?crid=1W520UXQWJ2TX&amp;dib=eyJ2IjoiMSJ9.qdHM8ZpC-oYt4VcyW8j996dnI_o2i7BHytcWQSzFS45fCxp16pPdKgbmH4qERz6lNGjKw16UKir9Ojk9QjNMpYUSQ0a77mGu9YYlT9iHx9CjfKLu_5Y8u61jO1Nkm1hgyXLhfsvsZsc2NUf6v4Wj9zIkB_BBmnj3Yu_SI9FDg30ZGAUss1rKFKdX82ZvpOlrT__65u4yYrEfH1EKH8Wj_YYxtC129l5kJ5Zy9BpsHAxH6RMX0hl9wjLUVJ5AfZbW8r0t2LELwflLfNzW01VUgxXOKmepcKIN6x4-oMfwXJ0TT0siW0Y6RbR_JOHatGKAR3WDdv7szz-FEsAWXPmy0rnpifkeC4F9kufeaQxsAlw.LTw3goLel6ZgUBppB-74Kib4t0bkO5e-Nx1_3oqXaM8&amp;dib_tag=se&amp;keywords=wine+cooler&amp;qid=1737038348&amp;s=hi&amp;sprefix=wine+coole%2Ctools%2C116&amp;sr=1-9" TargetMode="External"/><Relationship Id="rId50" Type="http://schemas.openxmlformats.org/officeDocument/2006/relationships/hyperlink" Target="https://www.amazon.com/KCO-Lighting-Chandelier-Sputnik-Adjustable/dp/B07XJXJCZ7/ref=pd_ci_mcx_di_int_sccai_cn_d_sccl_1_20/147-4693603-4945455?pd_rd_w=1In8m&amp;content-id=amzn1.sym.751acc83-5c05-42d0-a15e-303622651e1e&amp;pf_rd_p=751acc83-5c05-42d0-a15e-303622651e1e&amp;pf_rd_r=6Q1DPYVRCGX6HGXDEGJ8&amp;pd_rd_wg=hQSs1&amp;pd_rd_r=5dba9a18-7eca-4702-8b8c-855fdfacfb55&amp;pd_rd_i=B07XJXJCZ7&amp;th=1" TargetMode="External"/><Relationship Id="rId53" Type="http://schemas.openxmlformats.org/officeDocument/2006/relationships/hyperlink" Target="https://www.amazon.com/Chandelier-Lighting-8-Light-Century-Fixtures/dp/B0CJN9G3YD/ref=sr_1_45_sspa?crid=NLGIQE43RTTK&amp;dib=eyJ2IjoiMSJ9.Po-wK4nyR_nR0dYb4N8WF-q0lPN18cwRCNMZ19qJEpfqTTddxc_PmCvQaZiczcKKKEBthXx2JcMhu7QFmkoYnZdVZIQ7CFxC3XR-Ce34j3yuQeK-kMCofB5DHOTX_H529waZRke6nFMe2uPsLMSqtVmCP9aq2SaDDwWvRxC7YiKmMc27hgJ3Ihq1m2LxIO66g0fLpTV52ZQnXdjxWUxY8mO-YzVoJaW9kPqZ3JXQudcqx47IR2faFcNrebobHHOU.fazWNI1zbqjUTYTMq2ZD1vr_sapRNINCMNxwAw0bOWA&amp;dib_tag=se&amp;keywords=SPUTNIK&amp;qid=1750348837&amp;s=hi&amp;sprefix=sputnik%2Ctools%2C227&amp;sr=1-45-spons&amp;xpid=ABSPemLGBZlIT&amp;sp_csd=d2lkZ2V0TmFtZT1zcF9idGY&amp;th=1" TargetMode="External"/><Relationship Id="rId52" Type="http://schemas.openxmlformats.org/officeDocument/2006/relationships/hyperlink" Target="https://www.amazon.com/Flexible-480LEDs-Bedroom-Kitchen-Decoration/dp/B09W5J763J/ref=sr_1_1_sspa?crid=27MNZDVL8P30W&amp;dib=eyJ2IjoiMSJ9.aNvlgXmPAPyHlr3m27Tcx1Q7_qNR-e4wc7y3jZpqOgiVxa3gn6qyqKIht4ruWuRgswnfCTn2A9dEG-la_Iz4zRRq6enkP5RMEUGnkXI0DcV9XzN2MPw4ysXKiCSZ72SIR2rqyBbsvYAWpV3K-CET2-qMvqwb30HS-fyKzZzP-8EQSKTYNY31J8DeJ8Cl64coD6kj83f8t5VwTCaR2USmZExYYOaDbFVkRFw6Y2UhVLZtLT3AOXUMWfT_6phBs8FFYcByyl5bJafleDq3JMXPMoPEy7jFlASBQlI1tWWz-jw.Ct6pobLo9uNr7D1oxKadl24-rznER_Xw5o7chn8v2fQ&amp;dib_tag=se&amp;keywords=led%2Bstrip&amp;qid=1757947047&amp;sprefix=led%2Bstrip%2Caps%2C125&amp;sr=8-1-spons&amp;sp_csd=d2lkZ2V0TmFtZT1zcF9hdGY&amp;th=1" TargetMode="External"/><Relationship Id="rId55" Type="http://schemas.openxmlformats.org/officeDocument/2006/relationships/hyperlink" Target="https://www.amazon.com/gp/product/0847836797/ref=ppx_yo_dt_b_search_asin_title?ie=UTF8&amp;psc=1" TargetMode="External"/><Relationship Id="rId161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82" Type="http://schemas.openxmlformats.org/officeDocument/2006/relationships/hyperlink" Target="https://www.amazon.com/gp/product/B07LDWLNVF/ref=ppx_yo_dt_b_search_asin_title?ie=UTF8&amp;psc=1" TargetMode="External"/><Relationship Id="rId54" Type="http://schemas.openxmlformats.org/officeDocument/2006/relationships/hyperlink" Target="https://www.amazon.com/R-W-FLAME-Recessed-Electric-Fireplace-Adjustable/dp/B09B3HYD5X/ref=sr_1_1?crid=HJIIF2R4J0PZ&amp;dib=eyJ2IjoiMSJ9.13sSK_4HH0QHGNisxO8vCg.SpWcf5PtUSPsGkwFkyjXDcUzcPyrUD7mYW39v5gkaUM&amp;dib_tag=se&amp;keywords=B09B3HYD5X&amp;qid=1737041327&amp;sprefix=b09b3hyd5x%2Caps%2C104&amp;sr=8-1&amp;th=1" TargetMode="External"/><Relationship Id="rId160" Type="http://schemas.openxmlformats.org/officeDocument/2006/relationships/hyperlink" Target="https://www.amazon.com/dp/B01M16WBW1/ref=twister_B0D5BZDH7Y?_encoding=UTF8&amp;psc=1" TargetMode="External"/><Relationship Id="rId281" Type="http://schemas.openxmlformats.org/officeDocument/2006/relationships/hyperlink" Target="https://www.walmart.com/ip/50UA7500ZUA-AUS/14364014573?classType=REGULAR&amp;athbdg=L1300&amp;adsRedirect=true" TargetMode="External"/><Relationship Id="rId57" Type="http://schemas.openxmlformats.org/officeDocument/2006/relationships/hyperlink" Target="https://www.amazon.com/gp/product/B08J3K4N15/ref=ppx_yo_dt_b_search_asin_title?ie=UTF8&amp;psc=1" TargetMode="External"/><Relationship Id="rId280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56" Type="http://schemas.openxmlformats.org/officeDocument/2006/relationships/hyperlink" Target="https://www.walmart.com/ip/86UA7500ZUA-AUSQ/14363012836?classType=REGULAR&amp;adsRedirect=true" TargetMode="External"/><Relationship Id="rId159" Type="http://schemas.openxmlformats.org/officeDocument/2006/relationships/hyperlink" Target="https://www.amazon.com/dp/B09NPMKMN2/ref=twister_B0FB3ZMZ1M?th=1" TargetMode="External"/><Relationship Id="rId59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154" Type="http://schemas.openxmlformats.org/officeDocument/2006/relationships/hyperlink" Target="https://www.amazon.com/dp/B0C3V67MVJ/ref=sspa_dk_detail_0?pd_rd_i=B0C3V67MVJ&amp;pd_rd_w=JnGpW&amp;content-id=amzn1.sym.386c274b-4bfe-4421-9052-a1a56db557ab&amp;pf_rd_p=386c274b-4bfe-4421-9052-a1a56db557ab&amp;pf_rd_r=M15ZKVF1A1JXX2TPV953&amp;pd_rd_wg=UK0Bb&amp;pd_rd_r=3dbf6878-b8a0-4986-a5bc-e28d336f4913&amp;s=home-garden&amp;sp_csd=d2lkZ2V0TmFtZT1zcF9kZXRhaWxfdGhlbWF0aWM&amp;th=1" TargetMode="External"/><Relationship Id="rId275" Type="http://schemas.openxmlformats.org/officeDocument/2006/relationships/hyperlink" Target="https://www.amazon.com/Fat-Cat-Billiard-Contemporary-Straight/dp/B000T06MVW/ref=sr_1_17?crid=2NE75J3HEB84Q&amp;dib=eyJ2IjoiMSJ9.YG2jTeaO8beyB7DpguxFayaPmNb54g50IKNBbYZYrHWRSUYcxYr69vIfX7Ku-s72lQATgqU1UQOXEzoE-VwWDfDKitT2Ro9p5qNfmZGjPcuQun2aNrmlZcPAI4FL5UrFrz4WnkQK1bjwqJGt3o7CsowH5PXgXOwHGDYpFarmTfk-Qoo488RmsFOiAC-VFpC-BxHMUPI7_jRpnIL6x9ugr2e_W4UCwlpRB8lmdyaDcpsnLyBaZiAw7xGLZKROzYQ0hUQPgoO76QrAikDrbe66LMMIDaMargb42M-e9EqtuQs.yRbK3Bv1BQ0ahYQ3nTFIT0iHJNX7yHUEIZtT7yVoExA&amp;dib_tag=se&amp;keywords=professional+billiard+table&amp;qid=1757882969&amp;sprefix=professional+billiard+table%2Caps%2C135&amp;sr=8-17" TargetMode="External"/><Relationship Id="rId58" Type="http://schemas.openxmlformats.org/officeDocument/2006/relationships/hyperlink" Target="https://www.amazon.com/dp/B0B468QDMW/ref=sspa_dk_detail_0?pf_rd_p=f2f1cf8f-cab4-44dc-82ba-0ca811fb90cc&amp;pf_rd_r=R7HV6KK4PP2J4E64S00X&amp;pd_rd_wg=KtRTz&amp;pd_rd_w=xIqWX&amp;content-id=amzn1.sym.f2f1cf8f-cab4-44dc-82ba-0ca811fb90cc&amp;pd_rd_r=e8763fce-e3f2-46ff-a119-d90f5f6d5938&amp;s=hi&amp;sp_csd=d2lkZ2V0TmFtZT1zcF9kZXRhaWxfdGhlbWF0aWM&amp;th=1" TargetMode="External"/><Relationship Id="rId153" Type="http://schemas.openxmlformats.org/officeDocument/2006/relationships/hyperlink" Target="https://www.walmart.com/ip/50UA7500ZUA-AUS/14364014573?classType=REGULAR&amp;athbdg=L1300&amp;adsRedirect=true" TargetMode="External"/><Relationship Id="rId274" Type="http://schemas.openxmlformats.org/officeDocument/2006/relationships/hyperlink" Target="https://www.atgames.us/products/legends-ultimate" TargetMode="External"/><Relationship Id="rId152" Type="http://schemas.openxmlformats.org/officeDocument/2006/relationships/hyperlink" Target="https://www.amazon.com/dp/B00MW50B6Y/ref=twister_B0CYCRVKD1?_encoding=UTF8&amp;th=1" TargetMode="External"/><Relationship Id="rId273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51" Type="http://schemas.openxmlformats.org/officeDocument/2006/relationships/hyperlink" Target="https://www.amazon.com/Zinus-Mattress-Fiberglass-Pressure-Certified/dp/B0CKYZHV5D/ref=sr_1_5?crid=2WJD6FXX20X4H&amp;dib=eyJ2IjoiMSJ9.DO_w8f1J0X5rYl6o_167bA.omAaGWjoKmESkuGUxhE9YvSCsTseb2mrjxJRHbPNhx0&amp;dib_tag=se&amp;keywords=B0CKYZHV5D&amp;qid=1737043383&amp;sprefix=b0ckyzhv5d%2Caps%2C96&amp;sr=8-5&amp;th=1" TargetMode="External"/><Relationship Id="rId272" Type="http://schemas.openxmlformats.org/officeDocument/2006/relationships/hyperlink" Target="https://www.amazon.com/Suewaxxf-Artificial-Lifelike-Simulation-Photography/dp/B0DSZVDCBD/ref=sr_1_50_sspa?dib=eyJ2IjoiMSJ9.5_cvrgdhQzwscNXlc-kyKGRbykCPPOmKL4qIDBbs5wEuptVgGb60125fO4pPyaZtFWoUPcHNbRpEpdNNTPof8V_8AXjG5dxkiERvzFAyQZfinaDJeiHSCtYTJa_be3WsGi_owdPlVLjlNhbxsaHT7F01pUSZxgBYKA56mX41DsCHSCUpZ6jY-XEcFkqiMyJMN-FTNSs1mn0Sc9ER-QrJjnbjzM9WlQf0tRTtZ13koOs.QN8UsyM1PHik2Pj8MZhkZwQaenkVTkPwrpIM1mfj_O4&amp;dib_tag=se&amp;keywords=banana+decor&amp;qid=1745028937&amp;sr=8-50-spons&amp;xpid=B_zE3FcyrIcsb&amp;sp_csd=d2lkZ2V0TmFtZT1zcF9hdGZfbmV4dA&amp;psc=1" TargetMode="External"/><Relationship Id="rId158" Type="http://schemas.openxmlformats.org/officeDocument/2006/relationships/hyperlink" Target="https://www.amazon.com/dp/B09VNPSXNM/ref=sspa_dk_detail_11?pf_rd_p=f2f1cf8f-cab4-44dc-82ba-0ca811fb90cc&amp;pf_rd_r=4BBRD29SXJPS51RSDV63&amp;pd_rd_wg=LrzI8&amp;pd_rd_w=h8RdD&amp;content-id=amzn1.sym.f2f1cf8f-cab4-44dc-82ba-0ca811fb90cc&amp;pd_rd_r=1ab2325c-e7d7-4fda-90cf-fdba74198635&amp;s=hi&amp;sp_csd=d2lkZ2V0TmFtZT1zcF9kZXRhaWxfdGhlbWF0aWM&amp;th=1" TargetMode="External"/><Relationship Id="rId279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57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78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156" Type="http://schemas.openxmlformats.org/officeDocument/2006/relationships/hyperlink" Target="https://www.amazon.com/dp/B0DK5HNFSM?ref=emc_s_m_5_i_atc" TargetMode="External"/><Relationship Id="rId277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155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76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107" Type="http://schemas.openxmlformats.org/officeDocument/2006/relationships/hyperlink" Target="https://www.amazon.com/gp/product/B07P72ZB37/ref=ppx_yo_dt_b_search_asin_title?ie=UTF8&amp;th=1" TargetMode="External"/><Relationship Id="rId228" Type="http://schemas.openxmlformats.org/officeDocument/2006/relationships/hyperlink" Target="https://www.amazon.com/FRIGIDAIRE-EFR376-BLACK-Fridge-Bottle-Opener/dp/B07LDWLNVF/ref=sr_1_9?crid=13CLEG5L981ZC&amp;dib=eyJ2IjoiMSJ9.tmh1b9OH0Nm1thSrAAZOBp4-aDhsQL0KNfzPfJEFIJW61fofD4w1M7xUvcok3CHvTs_Py3wY79hGVwWHQB919eVSngBiYyHESIndAEc6l6tSHM5qx_0VE0ZOYKqcrAYAZTmmbj4n-tXarilpWV4vDHIjjzdTLmb5kupYSu4odjFzbaWt4NACvcLs-VhbHlmnBbvJvlr3Mf2iETN80nd6F5bTBlInkS4-cx49NRrW_bj0r3XzuI1RszPOs7kWanl8MllQDmdWpMeHAulXjbgZlOUh8L3HLUQZmjJ2W3YsKVI.To2KchMqm-Kzg9lboxlQhgh-Ez2mk7v8UuQKPXlkmv4&amp;dib_tag=se&amp;keywords=frigidaire&amp;qid=1755625736&amp;sprefix=frigidair%2Caps%2C124&amp;sr=8-9" TargetMode="External"/><Relationship Id="rId106" Type="http://schemas.openxmlformats.org/officeDocument/2006/relationships/hyperlink" Target="https://www.walmart.com/ip/50UA7500ZUA-AUS/14364014573?classType=REGULAR&amp;athbdg=L1300&amp;adsRedirect=true" TargetMode="External"/><Relationship Id="rId227" Type="http://schemas.openxmlformats.org/officeDocument/2006/relationships/hyperlink" Target="https://www.amazon.com/gp/product/B0C52PSRG3/ref=ppx_yo_dt_b_search_asin_title?ie=UTF8&amp;psc=1" TargetMode="External"/><Relationship Id="rId105" Type="http://schemas.openxmlformats.org/officeDocument/2006/relationships/hyperlink" Target="https://www.amazon.com/dp/B00MW50754/ref=twister_B0CYCRVKD1?_encoding=UTF8&amp;th=1" TargetMode="External"/><Relationship Id="rId226" Type="http://schemas.openxmlformats.org/officeDocument/2006/relationships/hyperlink" Target="https://www.amazon.com/gp/product/B083B979JB/ref=ppx_yo_dt_b_search_asin_title?ie=UTF8&amp;th=1" TargetMode="External"/><Relationship Id="rId104" Type="http://schemas.openxmlformats.org/officeDocument/2006/relationships/hyperlink" Target="https://www.amazon.com/Linenspa-Premium-Smooth-Mattress-Protector/dp/B00MW50EDY/ref=sr_1_5?crid=1BR07LQNILBRU&amp;dib=eyJ2IjoiMSJ9.6mVtZC-y3V_lIKegVbsP3A.yfyiqkhsBI6D8oH4ZySA4dpT9GmWlQVm53lyeqZZAx4&amp;dib_tag=se&amp;keywords=B00MW50EDY&amp;qid=1737039915&amp;sprefix=b00mw50edy%2Caps%2C121&amp;sr=8-5&amp;th=1" TargetMode="External"/><Relationship Id="rId225" Type="http://schemas.openxmlformats.org/officeDocument/2006/relationships/hyperlink" Target="https://www.lowes.com/pd/Breezary-65-in-Satin-Nickel-Color-changing-Indoor-Ceiling-Fan-with-Light-and-Remote-8-Blade/5015042515" TargetMode="External"/><Relationship Id="rId109" Type="http://schemas.openxmlformats.org/officeDocument/2006/relationships/hyperlink" Target="https://www.amazon.com/KDG-Cordless-Rechargeable-Portables-Lightings/dp/B0DQ8QPQ6C/ref=sr_1_2_sspa?crid=30V2I3KGF0RBD&amp;dib=eyJ2IjoiMSJ9.LUEh9n2e_AKS3uhwuSmN5nJUe2DX9ZIkr9RtUEYUtT0VwnVuZuldHHbVFZA4__zjBQIrtCkqcNi6IxHJpXoFRhbuw6WAL5_6KMOaVWy6-9U5slJyMemlMnSUaYxjSq3dsf9jJCWXC4FbzWMt6Y3Hvcwlskk0fRNjdXt4ukZ0DS2dCKmcSdGAkyTLaLakfTAZECrztAWHjLyli5ipGk7UYovA80o3LI0hvPZQ0Xpmywsjxam2bB-osxpXMNf9ZhEUJ8ykGIR-t4HW9v1VC2j2126FRL2HtmqUgPPD8rGjddk.N1vw-QkH9HY0mXvP-ASCUxSWCksdvP2A8ah4g-BQybM&amp;dib_tag=se&amp;keywords=sconce&amp;qid=1748917804&amp;sprefix=sconce%2Caps%2C126&amp;sr=8-2-spons&amp;sp_csd=d2lkZ2V0TmFtZT1zcF9hdGY&amp;th=1" TargetMode="External"/><Relationship Id="rId108" Type="http://schemas.openxmlformats.org/officeDocument/2006/relationships/hyperlink" Target="https://www.amazon.com/dp/B09KBPCZ28/ref=sspa_dk_detail_4?pd_rd_i=B09KBPCZ28&amp;pd_rd_w=rXz0a&amp;content-id=amzn1.sym.386c274b-4bfe-4421-9052-a1a56db557ab&amp;pf_rd_p=386c274b-4bfe-4421-9052-a1a56db557ab&amp;pf_rd_r=912WNJNEJ317BYECME89&amp;pd_rd_wg=4D1Ts&amp;pd_rd_r=40c0f898-28e2-41ba-98a2-1d341185845c&amp;s=home-garden&amp;sp_csd=d2lkZ2V0TmFtZT1zcF9kZXRhaWxfdGhlbWF0aWM&amp;th=1" TargetMode="External"/><Relationship Id="rId229" Type="http://schemas.openxmlformats.org/officeDocument/2006/relationships/hyperlink" Target="https://www.webstaurantstore.com/lancaster-table-seating-crimson-double-ring-barstool-with-3-1-2-thick-seat/164GS605BCR.html" TargetMode="External"/><Relationship Id="rId220" Type="http://schemas.openxmlformats.org/officeDocument/2006/relationships/hyperlink" Target="https://www.wayfair.com/outdoor/pdp/wade-logan-caggiano-7756-long-reclining-chaise-lounges-w005616407.html?piid=1113835958" TargetMode="External"/><Relationship Id="rId103" Type="http://schemas.openxmlformats.org/officeDocument/2006/relationships/hyperlink" Target="https://www.amazon.com/Utopia-Bedding-Throw-Pillows-Insert/dp/B081PW4RT9/ref=sr_1_1?crid=GMMKGMUK9BJ7&amp;dib=eyJ2IjoiMSJ9.lHNbW8AKMqi7QcmX-ZKYSA.uET0jI7S8qv7VKrt_AKOfj5iRKcl3DjwOndfwC5oekk&amp;dib_tag=se&amp;keywords=B081PW4RT9&amp;qid=1732929398&amp;s=home-garden&amp;sprefix=b081pw4rt9%2Cgarden%2C112&amp;sr=1-1" TargetMode="External"/><Relationship Id="rId224" Type="http://schemas.openxmlformats.org/officeDocument/2006/relationships/hyperlink" Target="https://www.amazon.com/LEPOWER-Certified-Waterproof-Adjustable-Entryways/dp/B07P6QXB66/ref=sr_1_5?crid=BGWSHOCR798B&amp;dib=eyJ2IjoiMSJ9.BqkxDogbJdcUO6Wu-4d3yg.fDkkRWf9rCJRgn2B6Mw7GSOgdNe2Y5NzkBIvSN5xpe0&amp;dib_tag=se&amp;keywords=B07P6QXB66&amp;qid=1737046576&amp;sprefix=b07p6qxb66%2Caps%2C191&amp;sr=8-5" TargetMode="External"/><Relationship Id="rId102" Type="http://schemas.openxmlformats.org/officeDocument/2006/relationships/hyperlink" Target="https://www.amazon.com/gp/product/B07T1RFHGW/ref=ox_sc_act_title_12?smid=A9R60ZNAJMSU9&amp;th=1" TargetMode="External"/><Relationship Id="rId223" Type="http://schemas.openxmlformats.org/officeDocument/2006/relationships/hyperlink" Target="https://www.wayfair.com/outdoor/pdp/corrigan-studio-patio-bar-stool-with-cushion-w008317995.html?piid=1136818852" TargetMode="External"/><Relationship Id="rId101" Type="http://schemas.openxmlformats.org/officeDocument/2006/relationships/hyperlink" Target="https://www.amazon.com/gp/product/B0CZ81NXYZ/ref=ppx_yo_dt_b_search_asin_title?ie=UTF8&amp;th=1" TargetMode="External"/><Relationship Id="rId222" Type="http://schemas.openxmlformats.org/officeDocument/2006/relationships/hyperlink" Target="https://www.vigfurniture.com/patio/renava-cocoon-mini-outdoor-beige-wicker-lounge-bed.html" TargetMode="External"/><Relationship Id="rId100" Type="http://schemas.openxmlformats.org/officeDocument/2006/relationships/hyperlink" Target="https://www.amazon.com/Maple-Stone-Lightweight-Bedspread-Ultrasonic/dp/B09P3NKL53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221" Type="http://schemas.openxmlformats.org/officeDocument/2006/relationships/hyperlink" Target="https://www.wayfair.com/outdoor/pdp/lark-manor-alyah-rectangular-8-person-838-long-aluminum-dining-set-w004770254.html?piid=526125330" TargetMode="External"/><Relationship Id="rId217" Type="http://schemas.openxmlformats.org/officeDocument/2006/relationships/hyperlink" Target="https://www.amazon.com/dp/B09BCW3KQ8/ref=sspa_dk_detail_2?pd_rd_i=B0BVQ1KDN8&amp;pd_rd_w=qOmIg&amp;content-id=amzn1.sym.f2f1cf8f-cab4-44dc-82ba-0ca811fb90cc&amp;pf_rd_p=f2f1cf8f-cab4-44dc-82ba-0ca811fb90cc&amp;pf_rd_r=JDPT117KBH9H2AKN8VR0&amp;pd_rd_wg=G1m3f&amp;pd_rd_r=10f73dfa-4bb3-4bcf-8da0-27d50c62b7d2&amp;s=home-garden&amp;sp_csd=d2lkZ2V0TmFtZT1zcF9kZXRhaWxfdGhlbWF0aWM&amp;th=1" TargetMode="External"/><Relationship Id="rId216" Type="http://schemas.openxmlformats.org/officeDocument/2006/relationships/hyperlink" Target="https://www.amazon.com/dp/B0D1NVVDMG/ref=sspa_dk_detail_6?pd_rd_i=B0D1NVVDMG&amp;pd_rd_w=9sfjo&amp;content-id=amzn1.sym.f2f1cf8f-cab4-44dc-82ba-0ca811fb90cc&amp;pf_rd_p=f2f1cf8f-cab4-44dc-82ba-0ca811fb90cc&amp;pf_rd_r=6HRQCAV7378WSSBJM4PY&amp;pd_rd_wg=w1WJi&amp;pd_rd_r=c472eaf9-b1e6-4674-893b-b2eca6da84b7&amp;s=kitchen&amp;sp_csd=d2lkZ2V0TmFtZT1zcF9kZXRhaWxfdGhlbWF0aWM&amp;th=1" TargetMode="External"/><Relationship Id="rId215" Type="http://schemas.openxmlformats.org/officeDocument/2006/relationships/hyperlink" Target="https://www.amazon.com/Kevin-Textile-Decorative-Waterproof-Pillowcases/dp/B0DQ53LBQC/ref=sr_1_6?crid=1LFIW3LXC0GXH&amp;dib=eyJ2IjoiMSJ9.m3joYazxxQJ8zLsqkn4aXL2DHWh8kwzzcd8tL7rHcxz3gcVJFf1tBlsvcAYnjrW_81Ukprno5smHOaIbfjP4mbsAQpvAgfsnin9Z_JGZQKv4qTT--OTUtQTbdcv52cTvqo6rOU0e6iFGjj6bxkGFnOAwLws6cA6w7caUs7ZoWbDDsSTI6tm6SBzAD4IcKYv3bRqlTBkN85HL7przpNHdeWGAbOpiH6lIIj23u6koRfCV1hbO_bTWcnCGzF12hxAlBWlqZrrDMZ6Hscj90HPi2i5vxOs9zveDqqTpnIB3VvLJNtuCfV7pkx-eeTPVAMzd2cGFLZp9t8Pjqtcmpeh4yU7T7Kh728WKMolBIZfaQOs.FOw6dYLkC3XSeqe7hJ_DxLEznqm8HMnsXUHhZU7LyAA&amp;dib_tag=se&amp;keywords=outdoor%2Blumbar%2Bpillow%2Bcovers%2B12x20&amp;qid=1743562915&amp;s=home-garden&amp;sprefix=outdoor%2Blumbar%2B%2Cgarden%2C108&amp;sr=1-6&amp;th=1" TargetMode="External"/><Relationship Id="rId214" Type="http://schemas.openxmlformats.org/officeDocument/2006/relationships/hyperlink" Target="https://www.amazon.com/gp/product/B09B9P9M8L/ref=ppx_yo_dt_b_search_asin_title?ie=UTF8&amp;th=1" TargetMode="External"/><Relationship Id="rId219" Type="http://schemas.openxmlformats.org/officeDocument/2006/relationships/hyperlink" Target="https://www.amazon.com/dp/B0F6Z2P3G7/ref=sspa_dk_detail_13?pf_rd_p=386c274b-4bfe-4421-9052-a1a56db557ab&amp;pf_rd_r=8S4PFY8ESER7J8E0NKQR&amp;pd_rd_wg=1A1fR&amp;pd_rd_w=zmNdL&amp;content-id=amzn1.sym.386c274b-4bfe-4421-9052-a1a56db557ab&amp;pd_rd_r=6d5aedbc-3d4e-4c4c-b56d-c51c220585f9&amp;sp_csd=d2lkZ2V0TmFtZT1zcF9kZXRhaWxfdGhlbWF0aWM&amp;th=1" TargetMode="External"/><Relationship Id="rId218" Type="http://schemas.openxmlformats.org/officeDocument/2006/relationships/hyperlink" Target="https://www.amazon.com/MIULEE-Waterproof-Decorative-Resistant-Hypoallergenic/dp/B0DGL6P82T/ref=sr_1_5?crid=30ETU8J8G5HUE&amp;dib=eyJ2IjoiMSJ9.WNZseBT_6PVIjjBL4ZYfrouEgQZu8TDH9W0IMNskw0w0qZsXiBw6rg2DZLHAeWxY1pVDZ8KKx_NWCxYjMHaRYO3GwuqZ0SNolnp37Yz_ESvMaVs9TSSOX6MwwQkp9W9El-5dDJZ8jEFNjIFguNN7MahElcszsUCE2qWkz2S3QAbmT-pTL79zSUSLN1lchLFcdgwngO7blcftabYIKTX6gGfGcM-odd7KGBXwF8HuyZc.bgCcNfcdkQi7Jx8q0bMS8UhzIqtq36NWgtQeM4ujiA0&amp;dib_tag=se&amp;keywords=outdoor%2Bpillow%2Binserts%2B20x20&amp;qid=1743563634&amp;sprefix=outdoor%2Bpillow%2Binsert%2Caps%2C130&amp;sr=8-5&amp;th=1" TargetMode="External"/><Relationship Id="rId213" Type="http://schemas.openxmlformats.org/officeDocument/2006/relationships/hyperlink" Target="https://www.amazon.com/Zitalupy-T-Shape-Towel-Rack-Countertop/dp/B0D232RB1V/ref=sr_1_3?crid=Y4HYXH2GVTKX&amp;dib=eyJ2IjoiMSJ9.uJASzIuTkOKswAQDAkkmbQ.8_yLx2h96DnZF6LlH-kaHUal0HzRJH0KlH324GaCFfY&amp;dib_tag=se&amp;keywords=B0D232RB1V&amp;qid=1743562778&amp;sprefix=b0d232rb1v%2Caps%2C141&amp;sr=8-3&amp;th=1" TargetMode="External"/><Relationship Id="rId212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11" Type="http://schemas.openxmlformats.org/officeDocument/2006/relationships/hyperlink" Target="https://www.ikea.com/us/en/p/snoerpa-pedal-bin-stainless-steel-10511208/" TargetMode="External"/><Relationship Id="rId210" Type="http://schemas.openxmlformats.org/officeDocument/2006/relationships/hyperlink" Target="https://www.ikea.com/us/en/p/bolmen-toilet-brush-holder-white-40574435/" TargetMode="External"/><Relationship Id="rId129" Type="http://schemas.openxmlformats.org/officeDocument/2006/relationships/hyperlink" Target="https://www.amazon.com/Westablize-Cabinet-Knurled-Cupboard-Aluminum/dp/B0BW8827L1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128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249" Type="http://schemas.openxmlformats.org/officeDocument/2006/relationships/hyperlink" Target="https://www.amazon.com/dp/B0DP3W7VN3/ref=sspa_dk_detail_1?pd_rd_i=B0FP59KG2W&amp;pd_rd_w=QplOf&amp;content-id=amzn1.sym.386c274b-4bfe-4421-9052-a1a56db557ab&amp;pf_rd_p=386c274b-4bfe-4421-9052-a1a56db557ab&amp;pf_rd_r=AMZV8F1SHG1N587MYM9Q&amp;pd_rd_wg=wCNeW&amp;pd_rd_r=5e5a6a3f-1983-4f23-9636-f98f4ce9529e&amp;sp_csd=d2lkZ2V0TmFtZT1zcF9kZXRhaWxfdGhlbWF0aWM&amp;th=1" TargetMode="External"/><Relationship Id="rId127" Type="http://schemas.openxmlformats.org/officeDocument/2006/relationships/hyperlink" Target="https://www.amazon.com/dp/B0DK5HNFSM?ref=emc_s_m_5_i_atc" TargetMode="External"/><Relationship Id="rId248" Type="http://schemas.openxmlformats.org/officeDocument/2006/relationships/hyperlink" Target="https://www.amazon.com/gp/product/B07LDWLNVF/ref=ppx_yo_dt_b_search_asin_title?ie=UTF8&amp;psc=1" TargetMode="External"/><Relationship Id="rId126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247" Type="http://schemas.openxmlformats.org/officeDocument/2006/relationships/hyperlink" Target="https://www.walmart.com/ip/50UA7500ZUA-AUS/14364014573?classType=REGULAR&amp;athbdg=L1300&amp;adsRedirect=true" TargetMode="External"/><Relationship Id="rId121" Type="http://schemas.openxmlformats.org/officeDocument/2006/relationships/hyperlink" Target="https://www.amazon.com/Zinus-Mattress-Fiberglass-Pressure-Certified/dp/B0CKYZHV5D/ref=sr_1_1?crid=3R28XDJ2731UY&amp;dib=eyJ2IjoiMSJ9.DO_w8f1J0X5rYl6o_167bA.omAaGWjoKmESkuGUxhE9YvSCsTseb2mrjxJRHbPNhx0&amp;dib_tag=se&amp;keywords=B0CKYZHV5D&amp;qid=1737042719&amp;sprefix=b0ckyzhv5d%2Caps%2C178&amp;sr=8-1&amp;th=1" TargetMode="External"/><Relationship Id="rId242" Type="http://schemas.openxmlformats.org/officeDocument/2006/relationships/hyperlink" Target="https://www.amazon.com/dp/B0170NWHDM/ref=sspa_dk_detail_0?psc=1&amp;pd_rd_i=B0170NWHDM&amp;pd_rd_w=IuPQh&amp;content-id=amzn1.sym.386c274b-4bfe-4421-9052-a1a56db557ab&amp;pf_rd_p=386c274b-4bfe-4421-9052-a1a56db557ab&amp;pf_rd_r=0Z3278SNC7WZE66HAJR3&amp;pd_rd_wg=SQqia&amp;pd_rd_r=ea1aec65-3338-4bb3-9b78-6bd8057258fb&amp;sp_csd=d2lkZ2V0TmFtZT1zcF9kZXRhaWxfdGhlbWF0aWM" TargetMode="External"/><Relationship Id="rId120" Type="http://schemas.openxmlformats.org/officeDocument/2006/relationships/hyperlink" Target="https://www.amazon.com/Full-Size-Piece-Sheet-Set/dp/B06X9MSPFQ/ref=sxin_17_sbv_search_btf?content-id=amzn1.sym.7032aefd-3c59-4a1e-aaf4-8d3a944207a4%3Aamzn1.sym.7032aefd-3c59-4a1e-aaf4-8d3a944207a4&amp;crid=33O6PJMZDIKA6&amp;cv_ct_cx=beauty%2Band%2Bthe%2Bbeast%2Bsheet%2Bset%2Bfull&amp;keywords=beauty%2Band%2Bthe%2Bbeast%2Bsheet%2Bset%2Bfull&amp;pd_rd_i=B06X9MSPFQ&amp;pd_rd_r=7dd00cff-397a-41ea-83ff-3e779fcdadb1&amp;pd_rd_w=Yjol8&amp;pd_rd_wg=PQbpJ&amp;pf_rd_p=7032aefd-3c59-4a1e-aaf4-8d3a944207a4&amp;pf_rd_r=E6EAZQMGS4N82PP3WNVF&amp;qid=1743552359&amp;sbo=RZvfv%2F%2FHxDF%2BO5021pAnSA%3D%3D&amp;sprefix=beauty%2Band%2Bthe%2Bbeast%2Bsheet%2Bset%2Bfull%2Caps%2C107&amp;sr=1-1-5190daf0-67e3-427c-bea6-c72c1df98776&amp;th=1" TargetMode="External"/><Relationship Id="rId241" Type="http://schemas.openxmlformats.org/officeDocument/2006/relationships/hyperlink" Target="https://www.amazon.com/Barrington-Springdale-Billiard-Table-Pieces/dp/B016DYY1JW/ref=sr_1_17?crid=1GRDTDJZEOVQQ&amp;dib=eyJ2IjoiMSJ9.vdVgvTIivZvSwvuR0SlmGAWgrMgk-hr_CsVx7qyERjiZoN1S6l976g-IuAx9bNtqTndTKmzkKaxPnhwzeGVzKWD4KGjH9lgv4-dcE44ztBiv4YlrNbCMz5a4GJ1QARPNpRF-TUI5gt0oWegDDGUVA5XyueZdxtYfmJSEzoWsOqTMcONV1kiZ4Pad95iTFzzSBy3pwQQ8UrdNgnOkoYl6dEW6KqgJlHb_b-CzXczUcynWrFTNZKUmM1XT78Um0fyAdyuPmHvCAb91qVKL6AuWriEUvqEnJ2YvYz-U_j-nyKA.fxONBCu1YScuWlaBBOxynPjFsRY48EgE6giMJ7EyzJo&amp;dib_tag=se&amp;keywords=pool%2Btable&amp;qid=1755614319&amp;sprefix=pool%2Btable%2Caps%2C129&amp;sr=8-17&amp;th=1" TargetMode="External"/><Relationship Id="rId240" Type="http://schemas.openxmlformats.org/officeDocument/2006/relationships/hyperlink" Target="https://www.atgames.us/products/legends-ultimate" TargetMode="External"/><Relationship Id="rId125" Type="http://schemas.openxmlformats.org/officeDocument/2006/relationships/hyperlink" Target="https://www.amazon.com/LMS-Pendant-Lighting-Chandelier-Adjustable/dp/B0CBWZMZXT/ref=sr_1_37?crid=3KUIDQ9BD0IDH&amp;dib=eyJ2IjoiMSJ9.QGH8uJv87_808N8xlRCinqvy4gwHGygNLXFkN654Q3bXzUwyc59aUMI90433EJZ3omDz0VXFROE9PiLXtrvAiMh8GD9nyXv_nD_ol0c8vZwid0mb7dPwcZp4obfFth5is4uSwQBnvgZSWgG3xnz-xx6hgeGwwms6k4alM7KX_u0btjD_lufVGV99qmyUumnJ7XOYeWoJki2YnUXmH29PeNVZJN9XgG6SQU15-LiHjiXq1VbsdfB6I03CVNlT0u9GgyEuP68Js5eTSFNT85VNetdaBd5JTQGooiCdyC3uX0M.S0itR7T4PDYeL1Cigz5ASAj9JL4tNd_iGMRSv-lLias&amp;dib_tag=se&amp;keywords=Lighting%2Bpendant&amp;qid=1757703115&amp;sprefix=lighting%2Bpendant%2Caps%2C124&amp;sr=8-37&amp;th=1" TargetMode="External"/><Relationship Id="rId246" Type="http://schemas.openxmlformats.org/officeDocument/2006/relationships/hyperlink" Target="https://www.amazon.com/Gorilla-Playsets-Tic-Spinner-Yellow/dp/B000XH754Y/ref=pd_aw_fbt_complementary_d_sccl_1/137-7602536-0262240?pd_rd_w=qFMRi&amp;content-id=amzn1.sym.07268da7-bd38-4c2e-979f-4db1831bfb65&amp;pf_rd_p=07268da7-bd38-4c2e-979f-4db1831bfb65&amp;pf_rd_r=TWF7AQYJXFXMVNN6ZJ0H&amp;pd_rd_wg=doRva&amp;pd_rd_r=a819d4ac-44b0-4342-aaa9-833a9f84c663&amp;pd_rd_i=B000XH754Y&amp;psc=1" TargetMode="External"/><Relationship Id="rId124" Type="http://schemas.openxmlformats.org/officeDocument/2006/relationships/hyperlink" Target="https://www.amazon.com/KAISITE-Sputnik-Chandelier-Adjustable-Lighting/dp/B0CG5YPJ7C/ref=sr_1_12_sspa?crid=2LGECWWMAYHTF&amp;dib=eyJ2IjoiMSJ9.Cmpu9iho-CprECPAFMZv0EyxJrgC1Ws7lN84OduqLn2ttR6Egw8eY-YKYlJsvWamfb01QD-WrxOOzF7szwE8dK1c7IztElQAcM2oxNwnc0lsFI4hGGfeLoKwMedfqU7xWpCYrEdqqO3QRgUTpOWrUVRCP8G7ROcftg8w77Du0jMaIKjlZe6wgG1VNNEJhoKx_luqkhg9eZmAgt2ejQtsKoEtDxPizSLKv6f0nj8L2gYvw6KEn5F18xBuhPqvuowry61bD_jEdmYBvLayb_Fk8PYqFLncvw09LSKz7xQ8h54.6RyPyRyLF4Bggz4vCYaXruvuuinf5-2A86641RVdaRk&amp;dib_tag=se&amp;keywords=chandelier%2Bgold&amp;qid=1757703034&amp;sprefix=chandelier%2Bgol%2Caps%2C135&amp;sr=8-12-spons&amp;sp_csd=d2lkZ2V0TmFtZT1zcF9tdGY&amp;th=1" TargetMode="External"/><Relationship Id="rId245" Type="http://schemas.openxmlformats.org/officeDocument/2006/relationships/hyperlink" Target="https://www.amazon.com/Backyard-Discovery-Tall-Spiral-Slide/dp/B085737RCG/ref=sr_1_57?crid=1F7FUWQ6I0X52&amp;dib=eyJ2IjoiMSJ9.dF6emJ0Hc525VLYjMpSb1A4xHVvQqaziLP8_vGMSNcg9Te97hzKSypuJ8da2sSpGCy0DxQ3ItllGXZa8t5AUv1SUaAOfOg_5nTIDa9i4wN0.CwCtCpOaG-z9TEvPSiMwDThGQ1GiRiS27X958S6SPXM&amp;dib_tag=se&amp;keywords=slide&amp;qid=1745023839&amp;s=toys-and-games&amp;sprefix=slide%2Ctoys-and-games%2C199&amp;sr=1-57&amp;xpid=AUwiw2Jrndsz3&amp;th=1" TargetMode="External"/><Relationship Id="rId123" Type="http://schemas.openxmlformats.org/officeDocument/2006/relationships/hyperlink" Target="https://www.walmart.com/ip/50UA7500ZUA-AUS/14364014573?classType=REGULAR&amp;athbdg=L1300&amp;adsRedirect=true" TargetMode="External"/><Relationship Id="rId244" Type="http://schemas.openxmlformats.org/officeDocument/2006/relationships/hyperlink" Target="https://www.amazon.com/American-Legend-Kirkwood-Foosball-Table/dp/B08L5LWZFT/ref=sr_1_21?crid=2509LYJG732UR&amp;dib=eyJ2IjoiMSJ9.vqn4NwBTsI3Dhecsp34THgKFe7tQlLnKNgpwD2OMSE0EhchRZM9xV0BZG17MZewu3wCpyBWLHqV1yFyxIqFnea1qoBjgOd8GVrnSC1e2Km487UkAQVUcoFmc3A1P8SdQfbusZ-38uaGflzKrqmt6R0MsosP7PBsjHfqlVgDKNgicHPvaKjedVuDncdyT0oETuun8OI5F1sRoM0Elef5pAXY3YXC9_fO0PL1oLa1NQiqMtU1-nuyNYa1AAG-r7xLWszyCSy9CoOMHTDLoLxJ8Ji0WYWXFea8F2CmojlUl3EQ.D7zzFqPNJgCk2Z9EIc7ZnqfXq02lyEjglo6ghgJYUoQ&amp;dib_tag=se&amp;keywords=foosball%2Btable&amp;qid=1745023966&amp;s=toys-and-games&amp;sprefix=foosball%2Btabl%2Ctoys-and-games%2C111&amp;sr=1-21&amp;xpid=l6XYubdVB-Rdt&amp;th=1" TargetMode="External"/><Relationship Id="rId122" Type="http://schemas.openxmlformats.org/officeDocument/2006/relationships/hyperlink" Target="https://www.amazon.com/Linenspa-Premium-Smooth-Mattress-Protector/dp/B00MW50754/ref=sr_1_5?crid=1BR07LQNILBRU&amp;dib=eyJ2IjoiMSJ9.6mVtZC-y3V_lIKegVbsP3A.yfyiqkhsBI6D8oH4ZySA4dpT9GmWlQVm53lyeqZZAx4&amp;dib_tag=se&amp;keywords=B00MW50EDY&amp;qid=1737039915&amp;sprefix=b00mw50edy%2Caps%2C121&amp;sr=8-5&amp;th=1" TargetMode="External"/><Relationship Id="rId243" Type="http://schemas.openxmlformats.org/officeDocument/2006/relationships/hyperlink" Target="https://www.amazon.com/American-Legend-Kirkwood-Powered-K-Shaped/dp/B08JCVYF5G/ref=sr_1_18?crid=2E12MM3TIGLG9&amp;dib=eyJ2IjoiMSJ9.lOC1JlwP6s8seHK60leOZroOJlUOYFmRg9aNedhnGs-dYH_n9PJL4BbLV5aH3xPSLbCUHZLs89-BkmxXTVmgnlQj5po_wthVvN6K-7Tzt8dYwp6L3aVMdJZ1qyNdH7mCsc44A10fnhC1oPv5F4ffotAx2my78sgoJnqksTkTS6aIn0h5qUGe28PlLY9w1AbaRYX2wqp_hFrXal9qc8VnLGHFVg2B40J0M2efmIXBYKZNfe5pqqNIXp5QZbhmXSWb5AHI-c2OqG6Gnoly8T6lcxytjst1MNxO-Mk5chd2t_c.c3nBaclU3HamWkKBQHW8mSKIQZGsFSpa-ExL5YyUZNc&amp;dib_tag=se&amp;keywords=air+hockey&amp;qid=1746460027&amp;s=sporting-goods&amp;sprefix=air+hockey%2Csporting%2C247&amp;sr=1-18" TargetMode="External"/><Relationship Id="rId95" Type="http://schemas.openxmlformats.org/officeDocument/2006/relationships/hyperlink" Target="https://www.amazon.com/gp/product/B0CV63M3YH/ref=ox_sc_act_title_4?smid=AISR8NQB2ETL&amp;th=1" TargetMode="External"/><Relationship Id="rId94" Type="http://schemas.openxmlformats.org/officeDocument/2006/relationships/hyperlink" Target="https://www.amazon.com/gp/product/B0DB1H4QVP/ref=ox_sc_act_title_9?th=1" TargetMode="External"/><Relationship Id="rId97" Type="http://schemas.openxmlformats.org/officeDocument/2006/relationships/hyperlink" Target="https://www.amazon.com/Maple-Stone-Lightweight-Bedspread-Ultrasonic/dp/B09P3QKQR8/ref=sr_1_1_sspa?crid=3TVW3YKEVRYMC&amp;dib=eyJ2IjoiMSJ9.Q8tWRfz8Y8ozcJHRiLdrnw.cRUUQ4ZFzLyrxjjIgcxpwkDlgfKzCQ_CCUil6V7DD2g&amp;dib_tag=se&amp;keywords=B09P3QKQR8&amp;qid=1737039830&amp;sprefix=b09p3qkqr8%2Caps%2C126&amp;sr=8-1-spons&amp;sp_csd=d2lkZ2V0TmFtZT1zcF9hdGY&amp;th=1" TargetMode="External"/><Relationship Id="rId96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9" Type="http://schemas.openxmlformats.org/officeDocument/2006/relationships/hyperlink" Target="https://www.amazon.com/King-Size-Piece-Sheet-Set/dp/B01LWMWAXV/ref=sr_1_2_sspa?crid=1USIDESF90CZ1&amp;dib=eyJ2IjoiMSJ9.8XxBjklPmlldYZbpN-NYWW_m9LfxHp4NBXV5-WhKio32Br2g-sqBpsOGB0psdFuhOzlYlvX8erRgpcz-Bvs7CLb2tRVR9jLzOihf2HnVvDO9iKMBKfwXvwJeTZRQUx108x6u012KGl9GnD4U3_u2zb96jxHm_omcjgEKRMMlAFD1ppHvJfYeNwyfidW0rg6wGBiCB53Ca8-rYJsdht4SdV80QYEiKLPlLKy9yM6P9jjH4p1SjWUERFrfMRC4GjjBn8mWakv35XZFEww7y1pBGJZoMKzgocYqCA5ngshjfXE.XhripQoSZyr1I1pceJ5lXp4OVvIFypucd1rB-3SxfNo&amp;dib_tag=se&amp;keywords=king%2Bsize%2Bsheet%2Bset&amp;qid=1732893134&amp;sprefix=king%2Bsize%2Bsheet%2Bset%2Caps%2C164&amp;sr=8-2-spons&amp;sp_csd=d2lkZ2V0TmFtZT1zcF9hdGY&amp;th=1" TargetMode="External"/><Relationship Id="rId98" Type="http://schemas.openxmlformats.org/officeDocument/2006/relationships/hyperlink" Target="https://www.amazon.com/gp/product/B0BFCY84XY/ref=ppx_yo_dt_b_search_asin_title?ie=UTF8&amp;th=1" TargetMode="External"/><Relationship Id="rId91" Type="http://schemas.openxmlformats.org/officeDocument/2006/relationships/hyperlink" Target="https://www.amazon.com/dp/B0DK5HNFSM?ref=emc_s_m_5_i_atc" TargetMode="External"/><Relationship Id="rId90" Type="http://schemas.openxmlformats.org/officeDocument/2006/relationships/hyperlink" Target="https://www.amazon.com/HAMRVL-Flexible-Cabinet%EF%BC%8CBedroom-Backlight-Lighting/dp/B09MRLC1H1/ref=sr_1_1?crid=19N3Z8B9PPDTB&amp;dib=eyJ2IjoiMSJ9.9_aW_lQpVD4gknOlmRS7EQ.W2Zv1CYEzeaAHXB_5JIdpvcWig33Jv8vVh4eA9nPJdw&amp;dib_tag=se&amp;keywords=B09MRLC1H1&amp;qid=1735317915&amp;sprefix=b09mrlc1h1%2Caps%2C258&amp;sr=8-1&amp;th=1" TargetMode="External"/><Relationship Id="rId93" Type="http://schemas.openxmlformats.org/officeDocument/2006/relationships/hyperlink" Target="https://www.amazon.com/Westablize-Cabinet-Knurled-Cupboard-Aluminum/dp/B0CQJLBB3X/ref=sxin_13_pa_sp_search_thematic-asin_sspa?content-id=amzn1.sym.fafe484f-cd28-4757-8453-ed5d45330b75%3Aamzn1.sym.fafe484f-cd28-4757-8453-ed5d45330b75&amp;crid=KJ6O4NTZAA8J&amp;cv_ct_cx=HANDLE&amp;keywords=HANDLE&amp;pd_rd_i=B0BW8827L1&amp;pd_rd_r=dd15d148-2d87-417a-aabf-0137abe13bf2&amp;pd_rd_w=f0bcy&amp;pd_rd_wg=QRERW&amp;pf_rd_p=fafe484f-cd28-4757-8453-ed5d45330b75&amp;pf_rd_r=S9EP4W8FMJ05V04TXD85&amp;qid=1737042354&amp;sbo=RZvfv%2F%2FHxDF%2BO5021pAnSA%3D%3D&amp;sprefix=handle%2Caps%2C130&amp;sr=1-3-baa1f287-65d3-41a3-a655-8bbba0531537-spons&amp;sp_csd=d2lkZ2V0TmFtZT1zcF9zZWFyY2hfdGhlbWF0aWM&amp;th=1" TargetMode="External"/><Relationship Id="rId92" Type="http://schemas.openxmlformats.org/officeDocument/2006/relationships/hyperlink" Target="https://www.amazon.com/DaierTek-Rocker-Switch-Household-Appliances/dp/B07S1MV462/ref=sr_1_1_sspa?crid=2Y0T0PMLIO2TG&amp;dib=eyJ2IjoiMSJ9.JgNEX2Fgjh_xSDFv6ghqUQr_LGfUQaRDRDJ83owsQnqFID78RI99nYVV_MUJSDjdOeeNGD1TVqRXBx-ywNutEvuuYWY-orO-c2ebinFaliBVmd4O7LSVkWRfYVAzLwZa0D3mwDvsNgynvlyOd5fLSVNrIFv1BvUc8s_rGVxnA05ymAKfGckA0AEfMLusG2kILWcGAC-gMHXRiQFxAgNq9hS0osGuGLfCviYMcsrOiynyma0xL851_1s_H-VpvWivLTzbR9Qc9rB88_sZtFZr3IovV0OC7aAuL2LsKqyky_8.5cp2k-cJgne0lowS2Xtb1aGlLKySBba7w0bHsbYl1dk&amp;dib_tag=se&amp;keywords=switch+circle&amp;qid=1735319242&amp;sprefix=switch+circle%2Caps%2C139&amp;sr=8-1-spons&amp;sp_csd=d2lkZ2V0TmFtZT1zcF9hdGY&amp;psc=1" TargetMode="External"/><Relationship Id="rId118" Type="http://schemas.openxmlformats.org/officeDocument/2006/relationships/hyperlink" Target="https://www.disneystore.com/belle-plush-doll-beauty-and-the-beast-14-12-412333393535.html" TargetMode="External"/><Relationship Id="rId239" Type="http://schemas.openxmlformats.org/officeDocument/2006/relationships/hyperlink" Target="https://www.facebook.com/marketplace/item/1019248543131244/?ref=search&amp;referral_code=null&amp;referral_story_type=post&amp;tracking=browse_serp%3A446d04c8-aba7-4526-80d2-279853801513" TargetMode="External"/><Relationship Id="rId117" Type="http://schemas.openxmlformats.org/officeDocument/2006/relationships/hyperlink" Target="https://www.amazon.com/EDIFIERY-Artificial-Flowers-Plants-Wedding/dp/B07CNC2VVY/ref=sr_1_38?dib=eyJ2IjoiMSJ9.xzwtkuthv3jn-G3BazmwWtXSB0YMoWAMXlJEzrXqz0xilmG6Lcq2lxHgFwXgytiiJgOCMSsxUblkZjt_L_J5wXtvhrVN8i_tjlXhO4Cffwx7OreElPuX9bjqI0agQqDbnXNaAxNvheilSpve7AJU8jp-XEXgAZgIyTQdNKavmWX8B-BtSxLlczlBtWLNL6xwbFIohrF22xa7PCtHlrKJvmk8FhN8gCSPUolhv6VMdIn09riqbJxdAkh7de7tuBha6jAk8ksMIq9mxfjUwwwkGL5X0PvE23-yMz8hDFkGbkSAK0xaNo3C6trpBSyshyFxhi9Alp6bdQuIFhCVcD700HiR7cK0K9TXsxuvX5WIXkyXd6pcK3bESn18_wZiJL7VEVKikgO7ZWX-B7rAXobf8UJufdV0nKrFiFwUrc6356mSTvTeJzAjVz57mgDe0oEh.Crfg7L_R9taOl9ENsgemp9iMt0fbaY34mnYzlaX9DSg&amp;dib_tag=se&amp;keywords=beauty%2Band%2Bthe%2Bbeast%2Bdecor&amp;qid=1743553005&amp;sr=8-38&amp;th=1" TargetMode="External"/><Relationship Id="rId238" Type="http://schemas.openxmlformats.org/officeDocument/2006/relationships/hyperlink" Target="https://www.amazon.com/Educational-Trampoline-Gymnastics-Skateboard-Playground/dp/B0FFB4P78L/ref=sr_1_4?crid=16AV5PDW9OJHL&amp;dib=eyJ2IjoiMSJ9.J2Idv3RDeumAYk0CkLclZ28BmXE-KIAzkRJHyd4eNsAhab02TUNWYkWKUFDQDSXkzZf6rhJicOcQHKpfs_UekQYN3ZzmThP6a54E6aleEaorC6b6P4uoGlAzhOEYuIhv-CRiqzdtOhkcjmveY4FmGiFBSq-wMDxSLfezXoOnghdzVqTM6QWlkKSIatG2x_aaO387j_O0uEAP_94rXHzQ17awvtanHfH6HV_Nkt_MdKhULiBSCWyiS8NfV5y4ID-Qf9LEDNuDwzdej2_SJhITmqDHZ6x55j-TjrUEuXdkRcc.SoFvsYyRvHKmpHiXxIrLwY9UivNiicVKW-QX0O18GHQ&amp;dib_tag=se&amp;keywords=cube%2Bfoam&amp;qid=1757897879&amp;s=toys-and-games&amp;sprefix=cube%2Bfoam%2Ctoys-and-games%2C111&amp;sr=1-4&amp;xpid=Wh-0OlA9oaFbG&amp;th=1" TargetMode="External"/><Relationship Id="rId116" Type="http://schemas.openxmlformats.org/officeDocument/2006/relationships/hyperlink" Target="https://www.amazon.com/ALPHA-HOME-Blanket-Lightweight-Blankets/dp/B0DPMV69CM/ref=sr_1_17_sspa?crid=25N0CXB4TCV3Z&amp;dib=eyJ2IjoiMSJ9.YvwqNDay1QHwxqd4xMwtcHQIyJWBOJ8W8aPqL-21Rx1xXq-30zjg4AJylxQfv6jIV9HPuoJBkjLpggtP23mYkvbruL7cjlQ39_KN0tOicYSiRXNtHGNJlfgedEX80xvhcvK3I4j2t5pwa6LvWVjS1ld7-IJCsBfZ92pW4JKTwQLW32qnwDFeWG_LPaAydgQcNxdDbkxtU0DHy6__cVN1Qx3WePTk5XeesULKjz_Mc6E.43JA9itwcWh_RFj-enuLX7rzHY1JhKUvHcM-dJ8skO8&amp;dib_tag=se&amp;keywords=beauty%2Band%2Bthe%2Bbeast%2Bthrow&amp;qid=1743552819&amp;sprefix=beauty%2Band%2Bthe%2Bbeast%2Bthro%2Caps%2C106&amp;sr=8-17-spons&amp;sp_csd=d2lkZ2V0TmFtZT1zcF9tdGY&amp;th=1" TargetMode="External"/><Relationship Id="rId237" Type="http://schemas.openxmlformats.org/officeDocument/2006/relationships/hyperlink" Target="https://www.amazon.com/dp/B01NCNKR7H/ref=sspa_dk_detail_0?psc=1&amp;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" TargetMode="External"/><Relationship Id="rId115" Type="http://schemas.openxmlformats.org/officeDocument/2006/relationships/hyperlink" Target="https://www.amazon.com/MIULEE-Pillow-Inserts-Nowoven-Decorative/dp/B0CSFGDTQP/ref=sr_1_4?crid=GAIO9TT5L5US&amp;dib=eyJ2IjoiMSJ9.t76vcOyNVHk8x8CJxM5D5jt8tIzImQGw_W9k-ZPLLKGqEpIR8osuFteRmbw-HYFmdUh0HCELDsXNIR8vu84Dl5GfHHyLZQNmSkSARGs-bv3IsYsLxtBsHV2DrCYUz8mxRqIS7oyObM45TDTZ9xsD25VorsPpX1ULsu_xRPqKUgxMZXP_jzBQ1r6_LXPHAwDgB4rIGI4b9Snf0I5OCceVQby0QiFDauaRCUKrJWue_Fo.lmNxmFTcTAPJjv8yX7MocIXGcjax2_HBuSkX_Wfl5U8&amp;dib_tag=se&amp;keywords=pillow%2Binserts%2B20x20%2Bset%2Bof%2B2&amp;qid=1743552257&amp;sprefix=pillow%2Binser%2Caps%2C147&amp;sr=8-4&amp;th=1" TargetMode="External"/><Relationship Id="rId236" Type="http://schemas.openxmlformats.org/officeDocument/2006/relationships/hyperlink" Target="https://www.amazon.com/dp/B0D2VMKCPT/ref=sspa_dk_detail_6?pf_rd_p=386c274b-4bfe-4421-9052-a1a56db557ab&amp;pf_rd_r=2CCHSP469QGXTKQSS6Y3&amp;pd_rd_wg=Fzj51&amp;pd_rd_w=YHJGu&amp;content-id=amzn1.sym.386c274b-4bfe-4421-9052-a1a56db557ab&amp;pd_rd_r=db639e6e-a51f-48ac-815d-f4fce43ea679&amp;s=toys-and-games&amp;sp_csd=d2lkZ2V0TmFtZT1zcF9kZXRhaWxfdGhlbWF0aWM&amp;th=1" TargetMode="External"/><Relationship Id="rId119" Type="http://schemas.openxmlformats.org/officeDocument/2006/relationships/hyperlink" Target="https://www.disneystore.com/disney-animators-collection-belle-doll-beauty-and-the-beast-16-460020241065.html" TargetMode="External"/><Relationship Id="rId110" Type="http://schemas.openxmlformats.org/officeDocument/2006/relationships/hyperlink" Target="https://www.amazon.com/TAYUQEE-Foam-Pit-Cubes-Blocks/dp/B0BPC7GBDP/ref=sxbs_pa_sp_search_thematic_btf_sspa?content-id=amzn1.sym.cffc76a7-3fdb-4ec0-ab7c-eadcde7419c2%3Aamzn1.sym.cffc76a7-3fdb-4ec0-ab7c-eadcde7419c2&amp;cv_ct_cx=foam%2Bcube&amp;keywords=foam%2Bcube&amp;pd_rd_i=B0BPC7GBDP&amp;pd_rd_r=ff5169f4-d348-4504-bbbf-0bf819efc9f6&amp;pd_rd_w=imCOl&amp;pd_rd_wg=ljog6&amp;pf_rd_p=cffc76a7-3fdb-4ec0-ab7c-eadcde7419c2&amp;pf_rd_r=2TSH90EWAKHXPVTC1PNP&amp;qid=1757701562&amp;sbo=RZvfv%2F%2FHxDF%2BO5021pAnSA%3D%3D&amp;sr=1-2-fb395260-7243-4e30-82ce-3176e35831b6-spons&amp;sp_csd=d2lkZ2V0TmFtZT1zcF9zZWFyY2hfdGhlbWF0aWNfYnRm&amp;th=1" TargetMode="External"/><Relationship Id="rId231" Type="http://schemas.openxmlformats.org/officeDocument/2006/relationships/hyperlink" Target="https://www.amazon.com/gp/product/B08L58DVCJ/ref=ppx_yo_dt_b_search_asin_title?ie=UTF8&amp;th=1" TargetMode="External"/><Relationship Id="rId230" Type="http://schemas.openxmlformats.org/officeDocument/2006/relationships/hyperlink" Target="https://www.amazon.com/gp/product/B0D7HLZD2H/ref=ppx_yo_dt_b_search_asin_title?ie=UTF8&amp;th=1" TargetMode="External"/><Relationship Id="rId114" Type="http://schemas.openxmlformats.org/officeDocument/2006/relationships/hyperlink" Target="https://www.amazon.com/Romadedi-Candelabra-Gold-Candle-Holders/dp/B0BK39389N/ref=sxin_16_pa_sp_search_thematic_sspa?content-id=amzn1.sym.1ac62dee-1169-4bf4-91b9-84fe33c930b1%3Aamzn1.sym.1ac62dee-1169-4bf4-91b9-84fe33c930b1&amp;cv_ct_cx=beauty%2Band%2Bthe%2Bbeast%2Bdecor&amp;keywords=beauty%2Band%2Bthe%2Bbeast%2Bdecor&amp;pd_rd_i=B0BK39389N&amp;pd_rd_r=079cfc47-c98d-4d06-ae56-cf48d7548002&amp;pd_rd_w=SvWh5&amp;pd_rd_wg=9zHNJ&amp;pf_rd_p=1ac62dee-1169-4bf4-91b9-84fe33c930b1&amp;pf_rd_r=ZX8RK6920BN9T5TABCQ2&amp;qid=1743553005&amp;sbo=RZvfv%2F%2FHxDF%2BO5021pAnSA%3D%3D&amp;sr=1-1-6024b2a3-78e4-4fed-8fed-e1613be3bcce-spons&amp;sp_csd=d2lkZ2V0TmFtZT1zcF9zZWFyY2hfdGhlbWF0aWM&amp;th=1" TargetMode="External"/><Relationship Id="rId235" Type="http://schemas.openxmlformats.org/officeDocument/2006/relationships/hyperlink" Target="https://www.amazon.com/Melissa-Doug-Solid-Table-Chairs/dp/B00CE69IGA/ref=sr_1_4?crid=3L3AUQ10RW3V6&amp;dib=eyJ2IjoiMSJ9.H00GxnWJWQT5Ht7zPuSpvrroalJawoEZFgc3G4y06e4WyjH6za9kgG7iASs8XPiQTN5FpvfDKrT4DZCEcpoUKlBr-L0jVVSAKjvHdB4Gx4qYmTCWFYTXVSyupH4MQ6CU9c0vHEQ9hcrAHPUlp-7BqaWxHrYDP6HmPdjhJd_sBL52-sVbXwABpChQj19an496fy9xm3BdENWwqnPROuTqo8Bmv95qRkDsjcOghcKvhSstjHEGQ2k3jGWJLQSuhBGfbF0oMbk6kClOj8j0slmXVuErcwIC4swIza0WGdrqEGQ.Ih6lmSJcxt7VYo5MM1Jv9i2S4KajyJTeyUmQL_TNFpw&amp;dib_tag=se&amp;keywords=KIDS%2BWOOD%2BTABLE&amp;qid=1757898760&amp;s=toys-and-games&amp;sprefix=kids%2Bwood%2Btable%2Ctoys-and-games%2C110&amp;sr=1-4&amp;xpid=ta-Unfc5JYt6H&amp;th=1" TargetMode="External"/><Relationship Id="rId113" Type="http://schemas.openxmlformats.org/officeDocument/2006/relationships/hyperlink" Target="https://www.amazon.com/Disney-Traditions-Beauty-Storybook-Figurine/dp/B00AQ048S4/ref=sr_1_17?dib=eyJ2IjoiMSJ9.iT22s2cca1-BwLuz8DM_AvmpimF4Gzz5X2lTdA7FrC6d7Ig0gO03-zRxWILoWUUHNtdDsQ3vrHy637Z_2FOwqG-xHGljvyFUy2OKS_aX1fbwiol0agkBrIzP_NXTefhpjuLLf8OQdTrMtjuwUbpFKUkCWSJF0OJFJOa0l2r9NROQpZTkTS_PFJkEgCKX0aLfydbEBEOqhQ4bezdIlRBXIz6N_d1iPFSGaPTQEBwDcmmEKOW6y24iINDn5MrrVMNmNUcqCLIDGKE6gGpbrP-ERKbGDA24uts8Bpc6eUkwRdpTizDF53ZnocwghxQ8piKuCh1nCFJ8sYTuXalWPjphbrCwZP9rpW1P2mMicMbNCao9OGvq3nsenPTsbSvnQWoZchTwoRgkQNK_ihXvtpe8XxPA2hRkuA5tJp1XBPfdj4l-wDIaS0jKn3GMdcQy15vR.KdAoev0-TVB1O5HJqLzYywEaoTvOVi9mG7HJN7yrBhc&amp;dib_tag=se&amp;keywords=beauty+and+the+beast+decor&amp;qid=1743551341&amp;sr=8-17" TargetMode="External"/><Relationship Id="rId234" Type="http://schemas.openxmlformats.org/officeDocument/2006/relationships/hyperlink" Target="https://www.amazon.com/gp/product/B07P72ZB37/ref=ppx_yo_dt_b_search_asin_title?ie=UTF8&amp;th=10" TargetMode="External"/><Relationship Id="rId112" Type="http://schemas.openxmlformats.org/officeDocument/2006/relationships/hyperlink" Target="https://www.amazon.com/Jay-Franco-Disney-Frozen-Color/dp/B084RW255F/ref=sr_1_2_sspa?crid=23OSNUV9YK128&amp;dib=eyJ2IjoiMSJ9.JhVThC-MBPUmu6wRQywJZguB7P_bqM717bC2PUAoX7kF_UTURFmbSpsEtLusvo2X0VrPVXnYXIOzcmiyxTNocvgIxpydQhkPXZSMAmvn-GicgQlwmFkfuj-6RnrPSiLJj4eHiSq7M09qsw7d8RI0DkbiJyqNBnKftAG0GgLoiecnuw61zSmhOC1UEK6cFkMq_5uLNwAc6qyxCqnIpftNQ9-Ul_ifOhoHOQOSs7O3XauX2Eq_ip6laq4ZA4xbdUEb7x2sdFE_gjIq1A6cXMi1nwTd1Xuc_jqfR43i_mOLsvc.Gm32Z6fvmXiHboTL58Ndf2qhZpgliNKX1v_rj1kGUU8&amp;dib_tag=se&amp;keywords=frozen%2Bcomforter&amp;qid=1757699914&amp;s=home-garden&amp;sprefix=frozen%2Bconforter%2Cgarden%2C116&amp;sr=1-2-spons&amp;sp_csd=d2lkZ2V0TmFtZT1zcF9hdGY&amp;th=1" TargetMode="External"/><Relationship Id="rId233" Type="http://schemas.openxmlformats.org/officeDocument/2006/relationships/hyperlink" Target="https://www.walmart.com/ip/LG-32-Ultragear-Gaming-Monitor-32G60WA-B/13658407275?classType=REGULAR&amp;athbdg=L1600&amp;adsRedirect=true" TargetMode="External"/><Relationship Id="rId111" Type="http://schemas.openxmlformats.org/officeDocument/2006/relationships/hyperlink" Target="https://www.amazon.com/dp/B0F9XZBLLJ/ref=twister_B0FJ245Z1V?_encoding=UTF8&amp;th=1" TargetMode="External"/><Relationship Id="rId232" Type="http://schemas.openxmlformats.org/officeDocument/2006/relationships/hyperlink" Target="https://www.amazon.com/FVBADE-Projector-Joystick-Favorite-Category/dp/B091TSPH51/ref=sr_1_31_sspa?crid=493V9D2YCQQ0&amp;dib=eyJ2IjoiMSJ9.lNJCd7N-ev_R1igmIdIaeHaU_2BOIlrPvBfTICEgjVkT2kn7HDydB2OIHYnD3diOneh4FK2sDg5WS0Xa1Buw2bLOGpqgG5dFDhmPsKFDxfuJzb_oBrxwLjiV9KOGYSwFVqU49tBM2jewVI30l69vCOa0Md2MDIsB6T9t9n-KRo50bFrRDUz2QHjdkvenu0HUdIS_8c9S0fppgAQ0e8Y0d-yaeS6QXEkEGTa83M01UH1ugvKZqvPS4CnAskuXRRUZ.v9m3TOUQIlNCLaQ-JSRw1eMi5e598nI2mMTQW1-bmCo&amp;dib_tag=se&amp;keywords=Arcade%2Bdonkey%2Bkong&amp;qid=1745023433&amp;s=toys-and-games&amp;sprefix=arcade%2Bdonkey%2Bkong%2Ctoys-and-games%2C101&amp;sr=1-31-spons&amp;xpid=jvhmvusCn8XUh&amp;sp_csd=d2lkZ2V0TmFtZT1zcF9tdGY&amp;th=1" TargetMode="External"/><Relationship Id="rId302" Type="http://schemas.openxmlformats.org/officeDocument/2006/relationships/vmlDrawing" Target="../drawings/vmlDrawing3.vml"/><Relationship Id="rId301" Type="http://schemas.openxmlformats.org/officeDocument/2006/relationships/drawing" Target="../drawings/drawing3.xml"/><Relationship Id="rId300" Type="http://schemas.openxmlformats.org/officeDocument/2006/relationships/hyperlink" Target="https://www.amazon.com/Accessories-Billiard-Triangle-Diamond-Stickers/dp/B0D8HX2BF6/ref=sr_1_8?crid=IKUQZ841RT6W&amp;dib=eyJ2IjoiMSJ9.DubJyDXsoMk1tDPE2T1hwBReVgHSOIQ8ZpS9rSEoCzrWP-GmLcaagLRhxjel7fUyN85hRss2G01p72zhBFYGTbHob9dHYSsB4fL18nOaVN7J0hBJamcxSQBAP4sxSW-xWzwSuGJ43zooeQGcLkQR1UFzYn4mqCTW30tDrrj9lRl94tu_X3f3dNiZsmHqWalkfkVbzP986C5ZitB-1GF4k24lABwtS6F38gAC9Be8Yr_2yYyImiJCLHxHVXN3WfxWNlNp5MwHi7knOe6Sz6WtoZ6bEh2yh_L9jdOEpvGQkkc.AuyYV8vWQxjQQPYxUiDrG0nv1hdfbdFEVjyqkO4OzTQ&amp;dib_tag=se&amp;keywords=billiard+accessories&amp;qid=1757893422&amp;sprefix=billiard+acessories%2Caps%2C209&amp;sr=8-8&amp;xpid=j-2ai-6Qpxq70" TargetMode="External"/><Relationship Id="rId206" Type="http://schemas.openxmlformats.org/officeDocument/2006/relationships/hyperlink" Target="https://www.amazon.com/Revlon-Full-Size-Turbo-Dryer-Black/dp/B017BGO9FC/ref=sr_1_1?crid=2VS7GRE6MIO3P&amp;dib=eyJ2IjoiMSJ9.83uqXHBHGVI4wKsjlgThog.UZfTdb78QdlLxDIZT4qGgkL-EOf5lXYe7bC8JbEGIE4&amp;dib_tag=se&amp;keywords=B017BGO9FC&amp;qid=1737045578&amp;sprefix=b017bgo9fc%2Caps%2C91&amp;sr=8-1" TargetMode="External"/><Relationship Id="rId205" Type="http://schemas.openxmlformats.org/officeDocument/2006/relationships/hyperlink" Target="https://www.ikea.com/us/en/p/snoerpa-pedal-bin-stainless-steel-10511208/" TargetMode="External"/><Relationship Id="rId204" Type="http://schemas.openxmlformats.org/officeDocument/2006/relationships/hyperlink" Target="https://www.ikea.com/us/en/p/bolmen-toilet-brush-holder-white-40574435/" TargetMode="External"/><Relationship Id="rId203" Type="http://schemas.openxmlformats.org/officeDocument/2006/relationships/hyperlink" Target="https://www.amazon.com/AmazerBath-Lightweight-Curtain-Rust-Resistant-Waterproof/dp/B082KP92DF/ref=sr_1_3?crid=1N21UMF5KBNJI&amp;dib=eyJ2IjoiMSJ9.4xkvoYq2LxUlwPeYoZ8G9g.Q-wkQDOXGsrg5T6g1bslN2wjuHoEWeCYZb3Zej9xSVo&amp;dib_tag=se&amp;keywords=B082KP92DF&amp;qid=1743561677&amp;sprefix=b082kp92df%2Caps%2C90&amp;sr=8-3&amp;th=1" TargetMode="External"/><Relationship Id="rId209" Type="http://schemas.openxmlformats.org/officeDocument/2006/relationships/hyperlink" Target="https://www.amazon.com/YellyHommy-Curtain-Bathroom-Curtains-Plastic/dp/B0BZ4M6Y9C/ref=sr_1_1_sspa?crid=1URUZCR5ODAPY&amp;keywords=B08BZFRQLS&amp;qid=1694834570&amp;s=home-garden&amp;sprefix=%2Cgarden%2C177&amp;sr=1-1-spons&amp;sp_csd=d2lkZ2V0TmFtZT1zcF9hdGY&amp;th=1" TargetMode="External"/><Relationship Id="rId208" Type="http://schemas.openxmlformats.org/officeDocument/2006/relationships/hyperlink" Target="https://www.amazon.com/gp/product/B09B9P9M8L/ref=ppx_yo_dt_b_search_asin_title?ie=UTF8&amp;th=1" TargetMode="External"/><Relationship Id="rId207" Type="http://schemas.openxmlformats.org/officeDocument/2006/relationships/hyperlink" Target="https://www.amazon.com/Zitalupy-T-Shape-Towel-Rack-Countertop/dp/B0D232RB1V/ref=sr_1_1?crid=2431D77EWSKPN&amp;dib=eyJ2IjoiMSJ9.uJASzIuTkOKswAQDAkkmbQ.8_yLx2h96DnZF6LlH-kaHUal0HzRJH0KlH324GaCFfY&amp;dib_tag=se&amp;keywords=B0D232RB1V&amp;qid=1737045599&amp;sprefix=b0d232rb1v%2Caps%2C132&amp;sr=8-1" TargetMode="External"/><Relationship Id="rId202" Type="http://schemas.openxmlformats.org/officeDocument/2006/relationships/hyperlink" Target="https://www.amazon.com/AmazerBath-Curtain-Curtains-Quality-Bathroom/dp/B07RGQQ3LG/ref=sr_1_1_sspa?crid=DSWFEZZ0XXPT&amp;dib=eyJ2IjoiMSJ9.ds5XC0KhU3adkmFjpUfAZA._hD-B5Bme0tANbp8Dc-Pd_u1BlEHI-itbJ65ABdBpvo&amp;dib_tag=se&amp;keywords=B07RGQQ3LG&amp;qid=1743561662&amp;sprefix=b07rgqq3lg%2Caps%2C107&amp;sr=8-1-spons&amp;sp_csd=d2lkZ2V0TmFtZT1zcF9hdGY&amp;th=1" TargetMode="External"/><Relationship Id="rId201" Type="http://schemas.openxmlformats.org/officeDocument/2006/relationships/hyperlink" Target="https://www.amazon.com/Titanker-Curtain-Rust-Resistant-Bathroom-Curtains/dp/B081YQBPSS/ref=sr_1_1?crid=3QS0ADXAX5F77&amp;dib=eyJ2IjoiMSJ9.2Et6iNDzwuRQq7O1kgAyf8AMmlkmnlSiqqGxTsWczFdelRZRiDFBEe16oTtQUkB-QCrOpbgUFiA03Mx0r4yghF5LX8BslYJyA3ZI8vXiVpxgse5nNVHUbnIkyThUz3QFKPp7bsUNFF2ME4U3aNDO8Kkc7w04Lms2nHoCPflUZw382WoePPlrakl84LWPoVG6mjDlLojlQetyMYR1GLlTZvKOEz5l6AxdN8qBD3Qblu4.eGBGBxyIt1kzlbldy6r4QZQmxZzpE154nx3XlWAIwJ0&amp;dib_tag=se&amp;keywords=Curtain%2Bbath%2Bhook&amp;qid=1743561598&amp;sprefix=curtain%2Bbath%2Bhook%2Caps%2C110&amp;sr=8-1&amp;th=1" TargetMode="External"/><Relationship Id="rId200" Type="http://schemas.openxmlformats.org/officeDocument/2006/relationships/hyperlink" Target="https://www.amazon.com/AmazerBath-Bathroom-Adjustable-Segmented-Installation/dp/B0CLRRK69P/ref=sr_1_3_sspa?crid=1FQU0DJL8LMZQ&amp;keywords=B07WQV896S&amp;qid=1743561511&amp;sprefix=b07wqv896s%2Caps%2C108&amp;sr=8-3-spons&amp;sp_csd=d2lkZ2V0TmFtZT1zcF9tdGY&amp;th=1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SUM(H9:H46)</f>
        <v>1255.8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hidden="1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6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53150.48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0.2433071232</v>
      </c>
    </row>
    <row r="10" ht="15.75" hidden="1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31699.18</v>
      </c>
      <c r="T10" s="21">
        <f t="shared" si="3"/>
        <v>0</v>
      </c>
      <c r="U10" s="21">
        <f t="shared" si="4"/>
        <v>0</v>
      </c>
      <c r="V10" s="22">
        <f t="shared" si="5"/>
        <v>0.1451094382</v>
      </c>
    </row>
    <row r="11" ht="15.75" hidden="1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28900</v>
      </c>
      <c r="T11" s="21">
        <f t="shared" si="3"/>
        <v>0</v>
      </c>
      <c r="U11" s="21">
        <f t="shared" si="4"/>
        <v>0</v>
      </c>
      <c r="V11" s="22">
        <f t="shared" si="5"/>
        <v>0.1322956229</v>
      </c>
    </row>
    <row r="12" ht="15.75" hidden="1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32521.17</v>
      </c>
      <c r="T12" s="21">
        <f t="shared" si="3"/>
        <v>0</v>
      </c>
      <c r="U12" s="21">
        <f t="shared" si="4"/>
        <v>0</v>
      </c>
      <c r="V12" s="22">
        <f t="shared" si="5"/>
        <v>0.1488722645</v>
      </c>
    </row>
    <row r="13" ht="15.75" hidden="1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600.0</v>
      </c>
      <c r="H13" s="17">
        <f t="shared" si="1"/>
        <v>0</v>
      </c>
      <c r="I13" s="18"/>
      <c r="J13" s="18"/>
      <c r="K13" s="13"/>
      <c r="L13" s="13"/>
      <c r="M13" s="13"/>
      <c r="N13" s="13"/>
      <c r="O13" s="13"/>
      <c r="P13" s="13"/>
      <c r="Q13" s="1"/>
      <c r="R13" s="30" t="s">
        <v>30</v>
      </c>
      <c r="S13" s="21">
        <f t="shared" si="2"/>
        <v>3080</v>
      </c>
      <c r="T13" s="21">
        <f t="shared" si="3"/>
        <v>0</v>
      </c>
      <c r="U13" s="21">
        <f t="shared" si="4"/>
        <v>0</v>
      </c>
      <c r="V13" s="22">
        <f t="shared" si="5"/>
        <v>0.01409932591</v>
      </c>
    </row>
    <row r="14" ht="15.75" hidden="1" customHeight="1">
      <c r="A14" s="13"/>
      <c r="B14" s="13"/>
      <c r="C14" s="13" t="s">
        <v>31</v>
      </c>
      <c r="D14" s="23" t="s">
        <v>20</v>
      </c>
      <c r="E14" s="15"/>
      <c r="F14" s="16">
        <v>0.0</v>
      </c>
      <c r="G14" s="17">
        <v>600.0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32</v>
      </c>
      <c r="S14" s="21">
        <f t="shared" si="2"/>
        <v>69099.33</v>
      </c>
      <c r="T14" s="21">
        <f t="shared" si="3"/>
        <v>0</v>
      </c>
      <c r="U14" s="21">
        <f t="shared" si="4"/>
        <v>0</v>
      </c>
      <c r="V14" s="22">
        <f t="shared" si="5"/>
        <v>0.3163162252</v>
      </c>
    </row>
    <row r="15" ht="15.75" customHeight="1">
      <c r="A15" s="13"/>
      <c r="B15" s="13" t="s">
        <v>18</v>
      </c>
      <c r="C15" s="13" t="s">
        <v>33</v>
      </c>
      <c r="D15" s="32" t="s">
        <v>22</v>
      </c>
      <c r="E15" s="33" t="s">
        <v>34</v>
      </c>
      <c r="F15" s="16">
        <v>1.0</v>
      </c>
      <c r="G15" s="34">
        <v>24.0</v>
      </c>
      <c r="H15" s="17">
        <f t="shared" si="1"/>
        <v>24</v>
      </c>
      <c r="I15" s="18"/>
      <c r="J15" s="18"/>
      <c r="K15" s="13"/>
      <c r="L15" s="27"/>
      <c r="M15" s="28"/>
      <c r="N15" s="27"/>
      <c r="O15" s="28"/>
      <c r="P15" s="27"/>
      <c r="Q15" s="35"/>
      <c r="R15" s="36" t="s">
        <v>35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hidden="1" customHeight="1">
      <c r="A16" s="13"/>
      <c r="B16" s="13"/>
      <c r="C16" s="13" t="s">
        <v>36</v>
      </c>
      <c r="D16" s="37" t="s">
        <v>32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8"/>
      <c r="P16" s="19"/>
      <c r="Q16" s="35"/>
      <c r="R16" s="39" t="s">
        <v>37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hidden="1" customHeight="1">
      <c r="A17" s="13"/>
      <c r="B17" s="13"/>
      <c r="C17" s="13"/>
      <c r="D17" s="37" t="s">
        <v>32</v>
      </c>
      <c r="E17" s="15"/>
      <c r="F17" s="40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5"/>
      <c r="R17" s="3" t="s">
        <v>38</v>
      </c>
      <c r="S17" s="41">
        <f t="shared" ref="S17:V17" si="6">SUM(S9:S16)</f>
        <v>218450.16</v>
      </c>
      <c r="T17" s="41">
        <f t="shared" si="6"/>
        <v>0</v>
      </c>
      <c r="U17" s="41">
        <f t="shared" si="6"/>
        <v>0</v>
      </c>
      <c r="V17" s="42">
        <f t="shared" si="6"/>
        <v>1</v>
      </c>
    </row>
    <row r="18" ht="15.75" customHeight="1">
      <c r="A18" s="13"/>
      <c r="B18" s="43" t="s">
        <v>39</v>
      </c>
      <c r="C18" s="13" t="s">
        <v>40</v>
      </c>
      <c r="D18" s="32" t="s">
        <v>22</v>
      </c>
      <c r="E18" s="15"/>
      <c r="F18" s="16">
        <v>1.0</v>
      </c>
      <c r="G18" s="34">
        <v>266.0</v>
      </c>
      <c r="H18" s="17">
        <f t="shared" si="1"/>
        <v>266</v>
      </c>
      <c r="I18" s="18"/>
      <c r="J18" s="18"/>
      <c r="K18" s="13"/>
      <c r="L18" s="13"/>
      <c r="M18" s="19"/>
      <c r="N18" s="13"/>
      <c r="O18" s="19"/>
      <c r="P18" s="19"/>
      <c r="Q18" s="35"/>
      <c r="R18" s="1"/>
      <c r="S18" s="1"/>
      <c r="T18" s="1"/>
      <c r="U18" s="1"/>
      <c r="V18" s="1"/>
    </row>
    <row r="19" ht="15.75" customHeight="1">
      <c r="A19" s="15"/>
      <c r="B19" s="44" t="s">
        <v>18</v>
      </c>
      <c r="C19" s="45" t="s">
        <v>41</v>
      </c>
      <c r="D19" s="46" t="s">
        <v>20</v>
      </c>
      <c r="E19" s="47" t="s">
        <v>42</v>
      </c>
      <c r="F19" s="48">
        <v>1.0</v>
      </c>
      <c r="G19" s="49">
        <v>216.0</v>
      </c>
      <c r="H19" s="50">
        <f t="shared" si="1"/>
        <v>216</v>
      </c>
      <c r="I19" s="51"/>
      <c r="J19" s="51"/>
      <c r="K19" s="52"/>
      <c r="L19" s="52"/>
      <c r="M19" s="52"/>
      <c r="N19" s="52"/>
      <c r="O19" s="52"/>
      <c r="P19" s="52"/>
      <c r="Q19" s="1"/>
      <c r="R19" s="3"/>
      <c r="S19" s="3"/>
      <c r="T19" s="1"/>
      <c r="U19" s="1"/>
      <c r="V19" s="1"/>
    </row>
    <row r="20" ht="15.75" hidden="1" customHeight="1">
      <c r="A20" s="53"/>
      <c r="B20" s="54"/>
      <c r="C20" s="54" t="s">
        <v>41</v>
      </c>
      <c r="D20" s="55" t="s">
        <v>20</v>
      </c>
      <c r="E20" s="54"/>
      <c r="F20" s="56">
        <v>0.0</v>
      </c>
      <c r="G20" s="57">
        <v>200.0</v>
      </c>
      <c r="H20" s="57">
        <f t="shared" si="1"/>
        <v>0</v>
      </c>
      <c r="I20" s="58"/>
      <c r="J20" s="58"/>
      <c r="K20" s="54"/>
      <c r="L20" s="54"/>
      <c r="M20" s="54"/>
      <c r="N20" s="54"/>
      <c r="O20" s="54"/>
      <c r="P20" s="54"/>
      <c r="Q20" s="1"/>
      <c r="R20" s="59"/>
      <c r="S20" s="60">
        <v>0.4</v>
      </c>
      <c r="T20" s="61">
        <f>S17+S17*S20</f>
        <v>305830.224</v>
      </c>
      <c r="U20" s="62"/>
      <c r="V20" s="1"/>
    </row>
    <row r="21" ht="15.75" hidden="1" customHeight="1">
      <c r="A21" s="13"/>
      <c r="B21" s="52"/>
      <c r="C21" s="13" t="s">
        <v>43</v>
      </c>
      <c r="D21" s="25" t="s">
        <v>24</v>
      </c>
      <c r="E21" s="15"/>
      <c r="F21" s="40">
        <v>0.0</v>
      </c>
      <c r="G21" s="17">
        <v>115.0</v>
      </c>
      <c r="H21" s="17">
        <f t="shared" si="1"/>
        <v>0</v>
      </c>
      <c r="I21" s="18"/>
      <c r="J21" s="18"/>
      <c r="K21" s="13"/>
      <c r="L21" s="63"/>
      <c r="M21" s="63"/>
      <c r="N21" s="63"/>
      <c r="O21" s="63"/>
      <c r="P21" s="63"/>
      <c r="Q21" s="64"/>
      <c r="R21" s="62"/>
      <c r="S21" s="65"/>
      <c r="T21" s="62"/>
      <c r="U21" s="62"/>
      <c r="V21" s="1"/>
    </row>
    <row r="22" ht="15.75" customHeight="1">
      <c r="A22" s="13"/>
      <c r="B22" s="13" t="s">
        <v>18</v>
      </c>
      <c r="C22" s="13" t="s">
        <v>44</v>
      </c>
      <c r="D22" s="32" t="s">
        <v>22</v>
      </c>
      <c r="E22" s="15" t="s">
        <v>45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62" t="s">
        <v>38</v>
      </c>
      <c r="S22" s="62"/>
      <c r="T22" s="61">
        <f>SUM(T20:T21)</f>
        <v>305830.224</v>
      </c>
      <c r="U22" s="62"/>
      <c r="V22" s="1"/>
    </row>
    <row r="23" ht="15.75" customHeight="1">
      <c r="A23" s="13"/>
      <c r="B23" s="43" t="s">
        <v>39</v>
      </c>
      <c r="C23" s="13" t="s">
        <v>46</v>
      </c>
      <c r="D23" s="66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/>
      <c r="S23" s="62"/>
      <c r="T23" s="62"/>
      <c r="U23" s="62"/>
      <c r="V23" s="1"/>
    </row>
    <row r="24" ht="15.75" hidden="1" customHeight="1">
      <c r="A24" s="13"/>
      <c r="B24" s="13" t="s">
        <v>18</v>
      </c>
      <c r="C24" s="13" t="s">
        <v>47</v>
      </c>
      <c r="D24" s="14" t="s">
        <v>20</v>
      </c>
      <c r="E24" s="67" t="s">
        <v>48</v>
      </c>
      <c r="F24" s="40">
        <v>0.0</v>
      </c>
      <c r="G24" s="17">
        <v>133.0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5"/>
      <c r="R24" s="62"/>
      <c r="S24" s="68"/>
      <c r="T24" s="69"/>
      <c r="U24" s="69"/>
      <c r="V24" s="1"/>
    </row>
    <row r="25" ht="15.75" hidden="1" customHeight="1">
      <c r="A25" s="13"/>
      <c r="B25" s="13"/>
      <c r="C25" s="13" t="s">
        <v>49</v>
      </c>
      <c r="D25" s="70" t="s">
        <v>24</v>
      </c>
      <c r="E25" s="15"/>
      <c r="F25" s="40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5"/>
      <c r="R25" s="35"/>
      <c r="S25" s="35"/>
      <c r="T25" s="1"/>
      <c r="U25" s="1"/>
      <c r="V25" s="1"/>
    </row>
    <row r="26" ht="15.75" hidden="1" customHeight="1">
      <c r="A26" s="13"/>
      <c r="B26" s="13"/>
      <c r="C26" s="13" t="s">
        <v>50</v>
      </c>
      <c r="D26" s="70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5"/>
      <c r="R26" s="35"/>
      <c r="S26" s="35"/>
      <c r="T26" s="1"/>
      <c r="U26" s="1"/>
      <c r="V26" s="1"/>
    </row>
    <row r="27" ht="15.75" hidden="1" customHeight="1">
      <c r="A27" s="13"/>
      <c r="B27" s="13" t="s">
        <v>18</v>
      </c>
      <c r="C27" s="13" t="s">
        <v>51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5"/>
      <c r="R27" s="35"/>
      <c r="S27" s="35"/>
      <c r="T27" s="1"/>
      <c r="U27" s="1"/>
      <c r="V27" s="1"/>
    </row>
    <row r="28" ht="15.75" hidden="1" customHeight="1">
      <c r="A28" s="13"/>
      <c r="B28" s="13" t="s">
        <v>18</v>
      </c>
      <c r="C28" s="13" t="s">
        <v>52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5"/>
      <c r="R28" s="35"/>
      <c r="S28" s="35"/>
      <c r="T28" s="1"/>
      <c r="U28" s="1"/>
      <c r="V28" s="1"/>
    </row>
    <row r="29" ht="15.75" hidden="1" customHeight="1">
      <c r="A29" s="13"/>
      <c r="B29" s="13"/>
      <c r="C29" s="13" t="s">
        <v>53</v>
      </c>
      <c r="D29" s="70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5"/>
      <c r="R29" s="35"/>
      <c r="S29" s="35"/>
      <c r="T29" s="1"/>
      <c r="U29" s="1"/>
      <c r="V29" s="1"/>
    </row>
    <row r="30" ht="12.75" customHeight="1">
      <c r="A30" s="13"/>
      <c r="B30" s="13" t="s">
        <v>18</v>
      </c>
      <c r="C30" s="13" t="s">
        <v>54</v>
      </c>
      <c r="D30" s="14" t="s">
        <v>20</v>
      </c>
      <c r="E30" s="33" t="s">
        <v>55</v>
      </c>
      <c r="F30" s="40">
        <v>3.0</v>
      </c>
      <c r="G30" s="34">
        <v>7.6</v>
      </c>
      <c r="H30" s="17">
        <f t="shared" si="1"/>
        <v>22.8</v>
      </c>
      <c r="I30" s="18"/>
      <c r="J30" s="18"/>
      <c r="K30" s="13"/>
      <c r="L30" s="13"/>
      <c r="M30" s="13"/>
      <c r="N30" s="13"/>
      <c r="O30" s="13"/>
      <c r="P30" s="13"/>
      <c r="Q30" s="35"/>
      <c r="R30" s="35"/>
      <c r="S30" s="35"/>
      <c r="T30" s="1"/>
      <c r="U30" s="1"/>
      <c r="V30" s="1"/>
    </row>
    <row r="31" ht="15.75" customHeight="1">
      <c r="A31" s="13"/>
      <c r="B31" s="43" t="s">
        <v>56</v>
      </c>
      <c r="C31" s="13" t="s">
        <v>57</v>
      </c>
      <c r="D31" s="70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63"/>
      <c r="M31" s="63"/>
      <c r="N31" s="63"/>
      <c r="O31" s="63"/>
      <c r="P31" s="63"/>
      <c r="Q31" s="35"/>
      <c r="R31" s="35"/>
      <c r="S31" s="35"/>
      <c r="T31" s="1"/>
      <c r="U31" s="1"/>
      <c r="V31" s="1"/>
    </row>
    <row r="32" ht="15.75" customHeight="1">
      <c r="A32" s="13"/>
      <c r="B32" s="13" t="s">
        <v>58</v>
      </c>
      <c r="C32" s="13" t="s">
        <v>59</v>
      </c>
      <c r="D32" s="14" t="s">
        <v>20</v>
      </c>
      <c r="E32" s="15" t="s">
        <v>60</v>
      </c>
      <c r="F32" s="71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2"/>
      <c r="R32" s="35"/>
      <c r="S32" s="35"/>
      <c r="T32" s="1"/>
      <c r="U32" s="1"/>
      <c r="V32" s="1"/>
    </row>
    <row r="33" ht="15.75" hidden="1" customHeight="1">
      <c r="A33" s="13"/>
      <c r="B33" s="13"/>
      <c r="C33" s="13" t="s">
        <v>61</v>
      </c>
      <c r="D33" s="37" t="s">
        <v>32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5"/>
      <c r="R33" s="35"/>
      <c r="S33" s="35"/>
      <c r="T33" s="1"/>
      <c r="U33" s="1"/>
      <c r="V33" s="1"/>
    </row>
    <row r="34" ht="15.75" customHeight="1">
      <c r="A34" s="13"/>
      <c r="B34" s="43" t="s">
        <v>56</v>
      </c>
      <c r="C34" s="43" t="s">
        <v>62</v>
      </c>
      <c r="D34" s="70" t="s">
        <v>24</v>
      </c>
      <c r="E34" s="15"/>
      <c r="F34" s="16">
        <v>1.0</v>
      </c>
      <c r="G34" s="34">
        <v>200.0</v>
      </c>
      <c r="H34" s="17">
        <f t="shared" si="1"/>
        <v>200</v>
      </c>
      <c r="I34" s="18"/>
      <c r="J34" s="18"/>
      <c r="K34" s="13"/>
      <c r="L34" s="27"/>
      <c r="M34" s="27"/>
      <c r="N34" s="27"/>
      <c r="O34" s="27"/>
      <c r="P34" s="27"/>
      <c r="Q34" s="35"/>
      <c r="R34" s="35"/>
      <c r="S34" s="35"/>
      <c r="T34" s="1"/>
      <c r="U34" s="1"/>
      <c r="V34" s="1"/>
    </row>
    <row r="35" ht="15.75" customHeight="1">
      <c r="A35" s="13"/>
      <c r="B35" s="43" t="s">
        <v>56</v>
      </c>
      <c r="C35" s="43" t="s">
        <v>63</v>
      </c>
      <c r="D35" s="14" t="s">
        <v>20</v>
      </c>
      <c r="E35" s="15"/>
      <c r="F35" s="40">
        <v>1.0</v>
      </c>
      <c r="G35" s="34">
        <v>150.0</v>
      </c>
      <c r="H35" s="17">
        <f t="shared" si="1"/>
        <v>150</v>
      </c>
      <c r="I35" s="18"/>
      <c r="J35" s="18"/>
      <c r="K35" s="13"/>
      <c r="L35" s="27"/>
      <c r="M35" s="27"/>
      <c r="N35" s="27"/>
      <c r="O35" s="27"/>
      <c r="P35" s="27"/>
      <c r="Q35" s="35"/>
      <c r="R35" s="35"/>
      <c r="S35" s="35"/>
      <c r="T35" s="1"/>
      <c r="U35" s="1"/>
      <c r="V35" s="1"/>
    </row>
    <row r="36" ht="15.75" customHeight="1">
      <c r="A36" s="13"/>
      <c r="B36" s="43" t="s">
        <v>64</v>
      </c>
      <c r="C36" s="43" t="s">
        <v>65</v>
      </c>
      <c r="D36" s="66" t="s">
        <v>22</v>
      </c>
      <c r="E36" s="15"/>
      <c r="F36" s="40">
        <v>1.0</v>
      </c>
      <c r="G36" s="34">
        <v>100.0</v>
      </c>
      <c r="H36" s="17">
        <f t="shared" si="1"/>
        <v>100</v>
      </c>
      <c r="I36" s="18"/>
      <c r="J36" s="18"/>
      <c r="K36" s="13"/>
      <c r="L36" s="27"/>
      <c r="M36" s="27"/>
      <c r="N36" s="27"/>
      <c r="O36" s="27"/>
      <c r="P36" s="27"/>
      <c r="Q36" s="35"/>
      <c r="R36" s="73" t="s">
        <v>66</v>
      </c>
      <c r="S36" s="74"/>
      <c r="T36" s="75"/>
      <c r="U36" s="1"/>
      <c r="V36" s="1"/>
    </row>
    <row r="37" ht="15.75" customHeight="1">
      <c r="A37" s="13"/>
      <c r="B37" s="43" t="s">
        <v>56</v>
      </c>
      <c r="C37" s="13" t="s">
        <v>67</v>
      </c>
      <c r="D37" s="70" t="s">
        <v>24</v>
      </c>
      <c r="E37" s="15"/>
      <c r="F37" s="40">
        <v>1.0</v>
      </c>
      <c r="G37" s="17">
        <v>17.0</v>
      </c>
      <c r="H37" s="17">
        <f t="shared" si="1"/>
        <v>17</v>
      </c>
      <c r="I37" s="18"/>
      <c r="J37" s="18"/>
      <c r="K37" s="13"/>
      <c r="L37" s="63"/>
      <c r="M37" s="63"/>
      <c r="N37" s="63"/>
      <c r="O37" s="63"/>
      <c r="P37" s="63"/>
      <c r="Q37" s="35"/>
      <c r="R37" s="76" t="s">
        <v>68</v>
      </c>
      <c r="S37" s="77">
        <f>S17</f>
        <v>218450.16</v>
      </c>
      <c r="T37" s="78"/>
      <c r="U37" s="1"/>
      <c r="V37" s="1"/>
    </row>
    <row r="38" ht="15.75" hidden="1" customHeight="1">
      <c r="A38" s="13"/>
      <c r="B38" s="13"/>
      <c r="C38" s="13" t="s">
        <v>69</v>
      </c>
      <c r="D38" s="14" t="s">
        <v>20</v>
      </c>
      <c r="E38" s="15"/>
      <c r="F38" s="16">
        <v>0.0</v>
      </c>
      <c r="G38" s="17">
        <v>0.0</v>
      </c>
      <c r="H38" s="17">
        <f t="shared" si="1"/>
        <v>0</v>
      </c>
      <c r="I38" s="18"/>
      <c r="J38" s="18"/>
      <c r="K38" s="13"/>
      <c r="L38" s="13"/>
      <c r="M38" s="13"/>
      <c r="N38" s="13"/>
      <c r="O38" s="13"/>
      <c r="P38" s="19"/>
      <c r="Q38" s="35"/>
      <c r="R38" s="35"/>
      <c r="S38" s="35"/>
      <c r="T38" s="1"/>
      <c r="U38" s="1"/>
      <c r="V38" s="1"/>
    </row>
    <row r="39" ht="15.75" hidden="1" customHeight="1">
      <c r="A39" s="13"/>
      <c r="B39" s="13"/>
      <c r="C39" s="13" t="s">
        <v>70</v>
      </c>
      <c r="D39" s="70" t="s">
        <v>24</v>
      </c>
      <c r="E39" s="15"/>
      <c r="F39" s="16">
        <v>0.0</v>
      </c>
      <c r="G39" s="17">
        <v>207.0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5"/>
      <c r="R39" s="35"/>
      <c r="S39" s="35"/>
      <c r="T39" s="1"/>
      <c r="U39" s="1"/>
      <c r="V39" s="1"/>
    </row>
    <row r="40" ht="15.75" hidden="1" customHeight="1">
      <c r="A40" s="13"/>
      <c r="B40" s="13"/>
      <c r="C40" s="13" t="s">
        <v>71</v>
      </c>
      <c r="D40" s="70" t="s">
        <v>24</v>
      </c>
      <c r="E40" s="15"/>
      <c r="F40" s="16">
        <v>0.0</v>
      </c>
      <c r="G40" s="17">
        <v>80.0</v>
      </c>
      <c r="H40" s="17">
        <f t="shared" si="1"/>
        <v>0</v>
      </c>
      <c r="I40" s="18"/>
      <c r="J40" s="18"/>
      <c r="K40" s="13"/>
      <c r="L40" s="63"/>
      <c r="M40" s="63"/>
      <c r="N40" s="63"/>
      <c r="O40" s="63"/>
      <c r="P40" s="79"/>
      <c r="Q40" s="35"/>
      <c r="R40" s="35"/>
      <c r="S40" s="35"/>
      <c r="T40" s="1"/>
      <c r="U40" s="1"/>
      <c r="V40" s="1"/>
    </row>
    <row r="41" ht="15.75" hidden="1" customHeight="1">
      <c r="A41" s="13"/>
      <c r="B41" s="13"/>
      <c r="C41" s="13" t="s">
        <v>72</v>
      </c>
      <c r="D41" s="14" t="s">
        <v>20</v>
      </c>
      <c r="E41" s="15"/>
      <c r="F41" s="16">
        <v>0.0</v>
      </c>
      <c r="G41" s="17">
        <v>40.0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5"/>
      <c r="R41" s="35"/>
      <c r="S41" s="35"/>
      <c r="T41" s="1"/>
      <c r="U41" s="1"/>
      <c r="V41" s="1"/>
    </row>
    <row r="42" ht="15.75" hidden="1" customHeight="1">
      <c r="A42" s="13"/>
      <c r="B42" s="13"/>
      <c r="C42" s="13" t="s">
        <v>73</v>
      </c>
      <c r="D42" s="70" t="s">
        <v>24</v>
      </c>
      <c r="E42" s="15"/>
      <c r="F42" s="16">
        <v>0.0</v>
      </c>
      <c r="G42" s="17">
        <v>180.0</v>
      </c>
      <c r="H42" s="17">
        <f t="shared" si="1"/>
        <v>0</v>
      </c>
      <c r="I42" s="18"/>
      <c r="J42" s="18"/>
      <c r="K42" s="13"/>
      <c r="L42" s="63"/>
      <c r="M42" s="63"/>
      <c r="N42" s="63"/>
      <c r="O42" s="63"/>
      <c r="P42" s="79"/>
      <c r="Q42" s="35"/>
      <c r="R42" s="35"/>
      <c r="S42" s="35"/>
      <c r="T42" s="1"/>
      <c r="U42" s="1"/>
      <c r="V42" s="1"/>
    </row>
    <row r="43" ht="15.75" hidden="1" customHeight="1">
      <c r="A43" s="13"/>
      <c r="B43" s="13"/>
      <c r="C43" s="13" t="s">
        <v>74</v>
      </c>
      <c r="D43" s="14" t="s">
        <v>20</v>
      </c>
      <c r="E43" s="15"/>
      <c r="F43" s="16">
        <v>0.0</v>
      </c>
      <c r="G43" s="17">
        <v>50.0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9"/>
      <c r="Q43" s="35"/>
      <c r="R43" s="35"/>
      <c r="S43" s="35"/>
      <c r="T43" s="1"/>
      <c r="U43" s="1"/>
      <c r="V43" s="1"/>
    </row>
    <row r="44" ht="15.75" hidden="1" customHeight="1">
      <c r="A44" s="13"/>
      <c r="B44" s="13"/>
      <c r="C44" s="13" t="s">
        <v>75</v>
      </c>
      <c r="D44" s="70" t="s">
        <v>24</v>
      </c>
      <c r="E44" s="15"/>
      <c r="F44" s="16">
        <v>0.0</v>
      </c>
      <c r="G44" s="17">
        <v>70.0</v>
      </c>
      <c r="H44" s="17">
        <f t="shared" si="1"/>
        <v>0</v>
      </c>
      <c r="I44" s="18"/>
      <c r="J44" s="18"/>
      <c r="K44" s="13"/>
      <c r="L44" s="63"/>
      <c r="M44" s="63"/>
      <c r="N44" s="63"/>
      <c r="O44" s="63"/>
      <c r="P44" s="63"/>
      <c r="Q44" s="35"/>
      <c r="R44" s="35"/>
      <c r="S44" s="35"/>
      <c r="T44" s="1"/>
      <c r="U44" s="1"/>
      <c r="V44" s="1"/>
    </row>
    <row r="45" ht="15.75" hidden="1" customHeight="1">
      <c r="A45" s="13"/>
      <c r="B45" s="13"/>
      <c r="C45" s="13" t="s">
        <v>76</v>
      </c>
      <c r="D45" s="14" t="s">
        <v>20</v>
      </c>
      <c r="E45" s="15"/>
      <c r="F45" s="16">
        <v>0.0</v>
      </c>
      <c r="G45" s="17">
        <v>20.0</v>
      </c>
      <c r="H45" s="17">
        <f t="shared" si="1"/>
        <v>0</v>
      </c>
      <c r="I45" s="18"/>
      <c r="J45" s="18"/>
      <c r="K45" s="13"/>
      <c r="L45" s="13"/>
      <c r="M45" s="13"/>
      <c r="N45" s="13"/>
      <c r="O45" s="13"/>
      <c r="P45" s="13"/>
      <c r="Q45" s="35"/>
      <c r="R45" s="35"/>
      <c r="S45" s="35"/>
      <c r="T45" s="1"/>
      <c r="U45" s="1"/>
      <c r="V45" s="1"/>
    </row>
    <row r="46" ht="15.75" hidden="1" customHeight="1">
      <c r="A46" s="13"/>
      <c r="B46" s="13"/>
      <c r="C46" s="13" t="s">
        <v>77</v>
      </c>
      <c r="D46" s="70" t="s">
        <v>24</v>
      </c>
      <c r="E46" s="15"/>
      <c r="F46" s="16">
        <v>0.0</v>
      </c>
      <c r="G46" s="17">
        <v>120.0</v>
      </c>
      <c r="H46" s="17">
        <f t="shared" si="1"/>
        <v>0</v>
      </c>
      <c r="I46" s="18"/>
      <c r="J46" s="18"/>
      <c r="K46" s="13"/>
      <c r="L46" s="63"/>
      <c r="M46" s="63"/>
      <c r="N46" s="63"/>
      <c r="O46" s="63"/>
      <c r="P46" s="63"/>
      <c r="Q46" s="35"/>
      <c r="R46" s="35"/>
      <c r="S46" s="35"/>
      <c r="T46" s="1"/>
      <c r="U46" s="1"/>
      <c r="V46" s="1"/>
    </row>
    <row r="47" ht="24.75" customHeight="1">
      <c r="A47" s="6"/>
      <c r="B47" s="6" t="s">
        <v>78</v>
      </c>
      <c r="C47" s="7">
        <f>SUM(H48:H94)</f>
        <v>4083.23</v>
      </c>
      <c r="D47" s="80"/>
      <c r="E47" s="80"/>
      <c r="F47" s="81"/>
      <c r="G47" s="82"/>
      <c r="H47" s="82"/>
      <c r="I47" s="82"/>
      <c r="J47" s="82"/>
      <c r="K47" s="81"/>
      <c r="L47" s="83"/>
      <c r="M47" s="83"/>
      <c r="N47" s="83"/>
      <c r="O47" s="83"/>
      <c r="P47" s="83"/>
      <c r="Q47" s="35"/>
      <c r="R47" s="76" t="s">
        <v>79</v>
      </c>
      <c r="S47" s="84">
        <v>10000.0</v>
      </c>
      <c r="T47" s="78"/>
      <c r="U47" s="1"/>
      <c r="V47" s="1"/>
    </row>
    <row r="48" ht="15.75" customHeight="1">
      <c r="A48" s="13"/>
      <c r="B48" s="85" t="s">
        <v>18</v>
      </c>
      <c r="C48" s="86" t="s">
        <v>80</v>
      </c>
      <c r="D48" s="87" t="s">
        <v>22</v>
      </c>
      <c r="E48" s="88" t="s">
        <v>81</v>
      </c>
      <c r="F48" s="89">
        <v>1.0</v>
      </c>
      <c r="G48" s="90">
        <v>42.0</v>
      </c>
      <c r="H48" s="91">
        <f t="shared" ref="H48:H94" si="7">SUM(F48*G48)</f>
        <v>42</v>
      </c>
      <c r="I48" s="18"/>
      <c r="J48" s="18"/>
      <c r="K48" s="13"/>
      <c r="L48" s="27"/>
      <c r="M48" s="28"/>
      <c r="N48" s="27"/>
      <c r="O48" s="28"/>
      <c r="P48" s="27"/>
      <c r="Q48" s="35"/>
      <c r="R48" s="92"/>
      <c r="S48" s="93"/>
      <c r="T48" s="78"/>
      <c r="U48" s="1"/>
      <c r="V48" s="1"/>
    </row>
    <row r="49" ht="15.75" customHeight="1">
      <c r="A49" s="13"/>
      <c r="B49" s="85" t="s">
        <v>18</v>
      </c>
      <c r="C49" s="94" t="s">
        <v>82</v>
      </c>
      <c r="D49" s="87" t="s">
        <v>22</v>
      </c>
      <c r="E49" s="88" t="s">
        <v>83</v>
      </c>
      <c r="F49" s="89">
        <v>1.0</v>
      </c>
      <c r="G49" s="90">
        <v>48.0</v>
      </c>
      <c r="H49" s="91">
        <f t="shared" si="7"/>
        <v>48</v>
      </c>
      <c r="I49" s="18"/>
      <c r="J49" s="18"/>
      <c r="K49" s="13"/>
      <c r="L49" s="95"/>
      <c r="M49" s="96"/>
      <c r="N49" s="95"/>
      <c r="O49" s="96"/>
      <c r="P49" s="95"/>
      <c r="Q49" s="35"/>
      <c r="R49" s="97" t="s">
        <v>84</v>
      </c>
      <c r="S49" s="98"/>
      <c r="T49" s="99">
        <f>S37</f>
        <v>218450.16</v>
      </c>
      <c r="U49" s="1"/>
      <c r="V49" s="1"/>
    </row>
    <row r="50" ht="15.75" customHeight="1">
      <c r="A50" s="13"/>
      <c r="B50" s="100" t="s">
        <v>85</v>
      </c>
      <c r="C50" s="94" t="s">
        <v>86</v>
      </c>
      <c r="D50" s="101" t="s">
        <v>32</v>
      </c>
      <c r="E50" s="102">
        <v>101410.0</v>
      </c>
      <c r="F50" s="89">
        <v>4.0</v>
      </c>
      <c r="G50" s="90">
        <v>213.5</v>
      </c>
      <c r="H50" s="91">
        <f t="shared" si="7"/>
        <v>854</v>
      </c>
      <c r="I50" s="18"/>
      <c r="J50" s="18"/>
      <c r="K50" s="43"/>
      <c r="L50" s="27"/>
      <c r="M50" s="28"/>
      <c r="N50" s="27"/>
      <c r="O50" s="28"/>
      <c r="P50" s="28"/>
      <c r="Q50" s="35"/>
      <c r="R50" s="103" t="s">
        <v>87</v>
      </c>
      <c r="S50" s="104">
        <v>0.4</v>
      </c>
      <c r="T50" s="99">
        <f>S37*40%</f>
        <v>87380.064</v>
      </c>
      <c r="U50" s="1"/>
      <c r="V50" s="1"/>
    </row>
    <row r="51" ht="15.75" customHeight="1">
      <c r="A51" s="13"/>
      <c r="B51" s="85" t="s">
        <v>88</v>
      </c>
      <c r="C51" s="94" t="s">
        <v>89</v>
      </c>
      <c r="D51" s="87" t="s">
        <v>22</v>
      </c>
      <c r="E51" s="88" t="s">
        <v>90</v>
      </c>
      <c r="F51" s="105">
        <v>1.0</v>
      </c>
      <c r="G51" s="106">
        <v>70.8</v>
      </c>
      <c r="H51" s="91">
        <f t="shared" si="7"/>
        <v>70.8</v>
      </c>
      <c r="I51" s="18"/>
      <c r="J51" s="18"/>
      <c r="K51" s="13"/>
      <c r="L51" s="27"/>
      <c r="M51" s="28"/>
      <c r="N51" s="27"/>
      <c r="O51" s="28"/>
      <c r="P51" s="28"/>
      <c r="Q51" s="35"/>
      <c r="R51" s="103" t="s">
        <v>91</v>
      </c>
      <c r="S51" s="104">
        <v>0.1</v>
      </c>
      <c r="T51" s="99">
        <f>S37*10%</f>
        <v>21845.016</v>
      </c>
      <c r="U51" s="1"/>
      <c r="V51" s="1"/>
    </row>
    <row r="52" ht="15.75" customHeight="1">
      <c r="A52" s="13"/>
      <c r="B52" s="85" t="s">
        <v>18</v>
      </c>
      <c r="C52" s="94" t="s">
        <v>92</v>
      </c>
      <c r="D52" s="87" t="s">
        <v>22</v>
      </c>
      <c r="E52" s="88" t="s">
        <v>93</v>
      </c>
      <c r="F52" s="105">
        <v>1.0</v>
      </c>
      <c r="G52" s="106">
        <v>8.62</v>
      </c>
      <c r="H52" s="91">
        <f t="shared" si="7"/>
        <v>8.62</v>
      </c>
      <c r="I52" s="18"/>
      <c r="J52" s="18"/>
      <c r="K52" s="13"/>
      <c r="L52" s="107"/>
      <c r="M52" s="19"/>
      <c r="N52" s="13"/>
      <c r="O52" s="13"/>
      <c r="P52" s="13"/>
      <c r="Q52" s="35"/>
      <c r="R52" s="103" t="s">
        <v>94</v>
      </c>
      <c r="S52" s="104">
        <v>0.1</v>
      </c>
      <c r="T52" s="99">
        <f>S37*10%</f>
        <v>21845.016</v>
      </c>
      <c r="U52" s="1"/>
      <c r="V52" s="1"/>
    </row>
    <row r="53" ht="15.75" customHeight="1">
      <c r="A53" s="13"/>
      <c r="B53" s="85" t="s">
        <v>18</v>
      </c>
      <c r="C53" s="94" t="s">
        <v>95</v>
      </c>
      <c r="D53" s="87" t="s">
        <v>22</v>
      </c>
      <c r="E53" s="88" t="s">
        <v>96</v>
      </c>
      <c r="F53" s="105">
        <v>1.0</v>
      </c>
      <c r="G53" s="106">
        <v>14.4</v>
      </c>
      <c r="H53" s="91">
        <f t="shared" si="7"/>
        <v>14.4</v>
      </c>
      <c r="I53" s="18"/>
      <c r="J53" s="18"/>
      <c r="K53" s="13"/>
      <c r="L53" s="27"/>
      <c r="M53" s="28"/>
      <c r="N53" s="27"/>
      <c r="O53" s="28"/>
      <c r="P53" s="28"/>
      <c r="Q53" s="35"/>
      <c r="R53" s="108" t="s">
        <v>38</v>
      </c>
      <c r="S53" s="98"/>
      <c r="T53" s="109">
        <f>SUM(T43:T52)</f>
        <v>349520.256</v>
      </c>
      <c r="U53" s="110"/>
      <c r="V53" s="1"/>
    </row>
    <row r="54" ht="15.75" customHeight="1">
      <c r="A54" s="13"/>
      <c r="B54" s="85" t="s">
        <v>18</v>
      </c>
      <c r="C54" s="85" t="s">
        <v>97</v>
      </c>
      <c r="D54" s="87" t="s">
        <v>22</v>
      </c>
      <c r="E54" s="88" t="s">
        <v>98</v>
      </c>
      <c r="F54" s="105">
        <v>1.0</v>
      </c>
      <c r="G54" s="106">
        <v>14.8</v>
      </c>
      <c r="H54" s="91">
        <f t="shared" si="7"/>
        <v>14.8</v>
      </c>
      <c r="I54" s="18"/>
      <c r="J54" s="18"/>
      <c r="K54" s="13"/>
      <c r="L54" s="27"/>
      <c r="M54" s="28"/>
      <c r="N54" s="28"/>
      <c r="O54" s="111"/>
      <c r="P54" s="27"/>
      <c r="Q54" s="35"/>
      <c r="R54" s="112"/>
      <c r="S54" s="104"/>
      <c r="T54" s="99"/>
      <c r="U54" s="1"/>
      <c r="V54" s="1"/>
    </row>
    <row r="55" ht="15.75" customHeight="1">
      <c r="A55" s="13"/>
      <c r="B55" s="85" t="s">
        <v>18</v>
      </c>
      <c r="C55" s="113" t="s">
        <v>99</v>
      </c>
      <c r="D55" s="87" t="s">
        <v>22</v>
      </c>
      <c r="E55" s="114" t="s">
        <v>100</v>
      </c>
      <c r="F55" s="115">
        <v>1.0</v>
      </c>
      <c r="G55" s="90">
        <v>144.0</v>
      </c>
      <c r="H55" s="91">
        <f t="shared" si="7"/>
        <v>144</v>
      </c>
      <c r="I55" s="18"/>
      <c r="J55" s="18"/>
      <c r="K55" s="13"/>
      <c r="L55" s="27"/>
      <c r="M55" s="28"/>
      <c r="N55" s="27"/>
      <c r="O55" s="27"/>
      <c r="P55" s="27"/>
      <c r="Q55" s="35"/>
      <c r="R55" s="116" t="s">
        <v>79</v>
      </c>
      <c r="S55" s="93"/>
      <c r="T55" s="117">
        <v>0.0</v>
      </c>
      <c r="U55" s="1"/>
      <c r="V55" s="1"/>
    </row>
    <row r="56" ht="15.75" customHeight="1">
      <c r="A56" s="13"/>
      <c r="B56" s="85" t="s">
        <v>18</v>
      </c>
      <c r="C56" s="118" t="s">
        <v>101</v>
      </c>
      <c r="D56" s="119" t="s">
        <v>20</v>
      </c>
      <c r="E56" s="120"/>
      <c r="F56" s="121">
        <v>3.0</v>
      </c>
      <c r="G56" s="122">
        <v>6.0</v>
      </c>
      <c r="H56" s="91">
        <f t="shared" si="7"/>
        <v>18</v>
      </c>
      <c r="I56" s="18"/>
      <c r="J56" s="18"/>
      <c r="K56" s="13"/>
      <c r="L56" s="27"/>
      <c r="M56" s="28"/>
      <c r="N56" s="27"/>
      <c r="O56" s="27"/>
      <c r="P56" s="27"/>
      <c r="Q56" s="35"/>
      <c r="R56" s="123" t="s">
        <v>102</v>
      </c>
      <c r="S56" s="124"/>
      <c r="T56" s="125">
        <f>SUM(T53:T55)</f>
        <v>349520.256</v>
      </c>
      <c r="U56" s="1"/>
      <c r="V56" s="1"/>
    </row>
    <row r="57" ht="15.75" customHeight="1">
      <c r="A57" s="13" t="s">
        <v>103</v>
      </c>
      <c r="B57" s="43" t="s">
        <v>56</v>
      </c>
      <c r="C57" s="118" t="s">
        <v>104</v>
      </c>
      <c r="D57" s="126" t="s">
        <v>24</v>
      </c>
      <c r="E57" s="120"/>
      <c r="F57" s="121">
        <v>3.0</v>
      </c>
      <c r="G57" s="122">
        <v>80.0</v>
      </c>
      <c r="H57" s="91">
        <f t="shared" si="7"/>
        <v>240</v>
      </c>
      <c r="I57" s="18"/>
      <c r="J57" s="18"/>
      <c r="K57" s="13"/>
      <c r="L57" s="27"/>
      <c r="M57" s="28"/>
      <c r="N57" s="27"/>
      <c r="O57" s="127"/>
      <c r="P57" s="27"/>
      <c r="Q57" s="35"/>
      <c r="R57" s="35"/>
      <c r="S57" s="35"/>
      <c r="T57" s="1"/>
      <c r="U57" s="1"/>
      <c r="V57" s="1"/>
    </row>
    <row r="58" ht="15.75" customHeight="1">
      <c r="A58" s="13"/>
      <c r="B58" s="43" t="s">
        <v>39</v>
      </c>
      <c r="C58" s="94" t="s">
        <v>105</v>
      </c>
      <c r="D58" s="87" t="s">
        <v>22</v>
      </c>
      <c r="E58" s="128"/>
      <c r="F58" s="129">
        <v>1.0</v>
      </c>
      <c r="G58" s="91">
        <v>5.0</v>
      </c>
      <c r="H58" s="91">
        <f t="shared" si="7"/>
        <v>5</v>
      </c>
      <c r="I58" s="18"/>
      <c r="J58" s="18"/>
      <c r="K58" s="13"/>
      <c r="L58" s="27"/>
      <c r="M58" s="28"/>
      <c r="N58" s="27"/>
      <c r="O58" s="28"/>
      <c r="P58" s="27"/>
      <c r="Q58" s="35"/>
      <c r="R58" s="35"/>
      <c r="S58" s="35"/>
      <c r="T58" s="1"/>
      <c r="U58" s="1"/>
      <c r="V58" s="1"/>
    </row>
    <row r="59" ht="15.75" customHeight="1">
      <c r="A59" s="13"/>
      <c r="B59" s="85" t="s">
        <v>18</v>
      </c>
      <c r="C59" s="94" t="s">
        <v>106</v>
      </c>
      <c r="D59" s="87" t="s">
        <v>22</v>
      </c>
      <c r="E59" s="88" t="s">
        <v>107</v>
      </c>
      <c r="F59" s="105">
        <v>1.0</v>
      </c>
      <c r="G59" s="106">
        <v>28.8</v>
      </c>
      <c r="H59" s="91">
        <f t="shared" si="7"/>
        <v>28.8</v>
      </c>
      <c r="I59" s="18"/>
      <c r="J59" s="18"/>
      <c r="K59" s="13"/>
      <c r="L59" s="27"/>
      <c r="M59" s="28"/>
      <c r="N59" s="27"/>
      <c r="O59" s="28"/>
      <c r="P59" s="27"/>
      <c r="Q59" s="35"/>
      <c r="R59" s="35"/>
      <c r="S59" s="35"/>
      <c r="T59" s="1"/>
      <c r="U59" s="1"/>
      <c r="V59" s="1"/>
    </row>
    <row r="60" ht="15.75" customHeight="1">
      <c r="A60" s="13"/>
      <c r="B60" s="85" t="s">
        <v>18</v>
      </c>
      <c r="C60" s="94" t="s">
        <v>108</v>
      </c>
      <c r="D60" s="87" t="s">
        <v>22</v>
      </c>
      <c r="E60" s="88" t="s">
        <v>109</v>
      </c>
      <c r="F60" s="105">
        <v>1.0</v>
      </c>
      <c r="G60" s="106">
        <v>12.0</v>
      </c>
      <c r="H60" s="91">
        <f t="shared" si="7"/>
        <v>12</v>
      </c>
      <c r="I60" s="18"/>
      <c r="J60" s="18"/>
      <c r="K60" s="13"/>
      <c r="L60" s="63"/>
      <c r="M60" s="79"/>
      <c r="N60" s="63"/>
      <c r="O60" s="79"/>
      <c r="P60" s="79"/>
      <c r="Q60" s="35"/>
      <c r="R60" s="35"/>
      <c r="S60" s="35"/>
      <c r="T60" s="1"/>
      <c r="U60" s="1"/>
      <c r="V60" s="1"/>
    </row>
    <row r="61" ht="15.75" customHeight="1">
      <c r="A61" s="13"/>
      <c r="B61" s="85" t="s">
        <v>18</v>
      </c>
      <c r="C61" s="94" t="s">
        <v>110</v>
      </c>
      <c r="D61" s="87" t="s">
        <v>22</v>
      </c>
      <c r="E61" s="88" t="s">
        <v>111</v>
      </c>
      <c r="F61" s="105">
        <v>1.0</v>
      </c>
      <c r="G61" s="106">
        <v>18.0</v>
      </c>
      <c r="H61" s="91">
        <f t="shared" si="7"/>
        <v>18</v>
      </c>
      <c r="I61" s="18"/>
      <c r="J61" s="18"/>
      <c r="K61" s="13"/>
      <c r="L61" s="27"/>
      <c r="M61" s="28"/>
      <c r="N61" s="27"/>
      <c r="O61" s="28"/>
      <c r="P61" s="27"/>
      <c r="Q61" s="35"/>
      <c r="R61" s="35"/>
      <c r="S61" s="35"/>
      <c r="T61" s="1"/>
      <c r="U61" s="1"/>
      <c r="V61" s="1"/>
    </row>
    <row r="62" ht="15.75" customHeight="1">
      <c r="A62" s="13"/>
      <c r="B62" s="43" t="s">
        <v>39</v>
      </c>
      <c r="C62" s="86" t="s">
        <v>112</v>
      </c>
      <c r="D62" s="87" t="s">
        <v>22</v>
      </c>
      <c r="E62" s="130"/>
      <c r="F62" s="105">
        <v>1.0</v>
      </c>
      <c r="G62" s="91">
        <v>50.0</v>
      </c>
      <c r="H62" s="91">
        <f t="shared" si="7"/>
        <v>50</v>
      </c>
      <c r="I62" s="18"/>
      <c r="J62" s="18"/>
      <c r="K62" s="13"/>
      <c r="L62" s="27"/>
      <c r="M62" s="28"/>
      <c r="N62" s="27"/>
      <c r="O62" s="28"/>
      <c r="P62" s="27"/>
      <c r="Q62" s="35"/>
      <c r="R62" s="35"/>
      <c r="S62" s="35"/>
      <c r="T62" s="1"/>
      <c r="U62" s="1"/>
      <c r="V62" s="1"/>
    </row>
    <row r="63" ht="15.75" hidden="1" customHeight="1">
      <c r="A63" s="13"/>
      <c r="B63" s="85" t="s">
        <v>64</v>
      </c>
      <c r="C63" s="86" t="s">
        <v>113</v>
      </c>
      <c r="D63" s="119" t="s">
        <v>20</v>
      </c>
      <c r="E63" s="130"/>
      <c r="F63" s="131">
        <v>0.0</v>
      </c>
      <c r="G63" s="91">
        <v>300.0</v>
      </c>
      <c r="H63" s="91">
        <f t="shared" si="7"/>
        <v>0</v>
      </c>
      <c r="I63" s="18"/>
      <c r="J63" s="18"/>
      <c r="K63" s="13"/>
      <c r="L63" s="27"/>
      <c r="M63" s="28"/>
      <c r="N63" s="27"/>
      <c r="O63" s="27"/>
      <c r="P63" s="27"/>
      <c r="Q63" s="35"/>
      <c r="R63" s="35"/>
      <c r="S63" s="35"/>
      <c r="T63" s="1"/>
      <c r="U63" s="1"/>
      <c r="V63" s="1"/>
    </row>
    <row r="64" ht="15.75" customHeight="1">
      <c r="A64" s="13"/>
      <c r="B64" s="43" t="s">
        <v>39</v>
      </c>
      <c r="C64" s="86" t="s">
        <v>114</v>
      </c>
      <c r="D64" s="87" t="s">
        <v>22</v>
      </c>
      <c r="E64" s="130"/>
      <c r="F64" s="105">
        <v>1.0</v>
      </c>
      <c r="G64" s="91">
        <v>18.0</v>
      </c>
      <c r="H64" s="91">
        <f t="shared" si="7"/>
        <v>18</v>
      </c>
      <c r="I64" s="18"/>
      <c r="J64" s="18"/>
      <c r="K64" s="13"/>
      <c r="L64" s="27"/>
      <c r="M64" s="28"/>
      <c r="N64" s="27"/>
      <c r="O64" s="28"/>
      <c r="P64" s="27"/>
      <c r="Q64" s="35"/>
      <c r="R64" s="35"/>
      <c r="S64" s="35"/>
      <c r="T64" s="1"/>
      <c r="U64" s="1"/>
      <c r="V64" s="1"/>
    </row>
    <row r="65" ht="15.75" customHeight="1">
      <c r="A65" s="13"/>
      <c r="B65" s="85" t="s">
        <v>18</v>
      </c>
      <c r="C65" s="86" t="s">
        <v>115</v>
      </c>
      <c r="D65" s="87" t="s">
        <v>22</v>
      </c>
      <c r="E65" s="88" t="s">
        <v>116</v>
      </c>
      <c r="F65" s="105">
        <v>2.0</v>
      </c>
      <c r="G65" s="106">
        <v>36.0</v>
      </c>
      <c r="H65" s="91">
        <f t="shared" si="7"/>
        <v>72</v>
      </c>
      <c r="I65" s="18"/>
      <c r="J65" s="18"/>
      <c r="K65" s="13"/>
      <c r="L65" s="27"/>
      <c r="M65" s="28"/>
      <c r="N65" s="27"/>
      <c r="O65" s="28"/>
      <c r="P65" s="27"/>
      <c r="Q65" s="35"/>
      <c r="R65" s="35"/>
      <c r="S65" s="35"/>
      <c r="T65" s="1"/>
      <c r="U65" s="1"/>
      <c r="V65" s="1"/>
    </row>
    <row r="66" ht="15.75" customHeight="1">
      <c r="A66" s="13"/>
      <c r="B66" s="85" t="s">
        <v>18</v>
      </c>
      <c r="C66" s="86" t="s">
        <v>117</v>
      </c>
      <c r="D66" s="87" t="s">
        <v>22</v>
      </c>
      <c r="E66" s="132" t="s">
        <v>118</v>
      </c>
      <c r="F66" s="105">
        <v>4.0</v>
      </c>
      <c r="G66" s="106">
        <v>36.0</v>
      </c>
      <c r="H66" s="91">
        <f t="shared" si="7"/>
        <v>144</v>
      </c>
      <c r="I66" s="18"/>
      <c r="J66" s="18"/>
      <c r="K66" s="13"/>
      <c r="L66" s="27"/>
      <c r="M66" s="28"/>
      <c r="N66" s="27"/>
      <c r="O66" s="28"/>
      <c r="P66" s="27"/>
      <c r="Q66" s="35"/>
      <c r="R66" s="35"/>
      <c r="S66" s="35"/>
      <c r="T66" s="1"/>
      <c r="U66" s="1"/>
      <c r="V66" s="1"/>
    </row>
    <row r="67" ht="15.75" customHeight="1">
      <c r="A67" s="13"/>
      <c r="B67" s="85" t="s">
        <v>18</v>
      </c>
      <c r="C67" s="86" t="s">
        <v>119</v>
      </c>
      <c r="D67" s="87" t="s">
        <v>22</v>
      </c>
      <c r="E67" s="132" t="s">
        <v>120</v>
      </c>
      <c r="F67" s="105">
        <v>1.0</v>
      </c>
      <c r="G67" s="106">
        <v>30.0</v>
      </c>
      <c r="H67" s="91">
        <f t="shared" si="7"/>
        <v>30</v>
      </c>
      <c r="I67" s="18"/>
      <c r="J67" s="18"/>
      <c r="K67" s="13"/>
      <c r="L67" s="27"/>
      <c r="M67" s="28"/>
      <c r="N67" s="27"/>
      <c r="O67" s="27"/>
      <c r="P67" s="27">
        <v>19.0</v>
      </c>
      <c r="Q67" s="35"/>
      <c r="R67" s="35"/>
      <c r="S67" s="35"/>
      <c r="T67" s="1"/>
      <c r="U67" s="1"/>
      <c r="V67" s="1"/>
    </row>
    <row r="68" ht="15.75" customHeight="1">
      <c r="A68" s="13"/>
      <c r="B68" s="100" t="s">
        <v>121</v>
      </c>
      <c r="C68" s="94" t="s">
        <v>122</v>
      </c>
      <c r="D68" s="87" t="s">
        <v>22</v>
      </c>
      <c r="E68" s="132" t="s">
        <v>123</v>
      </c>
      <c r="F68" s="131">
        <v>2.0</v>
      </c>
      <c r="G68" s="106">
        <v>143.98</v>
      </c>
      <c r="H68" s="91">
        <f t="shared" si="7"/>
        <v>287.96</v>
      </c>
      <c r="I68" s="18"/>
      <c r="J68" s="18"/>
      <c r="K68" s="43"/>
      <c r="L68" s="27"/>
      <c r="M68" s="28"/>
      <c r="N68" s="27"/>
      <c r="O68" s="27"/>
      <c r="P68" s="27"/>
      <c r="Q68" s="35"/>
      <c r="R68" s="35"/>
      <c r="S68" s="35"/>
      <c r="T68" s="1"/>
      <c r="U68" s="1"/>
      <c r="V68" s="1"/>
    </row>
    <row r="69" ht="15.75" customHeight="1">
      <c r="A69" s="13"/>
      <c r="B69" s="85" t="s">
        <v>121</v>
      </c>
      <c r="C69" s="113" t="s">
        <v>124</v>
      </c>
      <c r="D69" s="87" t="s">
        <v>22</v>
      </c>
      <c r="E69" s="132" t="s">
        <v>125</v>
      </c>
      <c r="F69" s="131">
        <v>4.0</v>
      </c>
      <c r="G69" s="106">
        <v>163.0</v>
      </c>
      <c r="H69" s="91">
        <f t="shared" si="7"/>
        <v>652</v>
      </c>
      <c r="I69" s="18"/>
      <c r="J69" s="18"/>
      <c r="K69" s="13"/>
      <c r="L69" s="27"/>
      <c r="M69" s="28"/>
      <c r="N69" s="27"/>
      <c r="O69" s="28"/>
      <c r="P69" s="27" t="s">
        <v>126</v>
      </c>
      <c r="Q69" s="35"/>
      <c r="R69" s="35"/>
      <c r="S69" s="35"/>
      <c r="T69" s="1"/>
      <c r="U69" s="1"/>
      <c r="V69" s="1"/>
    </row>
    <row r="70" ht="15.75" customHeight="1">
      <c r="A70" s="13"/>
      <c r="B70" s="85" t="s">
        <v>18</v>
      </c>
      <c r="C70" s="133" t="s">
        <v>127</v>
      </c>
      <c r="D70" s="87" t="s">
        <v>22</v>
      </c>
      <c r="E70" s="134" t="s">
        <v>128</v>
      </c>
      <c r="F70" s="131">
        <v>3.0</v>
      </c>
      <c r="G70" s="106">
        <v>130.0</v>
      </c>
      <c r="H70" s="91">
        <f t="shared" si="7"/>
        <v>390</v>
      </c>
      <c r="I70" s="18"/>
      <c r="J70" s="18"/>
      <c r="K70" s="13"/>
      <c r="L70" s="27"/>
      <c r="M70" s="28"/>
      <c r="N70" s="27"/>
      <c r="O70" s="28"/>
      <c r="P70" s="27">
        <v>19.0</v>
      </c>
      <c r="Q70" s="35"/>
      <c r="R70" s="35"/>
      <c r="S70" s="35"/>
      <c r="T70" s="1"/>
      <c r="U70" s="1"/>
      <c r="V70" s="1"/>
    </row>
    <row r="71" ht="15.75" customHeight="1">
      <c r="A71" s="13"/>
      <c r="B71" s="85" t="s">
        <v>129</v>
      </c>
      <c r="C71" s="86" t="s">
        <v>130</v>
      </c>
      <c r="D71" s="87" t="s">
        <v>22</v>
      </c>
      <c r="E71" s="88" t="s">
        <v>131</v>
      </c>
      <c r="F71" s="105">
        <v>1.0</v>
      </c>
      <c r="G71" s="106">
        <v>89.5</v>
      </c>
      <c r="H71" s="91">
        <f t="shared" si="7"/>
        <v>89.5</v>
      </c>
      <c r="I71" s="18"/>
      <c r="J71" s="18"/>
      <c r="K71" s="13"/>
      <c r="L71" s="13"/>
      <c r="M71" s="19"/>
      <c r="N71" s="13"/>
      <c r="O71" s="13"/>
      <c r="P71" s="13"/>
      <c r="Q71" s="35"/>
      <c r="R71" s="35"/>
      <c r="S71" s="35"/>
      <c r="T71" s="1"/>
      <c r="U71" s="1"/>
      <c r="V71" s="1"/>
    </row>
    <row r="72" ht="15.75" customHeight="1">
      <c r="A72" s="13"/>
      <c r="B72" s="85" t="s">
        <v>18</v>
      </c>
      <c r="C72" s="135" t="s">
        <v>132</v>
      </c>
      <c r="D72" s="136" t="s">
        <v>22</v>
      </c>
      <c r="E72" s="137" t="s">
        <v>133</v>
      </c>
      <c r="F72" s="89">
        <v>1.0</v>
      </c>
      <c r="G72" s="90">
        <v>10.2</v>
      </c>
      <c r="H72" s="91">
        <f t="shared" si="7"/>
        <v>10.2</v>
      </c>
      <c r="I72" s="18"/>
      <c r="J72" s="18"/>
      <c r="K72" s="13"/>
      <c r="L72" s="27"/>
      <c r="M72" s="28"/>
      <c r="N72" s="27"/>
      <c r="O72" s="28"/>
      <c r="P72" s="27">
        <v>19.0</v>
      </c>
      <c r="Q72" s="35"/>
      <c r="R72" s="35"/>
      <c r="S72" s="35"/>
      <c r="T72" s="1"/>
      <c r="U72" s="1"/>
      <c r="V72" s="1"/>
    </row>
    <row r="73" ht="15.75" customHeight="1">
      <c r="A73" s="13"/>
      <c r="B73" s="85" t="s">
        <v>18</v>
      </c>
      <c r="C73" s="86" t="s">
        <v>134</v>
      </c>
      <c r="D73" s="87" t="s">
        <v>22</v>
      </c>
      <c r="E73" s="88" t="s">
        <v>135</v>
      </c>
      <c r="F73" s="105">
        <v>1.0</v>
      </c>
      <c r="G73" s="106">
        <v>20.4</v>
      </c>
      <c r="H73" s="91">
        <f t="shared" si="7"/>
        <v>20.4</v>
      </c>
      <c r="I73" s="18"/>
      <c r="J73" s="18"/>
      <c r="K73" s="13"/>
      <c r="L73" s="27"/>
      <c r="M73" s="28"/>
      <c r="N73" s="27"/>
      <c r="O73" s="27"/>
      <c r="P73" s="27"/>
      <c r="Q73" s="35"/>
      <c r="R73" s="35"/>
      <c r="S73" s="35"/>
      <c r="T73" s="1"/>
      <c r="U73" s="1"/>
      <c r="V73" s="1"/>
    </row>
    <row r="74" ht="15.75" customHeight="1">
      <c r="A74" s="13"/>
      <c r="B74" s="85" t="s">
        <v>18</v>
      </c>
      <c r="C74" s="86" t="s">
        <v>136</v>
      </c>
      <c r="D74" s="87" t="s">
        <v>22</v>
      </c>
      <c r="E74" s="88" t="s">
        <v>137</v>
      </c>
      <c r="F74" s="105">
        <v>1.0</v>
      </c>
      <c r="G74" s="106">
        <v>17.0</v>
      </c>
      <c r="H74" s="91">
        <f t="shared" si="7"/>
        <v>17</v>
      </c>
      <c r="I74" s="18"/>
      <c r="J74" s="18"/>
      <c r="K74" s="13"/>
      <c r="L74" s="27"/>
      <c r="M74" s="28"/>
      <c r="N74" s="27"/>
      <c r="O74" s="28"/>
      <c r="P74" s="27"/>
      <c r="Q74" s="35"/>
      <c r="R74" s="35"/>
      <c r="S74" s="35"/>
      <c r="T74" s="1"/>
      <c r="U74" s="1"/>
      <c r="V74" s="1"/>
    </row>
    <row r="75" ht="15.75" customHeight="1">
      <c r="A75" s="13"/>
      <c r="B75" s="85" t="s">
        <v>18</v>
      </c>
      <c r="C75" s="86" t="s">
        <v>138</v>
      </c>
      <c r="D75" s="87" t="s">
        <v>22</v>
      </c>
      <c r="E75" s="88" t="s">
        <v>139</v>
      </c>
      <c r="F75" s="105">
        <v>1.0</v>
      </c>
      <c r="G75" s="106">
        <v>5.82</v>
      </c>
      <c r="H75" s="91">
        <f t="shared" si="7"/>
        <v>5.82</v>
      </c>
      <c r="I75" s="18"/>
      <c r="J75" s="18"/>
      <c r="K75" s="13"/>
      <c r="L75" s="95"/>
      <c r="M75" s="96"/>
      <c r="N75" s="95"/>
      <c r="O75" s="96"/>
      <c r="P75" s="96"/>
      <c r="Q75" s="35"/>
      <c r="R75" s="35"/>
      <c r="S75" s="35"/>
      <c r="T75" s="1"/>
      <c r="U75" s="1"/>
      <c r="V75" s="1"/>
    </row>
    <row r="76" ht="15.75" customHeight="1">
      <c r="A76" s="13"/>
      <c r="B76" s="85" t="s">
        <v>18</v>
      </c>
      <c r="C76" s="86" t="s">
        <v>140</v>
      </c>
      <c r="D76" s="87" t="s">
        <v>22</v>
      </c>
      <c r="E76" s="88" t="s">
        <v>141</v>
      </c>
      <c r="F76" s="105">
        <v>1.0</v>
      </c>
      <c r="G76" s="106">
        <v>9.6</v>
      </c>
      <c r="H76" s="91">
        <f t="shared" si="7"/>
        <v>9.6</v>
      </c>
      <c r="I76" s="18"/>
      <c r="J76" s="18"/>
      <c r="K76" s="13"/>
      <c r="L76" s="27"/>
      <c r="M76" s="28"/>
      <c r="N76" s="27"/>
      <c r="O76" s="28"/>
      <c r="P76" s="27"/>
      <c r="Q76" s="35"/>
      <c r="R76" s="35"/>
      <c r="S76" s="35"/>
      <c r="T76" s="1"/>
      <c r="U76" s="1"/>
      <c r="V76" s="1"/>
    </row>
    <row r="77" ht="15.75" customHeight="1">
      <c r="A77" s="13"/>
      <c r="B77" s="43" t="s">
        <v>39</v>
      </c>
      <c r="C77" s="86" t="s">
        <v>142</v>
      </c>
      <c r="D77" s="87" t="s">
        <v>22</v>
      </c>
      <c r="E77" s="130"/>
      <c r="F77" s="105">
        <v>1.0</v>
      </c>
      <c r="G77" s="91">
        <v>15.0</v>
      </c>
      <c r="H77" s="91">
        <f t="shared" si="7"/>
        <v>15</v>
      </c>
      <c r="I77" s="18"/>
      <c r="J77" s="18"/>
      <c r="K77" s="13"/>
      <c r="L77" s="95"/>
      <c r="M77" s="96"/>
      <c r="N77" s="95"/>
      <c r="O77" s="95"/>
      <c r="P77" s="95"/>
      <c r="Q77" s="35"/>
      <c r="R77" s="35"/>
      <c r="S77" s="35"/>
      <c r="T77" s="1"/>
      <c r="U77" s="1"/>
      <c r="V77" s="1"/>
    </row>
    <row r="78" ht="15.75" customHeight="1">
      <c r="A78" s="13"/>
      <c r="B78" s="85" t="s">
        <v>18</v>
      </c>
      <c r="C78" s="86" t="s">
        <v>143</v>
      </c>
      <c r="D78" s="87" t="s">
        <v>22</v>
      </c>
      <c r="E78" s="132" t="s">
        <v>144</v>
      </c>
      <c r="F78" s="105">
        <v>2.0</v>
      </c>
      <c r="G78" s="106">
        <v>21.6</v>
      </c>
      <c r="H78" s="91">
        <f t="shared" si="7"/>
        <v>43.2</v>
      </c>
      <c r="I78" s="18"/>
      <c r="J78" s="18"/>
      <c r="K78" s="13"/>
      <c r="L78" s="95"/>
      <c r="M78" s="96"/>
      <c r="N78" s="95"/>
      <c r="O78" s="96"/>
      <c r="P78" s="96"/>
      <c r="Q78" s="35"/>
      <c r="R78" s="35"/>
      <c r="S78" s="35"/>
      <c r="T78" s="1"/>
      <c r="U78" s="1"/>
      <c r="V78" s="1"/>
    </row>
    <row r="79" ht="15.75" customHeight="1">
      <c r="A79" s="13"/>
      <c r="B79" s="85" t="s">
        <v>18</v>
      </c>
      <c r="C79" s="86" t="s">
        <v>145</v>
      </c>
      <c r="D79" s="87" t="s">
        <v>22</v>
      </c>
      <c r="E79" s="88" t="s">
        <v>146</v>
      </c>
      <c r="F79" s="105">
        <v>1.0</v>
      </c>
      <c r="G79" s="106">
        <v>8.4</v>
      </c>
      <c r="H79" s="91">
        <f t="shared" si="7"/>
        <v>8.4</v>
      </c>
      <c r="I79" s="18"/>
      <c r="J79" s="18"/>
      <c r="K79" s="13"/>
      <c r="L79" s="138"/>
      <c r="M79" s="139"/>
      <c r="N79" s="138"/>
      <c r="O79" s="138"/>
      <c r="P79" s="138"/>
      <c r="Q79" s="35"/>
      <c r="R79" s="35"/>
      <c r="S79" s="35"/>
      <c r="T79" s="1"/>
      <c r="U79" s="1"/>
      <c r="V79" s="1"/>
    </row>
    <row r="80" ht="15.75" customHeight="1">
      <c r="A80" s="13"/>
      <c r="B80" s="85" t="s">
        <v>18</v>
      </c>
      <c r="C80" s="86" t="s">
        <v>147</v>
      </c>
      <c r="D80" s="87" t="s">
        <v>22</v>
      </c>
      <c r="E80" s="88" t="s">
        <v>148</v>
      </c>
      <c r="F80" s="105">
        <v>1.0</v>
      </c>
      <c r="G80" s="106">
        <v>6.0</v>
      </c>
      <c r="H80" s="91">
        <f t="shared" si="7"/>
        <v>6</v>
      </c>
      <c r="I80" s="18"/>
      <c r="J80" s="18"/>
      <c r="K80" s="13"/>
      <c r="L80" s="13"/>
      <c r="M80" s="19"/>
      <c r="N80" s="13"/>
      <c r="O80" s="13"/>
      <c r="P80" s="13"/>
      <c r="Q80" s="35"/>
      <c r="R80" s="35"/>
      <c r="S80" s="35"/>
      <c r="T80" s="1"/>
      <c r="U80" s="1"/>
      <c r="V80" s="1"/>
    </row>
    <row r="81" ht="15.75" customHeight="1">
      <c r="A81" s="13"/>
      <c r="B81" s="85" t="s">
        <v>18</v>
      </c>
      <c r="C81" s="86" t="s">
        <v>149</v>
      </c>
      <c r="D81" s="87" t="s">
        <v>22</v>
      </c>
      <c r="E81" s="88" t="s">
        <v>150</v>
      </c>
      <c r="F81" s="105">
        <v>1.0</v>
      </c>
      <c r="G81" s="106">
        <v>40.8</v>
      </c>
      <c r="H81" s="91">
        <f t="shared" si="7"/>
        <v>40.8</v>
      </c>
      <c r="I81" s="18"/>
      <c r="J81" s="18"/>
      <c r="K81" s="13"/>
      <c r="L81" s="107"/>
      <c r="M81" s="19"/>
      <c r="N81" s="13"/>
      <c r="O81" s="13"/>
      <c r="P81" s="13"/>
      <c r="Q81" s="35"/>
      <c r="R81" s="35"/>
      <c r="S81" s="35"/>
      <c r="T81" s="1"/>
      <c r="U81" s="1"/>
      <c r="V81" s="1"/>
    </row>
    <row r="82" ht="15.75" customHeight="1">
      <c r="A82" s="13"/>
      <c r="B82" s="85" t="s">
        <v>18</v>
      </c>
      <c r="C82" s="86" t="s">
        <v>151</v>
      </c>
      <c r="D82" s="87" t="s">
        <v>22</v>
      </c>
      <c r="E82" s="88" t="s">
        <v>152</v>
      </c>
      <c r="F82" s="105">
        <v>1.0</v>
      </c>
      <c r="G82" s="106">
        <v>30.0</v>
      </c>
      <c r="H82" s="91">
        <f t="shared" si="7"/>
        <v>30</v>
      </c>
      <c r="I82" s="18"/>
      <c r="J82" s="18"/>
      <c r="K82" s="13"/>
      <c r="L82" s="95"/>
      <c r="M82" s="96"/>
      <c r="N82" s="95"/>
      <c r="O82" s="140"/>
      <c r="P82" s="95"/>
      <c r="Q82" s="35"/>
      <c r="R82" s="35"/>
      <c r="S82" s="35"/>
      <c r="T82" s="1"/>
      <c r="U82" s="1"/>
      <c r="V82" s="1"/>
    </row>
    <row r="83" ht="15.75" customHeight="1">
      <c r="A83" s="13"/>
      <c r="B83" s="85" t="s">
        <v>18</v>
      </c>
      <c r="C83" s="86" t="s">
        <v>153</v>
      </c>
      <c r="D83" s="87" t="s">
        <v>22</v>
      </c>
      <c r="E83" s="88" t="s">
        <v>154</v>
      </c>
      <c r="F83" s="105">
        <v>1.0</v>
      </c>
      <c r="G83" s="106">
        <v>16.8</v>
      </c>
      <c r="H83" s="91">
        <f t="shared" si="7"/>
        <v>16.8</v>
      </c>
      <c r="I83" s="18"/>
      <c r="J83" s="18"/>
      <c r="K83" s="13"/>
      <c r="L83" s="27"/>
      <c r="M83" s="28"/>
      <c r="N83" s="27"/>
      <c r="O83" s="27"/>
      <c r="P83" s="27"/>
      <c r="Q83" s="35"/>
      <c r="R83" s="35"/>
      <c r="S83" s="35"/>
      <c r="T83" s="1"/>
      <c r="U83" s="1"/>
      <c r="V83" s="1"/>
    </row>
    <row r="84" ht="15.75" customHeight="1">
      <c r="A84" s="13"/>
      <c r="B84" s="85" t="s">
        <v>18</v>
      </c>
      <c r="C84" s="86" t="s">
        <v>155</v>
      </c>
      <c r="D84" s="87" t="s">
        <v>22</v>
      </c>
      <c r="E84" s="132" t="s">
        <v>156</v>
      </c>
      <c r="F84" s="89">
        <v>1.0</v>
      </c>
      <c r="G84" s="90">
        <v>22.8</v>
      </c>
      <c r="H84" s="141">
        <f t="shared" si="7"/>
        <v>22.8</v>
      </c>
      <c r="I84" s="18"/>
      <c r="J84" s="18"/>
      <c r="K84" s="13"/>
      <c r="L84" s="13"/>
      <c r="M84" s="19"/>
      <c r="N84" s="13"/>
      <c r="O84" s="19"/>
      <c r="P84" s="19"/>
      <c r="Q84" s="35"/>
      <c r="R84" s="35"/>
      <c r="S84" s="35"/>
      <c r="T84" s="1"/>
      <c r="U84" s="1"/>
      <c r="V84" s="1"/>
    </row>
    <row r="85" ht="15.75" customHeight="1">
      <c r="A85" s="13"/>
      <c r="B85" s="85" t="s">
        <v>18</v>
      </c>
      <c r="C85" s="86" t="s">
        <v>157</v>
      </c>
      <c r="D85" s="87" t="s">
        <v>22</v>
      </c>
      <c r="E85" s="88" t="s">
        <v>158</v>
      </c>
      <c r="F85" s="105">
        <v>1.0</v>
      </c>
      <c r="G85" s="106">
        <v>36.0</v>
      </c>
      <c r="H85" s="91">
        <f t="shared" si="7"/>
        <v>36</v>
      </c>
      <c r="I85" s="18"/>
      <c r="J85" s="18"/>
      <c r="K85" s="13"/>
      <c r="L85" s="13"/>
      <c r="M85" s="13"/>
      <c r="N85" s="13"/>
      <c r="O85" s="13"/>
      <c r="P85" s="13"/>
      <c r="Q85" s="35"/>
      <c r="R85" s="35"/>
      <c r="S85" s="35"/>
      <c r="T85" s="1"/>
      <c r="U85" s="1"/>
      <c r="V85" s="1"/>
    </row>
    <row r="86" ht="15.75" customHeight="1">
      <c r="A86" s="13"/>
      <c r="B86" s="85" t="s">
        <v>129</v>
      </c>
      <c r="C86" s="86" t="s">
        <v>159</v>
      </c>
      <c r="D86" s="87" t="s">
        <v>22</v>
      </c>
      <c r="E86" s="88" t="s">
        <v>160</v>
      </c>
      <c r="F86" s="105">
        <v>1.0</v>
      </c>
      <c r="G86" s="106">
        <v>82.8</v>
      </c>
      <c r="H86" s="91">
        <f t="shared" si="7"/>
        <v>82.8</v>
      </c>
      <c r="I86" s="18"/>
      <c r="J86" s="18"/>
      <c r="K86" s="13"/>
      <c r="L86" s="27"/>
      <c r="M86" s="28"/>
      <c r="N86" s="27"/>
      <c r="O86" s="28"/>
      <c r="P86" s="27">
        <v>20.0</v>
      </c>
      <c r="Q86" s="35"/>
      <c r="R86" s="35"/>
      <c r="S86" s="35"/>
      <c r="T86" s="1"/>
      <c r="U86" s="1"/>
      <c r="V86" s="1"/>
    </row>
    <row r="87" ht="15.75" customHeight="1">
      <c r="A87" s="13"/>
      <c r="B87" s="85" t="s">
        <v>18</v>
      </c>
      <c r="C87" s="86" t="s">
        <v>161</v>
      </c>
      <c r="D87" s="87" t="s">
        <v>22</v>
      </c>
      <c r="E87" s="88" t="s">
        <v>162</v>
      </c>
      <c r="F87" s="105">
        <v>1.0</v>
      </c>
      <c r="G87" s="106">
        <v>39.6</v>
      </c>
      <c r="H87" s="91">
        <f t="shared" si="7"/>
        <v>39.6</v>
      </c>
      <c r="I87" s="18"/>
      <c r="J87" s="18"/>
      <c r="K87" s="13"/>
      <c r="L87" s="27"/>
      <c r="M87" s="28"/>
      <c r="N87" s="27"/>
      <c r="O87" s="28"/>
      <c r="P87" s="27">
        <v>22.0</v>
      </c>
      <c r="Q87" s="35"/>
      <c r="R87" s="35"/>
      <c r="S87" s="35"/>
      <c r="T87" s="1"/>
      <c r="U87" s="1"/>
      <c r="V87" s="1"/>
    </row>
    <row r="88" ht="15.75" customHeight="1">
      <c r="A88" s="13"/>
      <c r="B88" s="85" t="s">
        <v>18</v>
      </c>
      <c r="C88" s="86" t="s">
        <v>163</v>
      </c>
      <c r="D88" s="87" t="s">
        <v>22</v>
      </c>
      <c r="E88" s="88" t="s">
        <v>164</v>
      </c>
      <c r="F88" s="89">
        <v>1.0</v>
      </c>
      <c r="G88" s="90">
        <v>39.6</v>
      </c>
      <c r="H88" s="91">
        <f t="shared" si="7"/>
        <v>39.6</v>
      </c>
      <c r="I88" s="18"/>
      <c r="J88" s="18"/>
      <c r="K88" s="13"/>
      <c r="L88" s="27"/>
      <c r="M88" s="28"/>
      <c r="N88" s="27"/>
      <c r="O88" s="28"/>
      <c r="P88" s="27"/>
      <c r="Q88" s="35"/>
      <c r="R88" s="35"/>
      <c r="S88" s="35"/>
      <c r="T88" s="1"/>
      <c r="U88" s="1"/>
      <c r="V88" s="1"/>
    </row>
    <row r="89" ht="15.75" customHeight="1">
      <c r="A89" s="13"/>
      <c r="B89" s="142" t="s">
        <v>18</v>
      </c>
      <c r="C89" s="143" t="s">
        <v>165</v>
      </c>
      <c r="D89" s="144" t="s">
        <v>22</v>
      </c>
      <c r="E89" s="145" t="s">
        <v>166</v>
      </c>
      <c r="F89" s="146">
        <v>1.0</v>
      </c>
      <c r="G89" s="147">
        <v>7.1</v>
      </c>
      <c r="H89" s="91">
        <f t="shared" si="7"/>
        <v>7.1</v>
      </c>
      <c r="I89" s="18"/>
      <c r="J89" s="18"/>
      <c r="K89" s="13"/>
      <c r="L89" s="13"/>
      <c r="M89" s="13"/>
      <c r="N89" s="13"/>
      <c r="O89" s="13"/>
      <c r="P89" s="13"/>
      <c r="Q89" s="35"/>
      <c r="R89" s="35"/>
      <c r="S89" s="35"/>
      <c r="T89" s="1"/>
      <c r="U89" s="1"/>
      <c r="V89" s="1"/>
    </row>
    <row r="90" ht="15.75" customHeight="1">
      <c r="A90" s="13"/>
      <c r="B90" s="85" t="s">
        <v>18</v>
      </c>
      <c r="C90" s="86" t="s">
        <v>167</v>
      </c>
      <c r="D90" s="87" t="s">
        <v>22</v>
      </c>
      <c r="E90" s="88" t="s">
        <v>168</v>
      </c>
      <c r="F90" s="105">
        <v>1.0</v>
      </c>
      <c r="G90" s="106">
        <v>9.58</v>
      </c>
      <c r="H90" s="91">
        <f t="shared" si="7"/>
        <v>9.58</v>
      </c>
      <c r="I90" s="18"/>
      <c r="J90" s="18"/>
      <c r="K90" s="13"/>
      <c r="L90" s="13"/>
      <c r="M90" s="13"/>
      <c r="N90" s="13"/>
      <c r="O90" s="13"/>
      <c r="P90" s="13"/>
      <c r="Q90" s="35"/>
      <c r="R90" s="35"/>
      <c r="S90" s="35"/>
      <c r="T90" s="1"/>
      <c r="U90" s="1"/>
      <c r="V90" s="1"/>
    </row>
    <row r="91" ht="15.75" customHeight="1">
      <c r="A91" s="13"/>
      <c r="B91" s="85" t="s">
        <v>129</v>
      </c>
      <c r="C91" s="86" t="s">
        <v>169</v>
      </c>
      <c r="D91" s="87" t="s">
        <v>22</v>
      </c>
      <c r="E91" s="88" t="s">
        <v>170</v>
      </c>
      <c r="F91" s="105">
        <v>1.0</v>
      </c>
      <c r="G91" s="106">
        <v>82.8</v>
      </c>
      <c r="H91" s="91">
        <f t="shared" si="7"/>
        <v>82.8</v>
      </c>
      <c r="I91" s="18"/>
      <c r="J91" s="18"/>
      <c r="K91" s="13"/>
      <c r="L91" s="27"/>
      <c r="M91" s="28"/>
      <c r="N91" s="27"/>
      <c r="O91" s="28"/>
      <c r="P91" s="27"/>
      <c r="Q91" s="35"/>
      <c r="R91" s="35"/>
      <c r="S91" s="35"/>
      <c r="T91" s="1"/>
      <c r="U91" s="1"/>
      <c r="V91" s="1"/>
    </row>
    <row r="92" ht="15.75" customHeight="1">
      <c r="A92" s="13"/>
      <c r="B92" s="85" t="s">
        <v>129</v>
      </c>
      <c r="C92" s="86" t="s">
        <v>171</v>
      </c>
      <c r="D92" s="87" t="s">
        <v>22</v>
      </c>
      <c r="E92" s="88" t="s">
        <v>172</v>
      </c>
      <c r="F92" s="105">
        <v>1.0</v>
      </c>
      <c r="G92" s="106">
        <v>77.85</v>
      </c>
      <c r="H92" s="91">
        <f t="shared" si="7"/>
        <v>77.85</v>
      </c>
      <c r="I92" s="18"/>
      <c r="J92" s="18"/>
      <c r="K92" s="13"/>
      <c r="L92" s="27"/>
      <c r="M92" s="28"/>
      <c r="N92" s="27"/>
      <c r="O92" s="28"/>
      <c r="P92" s="27"/>
      <c r="Q92" s="35"/>
      <c r="R92" s="35"/>
      <c r="S92" s="35"/>
      <c r="T92" s="1"/>
      <c r="U92" s="1"/>
      <c r="V92" s="1"/>
    </row>
    <row r="93" ht="15.75" customHeight="1">
      <c r="A93" s="13"/>
      <c r="B93" s="100" t="s">
        <v>18</v>
      </c>
      <c r="C93" s="133" t="s">
        <v>173</v>
      </c>
      <c r="D93" s="14" t="s">
        <v>20</v>
      </c>
      <c r="E93" s="88"/>
      <c r="F93" s="131">
        <v>2.0</v>
      </c>
      <c r="G93" s="106">
        <v>30.0</v>
      </c>
      <c r="H93" s="91">
        <f t="shared" si="7"/>
        <v>60</v>
      </c>
      <c r="I93" s="18"/>
      <c r="J93" s="18"/>
      <c r="K93" s="13"/>
      <c r="L93" s="27"/>
      <c r="M93" s="28"/>
      <c r="N93" s="27"/>
      <c r="O93" s="28"/>
      <c r="P93" s="27"/>
      <c r="Q93" s="35"/>
      <c r="R93" s="35"/>
      <c r="S93" s="35"/>
      <c r="T93" s="1"/>
      <c r="U93" s="1"/>
      <c r="V93" s="1"/>
    </row>
    <row r="94" ht="15.75" customHeight="1">
      <c r="A94" s="13"/>
      <c r="B94" s="43" t="s">
        <v>56</v>
      </c>
      <c r="C94" s="133" t="s">
        <v>174</v>
      </c>
      <c r="D94" s="70" t="s">
        <v>24</v>
      </c>
      <c r="E94" s="88"/>
      <c r="F94" s="131">
        <v>1.0</v>
      </c>
      <c r="G94" s="106">
        <v>150.0</v>
      </c>
      <c r="H94" s="91">
        <f t="shared" si="7"/>
        <v>150</v>
      </c>
      <c r="I94" s="18"/>
      <c r="J94" s="18"/>
      <c r="K94" s="13"/>
      <c r="L94" s="27"/>
      <c r="M94" s="28"/>
      <c r="N94" s="27"/>
      <c r="O94" s="28"/>
      <c r="P94" s="27"/>
      <c r="Q94" s="35"/>
      <c r="R94" s="35"/>
      <c r="S94" s="35"/>
      <c r="T94" s="1"/>
      <c r="U94" s="1"/>
      <c r="V94" s="1"/>
    </row>
    <row r="95" ht="23.25" customHeight="1">
      <c r="A95" s="6"/>
      <c r="B95" s="6" t="s">
        <v>175</v>
      </c>
      <c r="C95" s="7">
        <f>SUM(H96:H102)</f>
        <v>236.41</v>
      </c>
      <c r="D95" s="148"/>
      <c r="E95" s="148"/>
      <c r="F95" s="81"/>
      <c r="G95" s="82"/>
      <c r="H95" s="82"/>
      <c r="I95" s="82"/>
      <c r="J95" s="82"/>
      <c r="K95" s="81"/>
      <c r="L95" s="83"/>
      <c r="M95" s="83"/>
      <c r="N95" s="83"/>
      <c r="O95" s="83"/>
      <c r="P95" s="83"/>
      <c r="Q95" s="35"/>
      <c r="R95" s="35"/>
      <c r="S95" s="35"/>
      <c r="T95" s="1"/>
      <c r="U95" s="1"/>
      <c r="V95" s="1"/>
    </row>
    <row r="96" ht="15.75" customHeight="1">
      <c r="A96" s="13"/>
      <c r="B96" s="13" t="s">
        <v>18</v>
      </c>
      <c r="C96" s="149" t="s">
        <v>176</v>
      </c>
      <c r="D96" s="150" t="s">
        <v>22</v>
      </c>
      <c r="E96" s="151" t="s">
        <v>177</v>
      </c>
      <c r="F96" s="48">
        <v>1.0</v>
      </c>
      <c r="G96" s="49">
        <v>65.0</v>
      </c>
      <c r="H96" s="50">
        <f t="shared" ref="H96:H102" si="8">SUM(F96*G96)</f>
        <v>65</v>
      </c>
      <c r="I96" s="18"/>
      <c r="J96" s="18"/>
      <c r="K96" s="13"/>
      <c r="L96" s="27"/>
      <c r="M96" s="28"/>
      <c r="N96" s="27"/>
      <c r="O96" s="28"/>
      <c r="P96" s="28"/>
      <c r="Q96" s="35"/>
      <c r="R96" s="35"/>
      <c r="S96" s="35"/>
      <c r="T96" s="1"/>
      <c r="U96" s="1"/>
      <c r="V96" s="1"/>
    </row>
    <row r="97" ht="15.75" customHeight="1">
      <c r="A97" s="13"/>
      <c r="B97" s="13" t="s">
        <v>18</v>
      </c>
      <c r="C97" s="149" t="s">
        <v>178</v>
      </c>
      <c r="D97" s="150" t="s">
        <v>22</v>
      </c>
      <c r="E97" s="151" t="s">
        <v>179</v>
      </c>
      <c r="F97" s="48">
        <v>1.0</v>
      </c>
      <c r="G97" s="49">
        <v>19.17</v>
      </c>
      <c r="H97" s="50">
        <f t="shared" si="8"/>
        <v>19.17</v>
      </c>
      <c r="I97" s="18"/>
      <c r="J97" s="18"/>
      <c r="K97" s="13"/>
      <c r="L97" s="27"/>
      <c r="M97" s="28"/>
      <c r="N97" s="27"/>
      <c r="O97" s="28"/>
      <c r="P97" s="27"/>
      <c r="Q97" s="35"/>
      <c r="R97" s="35"/>
      <c r="S97" s="35"/>
      <c r="T97" s="1"/>
      <c r="U97" s="1"/>
      <c r="V97" s="1"/>
    </row>
    <row r="98" ht="15.75" customHeight="1">
      <c r="A98" s="13"/>
      <c r="B98" s="13" t="s">
        <v>18</v>
      </c>
      <c r="C98" s="13" t="s">
        <v>180</v>
      </c>
      <c r="D98" s="66" t="s">
        <v>22</v>
      </c>
      <c r="E98" s="33" t="s">
        <v>181</v>
      </c>
      <c r="F98" s="16">
        <v>1.0</v>
      </c>
      <c r="G98" s="34">
        <v>26.4</v>
      </c>
      <c r="H98" s="17">
        <f t="shared" si="8"/>
        <v>26.4</v>
      </c>
      <c r="I98" s="18"/>
      <c r="J98" s="18"/>
      <c r="K98" s="13"/>
      <c r="L98" s="95"/>
      <c r="M98" s="96"/>
      <c r="N98" s="95"/>
      <c r="O98" s="96"/>
      <c r="P98" s="96"/>
      <c r="Q98" s="35"/>
      <c r="R98" s="35"/>
      <c r="S98" s="35"/>
      <c r="T98" s="1"/>
      <c r="U98" s="1"/>
      <c r="V98" s="1"/>
    </row>
    <row r="99" ht="15.75" customHeight="1">
      <c r="A99" s="13"/>
      <c r="B99" s="13" t="s">
        <v>18</v>
      </c>
      <c r="C99" s="18" t="s">
        <v>182</v>
      </c>
      <c r="D99" s="66" t="s">
        <v>22</v>
      </c>
      <c r="E99" s="33" t="s">
        <v>183</v>
      </c>
      <c r="F99" s="16">
        <v>1.0</v>
      </c>
      <c r="G99" s="34">
        <v>42.0</v>
      </c>
      <c r="H99" s="17">
        <f t="shared" si="8"/>
        <v>42</v>
      </c>
      <c r="I99" s="18"/>
      <c r="J99" s="18"/>
      <c r="K99" s="13"/>
      <c r="L99" s="95"/>
      <c r="M99" s="96"/>
      <c r="N99" s="95"/>
      <c r="O99" s="96"/>
      <c r="P99" s="96"/>
      <c r="Q99" s="35"/>
      <c r="R99" s="35"/>
      <c r="S99" s="35"/>
      <c r="T99" s="1"/>
      <c r="U99" s="1"/>
      <c r="V99" s="1"/>
    </row>
    <row r="100" ht="15.75" customHeight="1">
      <c r="A100" s="13"/>
      <c r="B100" s="13" t="s">
        <v>18</v>
      </c>
      <c r="C100" s="13" t="s">
        <v>184</v>
      </c>
      <c r="D100" s="66" t="s">
        <v>22</v>
      </c>
      <c r="E100" s="33" t="s">
        <v>185</v>
      </c>
      <c r="F100" s="48">
        <v>1.0</v>
      </c>
      <c r="G100" s="49">
        <v>9.6</v>
      </c>
      <c r="H100" s="50">
        <f t="shared" si="8"/>
        <v>9.6</v>
      </c>
      <c r="I100" s="18"/>
      <c r="J100" s="18"/>
      <c r="K100" s="13"/>
      <c r="L100" s="27"/>
      <c r="M100" s="28"/>
      <c r="N100" s="27"/>
      <c r="O100" s="28"/>
      <c r="P100" s="27"/>
      <c r="Q100" s="35"/>
      <c r="R100" s="35"/>
      <c r="S100" s="35"/>
      <c r="T100" s="1"/>
      <c r="U100" s="1"/>
      <c r="V100" s="1"/>
    </row>
    <row r="101" ht="15.75" customHeight="1">
      <c r="A101" s="13"/>
      <c r="B101" s="13" t="s">
        <v>18</v>
      </c>
      <c r="C101" s="13" t="s">
        <v>186</v>
      </c>
      <c r="D101" s="66" t="s">
        <v>22</v>
      </c>
      <c r="E101" s="33" t="s">
        <v>187</v>
      </c>
      <c r="F101" s="16">
        <v>1.0</v>
      </c>
      <c r="G101" s="34">
        <v>57.6</v>
      </c>
      <c r="H101" s="17">
        <f t="shared" si="8"/>
        <v>57.6</v>
      </c>
      <c r="I101" s="18"/>
      <c r="J101" s="18"/>
      <c r="K101" s="13"/>
      <c r="L101" s="95"/>
      <c r="M101" s="96"/>
      <c r="N101" s="95"/>
      <c r="O101" s="96"/>
      <c r="P101" s="96"/>
      <c r="Q101" s="35"/>
      <c r="R101" s="35"/>
      <c r="S101" s="35"/>
      <c r="T101" s="1"/>
      <c r="U101" s="1"/>
      <c r="V101" s="1"/>
    </row>
    <row r="102" ht="15.75" customHeight="1">
      <c r="A102" s="13"/>
      <c r="B102" s="13" t="s">
        <v>18</v>
      </c>
      <c r="C102" s="13" t="s">
        <v>188</v>
      </c>
      <c r="D102" s="66" t="s">
        <v>22</v>
      </c>
      <c r="E102" s="33" t="s">
        <v>189</v>
      </c>
      <c r="F102" s="48">
        <v>1.0</v>
      </c>
      <c r="G102" s="49">
        <v>16.64</v>
      </c>
      <c r="H102" s="50">
        <f t="shared" si="8"/>
        <v>16.64</v>
      </c>
      <c r="I102" s="18"/>
      <c r="J102" s="18"/>
      <c r="K102" s="13"/>
      <c r="L102" s="95"/>
      <c r="M102" s="96"/>
      <c r="N102" s="95"/>
      <c r="O102" s="96"/>
      <c r="P102" s="96"/>
      <c r="Q102" s="35"/>
      <c r="R102" s="35"/>
      <c r="S102" s="35"/>
      <c r="T102" s="1"/>
      <c r="U102" s="1"/>
      <c r="V102" s="1"/>
    </row>
    <row r="103" ht="27.0" customHeight="1">
      <c r="A103" s="6"/>
      <c r="B103" s="6" t="s">
        <v>190</v>
      </c>
      <c r="C103" s="7">
        <f>SUM(H104:H142)</f>
        <v>5833.39</v>
      </c>
      <c r="D103" s="148"/>
      <c r="E103" s="148"/>
      <c r="F103" s="81"/>
      <c r="G103" s="82"/>
      <c r="H103" s="82"/>
      <c r="I103" s="82"/>
      <c r="J103" s="82"/>
      <c r="K103" s="81"/>
      <c r="L103" s="83"/>
      <c r="M103" s="83"/>
      <c r="N103" s="83"/>
      <c r="O103" s="83"/>
      <c r="P103" s="83"/>
      <c r="Q103" s="35"/>
      <c r="R103" s="35"/>
      <c r="S103" s="35"/>
      <c r="T103" s="1"/>
      <c r="U103" s="1"/>
      <c r="V103" s="1"/>
    </row>
    <row r="104" ht="15.75" hidden="1" customHeight="1">
      <c r="A104" s="13"/>
      <c r="B104" s="13"/>
      <c r="C104" s="13" t="s">
        <v>191</v>
      </c>
      <c r="D104" s="66" t="s">
        <v>22</v>
      </c>
      <c r="E104" s="15"/>
      <c r="F104" s="16">
        <v>0.0</v>
      </c>
      <c r="G104" s="17">
        <v>0.0</v>
      </c>
      <c r="H104" s="17">
        <f t="shared" ref="H104:H110" si="9">SUM(F104*G104)</f>
        <v>0</v>
      </c>
      <c r="I104" s="18"/>
      <c r="J104" s="18"/>
      <c r="K104" s="13"/>
      <c r="L104" s="13"/>
      <c r="M104" s="13"/>
      <c r="N104" s="13"/>
      <c r="O104" s="13"/>
      <c r="P104" s="13"/>
      <c r="Q104" s="35"/>
      <c r="R104" s="35"/>
      <c r="S104" s="35"/>
      <c r="T104" s="1"/>
      <c r="U104" s="1"/>
      <c r="V104" s="1"/>
    </row>
    <row r="105" ht="15.75" hidden="1" customHeight="1">
      <c r="A105" s="13"/>
      <c r="B105" s="13" t="s">
        <v>18</v>
      </c>
      <c r="C105" s="13" t="s">
        <v>192</v>
      </c>
      <c r="D105" s="66" t="s">
        <v>22</v>
      </c>
      <c r="E105" s="15"/>
      <c r="F105" s="16">
        <v>0.0</v>
      </c>
      <c r="G105" s="17">
        <v>5.0</v>
      </c>
      <c r="H105" s="17">
        <f t="shared" si="9"/>
        <v>0</v>
      </c>
      <c r="I105" s="18"/>
      <c r="J105" s="18"/>
      <c r="K105" s="13"/>
      <c r="L105" s="13"/>
      <c r="M105" s="13"/>
      <c r="N105" s="13"/>
      <c r="O105" s="19"/>
      <c r="P105" s="19"/>
      <c r="Q105" s="35"/>
      <c r="R105" s="35"/>
      <c r="S105" s="35"/>
      <c r="T105" s="1"/>
      <c r="U105" s="1"/>
      <c r="V105" s="1"/>
    </row>
    <row r="106" ht="15.75" hidden="1" customHeight="1">
      <c r="A106" s="13"/>
      <c r="B106" s="13" t="s">
        <v>18</v>
      </c>
      <c r="C106" s="13" t="s">
        <v>193</v>
      </c>
      <c r="D106" s="14" t="s">
        <v>20</v>
      </c>
      <c r="E106" s="15"/>
      <c r="F106" s="16">
        <v>0.0</v>
      </c>
      <c r="G106" s="17">
        <v>0.0</v>
      </c>
      <c r="H106" s="17">
        <f t="shared" si="9"/>
        <v>0</v>
      </c>
      <c r="I106" s="18"/>
      <c r="J106" s="18"/>
      <c r="K106" s="13"/>
      <c r="L106" s="13"/>
      <c r="M106" s="13"/>
      <c r="N106" s="13"/>
      <c r="O106" s="13"/>
      <c r="P106" s="13"/>
      <c r="Q106" s="35"/>
      <c r="R106" s="35"/>
      <c r="S106" s="35"/>
      <c r="T106" s="1"/>
      <c r="U106" s="1"/>
      <c r="V106" s="1"/>
    </row>
    <row r="107" ht="15.75" hidden="1" customHeight="1">
      <c r="A107" s="13"/>
      <c r="B107" s="13" t="s">
        <v>18</v>
      </c>
      <c r="C107" s="13" t="s">
        <v>194</v>
      </c>
      <c r="D107" s="14" t="s">
        <v>20</v>
      </c>
      <c r="E107" s="15"/>
      <c r="F107" s="16">
        <v>0.0</v>
      </c>
      <c r="G107" s="17">
        <v>5.0</v>
      </c>
      <c r="H107" s="17">
        <f t="shared" si="9"/>
        <v>0</v>
      </c>
      <c r="I107" s="18"/>
      <c r="J107" s="18"/>
      <c r="K107" s="13"/>
      <c r="L107" s="13"/>
      <c r="M107" s="13"/>
      <c r="N107" s="13"/>
      <c r="O107" s="13"/>
      <c r="P107" s="13"/>
      <c r="Q107" s="35"/>
      <c r="R107" s="35"/>
      <c r="S107" s="35"/>
      <c r="T107" s="1"/>
      <c r="U107" s="1"/>
      <c r="V107" s="1"/>
    </row>
    <row r="108" ht="15.75" hidden="1" customHeight="1">
      <c r="A108" s="13"/>
      <c r="B108" s="13" t="s">
        <v>18</v>
      </c>
      <c r="C108" s="13" t="s">
        <v>19</v>
      </c>
      <c r="D108" s="14" t="s">
        <v>20</v>
      </c>
      <c r="E108" s="15" t="s">
        <v>195</v>
      </c>
      <c r="F108" s="16">
        <v>0.0</v>
      </c>
      <c r="G108" s="17">
        <v>53.0</v>
      </c>
      <c r="H108" s="17">
        <f t="shared" si="9"/>
        <v>0</v>
      </c>
      <c r="I108" s="18"/>
      <c r="J108" s="18"/>
      <c r="K108" s="13"/>
      <c r="L108" s="13"/>
      <c r="M108" s="13"/>
      <c r="N108" s="13"/>
      <c r="O108" s="13"/>
      <c r="P108" s="13"/>
      <c r="Q108" s="35"/>
      <c r="R108" s="35"/>
      <c r="S108" s="35"/>
      <c r="T108" s="1"/>
      <c r="U108" s="1"/>
      <c r="V108" s="1"/>
    </row>
    <row r="109" ht="15.75" hidden="1" customHeight="1">
      <c r="A109" s="13"/>
      <c r="B109" s="13"/>
      <c r="C109" s="13" t="s">
        <v>25</v>
      </c>
      <c r="D109" s="25" t="s">
        <v>24</v>
      </c>
      <c r="E109" s="15"/>
      <c r="F109" s="16">
        <v>0.0</v>
      </c>
      <c r="G109" s="17">
        <v>103.5</v>
      </c>
      <c r="H109" s="17">
        <f t="shared" si="9"/>
        <v>0</v>
      </c>
      <c r="I109" s="18"/>
      <c r="J109" s="18"/>
      <c r="K109" s="13"/>
      <c r="L109" s="13"/>
      <c r="M109" s="19"/>
      <c r="N109" s="13"/>
      <c r="O109" s="19"/>
      <c r="P109" s="19"/>
      <c r="Q109" s="1"/>
      <c r="R109" s="35"/>
      <c r="S109" s="35"/>
      <c r="T109" s="1"/>
      <c r="U109" s="1"/>
      <c r="V109" s="1"/>
    </row>
    <row r="110" ht="15.75" hidden="1" customHeight="1">
      <c r="A110" s="13"/>
      <c r="B110" s="13"/>
      <c r="C110" s="13" t="s">
        <v>196</v>
      </c>
      <c r="D110" s="14" t="s">
        <v>20</v>
      </c>
      <c r="E110" s="15"/>
      <c r="F110" s="16">
        <v>0.0</v>
      </c>
      <c r="G110" s="17">
        <v>1994.0</v>
      </c>
      <c r="H110" s="17">
        <f t="shared" si="9"/>
        <v>0</v>
      </c>
      <c r="I110" s="18"/>
      <c r="J110" s="18"/>
      <c r="K110" s="13"/>
      <c r="L110" s="13"/>
      <c r="M110" s="13"/>
      <c r="N110" s="13"/>
      <c r="O110" s="13"/>
      <c r="P110" s="13"/>
      <c r="Q110" s="35"/>
      <c r="R110" s="35"/>
      <c r="S110" s="35"/>
      <c r="T110" s="1"/>
      <c r="U110" s="1"/>
      <c r="V110" s="1"/>
    </row>
    <row r="111" ht="15.75" hidden="1" customHeight="1">
      <c r="A111" s="13"/>
      <c r="B111" s="13"/>
      <c r="C111" s="13" t="s">
        <v>197</v>
      </c>
      <c r="D111" s="14" t="s">
        <v>20</v>
      </c>
      <c r="E111" s="15"/>
      <c r="F111" s="16">
        <v>0.0</v>
      </c>
      <c r="G111" s="17">
        <v>0.0</v>
      </c>
      <c r="H111" s="17">
        <v>0.0</v>
      </c>
      <c r="I111" s="18"/>
      <c r="J111" s="18"/>
      <c r="K111" s="13"/>
      <c r="L111" s="13"/>
      <c r="M111" s="13"/>
      <c r="N111" s="13"/>
      <c r="O111" s="13"/>
      <c r="P111" s="13"/>
      <c r="Q111" s="35"/>
      <c r="R111" s="35"/>
      <c r="S111" s="35"/>
      <c r="T111" s="1"/>
      <c r="U111" s="1"/>
      <c r="V111" s="1"/>
    </row>
    <row r="112" ht="15.75" hidden="1" customHeight="1">
      <c r="A112" s="13"/>
      <c r="B112" s="13"/>
      <c r="C112" s="13" t="s">
        <v>198</v>
      </c>
      <c r="D112" s="14" t="s">
        <v>20</v>
      </c>
      <c r="E112" s="15"/>
      <c r="F112" s="16">
        <v>0.0</v>
      </c>
      <c r="G112" s="17">
        <v>100.0</v>
      </c>
      <c r="H112" s="17">
        <f t="shared" ref="H112:H141" si="10">SUM(F112*G112)</f>
        <v>0</v>
      </c>
      <c r="I112" s="18"/>
      <c r="J112" s="18"/>
      <c r="K112" s="13"/>
      <c r="L112" s="13"/>
      <c r="M112" s="13"/>
      <c r="N112" s="13"/>
      <c r="O112" s="13"/>
      <c r="P112" s="13"/>
      <c r="Q112" s="35"/>
      <c r="R112" s="35"/>
      <c r="S112" s="35"/>
      <c r="T112" s="1"/>
      <c r="U112" s="1"/>
      <c r="V112" s="1"/>
    </row>
    <row r="113" ht="15.75" hidden="1" customHeight="1">
      <c r="A113" s="13"/>
      <c r="B113" s="13"/>
      <c r="C113" s="13" t="s">
        <v>199</v>
      </c>
      <c r="D113" s="70" t="s">
        <v>24</v>
      </c>
      <c r="E113" s="15"/>
      <c r="F113" s="16">
        <v>0.0</v>
      </c>
      <c r="G113" s="17">
        <v>80.0</v>
      </c>
      <c r="H113" s="17">
        <f t="shared" si="10"/>
        <v>0</v>
      </c>
      <c r="I113" s="18"/>
      <c r="J113" s="18"/>
      <c r="K113" s="13"/>
      <c r="L113" s="13"/>
      <c r="M113" s="13"/>
      <c r="N113" s="13"/>
      <c r="O113" s="13"/>
      <c r="P113" s="13"/>
      <c r="Q113" s="35"/>
      <c r="R113" s="35"/>
      <c r="S113" s="35"/>
      <c r="T113" s="1"/>
      <c r="U113" s="1"/>
      <c r="V113" s="1"/>
    </row>
    <row r="114" ht="15.75" hidden="1" customHeight="1">
      <c r="A114" s="13"/>
      <c r="B114" s="13"/>
      <c r="C114" s="13" t="s">
        <v>200</v>
      </c>
      <c r="D114" s="70" t="s">
        <v>24</v>
      </c>
      <c r="E114" s="15"/>
      <c r="F114" s="40">
        <v>0.0</v>
      </c>
      <c r="G114" s="17">
        <v>140.0</v>
      </c>
      <c r="H114" s="17">
        <f t="shared" si="10"/>
        <v>0</v>
      </c>
      <c r="I114" s="18"/>
      <c r="J114" s="18"/>
      <c r="K114" s="13"/>
      <c r="L114" s="13"/>
      <c r="M114" s="13"/>
      <c r="N114" s="13"/>
      <c r="O114" s="13"/>
      <c r="P114" s="13"/>
      <c r="Q114" s="35"/>
      <c r="R114" s="35"/>
      <c r="S114" s="35"/>
      <c r="T114" s="1"/>
      <c r="U114" s="1"/>
      <c r="V114" s="1"/>
    </row>
    <row r="115" ht="15.75" customHeight="1">
      <c r="A115" s="13"/>
      <c r="B115" s="13" t="s">
        <v>18</v>
      </c>
      <c r="C115" s="13" t="s">
        <v>201</v>
      </c>
      <c r="D115" s="14" t="s">
        <v>20</v>
      </c>
      <c r="E115" s="152" t="s">
        <v>202</v>
      </c>
      <c r="F115" s="40">
        <v>2.0</v>
      </c>
      <c r="G115" s="34">
        <v>240.0</v>
      </c>
      <c r="H115" s="17">
        <f t="shared" si="10"/>
        <v>480</v>
      </c>
      <c r="I115" s="18"/>
      <c r="J115" s="18"/>
      <c r="K115" s="13"/>
      <c r="L115" s="27"/>
      <c r="M115" s="27"/>
      <c r="N115" s="27"/>
      <c r="O115" s="27"/>
      <c r="P115" s="27"/>
      <c r="Q115" s="35"/>
      <c r="R115" s="35"/>
      <c r="S115" s="35"/>
      <c r="T115" s="1"/>
      <c r="U115" s="1"/>
      <c r="V115" s="1"/>
    </row>
    <row r="116" ht="15.75" customHeight="1">
      <c r="A116" s="13"/>
      <c r="B116" s="43" t="s">
        <v>56</v>
      </c>
      <c r="C116" s="13" t="s">
        <v>203</v>
      </c>
      <c r="D116" s="70" t="s">
        <v>24</v>
      </c>
      <c r="E116" s="15"/>
      <c r="F116" s="40">
        <v>2.0</v>
      </c>
      <c r="G116" s="17">
        <v>95.0</v>
      </c>
      <c r="H116" s="17">
        <f t="shared" si="10"/>
        <v>190</v>
      </c>
      <c r="I116" s="18"/>
      <c r="J116" s="18"/>
      <c r="K116" s="13"/>
      <c r="L116" s="63"/>
      <c r="M116" s="79"/>
      <c r="N116" s="63"/>
      <c r="O116" s="153"/>
      <c r="P116" s="79"/>
      <c r="Q116" s="35"/>
      <c r="R116" s="35"/>
      <c r="S116" s="35"/>
      <c r="T116" s="1"/>
      <c r="U116" s="1"/>
      <c r="V116" s="1"/>
    </row>
    <row r="117" ht="15.75" hidden="1" customHeight="1">
      <c r="A117" s="13"/>
      <c r="B117" s="13"/>
      <c r="C117" s="13" t="s">
        <v>204</v>
      </c>
      <c r="D117" s="70" t="s">
        <v>24</v>
      </c>
      <c r="E117" s="15"/>
      <c r="F117" s="40">
        <v>0.0</v>
      </c>
      <c r="G117" s="17">
        <v>120.0</v>
      </c>
      <c r="H117" s="17">
        <f t="shared" si="10"/>
        <v>0</v>
      </c>
      <c r="I117" s="18"/>
      <c r="J117" s="18"/>
      <c r="K117" s="13"/>
      <c r="L117" s="63"/>
      <c r="M117" s="79"/>
      <c r="N117" s="63"/>
      <c r="O117" s="153"/>
      <c r="P117" s="79"/>
      <c r="Q117" s="35"/>
      <c r="R117" s="35"/>
      <c r="S117" s="35"/>
      <c r="T117" s="1"/>
      <c r="U117" s="1"/>
      <c r="V117" s="1"/>
    </row>
    <row r="118" ht="15.75" customHeight="1">
      <c r="A118" s="13"/>
      <c r="B118" s="13" t="s">
        <v>18</v>
      </c>
      <c r="C118" s="13" t="s">
        <v>205</v>
      </c>
      <c r="D118" s="14" t="s">
        <v>20</v>
      </c>
      <c r="E118" s="15"/>
      <c r="F118" s="40">
        <v>14.0</v>
      </c>
      <c r="G118" s="17">
        <v>5.0</v>
      </c>
      <c r="H118" s="17">
        <f t="shared" si="10"/>
        <v>70</v>
      </c>
      <c r="I118" s="18"/>
      <c r="J118" s="18"/>
      <c r="K118" s="13"/>
      <c r="L118" s="27"/>
      <c r="M118" s="27"/>
      <c r="N118" s="27"/>
      <c r="O118" s="27"/>
      <c r="P118" s="27"/>
      <c r="Q118" s="35"/>
      <c r="R118" s="35"/>
      <c r="S118" s="35"/>
      <c r="T118" s="1"/>
      <c r="U118" s="1"/>
      <c r="V118" s="1"/>
    </row>
    <row r="119" ht="15.75" hidden="1" customHeight="1">
      <c r="A119" s="13"/>
      <c r="B119" s="13" t="s">
        <v>18</v>
      </c>
      <c r="C119" s="13" t="s">
        <v>206</v>
      </c>
      <c r="D119" s="14" t="s">
        <v>20</v>
      </c>
      <c r="E119" s="15"/>
      <c r="F119" s="40">
        <v>0.0</v>
      </c>
      <c r="G119" s="17">
        <v>5.0</v>
      </c>
      <c r="H119" s="17">
        <f t="shared" si="10"/>
        <v>0</v>
      </c>
      <c r="I119" s="18"/>
      <c r="J119" s="18"/>
      <c r="K119" s="13"/>
      <c r="L119" s="27"/>
      <c r="M119" s="27"/>
      <c r="N119" s="27"/>
      <c r="O119" s="27"/>
      <c r="P119" s="27"/>
      <c r="Q119" s="35"/>
      <c r="R119" s="35"/>
      <c r="S119" s="35"/>
      <c r="T119" s="1"/>
      <c r="U119" s="1"/>
      <c r="V119" s="1"/>
    </row>
    <row r="120" ht="15.75" customHeight="1">
      <c r="A120" s="13"/>
      <c r="B120" s="13" t="s">
        <v>18</v>
      </c>
      <c r="C120" s="13" t="s">
        <v>207</v>
      </c>
      <c r="D120" s="14" t="s">
        <v>20</v>
      </c>
      <c r="E120" s="15"/>
      <c r="F120" s="16">
        <v>4.0</v>
      </c>
      <c r="G120" s="17">
        <v>6.3</v>
      </c>
      <c r="H120" s="17">
        <f t="shared" si="10"/>
        <v>25.2</v>
      </c>
      <c r="I120" s="18"/>
      <c r="J120" s="18"/>
      <c r="K120" s="13"/>
      <c r="L120" s="27"/>
      <c r="M120" s="27"/>
      <c r="N120" s="27"/>
      <c r="O120" s="27"/>
      <c r="P120" s="27"/>
      <c r="Q120" s="35"/>
      <c r="R120" s="35"/>
      <c r="S120" s="35"/>
      <c r="T120" s="1"/>
      <c r="U120" s="1"/>
      <c r="V120" s="1"/>
    </row>
    <row r="121" ht="15.75" hidden="1" customHeight="1">
      <c r="A121" s="13"/>
      <c r="B121" s="13"/>
      <c r="C121" s="13" t="s">
        <v>208</v>
      </c>
      <c r="D121" s="70" t="s">
        <v>24</v>
      </c>
      <c r="E121" s="15"/>
      <c r="F121" s="16">
        <v>0.0</v>
      </c>
      <c r="G121" s="17">
        <v>210.0</v>
      </c>
      <c r="H121" s="17">
        <f t="shared" si="10"/>
        <v>0</v>
      </c>
      <c r="I121" s="18"/>
      <c r="J121" s="18"/>
      <c r="K121" s="13"/>
      <c r="L121" s="63"/>
      <c r="M121" s="63"/>
      <c r="N121" s="63"/>
      <c r="O121" s="63"/>
      <c r="P121" s="63"/>
      <c r="Q121" s="35"/>
      <c r="R121" s="35"/>
      <c r="S121" s="35"/>
      <c r="T121" s="1"/>
      <c r="U121" s="1"/>
      <c r="V121" s="1"/>
    </row>
    <row r="122" ht="15.75" hidden="1" customHeight="1">
      <c r="A122" s="13"/>
      <c r="B122" s="13"/>
      <c r="C122" s="13" t="s">
        <v>209</v>
      </c>
      <c r="D122" s="70" t="s">
        <v>24</v>
      </c>
      <c r="E122" s="15"/>
      <c r="F122" s="16">
        <v>0.0</v>
      </c>
      <c r="G122" s="17">
        <v>80.0</v>
      </c>
      <c r="H122" s="17">
        <f t="shared" si="10"/>
        <v>0</v>
      </c>
      <c r="I122" s="18"/>
      <c r="J122" s="18"/>
      <c r="K122" s="13"/>
      <c r="L122" s="63"/>
      <c r="M122" s="63"/>
      <c r="N122" s="63"/>
      <c r="O122" s="63"/>
      <c r="P122" s="63"/>
      <c r="Q122" s="35"/>
      <c r="R122" s="35"/>
      <c r="S122" s="35"/>
      <c r="T122" s="1"/>
      <c r="U122" s="1"/>
      <c r="V122" s="1"/>
    </row>
    <row r="123" ht="15.75" hidden="1" customHeight="1">
      <c r="A123" s="13"/>
      <c r="B123" s="13"/>
      <c r="C123" s="13" t="s">
        <v>210</v>
      </c>
      <c r="D123" s="70" t="s">
        <v>24</v>
      </c>
      <c r="E123" s="15"/>
      <c r="F123" s="16">
        <v>0.0</v>
      </c>
      <c r="G123" s="17">
        <v>700.0</v>
      </c>
      <c r="H123" s="17">
        <f t="shared" si="10"/>
        <v>0</v>
      </c>
      <c r="I123" s="18"/>
      <c r="J123" s="18"/>
      <c r="K123" s="13"/>
      <c r="L123" s="63"/>
      <c r="M123" s="63"/>
      <c r="N123" s="63"/>
      <c r="O123" s="63"/>
      <c r="P123" s="63"/>
      <c r="Q123" s="35"/>
      <c r="R123" s="35"/>
      <c r="S123" s="35"/>
      <c r="T123" s="1"/>
      <c r="U123" s="1"/>
      <c r="V123" s="1"/>
    </row>
    <row r="124" ht="15.75" hidden="1" customHeight="1">
      <c r="A124" s="13"/>
      <c r="B124" s="13"/>
      <c r="C124" s="13" t="s">
        <v>211</v>
      </c>
      <c r="D124" s="14" t="s">
        <v>20</v>
      </c>
      <c r="E124" s="15"/>
      <c r="F124" s="16">
        <v>0.0</v>
      </c>
      <c r="G124" s="17">
        <v>600.0</v>
      </c>
      <c r="H124" s="17">
        <f t="shared" si="10"/>
        <v>0</v>
      </c>
      <c r="I124" s="18"/>
      <c r="J124" s="18"/>
      <c r="K124" s="13"/>
      <c r="L124" s="13"/>
      <c r="M124" s="13"/>
      <c r="N124" s="13"/>
      <c r="O124" s="13"/>
      <c r="P124" s="13"/>
      <c r="Q124" s="35"/>
      <c r="R124" s="35"/>
      <c r="S124" s="35"/>
      <c r="T124" s="1"/>
      <c r="U124" s="1"/>
      <c r="V124" s="1"/>
    </row>
    <row r="125" ht="15.75" customHeight="1">
      <c r="A125" s="13"/>
      <c r="B125" s="13" t="s">
        <v>58</v>
      </c>
      <c r="C125" s="13" t="s">
        <v>212</v>
      </c>
      <c r="D125" s="101" t="s">
        <v>32</v>
      </c>
      <c r="E125" s="15" t="s">
        <v>60</v>
      </c>
      <c r="F125" s="16">
        <v>1.0</v>
      </c>
      <c r="G125" s="17">
        <v>0.0</v>
      </c>
      <c r="H125" s="17">
        <f t="shared" si="10"/>
        <v>0</v>
      </c>
      <c r="I125" s="18"/>
      <c r="J125" s="18"/>
      <c r="K125" s="13"/>
      <c r="L125" s="13"/>
      <c r="M125" s="13"/>
      <c r="N125" s="13"/>
      <c r="O125" s="13"/>
      <c r="P125" s="13"/>
      <c r="Q125" s="35"/>
      <c r="R125" s="35"/>
      <c r="S125" s="35"/>
      <c r="T125" s="1"/>
      <c r="U125" s="1"/>
      <c r="V125" s="1"/>
    </row>
    <row r="126" ht="17.25" customHeight="1">
      <c r="A126" s="13"/>
      <c r="B126" s="43" t="s">
        <v>39</v>
      </c>
      <c r="C126" s="13" t="s">
        <v>213</v>
      </c>
      <c r="D126" s="66" t="s">
        <v>22</v>
      </c>
      <c r="E126" s="15"/>
      <c r="F126" s="16">
        <v>1.0</v>
      </c>
      <c r="G126" s="34">
        <v>100.0</v>
      </c>
      <c r="H126" s="17">
        <f t="shared" si="10"/>
        <v>100</v>
      </c>
      <c r="I126" s="18"/>
      <c r="J126" s="18"/>
      <c r="K126" s="13"/>
      <c r="L126" s="13"/>
      <c r="M126" s="19"/>
      <c r="N126" s="13"/>
      <c r="O126" s="19"/>
      <c r="P126" s="19"/>
      <c r="Q126" s="35"/>
      <c r="R126" s="35"/>
      <c r="S126" s="35"/>
      <c r="T126" s="1"/>
      <c r="U126" s="1"/>
      <c r="V126" s="1"/>
    </row>
    <row r="127" ht="16.5" customHeight="1">
      <c r="A127" s="13"/>
      <c r="B127" s="43" t="s">
        <v>39</v>
      </c>
      <c r="C127" s="13" t="s">
        <v>214</v>
      </c>
      <c r="D127" s="66" t="s">
        <v>22</v>
      </c>
      <c r="E127" s="15"/>
      <c r="F127" s="16">
        <v>1.0</v>
      </c>
      <c r="G127" s="17">
        <v>500.0</v>
      </c>
      <c r="H127" s="17">
        <f t="shared" si="10"/>
        <v>500</v>
      </c>
      <c r="I127" s="18"/>
      <c r="J127" s="18"/>
      <c r="K127" s="13"/>
      <c r="L127" s="13"/>
      <c r="M127" s="19"/>
      <c r="N127" s="13"/>
      <c r="O127" s="19"/>
      <c r="P127" s="19"/>
      <c r="Q127" s="35"/>
      <c r="R127" s="35"/>
      <c r="S127" s="35"/>
      <c r="T127" s="1"/>
      <c r="U127" s="1"/>
      <c r="V127" s="1"/>
    </row>
    <row r="128" ht="15.75" customHeight="1">
      <c r="A128" s="13"/>
      <c r="B128" s="43" t="s">
        <v>85</v>
      </c>
      <c r="C128" s="13" t="s">
        <v>215</v>
      </c>
      <c r="D128" s="101" t="s">
        <v>32</v>
      </c>
      <c r="E128" s="154">
        <v>101272.0</v>
      </c>
      <c r="F128" s="40">
        <v>14.0</v>
      </c>
      <c r="G128" s="34">
        <v>201.3</v>
      </c>
      <c r="H128" s="17">
        <f t="shared" si="10"/>
        <v>2818.2</v>
      </c>
      <c r="I128" s="18"/>
      <c r="J128" s="18"/>
      <c r="K128" s="43"/>
      <c r="L128" s="27"/>
      <c r="M128" s="28"/>
      <c r="N128" s="27"/>
      <c r="O128" s="27"/>
      <c r="P128" s="27"/>
      <c r="Q128" s="35"/>
      <c r="R128" s="35"/>
      <c r="S128" s="35"/>
      <c r="T128" s="1"/>
      <c r="U128" s="1"/>
      <c r="V128" s="1"/>
    </row>
    <row r="129" ht="15.75" hidden="1" customHeight="1">
      <c r="A129" s="13"/>
      <c r="B129" s="13"/>
      <c r="C129" s="13" t="s">
        <v>216</v>
      </c>
      <c r="D129" s="70" t="s">
        <v>24</v>
      </c>
      <c r="E129" s="15"/>
      <c r="F129" s="16">
        <v>0.0</v>
      </c>
      <c r="G129" s="17">
        <v>38.0</v>
      </c>
      <c r="H129" s="17">
        <f t="shared" si="10"/>
        <v>0</v>
      </c>
      <c r="I129" s="18"/>
      <c r="J129" s="18"/>
      <c r="K129" s="13"/>
      <c r="L129" s="27"/>
      <c r="M129" s="28"/>
      <c r="N129" s="27"/>
      <c r="O129" s="27"/>
      <c r="P129" s="27"/>
      <c r="Q129" s="35"/>
      <c r="R129" s="35"/>
      <c r="S129" s="35"/>
      <c r="T129" s="1"/>
      <c r="U129" s="1"/>
      <c r="V129" s="1"/>
    </row>
    <row r="130" ht="15.75" hidden="1" customHeight="1">
      <c r="A130" s="13"/>
      <c r="B130" s="13" t="s">
        <v>217</v>
      </c>
      <c r="C130" s="13" t="s">
        <v>218</v>
      </c>
      <c r="D130" s="101" t="s">
        <v>32</v>
      </c>
      <c r="E130" s="154"/>
      <c r="F130" s="40">
        <v>0.0</v>
      </c>
      <c r="G130" s="34">
        <v>2247.3</v>
      </c>
      <c r="H130" s="17">
        <f t="shared" si="10"/>
        <v>0</v>
      </c>
      <c r="I130" s="18"/>
      <c r="J130" s="18"/>
      <c r="K130" s="13"/>
      <c r="L130" s="27"/>
      <c r="M130" s="27"/>
      <c r="N130" s="27"/>
      <c r="O130" s="27"/>
      <c r="P130" s="27"/>
      <c r="Q130" s="35"/>
      <c r="R130" s="35"/>
      <c r="S130" s="35"/>
      <c r="T130" s="1"/>
      <c r="U130" s="1"/>
      <c r="V130" s="1"/>
    </row>
    <row r="131" ht="15.75" customHeight="1">
      <c r="A131" s="13"/>
      <c r="B131" s="13" t="s">
        <v>219</v>
      </c>
      <c r="C131" s="13" t="s">
        <v>220</v>
      </c>
      <c r="D131" s="14" t="s">
        <v>20</v>
      </c>
      <c r="E131" s="15"/>
      <c r="F131" s="16">
        <v>1.0</v>
      </c>
      <c r="G131" s="34">
        <v>800.0</v>
      </c>
      <c r="H131" s="17">
        <f t="shared" si="10"/>
        <v>800</v>
      </c>
      <c r="I131" s="18"/>
      <c r="J131" s="18"/>
      <c r="K131" s="13"/>
      <c r="L131" s="13"/>
      <c r="M131" s="13"/>
      <c r="N131" s="13"/>
      <c r="O131" s="13"/>
      <c r="P131" s="13"/>
      <c r="Q131" s="35"/>
      <c r="R131" s="35"/>
      <c r="S131" s="35"/>
      <c r="T131" s="1"/>
      <c r="U131" s="1"/>
      <c r="V131" s="1"/>
    </row>
    <row r="132" ht="15.75" hidden="1" customHeight="1">
      <c r="A132" s="13"/>
      <c r="B132" s="13"/>
      <c r="C132" s="13" t="s">
        <v>221</v>
      </c>
      <c r="D132" s="70" t="s">
        <v>24</v>
      </c>
      <c r="E132" s="15"/>
      <c r="F132" s="16">
        <v>0.0</v>
      </c>
      <c r="G132" s="17">
        <v>40.0</v>
      </c>
      <c r="H132" s="17">
        <f t="shared" si="10"/>
        <v>0</v>
      </c>
      <c r="I132" s="18"/>
      <c r="J132" s="18"/>
      <c r="K132" s="13"/>
      <c r="L132" s="13"/>
      <c r="M132" s="13"/>
      <c r="N132" s="13"/>
      <c r="O132" s="13"/>
      <c r="P132" s="13"/>
      <c r="Q132" s="35"/>
      <c r="R132" s="35"/>
      <c r="S132" s="35"/>
      <c r="T132" s="1"/>
      <c r="U132" s="1"/>
      <c r="V132" s="1"/>
    </row>
    <row r="133" ht="15.75" hidden="1" customHeight="1">
      <c r="A133" s="13"/>
      <c r="B133" s="13"/>
      <c r="C133" s="18" t="s">
        <v>222</v>
      </c>
      <c r="D133" s="70" t="s">
        <v>24</v>
      </c>
      <c r="E133" s="15"/>
      <c r="F133" s="16">
        <v>0.0</v>
      </c>
      <c r="G133" s="17">
        <v>40.0</v>
      </c>
      <c r="H133" s="17">
        <f t="shared" si="10"/>
        <v>0</v>
      </c>
      <c r="I133" s="18"/>
      <c r="J133" s="18"/>
      <c r="K133" s="13"/>
      <c r="L133" s="63"/>
      <c r="M133" s="63"/>
      <c r="N133" s="63"/>
      <c r="O133" s="63"/>
      <c r="P133" s="63"/>
      <c r="Q133" s="35"/>
      <c r="R133" s="35"/>
      <c r="S133" s="35"/>
      <c r="T133" s="1"/>
      <c r="U133" s="1"/>
      <c r="V133" s="1"/>
    </row>
    <row r="134" ht="15.75" customHeight="1">
      <c r="A134" s="13"/>
      <c r="B134" s="13" t="s">
        <v>219</v>
      </c>
      <c r="C134" s="18" t="s">
        <v>41</v>
      </c>
      <c r="D134" s="14" t="s">
        <v>20</v>
      </c>
      <c r="E134" s="15" t="s">
        <v>223</v>
      </c>
      <c r="F134" s="40">
        <v>1.0</v>
      </c>
      <c r="G134" s="34">
        <v>500.0</v>
      </c>
      <c r="H134" s="17">
        <f t="shared" si="10"/>
        <v>500</v>
      </c>
      <c r="I134" s="18"/>
      <c r="J134" s="18"/>
      <c r="K134" s="13"/>
      <c r="L134" s="13"/>
      <c r="M134" s="13"/>
      <c r="N134" s="13"/>
      <c r="O134" s="13"/>
      <c r="P134" s="13"/>
      <c r="Q134" s="35"/>
      <c r="R134" s="35"/>
      <c r="S134" s="35"/>
      <c r="T134" s="1"/>
      <c r="U134" s="1"/>
      <c r="V134" s="1"/>
    </row>
    <row r="135" ht="15.75" hidden="1" customHeight="1">
      <c r="A135" s="13"/>
      <c r="B135" s="13"/>
      <c r="C135" s="18" t="s">
        <v>65</v>
      </c>
      <c r="D135" s="14" t="s">
        <v>20</v>
      </c>
      <c r="E135" s="15"/>
      <c r="F135" s="16">
        <v>0.0</v>
      </c>
      <c r="G135" s="17">
        <v>300.0</v>
      </c>
      <c r="H135" s="17">
        <f t="shared" si="10"/>
        <v>0</v>
      </c>
      <c r="I135" s="18"/>
      <c r="J135" s="18"/>
      <c r="K135" s="13"/>
      <c r="L135" s="13"/>
      <c r="M135" s="13"/>
      <c r="N135" s="13"/>
      <c r="O135" s="13"/>
      <c r="P135" s="13"/>
      <c r="Q135" s="35"/>
      <c r="R135" s="35"/>
      <c r="S135" s="35"/>
      <c r="T135" s="1"/>
      <c r="U135" s="1"/>
      <c r="V135" s="1"/>
    </row>
    <row r="136" ht="15.75" hidden="1" customHeight="1">
      <c r="A136" s="13"/>
      <c r="B136" s="13"/>
      <c r="C136" s="18" t="s">
        <v>224</v>
      </c>
      <c r="D136" s="70" t="s">
        <v>24</v>
      </c>
      <c r="E136" s="15"/>
      <c r="F136" s="16">
        <v>0.0</v>
      </c>
      <c r="G136" s="17">
        <v>17.0</v>
      </c>
      <c r="H136" s="17">
        <f t="shared" si="10"/>
        <v>0</v>
      </c>
      <c r="I136" s="18"/>
      <c r="J136" s="18"/>
      <c r="K136" s="13"/>
      <c r="L136" s="13"/>
      <c r="M136" s="13"/>
      <c r="N136" s="13"/>
      <c r="O136" s="13"/>
      <c r="P136" s="13"/>
      <c r="Q136" s="35"/>
      <c r="R136" s="35"/>
      <c r="S136" s="35"/>
      <c r="T136" s="1"/>
      <c r="U136" s="1"/>
      <c r="V136" s="1"/>
    </row>
    <row r="137" ht="15.75" hidden="1" customHeight="1">
      <c r="A137" s="13"/>
      <c r="B137" s="13"/>
      <c r="C137" s="18" t="s">
        <v>225</v>
      </c>
      <c r="D137" s="70" t="s">
        <v>24</v>
      </c>
      <c r="E137" s="15"/>
      <c r="F137" s="16">
        <v>0.0</v>
      </c>
      <c r="G137" s="17">
        <v>115.0</v>
      </c>
      <c r="H137" s="17">
        <f t="shared" si="10"/>
        <v>0</v>
      </c>
      <c r="I137" s="18"/>
      <c r="J137" s="18"/>
      <c r="K137" s="13"/>
      <c r="L137" s="13"/>
      <c r="M137" s="13"/>
      <c r="N137" s="13"/>
      <c r="O137" s="13"/>
      <c r="P137" s="13"/>
      <c r="Q137" s="35"/>
      <c r="R137" s="35"/>
      <c r="S137" s="35"/>
      <c r="T137" s="1"/>
      <c r="U137" s="1"/>
      <c r="V137" s="1"/>
    </row>
    <row r="138" ht="15.75" hidden="1" customHeight="1">
      <c r="A138" s="13"/>
      <c r="B138" s="13" t="s">
        <v>18</v>
      </c>
      <c r="C138" s="18" t="s">
        <v>226</v>
      </c>
      <c r="D138" s="14" t="s">
        <v>20</v>
      </c>
      <c r="E138" s="155" t="s">
        <v>227</v>
      </c>
      <c r="F138" s="40">
        <v>0.0</v>
      </c>
      <c r="G138" s="34">
        <v>264.0</v>
      </c>
      <c r="H138" s="17">
        <f t="shared" si="10"/>
        <v>0</v>
      </c>
      <c r="I138" s="18"/>
      <c r="J138" s="18"/>
      <c r="K138" s="13"/>
      <c r="L138" s="13"/>
      <c r="M138" s="13"/>
      <c r="N138" s="13"/>
      <c r="O138" s="13"/>
      <c r="P138" s="13"/>
      <c r="Q138" s="35"/>
      <c r="R138" s="35"/>
      <c r="S138" s="35"/>
      <c r="T138" s="1"/>
      <c r="U138" s="1"/>
      <c r="V138" s="1"/>
    </row>
    <row r="139" ht="15.75" hidden="1" customHeight="1">
      <c r="A139" s="13"/>
      <c r="B139" s="13" t="s">
        <v>228</v>
      </c>
      <c r="C139" s="18" t="s">
        <v>229</v>
      </c>
      <c r="D139" s="14" t="s">
        <v>20</v>
      </c>
      <c r="E139" s="15"/>
      <c r="F139" s="40">
        <v>0.0</v>
      </c>
      <c r="G139" s="17">
        <v>30.0</v>
      </c>
      <c r="H139" s="17">
        <f t="shared" si="10"/>
        <v>0</v>
      </c>
      <c r="I139" s="18"/>
      <c r="J139" s="18"/>
      <c r="K139" s="13"/>
      <c r="L139" s="13"/>
      <c r="M139" s="13"/>
      <c r="N139" s="13"/>
      <c r="O139" s="13"/>
      <c r="P139" s="13"/>
      <c r="Q139" s="35"/>
      <c r="R139" s="35"/>
      <c r="S139" s="35"/>
      <c r="T139" s="1"/>
      <c r="U139" s="1"/>
      <c r="V139" s="1"/>
    </row>
    <row r="140" ht="15.75" customHeight="1">
      <c r="A140" s="13"/>
      <c r="B140" s="43" t="s">
        <v>18</v>
      </c>
      <c r="C140" s="156" t="s">
        <v>230</v>
      </c>
      <c r="D140" s="14" t="s">
        <v>20</v>
      </c>
      <c r="E140" s="157" t="s">
        <v>231</v>
      </c>
      <c r="F140" s="158">
        <v>4.0</v>
      </c>
      <c r="G140" s="159">
        <v>35.0</v>
      </c>
      <c r="H140" s="50">
        <f t="shared" si="10"/>
        <v>140</v>
      </c>
      <c r="I140" s="18"/>
      <c r="J140" s="18"/>
      <c r="K140" s="13"/>
      <c r="L140" s="13"/>
      <c r="M140" s="13"/>
      <c r="N140" s="13"/>
      <c r="O140" s="13"/>
      <c r="P140" s="13"/>
      <c r="Q140" s="35"/>
      <c r="R140" s="35"/>
      <c r="S140" s="35"/>
      <c r="T140" s="1"/>
      <c r="U140" s="1"/>
      <c r="V140" s="1"/>
    </row>
    <row r="141" ht="15.75" customHeight="1">
      <c r="A141" s="13"/>
      <c r="B141" s="43" t="s">
        <v>56</v>
      </c>
      <c r="C141" s="156" t="s">
        <v>232</v>
      </c>
      <c r="D141" s="70" t="s">
        <v>24</v>
      </c>
      <c r="E141" s="160"/>
      <c r="F141" s="158">
        <v>1.0</v>
      </c>
      <c r="G141" s="159">
        <v>150.0</v>
      </c>
      <c r="H141" s="50">
        <f t="shared" si="10"/>
        <v>150</v>
      </c>
      <c r="I141" s="18"/>
      <c r="J141" s="18"/>
      <c r="K141" s="13"/>
      <c r="L141" s="13"/>
      <c r="M141" s="13"/>
      <c r="N141" s="13"/>
      <c r="O141" s="13"/>
      <c r="P141" s="13"/>
      <c r="Q141" s="35"/>
      <c r="R141" s="35"/>
      <c r="S141" s="35"/>
      <c r="T141" s="1"/>
      <c r="U141" s="1"/>
      <c r="V141" s="1"/>
    </row>
    <row r="142" ht="15.75" hidden="1" customHeight="1">
      <c r="A142" s="13"/>
      <c r="B142" s="13" t="s">
        <v>18</v>
      </c>
      <c r="C142" s="18" t="s">
        <v>27</v>
      </c>
      <c r="D142" s="14" t="s">
        <v>20</v>
      </c>
      <c r="E142" s="15" t="s">
        <v>28</v>
      </c>
      <c r="F142" s="16">
        <v>0.0</v>
      </c>
      <c r="G142" s="17">
        <v>69.0</v>
      </c>
      <c r="H142" s="17">
        <v>59.99</v>
      </c>
      <c r="I142" s="18"/>
      <c r="J142" s="18"/>
      <c r="K142" s="13"/>
      <c r="L142" s="27"/>
      <c r="M142" s="27"/>
      <c r="N142" s="27"/>
      <c r="O142" s="27"/>
      <c r="P142" s="27"/>
      <c r="Q142" s="35"/>
      <c r="R142" s="35"/>
      <c r="S142" s="35"/>
      <c r="T142" s="1"/>
      <c r="U142" s="1"/>
      <c r="V142" s="1"/>
    </row>
    <row r="143" ht="23.25" customHeight="1">
      <c r="A143" s="6"/>
      <c r="B143" s="6" t="s">
        <v>233</v>
      </c>
      <c r="C143" s="7">
        <f>SUM(H144:H191)</f>
        <v>9553.6</v>
      </c>
      <c r="D143" s="161"/>
      <c r="E143" s="148"/>
      <c r="F143" s="83"/>
      <c r="G143" s="162"/>
      <c r="H143" s="162"/>
      <c r="I143" s="83"/>
      <c r="J143" s="82"/>
      <c r="K143" s="81"/>
      <c r="L143" s="83"/>
      <c r="M143" s="83"/>
      <c r="N143" s="83"/>
      <c r="O143" s="83"/>
      <c r="P143" s="83"/>
      <c r="Q143" s="35"/>
      <c r="R143" s="35"/>
      <c r="S143" s="35"/>
      <c r="T143" s="1"/>
      <c r="U143" s="1"/>
      <c r="V143" s="1"/>
    </row>
    <row r="144" ht="15.75" hidden="1" customHeight="1">
      <c r="A144" s="13"/>
      <c r="B144" s="13" t="s">
        <v>18</v>
      </c>
      <c r="C144" s="13" t="s">
        <v>27</v>
      </c>
      <c r="D144" s="14" t="s">
        <v>20</v>
      </c>
      <c r="E144" s="15" t="s">
        <v>28</v>
      </c>
      <c r="F144" s="16">
        <v>0.0</v>
      </c>
      <c r="G144" s="17">
        <v>69.0</v>
      </c>
      <c r="H144" s="17">
        <f t="shared" ref="H144:H191" si="11">SUM(F144*G144)</f>
        <v>0</v>
      </c>
      <c r="I144" s="18"/>
      <c r="J144" s="18"/>
      <c r="K144" s="13"/>
      <c r="L144" s="13"/>
      <c r="M144" s="13"/>
      <c r="N144" s="13"/>
      <c r="O144" s="13"/>
      <c r="P144" s="13"/>
      <c r="Q144" s="35"/>
      <c r="R144" s="35"/>
      <c r="S144" s="35"/>
      <c r="T144" s="1"/>
      <c r="U144" s="1"/>
      <c r="V144" s="1"/>
    </row>
    <row r="145" ht="15.75" hidden="1" customHeight="1">
      <c r="A145" s="13"/>
      <c r="B145" s="13" t="s">
        <v>234</v>
      </c>
      <c r="C145" s="13" t="s">
        <v>235</v>
      </c>
      <c r="D145" s="101" t="s">
        <v>32</v>
      </c>
      <c r="E145" s="15" t="s">
        <v>236</v>
      </c>
      <c r="F145" s="16">
        <v>0.0</v>
      </c>
      <c r="G145" s="17">
        <v>368.0</v>
      </c>
      <c r="H145" s="17">
        <f t="shared" si="11"/>
        <v>0</v>
      </c>
      <c r="I145" s="18"/>
      <c r="J145" s="18"/>
      <c r="K145" s="13"/>
      <c r="L145" s="13"/>
      <c r="M145" s="13"/>
      <c r="N145" s="13"/>
      <c r="O145" s="13"/>
      <c r="P145" s="13"/>
      <c r="Q145" s="35"/>
      <c r="R145" s="35"/>
      <c r="S145" s="35"/>
      <c r="T145" s="1"/>
      <c r="U145" s="1"/>
      <c r="V145" s="1"/>
    </row>
    <row r="146" ht="15.75" customHeight="1">
      <c r="A146" s="13"/>
      <c r="B146" s="13" t="s">
        <v>217</v>
      </c>
      <c r="C146" s="13" t="s">
        <v>237</v>
      </c>
      <c r="D146" s="101" t="s">
        <v>32</v>
      </c>
      <c r="E146" s="154">
        <v>81757.0</v>
      </c>
      <c r="F146" s="16">
        <v>1.0</v>
      </c>
      <c r="G146" s="34">
        <v>690.0</v>
      </c>
      <c r="H146" s="17">
        <f t="shared" si="11"/>
        <v>690</v>
      </c>
      <c r="I146" s="18"/>
      <c r="J146" s="18"/>
      <c r="K146" s="43"/>
      <c r="L146" s="27"/>
      <c r="M146" s="28"/>
      <c r="N146" s="27"/>
      <c r="O146" s="27"/>
      <c r="P146" s="27"/>
      <c r="Q146" s="35"/>
      <c r="R146" s="35"/>
      <c r="S146" s="35"/>
      <c r="T146" s="1"/>
      <c r="U146" s="1"/>
      <c r="V146" s="1"/>
    </row>
    <row r="147" ht="15.75" hidden="1" customHeight="1">
      <c r="A147" s="13"/>
      <c r="B147" s="13"/>
      <c r="C147" s="13" t="s">
        <v>238</v>
      </c>
      <c r="D147" s="14" t="s">
        <v>20</v>
      </c>
      <c r="E147" s="15" t="s">
        <v>223</v>
      </c>
      <c r="F147" s="16">
        <v>0.0</v>
      </c>
      <c r="G147" s="17">
        <v>100.0</v>
      </c>
      <c r="H147" s="17">
        <f t="shared" si="11"/>
        <v>0</v>
      </c>
      <c r="I147" s="18"/>
      <c r="J147" s="18"/>
      <c r="K147" s="13"/>
      <c r="L147" s="13"/>
      <c r="M147" s="19"/>
      <c r="N147" s="13"/>
      <c r="O147" s="38"/>
      <c r="P147" s="19"/>
      <c r="Q147" s="35"/>
      <c r="R147" s="35"/>
      <c r="S147" s="35"/>
      <c r="T147" s="1"/>
      <c r="U147" s="1"/>
      <c r="V147" s="1"/>
    </row>
    <row r="148" ht="15.75" customHeight="1">
      <c r="A148" s="13"/>
      <c r="B148" s="13" t="s">
        <v>239</v>
      </c>
      <c r="C148" s="43" t="s">
        <v>240</v>
      </c>
      <c r="D148" s="14" t="s">
        <v>20</v>
      </c>
      <c r="E148" s="15"/>
      <c r="F148" s="16">
        <v>1.0</v>
      </c>
      <c r="G148" s="34">
        <v>1907.0</v>
      </c>
      <c r="H148" s="17">
        <f t="shared" si="11"/>
        <v>1907</v>
      </c>
      <c r="I148" s="18"/>
      <c r="J148" s="18"/>
      <c r="K148" s="13"/>
      <c r="L148" s="13"/>
      <c r="M148" s="13"/>
      <c r="N148" s="13"/>
      <c r="O148" s="13"/>
      <c r="P148" s="13"/>
      <c r="Q148" s="35"/>
      <c r="R148" s="35"/>
      <c r="S148" s="35"/>
      <c r="T148" s="1"/>
      <c r="U148" s="1"/>
      <c r="V148" s="1"/>
    </row>
    <row r="149" ht="15.75" customHeight="1">
      <c r="A149" s="13"/>
      <c r="B149" s="43" t="s">
        <v>56</v>
      </c>
      <c r="C149" s="13" t="s">
        <v>241</v>
      </c>
      <c r="D149" s="70" t="s">
        <v>24</v>
      </c>
      <c r="E149" s="15"/>
      <c r="F149" s="16">
        <v>1.0</v>
      </c>
      <c r="G149" s="34">
        <v>140.0</v>
      </c>
      <c r="H149" s="17">
        <f t="shared" si="11"/>
        <v>140</v>
      </c>
      <c r="I149" s="18"/>
      <c r="J149" s="18"/>
      <c r="K149" s="13"/>
      <c r="L149" s="13"/>
      <c r="M149" s="13"/>
      <c r="N149" s="13"/>
      <c r="O149" s="13"/>
      <c r="P149" s="13"/>
      <c r="Q149" s="35"/>
      <c r="R149" s="35"/>
      <c r="S149" s="35"/>
      <c r="T149" s="1"/>
      <c r="U149" s="1"/>
      <c r="V149" s="1"/>
    </row>
    <row r="150" ht="15.75" hidden="1" customHeight="1">
      <c r="A150" s="13"/>
      <c r="B150" s="13"/>
      <c r="C150" s="13" t="s">
        <v>199</v>
      </c>
      <c r="D150" s="70" t="s">
        <v>24</v>
      </c>
      <c r="E150" s="15"/>
      <c r="F150" s="16">
        <v>0.0</v>
      </c>
      <c r="G150" s="17">
        <v>80.0</v>
      </c>
      <c r="H150" s="17">
        <f t="shared" si="11"/>
        <v>0</v>
      </c>
      <c r="I150" s="18"/>
      <c r="J150" s="18"/>
      <c r="K150" s="13"/>
      <c r="L150" s="13"/>
      <c r="M150" s="13"/>
      <c r="N150" s="13"/>
      <c r="O150" s="13"/>
      <c r="P150" s="13"/>
      <c r="Q150" s="35"/>
      <c r="R150" s="35"/>
      <c r="S150" s="35"/>
      <c r="T150" s="1"/>
      <c r="U150" s="1"/>
      <c r="V150" s="1"/>
    </row>
    <row r="151" ht="15.75" customHeight="1">
      <c r="A151" s="13"/>
      <c r="B151" s="43" t="s">
        <v>56</v>
      </c>
      <c r="C151" s="13" t="s">
        <v>242</v>
      </c>
      <c r="D151" s="14" t="s">
        <v>20</v>
      </c>
      <c r="E151" s="15"/>
      <c r="F151" s="40">
        <v>1.0</v>
      </c>
      <c r="G151" s="17">
        <v>150.0</v>
      </c>
      <c r="H151" s="17">
        <f t="shared" si="11"/>
        <v>150</v>
      </c>
      <c r="I151" s="18"/>
      <c r="J151" s="18"/>
      <c r="K151" s="13"/>
      <c r="L151" s="13"/>
      <c r="M151" s="13"/>
      <c r="N151" s="13"/>
      <c r="O151" s="13"/>
      <c r="P151" s="13"/>
      <c r="Q151" s="35"/>
      <c r="R151" s="35"/>
      <c r="S151" s="35"/>
      <c r="T151" s="1"/>
      <c r="U151" s="1"/>
      <c r="V151" s="1"/>
    </row>
    <row r="152" ht="15.75" customHeight="1">
      <c r="A152" s="13"/>
      <c r="B152" s="13" t="s">
        <v>18</v>
      </c>
      <c r="C152" s="13" t="s">
        <v>243</v>
      </c>
      <c r="D152" s="14" t="s">
        <v>20</v>
      </c>
      <c r="E152" s="163" t="s">
        <v>244</v>
      </c>
      <c r="F152" s="16">
        <v>1.0</v>
      </c>
      <c r="G152" s="34">
        <v>204.0</v>
      </c>
      <c r="H152" s="17">
        <f t="shared" si="11"/>
        <v>204</v>
      </c>
      <c r="I152" s="18"/>
      <c r="J152" s="18"/>
      <c r="K152" s="13"/>
      <c r="L152" s="27"/>
      <c r="M152" s="27"/>
      <c r="N152" s="27"/>
      <c r="O152" s="27"/>
      <c r="P152" s="27"/>
      <c r="Q152" s="35"/>
      <c r="R152" s="35"/>
      <c r="S152" s="35"/>
      <c r="T152" s="1"/>
      <c r="U152" s="1"/>
      <c r="V152" s="1"/>
    </row>
    <row r="153" ht="15.75" customHeight="1">
      <c r="A153" s="13"/>
      <c r="B153" s="43" t="s">
        <v>56</v>
      </c>
      <c r="C153" s="13" t="s">
        <v>245</v>
      </c>
      <c r="D153" s="70" t="s">
        <v>24</v>
      </c>
      <c r="E153" s="15"/>
      <c r="F153" s="16">
        <v>1.0</v>
      </c>
      <c r="G153" s="17">
        <v>120.0</v>
      </c>
      <c r="H153" s="17">
        <f t="shared" si="11"/>
        <v>120</v>
      </c>
      <c r="I153" s="18"/>
      <c r="J153" s="18"/>
      <c r="K153" s="13"/>
      <c r="L153" s="13"/>
      <c r="M153" s="13"/>
      <c r="N153" s="13"/>
      <c r="O153" s="13"/>
      <c r="P153" s="13"/>
      <c r="Q153" s="35"/>
      <c r="R153" s="35"/>
      <c r="S153" s="35"/>
      <c r="T153" s="1"/>
      <c r="U153" s="1"/>
      <c r="V153" s="1"/>
    </row>
    <row r="154" ht="15.75" customHeight="1">
      <c r="A154" s="13"/>
      <c r="B154" s="13" t="s">
        <v>18</v>
      </c>
      <c r="C154" s="13" t="s">
        <v>246</v>
      </c>
      <c r="D154" s="14" t="s">
        <v>20</v>
      </c>
      <c r="E154" s="15"/>
      <c r="F154" s="16">
        <v>8.0</v>
      </c>
      <c r="G154" s="17">
        <v>5.0</v>
      </c>
      <c r="H154" s="17">
        <f t="shared" si="11"/>
        <v>40</v>
      </c>
      <c r="I154" s="18"/>
      <c r="J154" s="18"/>
      <c r="K154" s="13"/>
      <c r="L154" s="27"/>
      <c r="M154" s="27"/>
      <c r="N154" s="27"/>
      <c r="O154" s="27"/>
      <c r="P154" s="27"/>
      <c r="Q154" s="35"/>
      <c r="R154" s="35"/>
      <c r="S154" s="35"/>
      <c r="T154" s="1"/>
      <c r="U154" s="1"/>
      <c r="V154" s="1"/>
    </row>
    <row r="155" ht="15.75" customHeight="1">
      <c r="A155" s="13"/>
      <c r="B155" s="13" t="s">
        <v>18</v>
      </c>
      <c r="C155" s="13" t="s">
        <v>247</v>
      </c>
      <c r="D155" s="14" t="s">
        <v>20</v>
      </c>
      <c r="E155" s="15" t="s">
        <v>248</v>
      </c>
      <c r="F155" s="40">
        <v>2.0</v>
      </c>
      <c r="G155" s="17">
        <v>10.0</v>
      </c>
      <c r="H155" s="17">
        <f t="shared" si="11"/>
        <v>20</v>
      </c>
      <c r="I155" s="18"/>
      <c r="J155" s="18"/>
      <c r="K155" s="13"/>
      <c r="L155" s="27"/>
      <c r="M155" s="27"/>
      <c r="N155" s="27"/>
      <c r="O155" s="27"/>
      <c r="P155" s="27"/>
      <c r="Q155" s="35"/>
      <c r="R155" s="35"/>
      <c r="S155" s="35"/>
      <c r="T155" s="1"/>
      <c r="U155" s="1"/>
      <c r="V155" s="1"/>
    </row>
    <row r="156" ht="15.75" customHeight="1">
      <c r="A156" s="13"/>
      <c r="B156" s="43" t="s">
        <v>56</v>
      </c>
      <c r="C156" s="13" t="s">
        <v>208</v>
      </c>
      <c r="D156" s="70" t="s">
        <v>24</v>
      </c>
      <c r="E156" s="15"/>
      <c r="F156" s="40">
        <v>1.0</v>
      </c>
      <c r="G156" s="17">
        <v>210.0</v>
      </c>
      <c r="H156" s="17">
        <f t="shared" si="11"/>
        <v>210</v>
      </c>
      <c r="I156" s="18"/>
      <c r="J156" s="18"/>
      <c r="K156" s="13"/>
      <c r="L156" s="27"/>
      <c r="M156" s="27"/>
      <c r="N156" s="27"/>
      <c r="O156" s="27"/>
      <c r="P156" s="27"/>
      <c r="Q156" s="35"/>
      <c r="R156" s="35"/>
      <c r="S156" s="35"/>
      <c r="T156" s="1"/>
      <c r="U156" s="1"/>
      <c r="V156" s="1"/>
    </row>
    <row r="157" ht="15.75" hidden="1" customHeight="1">
      <c r="A157" s="13"/>
      <c r="B157" s="13" t="s">
        <v>18</v>
      </c>
      <c r="C157" s="13" t="s">
        <v>249</v>
      </c>
      <c r="D157" s="14" t="s">
        <v>20</v>
      </c>
      <c r="E157" s="15"/>
      <c r="F157" s="16">
        <v>0.0</v>
      </c>
      <c r="G157" s="17">
        <v>5.0</v>
      </c>
      <c r="H157" s="17">
        <f t="shared" si="11"/>
        <v>0</v>
      </c>
      <c r="I157" s="18"/>
      <c r="J157" s="18"/>
      <c r="K157" s="13"/>
      <c r="L157" s="27"/>
      <c r="M157" s="27"/>
      <c r="N157" s="27"/>
      <c r="O157" s="27"/>
      <c r="P157" s="27"/>
      <c r="Q157" s="35"/>
      <c r="R157" s="35"/>
      <c r="S157" s="35"/>
      <c r="T157" s="1"/>
      <c r="U157" s="1"/>
      <c r="V157" s="1"/>
    </row>
    <row r="158" ht="15.75" customHeight="1">
      <c r="A158" s="13"/>
      <c r="B158" s="43" t="s">
        <v>39</v>
      </c>
      <c r="C158" s="13" t="s">
        <v>250</v>
      </c>
      <c r="D158" s="66" t="s">
        <v>22</v>
      </c>
      <c r="E158" s="15"/>
      <c r="F158" s="16">
        <v>2.0</v>
      </c>
      <c r="G158" s="17">
        <v>200.0</v>
      </c>
      <c r="H158" s="17">
        <f t="shared" si="11"/>
        <v>400</v>
      </c>
      <c r="I158" s="18"/>
      <c r="J158" s="18"/>
      <c r="K158" s="13"/>
      <c r="L158" s="13"/>
      <c r="M158" s="13"/>
      <c r="N158" s="13"/>
      <c r="O158" s="13"/>
      <c r="P158" s="13"/>
      <c r="Q158" s="35"/>
      <c r="R158" s="35"/>
      <c r="S158" s="35"/>
      <c r="T158" s="1"/>
      <c r="U158" s="1"/>
      <c r="V158" s="1"/>
    </row>
    <row r="159" ht="15.75" hidden="1" customHeight="1">
      <c r="A159" s="13"/>
      <c r="B159" s="13"/>
      <c r="C159" s="13" t="s">
        <v>251</v>
      </c>
      <c r="D159" s="101" t="s">
        <v>32</v>
      </c>
      <c r="E159" s="15"/>
      <c r="F159" s="16">
        <v>0.0</v>
      </c>
      <c r="G159" s="17">
        <v>0.0</v>
      </c>
      <c r="H159" s="17">
        <f t="shared" si="11"/>
        <v>0</v>
      </c>
      <c r="I159" s="18"/>
      <c r="J159" s="18"/>
      <c r="K159" s="13"/>
      <c r="L159" s="13"/>
      <c r="M159" s="13"/>
      <c r="N159" s="13"/>
      <c r="O159" s="13"/>
      <c r="P159" s="13"/>
      <c r="Q159" s="35"/>
      <c r="R159" s="35"/>
      <c r="S159" s="35"/>
      <c r="T159" s="1"/>
      <c r="U159" s="1"/>
      <c r="V159" s="1"/>
    </row>
    <row r="160" ht="15.75" hidden="1" customHeight="1">
      <c r="A160" s="13"/>
      <c r="B160" s="13" t="s">
        <v>18</v>
      </c>
      <c r="C160" s="13" t="s">
        <v>252</v>
      </c>
      <c r="D160" s="14" t="s">
        <v>20</v>
      </c>
      <c r="E160" s="155" t="s">
        <v>253</v>
      </c>
      <c r="F160" s="40">
        <v>0.0</v>
      </c>
      <c r="G160" s="17">
        <v>400.0</v>
      </c>
      <c r="H160" s="17">
        <f t="shared" si="11"/>
        <v>0</v>
      </c>
      <c r="I160" s="18"/>
      <c r="J160" s="18"/>
      <c r="K160" s="13"/>
      <c r="L160" s="27"/>
      <c r="M160" s="27"/>
      <c r="N160" s="27"/>
      <c r="O160" s="27"/>
      <c r="P160" s="27"/>
      <c r="Q160" s="35"/>
      <c r="R160" s="35"/>
      <c r="S160" s="35"/>
      <c r="T160" s="1"/>
      <c r="U160" s="1"/>
      <c r="V160" s="1"/>
    </row>
    <row r="161" ht="15.75" hidden="1" customHeight="1">
      <c r="A161" s="13"/>
      <c r="B161" s="13" t="s">
        <v>18</v>
      </c>
      <c r="C161" s="13" t="s">
        <v>254</v>
      </c>
      <c r="D161" s="14" t="s">
        <v>20</v>
      </c>
      <c r="E161" s="164" t="s">
        <v>255</v>
      </c>
      <c r="F161" s="16">
        <v>0.0</v>
      </c>
      <c r="G161" s="17">
        <v>11.0</v>
      </c>
      <c r="H161" s="17">
        <f t="shared" si="11"/>
        <v>0</v>
      </c>
      <c r="I161" s="18"/>
      <c r="J161" s="18"/>
      <c r="K161" s="13"/>
      <c r="L161" s="27"/>
      <c r="M161" s="28"/>
      <c r="N161" s="27"/>
      <c r="O161" s="28"/>
      <c r="P161" s="28"/>
      <c r="Q161" s="35"/>
      <c r="R161" s="35"/>
      <c r="S161" s="35"/>
      <c r="T161" s="1"/>
      <c r="U161" s="1"/>
      <c r="V161" s="1"/>
    </row>
    <row r="162" ht="15.75" customHeight="1">
      <c r="A162" s="13"/>
      <c r="B162" s="13" t="s">
        <v>18</v>
      </c>
      <c r="C162" s="13" t="s">
        <v>256</v>
      </c>
      <c r="D162" s="66" t="s">
        <v>22</v>
      </c>
      <c r="E162" s="33" t="s">
        <v>257</v>
      </c>
      <c r="F162" s="16">
        <v>1.0</v>
      </c>
      <c r="G162" s="17">
        <v>80.0</v>
      </c>
      <c r="H162" s="17">
        <f t="shared" si="11"/>
        <v>80</v>
      </c>
      <c r="I162" s="18"/>
      <c r="J162" s="18"/>
      <c r="K162" s="13"/>
      <c r="L162" s="13"/>
      <c r="M162" s="13"/>
      <c r="N162" s="13"/>
      <c r="O162" s="13"/>
      <c r="P162" s="13"/>
      <c r="Q162" s="35"/>
      <c r="R162" s="35"/>
      <c r="S162" s="35"/>
      <c r="T162" s="1"/>
      <c r="U162" s="1"/>
      <c r="V162" s="1"/>
    </row>
    <row r="163" ht="15.75" hidden="1" customHeight="1">
      <c r="A163" s="13"/>
      <c r="B163" s="13" t="s">
        <v>64</v>
      </c>
      <c r="C163" s="13" t="s">
        <v>258</v>
      </c>
      <c r="D163" s="66" t="s">
        <v>22</v>
      </c>
      <c r="E163" s="15"/>
      <c r="F163" s="40">
        <v>0.0</v>
      </c>
      <c r="G163" s="17">
        <v>80.0</v>
      </c>
      <c r="H163" s="17">
        <f t="shared" si="11"/>
        <v>0</v>
      </c>
      <c r="I163" s="18"/>
      <c r="J163" s="18"/>
      <c r="K163" s="13"/>
      <c r="L163" s="13"/>
      <c r="M163" s="13"/>
      <c r="N163" s="13"/>
      <c r="O163" s="13"/>
      <c r="P163" s="13"/>
      <c r="Q163" s="35"/>
      <c r="R163" s="35"/>
      <c r="S163" s="35"/>
      <c r="T163" s="1"/>
      <c r="U163" s="1"/>
      <c r="V163" s="1"/>
    </row>
    <row r="164" ht="15.75" customHeight="1">
      <c r="A164" s="13"/>
      <c r="B164" s="13" t="s">
        <v>58</v>
      </c>
      <c r="C164" s="13" t="s">
        <v>59</v>
      </c>
      <c r="D164" s="14" t="s">
        <v>20</v>
      </c>
      <c r="E164" s="15" t="s">
        <v>60</v>
      </c>
      <c r="F164" s="16">
        <v>1.0</v>
      </c>
      <c r="G164" s="17">
        <v>0.0</v>
      </c>
      <c r="H164" s="17">
        <f t="shared" si="11"/>
        <v>0</v>
      </c>
      <c r="I164" s="18"/>
      <c r="J164" s="18"/>
      <c r="K164" s="13"/>
      <c r="L164" s="13"/>
      <c r="M164" s="13"/>
      <c r="N164" s="13"/>
      <c r="O164" s="13"/>
      <c r="P164" s="13"/>
      <c r="Q164" s="35"/>
      <c r="R164" s="35"/>
      <c r="S164" s="35"/>
      <c r="T164" s="1"/>
      <c r="U164" s="1"/>
      <c r="V164" s="1"/>
    </row>
    <row r="165" ht="15.75" customHeight="1">
      <c r="A165" s="13"/>
      <c r="B165" s="165" t="s">
        <v>234</v>
      </c>
      <c r="C165" s="166" t="s">
        <v>259</v>
      </c>
      <c r="D165" s="167" t="s">
        <v>32</v>
      </c>
      <c r="E165" s="154" t="s">
        <v>260</v>
      </c>
      <c r="F165" s="16">
        <v>1.0</v>
      </c>
      <c r="G165" s="34">
        <v>498.0</v>
      </c>
      <c r="H165" s="17">
        <f t="shared" si="11"/>
        <v>498</v>
      </c>
      <c r="I165" s="18"/>
      <c r="J165" s="18"/>
      <c r="K165" s="13"/>
      <c r="L165" s="27"/>
      <c r="M165" s="28"/>
      <c r="N165" s="27"/>
      <c r="O165" s="27"/>
      <c r="P165" s="27"/>
      <c r="Q165" s="35"/>
      <c r="R165" s="35"/>
      <c r="S165" s="35"/>
      <c r="T165" s="1"/>
      <c r="U165" s="1"/>
      <c r="V165" s="1"/>
    </row>
    <row r="166" ht="15.75" customHeight="1">
      <c r="A166" s="13"/>
      <c r="B166" s="43" t="s">
        <v>234</v>
      </c>
      <c r="C166" s="13" t="s">
        <v>261</v>
      </c>
      <c r="D166" s="101" t="s">
        <v>32</v>
      </c>
      <c r="E166" s="154" t="s">
        <v>262</v>
      </c>
      <c r="F166" s="40">
        <v>2.0</v>
      </c>
      <c r="G166" s="34">
        <v>109.8</v>
      </c>
      <c r="H166" s="17">
        <f t="shared" si="11"/>
        <v>219.6</v>
      </c>
      <c r="I166" s="18"/>
      <c r="J166" s="18"/>
      <c r="K166" s="13"/>
      <c r="L166" s="13"/>
      <c r="M166" s="13"/>
      <c r="N166" s="13"/>
      <c r="O166" s="13"/>
      <c r="P166" s="13"/>
      <c r="Q166" s="35"/>
      <c r="R166" s="35"/>
      <c r="S166" s="35"/>
      <c r="T166" s="1"/>
      <c r="U166" s="1"/>
      <c r="V166" s="1"/>
    </row>
    <row r="167" ht="15.75" hidden="1" customHeight="1">
      <c r="A167" s="13"/>
      <c r="B167" s="13"/>
      <c r="C167" s="13" t="s">
        <v>263</v>
      </c>
      <c r="D167" s="66" t="s">
        <v>22</v>
      </c>
      <c r="E167" s="15"/>
      <c r="F167" s="16">
        <v>0.0</v>
      </c>
      <c r="G167" s="17">
        <v>500.0</v>
      </c>
      <c r="H167" s="17">
        <f t="shared" si="11"/>
        <v>0</v>
      </c>
      <c r="I167" s="18"/>
      <c r="J167" s="18"/>
      <c r="K167" s="13"/>
      <c r="L167" s="13"/>
      <c r="M167" s="13"/>
      <c r="N167" s="13"/>
      <c r="O167" s="13"/>
      <c r="P167" s="13"/>
      <c r="Q167" s="35"/>
      <c r="R167" s="35"/>
      <c r="S167" s="35"/>
      <c r="T167" s="1"/>
      <c r="U167" s="1"/>
      <c r="V167" s="1"/>
    </row>
    <row r="168" ht="15.75" hidden="1" customHeight="1">
      <c r="A168" s="13"/>
      <c r="B168" s="13"/>
      <c r="C168" s="13" t="s">
        <v>67</v>
      </c>
      <c r="D168" s="70" t="s">
        <v>24</v>
      </c>
      <c r="E168" s="15"/>
      <c r="F168" s="16">
        <v>0.0</v>
      </c>
      <c r="G168" s="17">
        <v>18.0</v>
      </c>
      <c r="H168" s="17">
        <f t="shared" si="11"/>
        <v>0</v>
      </c>
      <c r="I168" s="18"/>
      <c r="J168" s="18"/>
      <c r="K168" s="13"/>
      <c r="L168" s="13"/>
      <c r="M168" s="13"/>
      <c r="N168" s="13"/>
      <c r="O168" s="13"/>
      <c r="P168" s="13"/>
      <c r="Q168" s="35"/>
      <c r="R168" s="35"/>
      <c r="S168" s="35"/>
      <c r="T168" s="1"/>
      <c r="U168" s="1"/>
      <c r="V168" s="1"/>
    </row>
    <row r="169" ht="15.75" hidden="1" customHeight="1">
      <c r="A169" s="13"/>
      <c r="B169" s="13" t="s">
        <v>264</v>
      </c>
      <c r="C169" s="13" t="s">
        <v>265</v>
      </c>
      <c r="D169" s="101" t="s">
        <v>32</v>
      </c>
      <c r="E169" s="168"/>
      <c r="F169" s="16">
        <v>0.0</v>
      </c>
      <c r="G169" s="17">
        <v>1600.0</v>
      </c>
      <c r="H169" s="17">
        <f t="shared" si="11"/>
        <v>0</v>
      </c>
      <c r="I169" s="18"/>
      <c r="J169" s="18"/>
      <c r="K169" s="13"/>
      <c r="L169" s="27"/>
      <c r="M169" s="27"/>
      <c r="N169" s="27"/>
      <c r="O169" s="27"/>
      <c r="P169" s="27"/>
      <c r="Q169" s="35"/>
      <c r="R169" s="35"/>
      <c r="S169" s="35"/>
      <c r="T169" s="1"/>
      <c r="U169" s="1"/>
      <c r="V169" s="1"/>
    </row>
    <row r="170" ht="15.75" hidden="1" customHeight="1">
      <c r="A170" s="13"/>
      <c r="B170" s="13" t="s">
        <v>264</v>
      </c>
      <c r="C170" s="169" t="s">
        <v>266</v>
      </c>
      <c r="D170" s="101" t="s">
        <v>32</v>
      </c>
      <c r="E170" s="15">
        <v>551595.0</v>
      </c>
      <c r="F170" s="40">
        <v>0.0</v>
      </c>
      <c r="G170" s="17">
        <v>258.8</v>
      </c>
      <c r="H170" s="17">
        <f t="shared" si="11"/>
        <v>0</v>
      </c>
      <c r="I170" s="18"/>
      <c r="J170" s="18"/>
      <c r="K170" s="13"/>
      <c r="L170" s="27"/>
      <c r="M170" s="28"/>
      <c r="N170" s="27"/>
      <c r="O170" s="27"/>
      <c r="P170" s="27"/>
      <c r="Q170" s="35"/>
      <c r="R170" s="35"/>
      <c r="S170" s="35"/>
      <c r="T170" s="1"/>
      <c r="U170" s="1"/>
      <c r="V170" s="1"/>
    </row>
    <row r="171" ht="15.75" hidden="1" customHeight="1">
      <c r="A171" s="13"/>
      <c r="B171" s="13" t="s">
        <v>264</v>
      </c>
      <c r="C171" s="169" t="s">
        <v>267</v>
      </c>
      <c r="D171" s="101" t="s">
        <v>32</v>
      </c>
      <c r="E171" s="15">
        <v>551594.0</v>
      </c>
      <c r="F171" s="40">
        <v>0.0</v>
      </c>
      <c r="G171" s="17">
        <v>310.8</v>
      </c>
      <c r="H171" s="17">
        <f t="shared" si="11"/>
        <v>0</v>
      </c>
      <c r="I171" s="18"/>
      <c r="J171" s="18"/>
      <c r="K171" s="13"/>
      <c r="L171" s="27"/>
      <c r="M171" s="28"/>
      <c r="N171" s="27"/>
      <c r="O171" s="28"/>
      <c r="P171" s="28"/>
      <c r="Q171" s="35"/>
      <c r="R171" s="35"/>
      <c r="S171" s="35"/>
      <c r="T171" s="1"/>
      <c r="U171" s="1"/>
      <c r="V171" s="1"/>
    </row>
    <row r="172" ht="15.75" hidden="1" customHeight="1">
      <c r="A172" s="13"/>
      <c r="B172" s="13" t="s">
        <v>264</v>
      </c>
      <c r="C172" s="13" t="s">
        <v>268</v>
      </c>
      <c r="D172" s="101" t="s">
        <v>32</v>
      </c>
      <c r="E172" s="15">
        <v>551596.0</v>
      </c>
      <c r="F172" s="40">
        <v>0.0</v>
      </c>
      <c r="G172" s="17">
        <v>240.0</v>
      </c>
      <c r="H172" s="17">
        <f t="shared" si="11"/>
        <v>0</v>
      </c>
      <c r="I172" s="18"/>
      <c r="J172" s="18"/>
      <c r="K172" s="13"/>
      <c r="L172" s="27"/>
      <c r="M172" s="28"/>
      <c r="N172" s="27"/>
      <c r="O172" s="27"/>
      <c r="P172" s="27"/>
      <c r="Q172" s="35"/>
      <c r="R172" s="35"/>
      <c r="S172" s="35"/>
      <c r="T172" s="1"/>
      <c r="U172" s="1"/>
      <c r="V172" s="1"/>
    </row>
    <row r="173" ht="15.75" customHeight="1">
      <c r="A173" s="13"/>
      <c r="B173" s="43" t="s">
        <v>217</v>
      </c>
      <c r="C173" s="43" t="s">
        <v>269</v>
      </c>
      <c r="D173" s="167" t="s">
        <v>32</v>
      </c>
      <c r="E173" s="154" t="s">
        <v>270</v>
      </c>
      <c r="F173" s="40">
        <v>1.0</v>
      </c>
      <c r="G173" s="34">
        <v>2526.0</v>
      </c>
      <c r="H173" s="17">
        <f t="shared" si="11"/>
        <v>2526</v>
      </c>
      <c r="I173" s="18"/>
      <c r="J173" s="18"/>
      <c r="K173" s="13"/>
      <c r="L173" s="27"/>
      <c r="M173" s="28"/>
      <c r="N173" s="27"/>
      <c r="O173" s="27"/>
      <c r="P173" s="27"/>
      <c r="Q173" s="35"/>
      <c r="R173" s="35"/>
      <c r="S173" s="35"/>
      <c r="T173" s="1"/>
      <c r="U173" s="1"/>
      <c r="V173" s="1"/>
    </row>
    <row r="174" ht="15.75" hidden="1" customHeight="1">
      <c r="A174" s="13"/>
      <c r="B174" s="13"/>
      <c r="C174" s="170" t="s">
        <v>271</v>
      </c>
      <c r="D174" s="70" t="s">
        <v>24</v>
      </c>
      <c r="E174" s="15"/>
      <c r="F174" s="16">
        <v>0.0</v>
      </c>
      <c r="G174" s="17">
        <v>0.0</v>
      </c>
      <c r="H174" s="17">
        <f t="shared" si="11"/>
        <v>0</v>
      </c>
      <c r="I174" s="18"/>
      <c r="J174" s="18"/>
      <c r="K174" s="13"/>
      <c r="L174" s="27"/>
      <c r="M174" s="28"/>
      <c r="N174" s="27"/>
      <c r="O174" s="27"/>
      <c r="P174" s="27"/>
      <c r="Q174" s="35"/>
      <c r="R174" s="35"/>
      <c r="S174" s="35"/>
      <c r="T174" s="1"/>
      <c r="U174" s="1"/>
      <c r="V174" s="1"/>
    </row>
    <row r="175" ht="15.75" hidden="1" customHeight="1">
      <c r="A175" s="13"/>
      <c r="B175" s="13"/>
      <c r="C175" s="170" t="s">
        <v>272</v>
      </c>
      <c r="D175" s="70" t="s">
        <v>24</v>
      </c>
      <c r="E175" s="15"/>
      <c r="F175" s="16">
        <v>0.0</v>
      </c>
      <c r="G175" s="17">
        <v>247.0</v>
      </c>
      <c r="H175" s="17">
        <f t="shared" si="11"/>
        <v>0</v>
      </c>
      <c r="I175" s="18"/>
      <c r="J175" s="18"/>
      <c r="K175" s="13"/>
      <c r="L175" s="27"/>
      <c r="M175" s="28"/>
      <c r="N175" s="27"/>
      <c r="O175" s="27"/>
      <c r="P175" s="27"/>
      <c r="Q175" s="35"/>
      <c r="R175" s="35"/>
      <c r="S175" s="35"/>
      <c r="T175" s="1"/>
      <c r="U175" s="1"/>
      <c r="V175" s="1"/>
    </row>
    <row r="176" ht="15.75" customHeight="1">
      <c r="A176" s="13"/>
      <c r="B176" s="43" t="s">
        <v>39</v>
      </c>
      <c r="C176" s="13" t="s">
        <v>273</v>
      </c>
      <c r="D176" s="66" t="s">
        <v>22</v>
      </c>
      <c r="E176" s="15"/>
      <c r="F176" s="40">
        <v>4.0</v>
      </c>
      <c r="G176" s="34">
        <v>35.0</v>
      </c>
      <c r="H176" s="17">
        <f t="shared" si="11"/>
        <v>140</v>
      </c>
      <c r="I176" s="18"/>
      <c r="J176" s="18"/>
      <c r="K176" s="13"/>
      <c r="L176" s="13"/>
      <c r="M176" s="13"/>
      <c r="N176" s="13"/>
      <c r="O176" s="13"/>
      <c r="P176" s="13"/>
      <c r="Q176" s="35"/>
      <c r="R176" s="35"/>
      <c r="S176" s="35"/>
      <c r="T176" s="1"/>
      <c r="U176" s="1"/>
      <c r="V176" s="1"/>
    </row>
    <row r="177" ht="15.75" customHeight="1">
      <c r="A177" s="13"/>
      <c r="B177" s="13" t="s">
        <v>274</v>
      </c>
      <c r="C177" s="43" t="s">
        <v>275</v>
      </c>
      <c r="D177" s="167" t="s">
        <v>32</v>
      </c>
      <c r="E177" s="154" t="s">
        <v>276</v>
      </c>
      <c r="F177" s="16">
        <v>1.0</v>
      </c>
      <c r="G177" s="34">
        <v>1100.0</v>
      </c>
      <c r="H177" s="17">
        <f t="shared" si="11"/>
        <v>1100</v>
      </c>
      <c r="I177" s="18"/>
      <c r="J177" s="18"/>
      <c r="K177" s="43"/>
      <c r="L177" s="13"/>
      <c r="M177" s="13"/>
      <c r="N177" s="13"/>
      <c r="O177" s="13"/>
      <c r="P177" s="13"/>
      <c r="Q177" s="35"/>
      <c r="R177" s="35"/>
      <c r="S177" s="35"/>
      <c r="T177" s="1"/>
      <c r="U177" s="1"/>
      <c r="V177" s="1"/>
    </row>
    <row r="178" ht="15.75" hidden="1" customHeight="1">
      <c r="A178" s="13"/>
      <c r="B178" s="13"/>
      <c r="C178" s="170" t="s">
        <v>275</v>
      </c>
      <c r="D178" s="101" t="s">
        <v>32</v>
      </c>
      <c r="E178" s="15"/>
      <c r="F178" s="16">
        <v>0.0</v>
      </c>
      <c r="G178" s="17">
        <v>940.0</v>
      </c>
      <c r="H178" s="17">
        <f t="shared" si="11"/>
        <v>0</v>
      </c>
      <c r="I178" s="18"/>
      <c r="J178" s="18"/>
      <c r="K178" s="13"/>
      <c r="L178" s="13"/>
      <c r="M178" s="13"/>
      <c r="N178" s="13"/>
      <c r="O178" s="13"/>
      <c r="P178" s="13"/>
      <c r="Q178" s="35"/>
      <c r="R178" s="35"/>
      <c r="S178" s="35"/>
      <c r="T178" s="1"/>
      <c r="U178" s="1"/>
      <c r="V178" s="1"/>
    </row>
    <row r="179" ht="15.75" customHeight="1">
      <c r="A179" s="13"/>
      <c r="B179" s="13" t="s">
        <v>277</v>
      </c>
      <c r="C179" s="43" t="s">
        <v>278</v>
      </c>
      <c r="D179" s="14" t="s">
        <v>20</v>
      </c>
      <c r="E179" s="171" t="s">
        <v>279</v>
      </c>
      <c r="F179" s="16">
        <v>1.0</v>
      </c>
      <c r="G179" s="34">
        <v>957.0</v>
      </c>
      <c r="H179" s="17">
        <f t="shared" si="11"/>
        <v>957</v>
      </c>
      <c r="I179" s="18"/>
      <c r="J179" s="18"/>
      <c r="K179" s="13"/>
      <c r="L179" s="13"/>
      <c r="M179" s="19"/>
      <c r="N179" s="13"/>
      <c r="O179" s="19"/>
      <c r="P179" s="19"/>
      <c r="Q179" s="35"/>
      <c r="R179" s="35"/>
      <c r="S179" s="35"/>
      <c r="T179" s="1"/>
      <c r="U179" s="1"/>
      <c r="V179" s="1"/>
    </row>
    <row r="180" ht="15.75" customHeight="1">
      <c r="A180" s="13"/>
      <c r="B180" s="13" t="s">
        <v>18</v>
      </c>
      <c r="C180" s="13" t="s">
        <v>280</v>
      </c>
      <c r="D180" s="14" t="s">
        <v>20</v>
      </c>
      <c r="E180" s="155" t="s">
        <v>281</v>
      </c>
      <c r="F180" s="16">
        <v>1.0</v>
      </c>
      <c r="G180" s="34">
        <v>20.0</v>
      </c>
      <c r="H180" s="17">
        <f t="shared" si="11"/>
        <v>20</v>
      </c>
      <c r="I180" s="18"/>
      <c r="J180" s="18"/>
      <c r="K180" s="13"/>
      <c r="L180" s="27"/>
      <c r="M180" s="27"/>
      <c r="N180" s="27"/>
      <c r="O180" s="27"/>
      <c r="P180" s="27"/>
      <c r="Q180" s="35"/>
      <c r="R180" s="35"/>
      <c r="S180" s="35"/>
      <c r="T180" s="1"/>
      <c r="U180" s="1"/>
      <c r="V180" s="1"/>
    </row>
    <row r="181" ht="15.75" hidden="1" customHeight="1">
      <c r="A181" s="13"/>
      <c r="B181" s="13"/>
      <c r="C181" s="13" t="s">
        <v>282</v>
      </c>
      <c r="D181" s="70" t="s">
        <v>24</v>
      </c>
      <c r="E181" s="15"/>
      <c r="F181" s="16">
        <v>0.0</v>
      </c>
      <c r="G181" s="17">
        <v>70.0</v>
      </c>
      <c r="H181" s="17">
        <f t="shared" si="11"/>
        <v>0</v>
      </c>
      <c r="I181" s="18"/>
      <c r="J181" s="18"/>
      <c r="K181" s="13"/>
      <c r="L181" s="13"/>
      <c r="M181" s="13"/>
      <c r="N181" s="13"/>
      <c r="O181" s="19"/>
      <c r="P181" s="19"/>
      <c r="Q181" s="35"/>
      <c r="R181" s="35"/>
      <c r="S181" s="35"/>
      <c r="T181" s="1"/>
      <c r="U181" s="1"/>
      <c r="V181" s="1"/>
    </row>
    <row r="182" ht="15.75" hidden="1" customHeight="1">
      <c r="A182" s="13"/>
      <c r="B182" s="13" t="s">
        <v>18</v>
      </c>
      <c r="C182" s="13" t="s">
        <v>283</v>
      </c>
      <c r="D182" s="14" t="s">
        <v>20</v>
      </c>
      <c r="E182" s="15" t="s">
        <v>284</v>
      </c>
      <c r="F182" s="16">
        <v>0.0</v>
      </c>
      <c r="G182" s="17">
        <v>12.0</v>
      </c>
      <c r="H182" s="17">
        <f t="shared" si="11"/>
        <v>0</v>
      </c>
      <c r="I182" s="18"/>
      <c r="J182" s="18"/>
      <c r="K182" s="13"/>
      <c r="L182" s="27"/>
      <c r="M182" s="27"/>
      <c r="N182" s="27"/>
      <c r="O182" s="27"/>
      <c r="P182" s="27"/>
      <c r="Q182" s="35"/>
      <c r="R182" s="35"/>
      <c r="S182" s="35"/>
      <c r="T182" s="1"/>
      <c r="U182" s="1"/>
      <c r="V182" s="1"/>
    </row>
    <row r="183" ht="15.75" customHeight="1">
      <c r="A183" s="13"/>
      <c r="B183" s="13" t="s">
        <v>18</v>
      </c>
      <c r="C183" s="13" t="s">
        <v>285</v>
      </c>
      <c r="D183" s="14" t="s">
        <v>20</v>
      </c>
      <c r="E183" s="15" t="s">
        <v>286</v>
      </c>
      <c r="F183" s="16">
        <v>2.0</v>
      </c>
      <c r="G183" s="17">
        <v>3.0</v>
      </c>
      <c r="H183" s="17">
        <f t="shared" si="11"/>
        <v>6</v>
      </c>
      <c r="I183" s="18"/>
      <c r="J183" s="18"/>
      <c r="K183" s="13"/>
      <c r="L183" s="27"/>
      <c r="M183" s="27"/>
      <c r="N183" s="27"/>
      <c r="O183" s="27"/>
      <c r="P183" s="27"/>
      <c r="Q183" s="35"/>
      <c r="R183" s="35"/>
      <c r="S183" s="35"/>
      <c r="T183" s="1"/>
      <c r="U183" s="1"/>
      <c r="V183" s="1"/>
    </row>
    <row r="184" ht="15.75" customHeight="1">
      <c r="A184" s="13"/>
      <c r="B184" s="13" t="s">
        <v>18</v>
      </c>
      <c r="C184" s="13" t="s">
        <v>287</v>
      </c>
      <c r="D184" s="14" t="s">
        <v>20</v>
      </c>
      <c r="E184" s="15" t="s">
        <v>255</v>
      </c>
      <c r="F184" s="16">
        <v>1.0</v>
      </c>
      <c r="G184" s="17">
        <v>11.0</v>
      </c>
      <c r="H184" s="17">
        <f t="shared" si="11"/>
        <v>11</v>
      </c>
      <c r="I184" s="18"/>
      <c r="J184" s="18"/>
      <c r="K184" s="13"/>
      <c r="L184" s="27"/>
      <c r="M184" s="27"/>
      <c r="N184" s="27"/>
      <c r="O184" s="27"/>
      <c r="P184" s="27"/>
      <c r="Q184" s="35"/>
      <c r="R184" s="35"/>
      <c r="S184" s="35"/>
      <c r="T184" s="1"/>
      <c r="U184" s="1"/>
      <c r="V184" s="1"/>
    </row>
    <row r="185" ht="15.75" hidden="1" customHeight="1">
      <c r="A185" s="13"/>
      <c r="B185" s="13"/>
      <c r="C185" s="13" t="s">
        <v>288</v>
      </c>
      <c r="D185" s="14" t="s">
        <v>20</v>
      </c>
      <c r="E185" s="15"/>
      <c r="F185" s="16">
        <v>0.0</v>
      </c>
      <c r="G185" s="17">
        <v>60.0</v>
      </c>
      <c r="H185" s="17">
        <f t="shared" si="11"/>
        <v>0</v>
      </c>
      <c r="I185" s="18"/>
      <c r="J185" s="18"/>
      <c r="K185" s="13"/>
      <c r="L185" s="13"/>
      <c r="M185" s="13"/>
      <c r="N185" s="13"/>
      <c r="O185" s="13"/>
      <c r="P185" s="13"/>
      <c r="Q185" s="35"/>
      <c r="R185" s="35"/>
      <c r="S185" s="35"/>
      <c r="T185" s="1"/>
      <c r="U185" s="1"/>
      <c r="V185" s="1"/>
    </row>
    <row r="186" ht="15.75" hidden="1" customHeight="1">
      <c r="A186" s="13"/>
      <c r="B186" s="13"/>
      <c r="C186" s="13" t="s">
        <v>289</v>
      </c>
      <c r="D186" s="70" t="s">
        <v>24</v>
      </c>
      <c r="E186" s="15"/>
      <c r="F186" s="16">
        <v>0.0</v>
      </c>
      <c r="G186" s="17">
        <v>207.0</v>
      </c>
      <c r="H186" s="17">
        <f t="shared" si="11"/>
        <v>0</v>
      </c>
      <c r="I186" s="18"/>
      <c r="J186" s="18"/>
      <c r="K186" s="13"/>
      <c r="L186" s="13"/>
      <c r="M186" s="13"/>
      <c r="N186" s="13"/>
      <c r="O186" s="13"/>
      <c r="P186" s="13"/>
      <c r="Q186" s="35"/>
      <c r="R186" s="35"/>
      <c r="S186" s="35"/>
      <c r="T186" s="1"/>
      <c r="U186" s="1"/>
      <c r="V186" s="1"/>
    </row>
    <row r="187" ht="15.75" customHeight="1">
      <c r="A187" s="13"/>
      <c r="B187" s="43" t="s">
        <v>56</v>
      </c>
      <c r="C187" s="13" t="s">
        <v>290</v>
      </c>
      <c r="D187" s="70" t="s">
        <v>24</v>
      </c>
      <c r="E187" s="15"/>
      <c r="F187" s="16">
        <v>1.0</v>
      </c>
      <c r="G187" s="17">
        <v>115.0</v>
      </c>
      <c r="H187" s="17">
        <f t="shared" si="11"/>
        <v>115</v>
      </c>
      <c r="I187" s="18"/>
      <c r="J187" s="18"/>
      <c r="K187" s="13"/>
      <c r="L187" s="63"/>
      <c r="M187" s="63"/>
      <c r="N187" s="63"/>
      <c r="O187" s="63"/>
      <c r="P187" s="63"/>
      <c r="Q187" s="35"/>
      <c r="R187" s="35"/>
      <c r="S187" s="35"/>
      <c r="T187" s="1"/>
      <c r="U187" s="1"/>
      <c r="V187" s="1"/>
    </row>
    <row r="188" ht="15.75" hidden="1" customHeight="1">
      <c r="A188" s="13"/>
      <c r="B188" s="13"/>
      <c r="C188" s="13" t="s">
        <v>291</v>
      </c>
      <c r="D188" s="70" t="s">
        <v>24</v>
      </c>
      <c r="E188" s="15"/>
      <c r="F188" s="16">
        <v>0.0</v>
      </c>
      <c r="G188" s="17">
        <v>150.0</v>
      </c>
      <c r="H188" s="17">
        <f t="shared" si="11"/>
        <v>0</v>
      </c>
      <c r="I188" s="18"/>
      <c r="J188" s="18"/>
      <c r="K188" s="13"/>
      <c r="L188" s="63"/>
      <c r="M188" s="63"/>
      <c r="N188" s="63"/>
      <c r="O188" s="63"/>
      <c r="P188" s="63"/>
      <c r="Q188" s="35"/>
      <c r="R188" s="35"/>
      <c r="S188" s="35"/>
      <c r="T188" s="1"/>
      <c r="U188" s="1"/>
      <c r="V188" s="1"/>
    </row>
    <row r="189" ht="15.75" hidden="1" customHeight="1">
      <c r="A189" s="13"/>
      <c r="B189" s="13"/>
      <c r="C189" s="13" t="s">
        <v>221</v>
      </c>
      <c r="D189" s="70" t="s">
        <v>24</v>
      </c>
      <c r="E189" s="15"/>
      <c r="F189" s="16">
        <v>0.0</v>
      </c>
      <c r="G189" s="17">
        <v>50.0</v>
      </c>
      <c r="H189" s="17">
        <f t="shared" si="11"/>
        <v>0</v>
      </c>
      <c r="I189" s="18"/>
      <c r="J189" s="18"/>
      <c r="K189" s="13"/>
      <c r="L189" s="13"/>
      <c r="M189" s="13"/>
      <c r="N189" s="13"/>
      <c r="O189" s="13"/>
      <c r="P189" s="13"/>
      <c r="Q189" s="35"/>
      <c r="R189" s="35"/>
      <c r="S189" s="35"/>
      <c r="T189" s="1"/>
      <c r="U189" s="1"/>
      <c r="V189" s="1"/>
    </row>
    <row r="190" ht="15.75" hidden="1" customHeight="1">
      <c r="A190" s="13"/>
      <c r="B190" s="13"/>
      <c r="C190" s="13" t="s">
        <v>222</v>
      </c>
      <c r="D190" s="70" t="s">
        <v>24</v>
      </c>
      <c r="E190" s="15"/>
      <c r="F190" s="16">
        <v>0.0</v>
      </c>
      <c r="G190" s="17">
        <v>50.0</v>
      </c>
      <c r="H190" s="17">
        <f t="shared" si="11"/>
        <v>0</v>
      </c>
      <c r="I190" s="18"/>
      <c r="J190" s="18"/>
      <c r="K190" s="13"/>
      <c r="L190" s="13"/>
      <c r="M190" s="13"/>
      <c r="N190" s="13"/>
      <c r="O190" s="13"/>
      <c r="P190" s="13"/>
      <c r="Q190" s="35"/>
      <c r="R190" s="35"/>
      <c r="S190" s="35"/>
      <c r="T190" s="1"/>
      <c r="U190" s="1"/>
      <c r="V190" s="1"/>
    </row>
    <row r="191" ht="15.75" hidden="1" customHeight="1">
      <c r="A191" s="13"/>
      <c r="B191" s="13"/>
      <c r="C191" s="13" t="s">
        <v>292</v>
      </c>
      <c r="D191" s="70" t="s">
        <v>24</v>
      </c>
      <c r="E191" s="15"/>
      <c r="F191" s="16">
        <v>0.0</v>
      </c>
      <c r="G191" s="17">
        <v>115.0</v>
      </c>
      <c r="H191" s="17">
        <f t="shared" si="11"/>
        <v>0</v>
      </c>
      <c r="I191" s="18"/>
      <c r="J191" s="18"/>
      <c r="K191" s="13"/>
      <c r="L191" s="63"/>
      <c r="M191" s="63"/>
      <c r="N191" s="63"/>
      <c r="O191" s="63"/>
      <c r="P191" s="63"/>
      <c r="Q191" s="35"/>
      <c r="R191" s="35"/>
      <c r="S191" s="35"/>
      <c r="T191" s="1"/>
      <c r="U191" s="1"/>
      <c r="V191" s="1"/>
    </row>
    <row r="192" ht="28.5" customHeight="1">
      <c r="A192" s="6"/>
      <c r="B192" s="172" t="s">
        <v>293</v>
      </c>
      <c r="C192" s="7">
        <f>SUM(H193:H262)</f>
        <v>7953.88</v>
      </c>
      <c r="D192" s="148"/>
      <c r="E192" s="148"/>
      <c r="F192" s="83"/>
      <c r="G192" s="82"/>
      <c r="H192" s="82"/>
      <c r="I192" s="82"/>
      <c r="J192" s="82"/>
      <c r="K192" s="83"/>
      <c r="L192" s="83"/>
      <c r="M192" s="83"/>
      <c r="N192" s="83"/>
      <c r="O192" s="83"/>
      <c r="P192" s="83"/>
      <c r="Q192" s="35"/>
      <c r="R192" s="35"/>
      <c r="S192" s="35"/>
      <c r="T192" s="1"/>
      <c r="U192" s="1"/>
      <c r="V192" s="1"/>
    </row>
    <row r="193" ht="15.75" customHeight="1">
      <c r="A193" s="13"/>
      <c r="B193" s="43" t="s">
        <v>39</v>
      </c>
      <c r="C193" s="169" t="s">
        <v>191</v>
      </c>
      <c r="D193" s="66" t="s">
        <v>22</v>
      </c>
      <c r="E193" s="15"/>
      <c r="F193" s="16">
        <v>2.0</v>
      </c>
      <c r="G193" s="34">
        <v>100.0</v>
      </c>
      <c r="H193" s="17">
        <f t="shared" ref="H193:H212" si="12">SUM(F193*G193)</f>
        <v>200</v>
      </c>
      <c r="I193" s="18"/>
      <c r="J193" s="18"/>
      <c r="K193" s="13"/>
      <c r="L193" s="13"/>
      <c r="M193" s="13"/>
      <c r="N193" s="13"/>
      <c r="O193" s="13"/>
      <c r="P193" s="13"/>
      <c r="Q193" s="35"/>
      <c r="R193" s="35"/>
      <c r="S193" s="35"/>
      <c r="T193" s="1"/>
      <c r="U193" s="1"/>
      <c r="V193" s="1"/>
    </row>
    <row r="194" ht="15.75" customHeight="1">
      <c r="A194" s="13"/>
      <c r="B194" s="13" t="s">
        <v>18</v>
      </c>
      <c r="C194" s="169" t="s">
        <v>294</v>
      </c>
      <c r="D194" s="14" t="s">
        <v>20</v>
      </c>
      <c r="E194" s="15"/>
      <c r="F194" s="16">
        <v>2.0</v>
      </c>
      <c r="G194" s="17">
        <v>5.0</v>
      </c>
      <c r="H194" s="17">
        <f t="shared" si="12"/>
        <v>10</v>
      </c>
      <c r="I194" s="18"/>
      <c r="J194" s="18"/>
      <c r="K194" s="13"/>
      <c r="L194" s="13"/>
      <c r="M194" s="19"/>
      <c r="N194" s="19"/>
      <c r="O194" s="38"/>
      <c r="P194" s="19"/>
      <c r="Q194" s="35"/>
      <c r="R194" s="35"/>
      <c r="S194" s="35"/>
      <c r="T194" s="1"/>
      <c r="U194" s="1"/>
      <c r="V194" s="1"/>
    </row>
    <row r="195" ht="15.75" hidden="1" customHeight="1">
      <c r="A195" s="13"/>
      <c r="B195" s="13" t="s">
        <v>18</v>
      </c>
      <c r="C195" s="169" t="s">
        <v>47</v>
      </c>
      <c r="D195" s="14" t="s">
        <v>20</v>
      </c>
      <c r="E195" s="15"/>
      <c r="F195" s="16">
        <v>0.0</v>
      </c>
      <c r="G195" s="17">
        <v>65.0</v>
      </c>
      <c r="H195" s="17">
        <f t="shared" si="12"/>
        <v>0</v>
      </c>
      <c r="I195" s="18"/>
      <c r="J195" s="18"/>
      <c r="K195" s="13"/>
      <c r="L195" s="13"/>
      <c r="M195" s="19"/>
      <c r="N195" s="19"/>
      <c r="O195" s="38"/>
      <c r="P195" s="19"/>
      <c r="Q195" s="35"/>
      <c r="R195" s="35"/>
      <c r="S195" s="35"/>
      <c r="T195" s="1"/>
      <c r="U195" s="1"/>
      <c r="V195" s="1"/>
    </row>
    <row r="196" ht="15.75" hidden="1" customHeight="1">
      <c r="A196" s="13"/>
      <c r="B196" s="13"/>
      <c r="C196" s="169" t="s">
        <v>295</v>
      </c>
      <c r="D196" s="70" t="s">
        <v>24</v>
      </c>
      <c r="E196" s="15"/>
      <c r="F196" s="173">
        <v>0.0</v>
      </c>
      <c r="G196" s="17">
        <v>120.0</v>
      </c>
      <c r="H196" s="17">
        <f t="shared" si="12"/>
        <v>0</v>
      </c>
      <c r="I196" s="18"/>
      <c r="J196" s="18"/>
      <c r="K196" s="13"/>
      <c r="L196" s="13"/>
      <c r="M196" s="19"/>
      <c r="N196" s="19"/>
      <c r="O196" s="38"/>
      <c r="P196" s="19"/>
      <c r="Q196" s="35"/>
      <c r="R196" s="35"/>
      <c r="S196" s="35"/>
      <c r="T196" s="1"/>
      <c r="U196" s="1"/>
      <c r="V196" s="1"/>
    </row>
    <row r="197" ht="15.75" customHeight="1">
      <c r="A197" s="13"/>
      <c r="B197" s="13" t="s">
        <v>18</v>
      </c>
      <c r="C197" s="169" t="s">
        <v>296</v>
      </c>
      <c r="D197" s="14" t="s">
        <v>20</v>
      </c>
      <c r="E197" s="171" t="s">
        <v>297</v>
      </c>
      <c r="F197" s="16">
        <v>1.0</v>
      </c>
      <c r="G197" s="34">
        <v>72.0</v>
      </c>
      <c r="H197" s="17">
        <f t="shared" si="12"/>
        <v>72</v>
      </c>
      <c r="I197" s="18"/>
      <c r="J197" s="18"/>
      <c r="K197" s="13"/>
      <c r="L197" s="27"/>
      <c r="M197" s="28"/>
      <c r="N197" s="27"/>
      <c r="O197" s="28"/>
      <c r="P197" s="27"/>
      <c r="Q197" s="35"/>
      <c r="R197" s="35"/>
      <c r="S197" s="35"/>
      <c r="T197" s="1"/>
      <c r="U197" s="1"/>
      <c r="V197" s="1"/>
    </row>
    <row r="198" ht="15.75" customHeight="1">
      <c r="A198" s="13"/>
      <c r="B198" s="43" t="s">
        <v>56</v>
      </c>
      <c r="C198" s="169" t="s">
        <v>298</v>
      </c>
      <c r="D198" s="70" t="s">
        <v>24</v>
      </c>
      <c r="E198" s="15"/>
      <c r="F198" s="16">
        <v>1.0</v>
      </c>
      <c r="G198" s="17">
        <v>95.0</v>
      </c>
      <c r="H198" s="17">
        <f t="shared" si="12"/>
        <v>95</v>
      </c>
      <c r="I198" s="18"/>
      <c r="J198" s="18"/>
      <c r="K198" s="13"/>
      <c r="L198" s="63"/>
      <c r="M198" s="63"/>
      <c r="N198" s="63"/>
      <c r="O198" s="63"/>
      <c r="P198" s="63"/>
      <c r="Q198" s="35"/>
      <c r="R198" s="35"/>
      <c r="S198" s="35"/>
      <c r="T198" s="1"/>
      <c r="U198" s="1"/>
      <c r="V198" s="1"/>
    </row>
    <row r="199" ht="15.75" hidden="1" customHeight="1">
      <c r="A199" s="13"/>
      <c r="B199" s="13"/>
      <c r="C199" s="169" t="s">
        <v>299</v>
      </c>
      <c r="D199" s="70" t="s">
        <v>24</v>
      </c>
      <c r="E199" s="15"/>
      <c r="F199" s="16">
        <v>0.0</v>
      </c>
      <c r="G199" s="17">
        <v>120.0</v>
      </c>
      <c r="H199" s="17">
        <f t="shared" si="12"/>
        <v>0</v>
      </c>
      <c r="I199" s="18"/>
      <c r="J199" s="18"/>
      <c r="K199" s="13"/>
      <c r="L199" s="63"/>
      <c r="M199" s="63"/>
      <c r="N199" s="63"/>
      <c r="O199" s="63"/>
      <c r="P199" s="63"/>
      <c r="Q199" s="35"/>
      <c r="R199" s="35"/>
      <c r="S199" s="35"/>
      <c r="T199" s="1"/>
      <c r="U199" s="1"/>
      <c r="V199" s="1"/>
    </row>
    <row r="200" ht="15.75" customHeight="1">
      <c r="A200" s="13"/>
      <c r="B200" s="13" t="s">
        <v>18</v>
      </c>
      <c r="C200" s="169" t="s">
        <v>300</v>
      </c>
      <c r="D200" s="14" t="s">
        <v>20</v>
      </c>
      <c r="E200" s="15"/>
      <c r="F200" s="40">
        <v>6.0</v>
      </c>
      <c r="G200" s="17">
        <v>5.0</v>
      </c>
      <c r="H200" s="17">
        <f t="shared" si="12"/>
        <v>30</v>
      </c>
      <c r="I200" s="18"/>
      <c r="J200" s="18"/>
      <c r="K200" s="13"/>
      <c r="L200" s="27"/>
      <c r="M200" s="27"/>
      <c r="N200" s="27"/>
      <c r="O200" s="27"/>
      <c r="P200" s="27"/>
      <c r="Q200" s="35"/>
      <c r="R200" s="35"/>
      <c r="S200" s="35"/>
      <c r="T200" s="1"/>
      <c r="U200" s="1"/>
      <c r="V200" s="1"/>
    </row>
    <row r="201" ht="15.75" hidden="1" customHeight="1">
      <c r="A201" s="13"/>
      <c r="B201" s="13" t="s">
        <v>18</v>
      </c>
      <c r="C201" s="169" t="s">
        <v>301</v>
      </c>
      <c r="D201" s="14" t="s">
        <v>20</v>
      </c>
      <c r="E201" s="15" t="s">
        <v>302</v>
      </c>
      <c r="F201" s="16">
        <v>0.0</v>
      </c>
      <c r="G201" s="17">
        <v>6.2</v>
      </c>
      <c r="H201" s="17">
        <f t="shared" si="12"/>
        <v>0</v>
      </c>
      <c r="I201" s="18"/>
      <c r="J201" s="18"/>
      <c r="K201" s="13"/>
      <c r="L201" s="27"/>
      <c r="M201" s="27"/>
      <c r="N201" s="27"/>
      <c r="O201" s="27"/>
      <c r="P201" s="27"/>
      <c r="Q201" s="35"/>
      <c r="R201" s="35"/>
      <c r="S201" s="35"/>
      <c r="T201" s="1"/>
      <c r="U201" s="1"/>
      <c r="V201" s="1"/>
    </row>
    <row r="202" ht="15.75" hidden="1" customHeight="1">
      <c r="A202" s="13"/>
      <c r="B202" s="13"/>
      <c r="C202" s="169" t="s">
        <v>303</v>
      </c>
      <c r="D202" s="70" t="s">
        <v>24</v>
      </c>
      <c r="E202" s="15"/>
      <c r="F202" s="16">
        <v>0.0</v>
      </c>
      <c r="G202" s="17">
        <v>40.0</v>
      </c>
      <c r="H202" s="17">
        <f t="shared" si="12"/>
        <v>0</v>
      </c>
      <c r="I202" s="18"/>
      <c r="J202" s="18"/>
      <c r="K202" s="13"/>
      <c r="L202" s="27"/>
      <c r="M202" s="27"/>
      <c r="N202" s="27"/>
      <c r="O202" s="27"/>
      <c r="P202" s="27"/>
      <c r="Q202" s="35"/>
      <c r="R202" s="35"/>
      <c r="S202" s="35"/>
      <c r="T202" s="1"/>
      <c r="U202" s="1"/>
      <c r="V202" s="1"/>
    </row>
    <row r="203" ht="15.75" hidden="1" customHeight="1">
      <c r="A203" s="13"/>
      <c r="B203" s="13" t="s">
        <v>18</v>
      </c>
      <c r="C203" s="169" t="s">
        <v>47</v>
      </c>
      <c r="D203" s="14" t="s">
        <v>20</v>
      </c>
      <c r="E203" s="15"/>
      <c r="F203" s="16">
        <v>0.0</v>
      </c>
      <c r="G203" s="17">
        <v>0.0</v>
      </c>
      <c r="H203" s="17">
        <f t="shared" si="12"/>
        <v>0</v>
      </c>
      <c r="I203" s="18"/>
      <c r="J203" s="18"/>
      <c r="K203" s="13"/>
      <c r="L203" s="27"/>
      <c r="M203" s="27"/>
      <c r="N203" s="27"/>
      <c r="O203" s="27"/>
      <c r="P203" s="27"/>
      <c r="Q203" s="35"/>
      <c r="R203" s="35"/>
      <c r="S203" s="35"/>
      <c r="T203" s="1"/>
      <c r="U203" s="1"/>
      <c r="V203" s="1"/>
    </row>
    <row r="204" ht="15.75" hidden="1" customHeight="1">
      <c r="A204" s="13"/>
      <c r="B204" s="13"/>
      <c r="C204" s="169" t="s">
        <v>304</v>
      </c>
      <c r="D204" s="70" t="s">
        <v>24</v>
      </c>
      <c r="E204" s="15"/>
      <c r="F204" s="16">
        <v>0.0</v>
      </c>
      <c r="G204" s="17">
        <v>120.0</v>
      </c>
      <c r="H204" s="17">
        <f t="shared" si="12"/>
        <v>0</v>
      </c>
      <c r="I204" s="18"/>
      <c r="J204" s="18"/>
      <c r="K204" s="13"/>
      <c r="L204" s="27"/>
      <c r="M204" s="27"/>
      <c r="N204" s="27"/>
      <c r="O204" s="27"/>
      <c r="P204" s="27"/>
      <c r="Q204" s="35"/>
      <c r="R204" s="35"/>
      <c r="S204" s="35"/>
      <c r="T204" s="1"/>
      <c r="U204" s="1"/>
      <c r="V204" s="1"/>
    </row>
    <row r="205" ht="15.75" customHeight="1">
      <c r="A205" s="13"/>
      <c r="B205" s="13" t="s">
        <v>234</v>
      </c>
      <c r="C205" s="169" t="s">
        <v>305</v>
      </c>
      <c r="D205" s="101" t="s">
        <v>32</v>
      </c>
      <c r="E205" s="154" t="s">
        <v>306</v>
      </c>
      <c r="F205" s="16">
        <v>1.0</v>
      </c>
      <c r="G205" s="34">
        <v>750.3</v>
      </c>
      <c r="H205" s="17">
        <f t="shared" si="12"/>
        <v>750.3</v>
      </c>
      <c r="I205" s="18"/>
      <c r="J205" s="18"/>
      <c r="K205" s="13"/>
      <c r="L205" s="13"/>
      <c r="M205" s="13"/>
      <c r="N205" s="13"/>
      <c r="O205" s="13"/>
      <c r="P205" s="13"/>
      <c r="Q205" s="35"/>
      <c r="R205" s="35"/>
      <c r="S205" s="35"/>
      <c r="T205" s="1"/>
      <c r="U205" s="1"/>
      <c r="V205" s="1"/>
    </row>
    <row r="206" ht="15.75" customHeight="1">
      <c r="A206" s="13"/>
      <c r="B206" s="43" t="s">
        <v>217</v>
      </c>
      <c r="C206" s="169" t="s">
        <v>307</v>
      </c>
      <c r="D206" s="101" t="s">
        <v>32</v>
      </c>
      <c r="E206" s="154">
        <v>82675.0</v>
      </c>
      <c r="F206" s="40">
        <v>2.0</v>
      </c>
      <c r="G206" s="34">
        <v>609.84</v>
      </c>
      <c r="H206" s="17">
        <f t="shared" si="12"/>
        <v>1219.68</v>
      </c>
      <c r="I206" s="18"/>
      <c r="J206" s="18"/>
      <c r="K206" s="13"/>
      <c r="L206" s="27"/>
      <c r="M206" s="28"/>
      <c r="N206" s="27"/>
      <c r="O206" s="27"/>
      <c r="P206" s="27"/>
      <c r="Q206" s="35"/>
      <c r="R206" s="35"/>
      <c r="S206" s="35"/>
      <c r="T206" s="1"/>
      <c r="U206" s="1"/>
      <c r="V206" s="1"/>
    </row>
    <row r="207" ht="15.75" customHeight="1">
      <c r="A207" s="13"/>
      <c r="B207" s="43" t="s">
        <v>217</v>
      </c>
      <c r="C207" s="169" t="s">
        <v>308</v>
      </c>
      <c r="D207" s="101" t="s">
        <v>32</v>
      </c>
      <c r="E207" s="154">
        <v>82676.0</v>
      </c>
      <c r="F207" s="16">
        <v>1.0</v>
      </c>
      <c r="G207" s="34">
        <v>1676.0</v>
      </c>
      <c r="H207" s="17">
        <f t="shared" si="12"/>
        <v>1676</v>
      </c>
      <c r="I207" s="18"/>
      <c r="J207" s="18"/>
      <c r="K207" s="174"/>
      <c r="L207" s="27"/>
      <c r="M207" s="28"/>
      <c r="N207" s="27"/>
      <c r="O207" s="28"/>
      <c r="P207" s="28"/>
      <c r="Q207" s="35"/>
      <c r="R207" s="35"/>
      <c r="S207" s="35"/>
      <c r="T207" s="1"/>
      <c r="U207" s="1"/>
      <c r="V207" s="1"/>
    </row>
    <row r="208" ht="15.75" hidden="1" customHeight="1">
      <c r="A208" s="130"/>
      <c r="B208" s="130" t="s">
        <v>18</v>
      </c>
      <c r="C208" s="175" t="s">
        <v>309</v>
      </c>
      <c r="D208" s="176" t="s">
        <v>20</v>
      </c>
      <c r="E208" s="177" t="s">
        <v>310</v>
      </c>
      <c r="F208" s="178">
        <v>0.0</v>
      </c>
      <c r="G208" s="179">
        <v>15.0</v>
      </c>
      <c r="H208" s="179">
        <f t="shared" si="12"/>
        <v>0</v>
      </c>
      <c r="I208" s="180"/>
      <c r="J208" s="180"/>
      <c r="K208" s="130"/>
      <c r="L208" s="130"/>
      <c r="M208" s="181"/>
      <c r="N208" s="130"/>
      <c r="O208" s="181"/>
      <c r="P208" s="181"/>
      <c r="Q208" s="182"/>
      <c r="R208" s="182"/>
      <c r="S208" s="182"/>
      <c r="T208" s="182"/>
      <c r="U208" s="182"/>
      <c r="V208" s="182"/>
    </row>
    <row r="209" ht="15.75" hidden="1" customHeight="1">
      <c r="A209" s="130"/>
      <c r="B209" s="130" t="s">
        <v>18</v>
      </c>
      <c r="C209" s="175" t="s">
        <v>311</v>
      </c>
      <c r="D209" s="176" t="s">
        <v>20</v>
      </c>
      <c r="E209" s="177" t="s">
        <v>312</v>
      </c>
      <c r="F209" s="178">
        <v>0.0</v>
      </c>
      <c r="G209" s="179">
        <v>15.0</v>
      </c>
      <c r="H209" s="179">
        <f t="shared" si="12"/>
        <v>0</v>
      </c>
      <c r="I209" s="180"/>
      <c r="J209" s="180"/>
      <c r="K209" s="130"/>
      <c r="L209" s="130"/>
      <c r="M209" s="181"/>
      <c r="N209" s="130"/>
      <c r="O209" s="181"/>
      <c r="P209" s="181"/>
      <c r="Q209" s="182"/>
      <c r="R209" s="182"/>
      <c r="S209" s="182"/>
      <c r="T209" s="182"/>
      <c r="U209" s="182"/>
      <c r="V209" s="182"/>
    </row>
    <row r="210" ht="15.75" hidden="1" customHeight="1">
      <c r="A210" s="130"/>
      <c r="B210" s="130" t="s">
        <v>18</v>
      </c>
      <c r="C210" s="175" t="s">
        <v>313</v>
      </c>
      <c r="D210" s="176" t="s">
        <v>20</v>
      </c>
      <c r="E210" s="177" t="s">
        <v>314</v>
      </c>
      <c r="F210" s="178">
        <v>0.0</v>
      </c>
      <c r="G210" s="179">
        <v>1.6</v>
      </c>
      <c r="H210" s="179">
        <f t="shared" si="12"/>
        <v>0</v>
      </c>
      <c r="I210" s="180"/>
      <c r="J210" s="180"/>
      <c r="K210" s="130"/>
      <c r="L210" s="130"/>
      <c r="M210" s="181"/>
      <c r="N210" s="130"/>
      <c r="O210" s="181"/>
      <c r="P210" s="181"/>
      <c r="Q210" s="182"/>
      <c r="R210" s="182"/>
      <c r="S210" s="182"/>
      <c r="T210" s="182"/>
      <c r="U210" s="182"/>
      <c r="V210" s="182"/>
    </row>
    <row r="211" ht="15.75" hidden="1" customHeight="1">
      <c r="A211" s="130"/>
      <c r="B211" s="130" t="s">
        <v>18</v>
      </c>
      <c r="C211" s="175" t="s">
        <v>54</v>
      </c>
      <c r="D211" s="176" t="s">
        <v>20</v>
      </c>
      <c r="E211" s="183" t="s">
        <v>248</v>
      </c>
      <c r="F211" s="184">
        <v>0.0</v>
      </c>
      <c r="G211" s="179">
        <v>5.0</v>
      </c>
      <c r="H211" s="179">
        <f t="shared" si="12"/>
        <v>0</v>
      </c>
      <c r="I211" s="175"/>
      <c r="J211" s="175"/>
      <c r="K211" s="130"/>
      <c r="L211" s="130"/>
      <c r="M211" s="181"/>
      <c r="N211" s="130"/>
      <c r="O211" s="181"/>
      <c r="P211" s="181"/>
      <c r="Q211" s="182"/>
      <c r="R211" s="182"/>
      <c r="S211" s="182"/>
      <c r="T211" s="182"/>
      <c r="U211" s="182"/>
      <c r="V211" s="182"/>
    </row>
    <row r="212" ht="15.75" hidden="1" customHeight="1">
      <c r="A212" s="130"/>
      <c r="B212" s="130"/>
      <c r="C212" s="175" t="s">
        <v>57</v>
      </c>
      <c r="D212" s="185" t="s">
        <v>24</v>
      </c>
      <c r="E212" s="130"/>
      <c r="F212" s="184">
        <v>0.0</v>
      </c>
      <c r="G212" s="179">
        <v>210.0</v>
      </c>
      <c r="H212" s="179">
        <f t="shared" si="12"/>
        <v>0</v>
      </c>
      <c r="I212" s="175"/>
      <c r="J212" s="175"/>
      <c r="K212" s="130"/>
      <c r="L212" s="186"/>
      <c r="M212" s="187"/>
      <c r="N212" s="186"/>
      <c r="O212" s="187"/>
      <c r="P212" s="187"/>
      <c r="Q212" s="182"/>
      <c r="R212" s="182"/>
      <c r="S212" s="182"/>
      <c r="T212" s="182"/>
      <c r="U212" s="182"/>
      <c r="V212" s="182"/>
    </row>
    <row r="213" ht="15.75" hidden="1" customHeight="1">
      <c r="A213" s="13"/>
      <c r="B213" s="13"/>
      <c r="C213" s="169" t="s">
        <v>59</v>
      </c>
      <c r="D213" s="101" t="s">
        <v>32</v>
      </c>
      <c r="F213" s="16">
        <v>0.0</v>
      </c>
      <c r="G213" s="17">
        <v>0.0</v>
      </c>
      <c r="H213" s="17">
        <v>0.0</v>
      </c>
      <c r="I213" s="18"/>
      <c r="J213" s="18"/>
      <c r="K213" s="13"/>
      <c r="L213" s="27"/>
      <c r="M213" s="28"/>
      <c r="N213" s="27"/>
      <c r="O213" s="28"/>
      <c r="P213" s="28"/>
      <c r="Q213" s="35"/>
      <c r="R213" s="35"/>
      <c r="S213" s="35"/>
      <c r="T213" s="1"/>
      <c r="U213" s="1"/>
      <c r="V213" s="1"/>
    </row>
    <row r="214" ht="15.75" hidden="1" customHeight="1">
      <c r="A214" s="13"/>
      <c r="B214" s="18" t="s">
        <v>18</v>
      </c>
      <c r="C214" s="169" t="s">
        <v>315</v>
      </c>
      <c r="D214" s="14" t="s">
        <v>20</v>
      </c>
      <c r="E214" s="155" t="s">
        <v>316</v>
      </c>
      <c r="F214" s="40">
        <v>0.0</v>
      </c>
      <c r="G214" s="17">
        <v>50.0</v>
      </c>
      <c r="H214" s="17">
        <f t="shared" ref="H214:H264" si="13">SUM(F214*G214)</f>
        <v>0</v>
      </c>
      <c r="I214" s="18"/>
      <c r="J214" s="18"/>
      <c r="K214" s="13"/>
      <c r="L214" s="27"/>
      <c r="M214" s="28"/>
      <c r="N214" s="27"/>
      <c r="O214" s="28"/>
      <c r="P214" s="28"/>
      <c r="Q214" s="35"/>
      <c r="R214" s="35"/>
      <c r="S214" s="35"/>
      <c r="T214" s="1"/>
      <c r="U214" s="1"/>
      <c r="V214" s="1"/>
    </row>
    <row r="215" ht="15.75" customHeight="1">
      <c r="A215" s="13"/>
      <c r="B215" s="166" t="s">
        <v>234</v>
      </c>
      <c r="C215" s="188" t="s">
        <v>259</v>
      </c>
      <c r="D215" s="101" t="s">
        <v>32</v>
      </c>
      <c r="E215" s="189" t="s">
        <v>317</v>
      </c>
      <c r="F215" s="190">
        <v>1.0</v>
      </c>
      <c r="G215" s="191">
        <v>530.7</v>
      </c>
      <c r="H215" s="192">
        <f t="shared" si="13"/>
        <v>530.7</v>
      </c>
      <c r="I215" s="193"/>
      <c r="J215" s="18"/>
      <c r="K215" s="13"/>
      <c r="L215" s="27"/>
      <c r="M215" s="28"/>
      <c r="N215" s="27"/>
      <c r="O215" s="27"/>
      <c r="P215" s="27"/>
      <c r="Q215" s="35"/>
      <c r="R215" s="35"/>
      <c r="S215" s="35"/>
      <c r="T215" s="1"/>
      <c r="U215" s="1"/>
      <c r="V215" s="1"/>
    </row>
    <row r="216" ht="15.75" customHeight="1">
      <c r="A216" s="13"/>
      <c r="B216" s="165" t="s">
        <v>18</v>
      </c>
      <c r="C216" s="188" t="s">
        <v>318</v>
      </c>
      <c r="D216" s="167" t="s">
        <v>32</v>
      </c>
      <c r="E216" s="194" t="s">
        <v>319</v>
      </c>
      <c r="F216" s="190">
        <v>1.0</v>
      </c>
      <c r="G216" s="191">
        <v>168.0</v>
      </c>
      <c r="H216" s="192">
        <f t="shared" si="13"/>
        <v>168</v>
      </c>
      <c r="I216" s="193"/>
      <c r="J216" s="18"/>
      <c r="K216" s="13"/>
      <c r="L216" s="13"/>
      <c r="M216" s="13"/>
      <c r="N216" s="13"/>
      <c r="O216" s="13"/>
      <c r="P216" s="13"/>
      <c r="Q216" s="35"/>
      <c r="R216" s="35"/>
      <c r="S216" s="35"/>
      <c r="T216" s="1"/>
      <c r="U216" s="1"/>
      <c r="V216" s="1"/>
    </row>
    <row r="217" ht="15.75" hidden="1" customHeight="1">
      <c r="A217" s="13"/>
      <c r="B217" s="13" t="s">
        <v>320</v>
      </c>
      <c r="C217" s="169" t="s">
        <v>321</v>
      </c>
      <c r="D217" s="66" t="s">
        <v>22</v>
      </c>
      <c r="E217" s="15"/>
      <c r="F217" s="16">
        <v>0.0</v>
      </c>
      <c r="G217" s="17">
        <v>10.0</v>
      </c>
      <c r="H217" s="17">
        <f t="shared" si="13"/>
        <v>0</v>
      </c>
      <c r="I217" s="18"/>
      <c r="J217" s="18"/>
      <c r="K217" s="13"/>
      <c r="L217" s="13"/>
      <c r="M217" s="19"/>
      <c r="N217" s="13"/>
      <c r="O217" s="13"/>
      <c r="P217" s="13"/>
      <c r="Q217" s="35"/>
      <c r="R217" s="35"/>
      <c r="S217" s="35"/>
      <c r="T217" s="1"/>
      <c r="U217" s="1"/>
      <c r="V217" s="1"/>
    </row>
    <row r="218" ht="15.75" customHeight="1">
      <c r="A218" s="13"/>
      <c r="B218" s="13" t="s">
        <v>239</v>
      </c>
      <c r="C218" s="195" t="s">
        <v>322</v>
      </c>
      <c r="D218" s="14" t="s">
        <v>20</v>
      </c>
      <c r="E218" s="15"/>
      <c r="F218" s="16">
        <v>2.0</v>
      </c>
      <c r="G218" s="34">
        <v>372.6</v>
      </c>
      <c r="H218" s="17">
        <f t="shared" si="13"/>
        <v>745.2</v>
      </c>
      <c r="I218" s="18"/>
      <c r="J218" s="18"/>
      <c r="K218" s="13"/>
      <c r="L218" s="13"/>
      <c r="M218" s="19"/>
      <c r="N218" s="13"/>
      <c r="O218" s="19"/>
      <c r="P218" s="19"/>
      <c r="Q218" s="35"/>
      <c r="R218" s="35"/>
      <c r="S218" s="35"/>
      <c r="T218" s="1"/>
      <c r="U218" s="1"/>
      <c r="V218" s="1"/>
    </row>
    <row r="219" ht="15.75" customHeight="1">
      <c r="A219" s="13"/>
      <c r="B219" s="43" t="s">
        <v>56</v>
      </c>
      <c r="C219" s="169" t="s">
        <v>323</v>
      </c>
      <c r="D219" s="70" t="s">
        <v>24</v>
      </c>
      <c r="E219" s="15"/>
      <c r="F219" s="16">
        <v>2.0</v>
      </c>
      <c r="G219" s="34">
        <v>80.0</v>
      </c>
      <c r="H219" s="17">
        <f t="shared" si="13"/>
        <v>160</v>
      </c>
      <c r="I219" s="18"/>
      <c r="J219" s="18"/>
      <c r="K219" s="13"/>
      <c r="L219" s="63"/>
      <c r="M219" s="63"/>
      <c r="N219" s="63"/>
      <c r="O219" s="63"/>
      <c r="P219" s="63"/>
      <c r="Q219" s="35"/>
      <c r="R219" s="35"/>
      <c r="S219" s="35"/>
      <c r="T219" s="1"/>
      <c r="U219" s="1"/>
      <c r="V219" s="1"/>
    </row>
    <row r="220" ht="15.75" customHeight="1">
      <c r="A220" s="13"/>
      <c r="B220" s="43" t="s">
        <v>56</v>
      </c>
      <c r="C220" s="169" t="s">
        <v>324</v>
      </c>
      <c r="D220" s="14" t="s">
        <v>20</v>
      </c>
      <c r="E220" s="15"/>
      <c r="F220" s="16">
        <v>2.0</v>
      </c>
      <c r="G220" s="17">
        <v>35.0</v>
      </c>
      <c r="H220" s="17">
        <f t="shared" si="13"/>
        <v>70</v>
      </c>
      <c r="I220" s="18"/>
      <c r="J220" s="18"/>
      <c r="K220" s="13"/>
      <c r="L220" s="13"/>
      <c r="M220" s="19"/>
      <c r="N220" s="13"/>
      <c r="O220" s="19"/>
      <c r="P220" s="19"/>
      <c r="Q220" s="35"/>
      <c r="R220" s="35"/>
      <c r="S220" s="35"/>
      <c r="T220" s="1"/>
      <c r="U220" s="1"/>
      <c r="V220" s="1"/>
    </row>
    <row r="221" ht="15.75" hidden="1" customHeight="1">
      <c r="A221" s="13"/>
      <c r="B221" s="13"/>
      <c r="C221" s="169" t="s">
        <v>258</v>
      </c>
      <c r="D221" s="66" t="s">
        <v>22</v>
      </c>
      <c r="E221" s="15"/>
      <c r="F221" s="16">
        <v>0.0</v>
      </c>
      <c r="G221" s="17">
        <v>150.0</v>
      </c>
      <c r="H221" s="17">
        <f t="shared" si="13"/>
        <v>0</v>
      </c>
      <c r="I221" s="18"/>
      <c r="J221" s="18"/>
      <c r="K221" s="13"/>
      <c r="L221" s="13"/>
      <c r="M221" s="19"/>
      <c r="N221" s="13"/>
      <c r="O221" s="19"/>
      <c r="P221" s="19"/>
      <c r="Q221" s="35"/>
      <c r="R221" s="35"/>
      <c r="S221" s="35"/>
      <c r="T221" s="1"/>
      <c r="U221" s="1"/>
      <c r="V221" s="1"/>
    </row>
    <row r="222" ht="15.75" customHeight="1">
      <c r="A222" s="13"/>
      <c r="B222" s="13" t="s">
        <v>18</v>
      </c>
      <c r="C222" s="196" t="s">
        <v>325</v>
      </c>
      <c r="D222" s="150" t="s">
        <v>22</v>
      </c>
      <c r="E222" s="47" t="s">
        <v>326</v>
      </c>
      <c r="F222" s="48">
        <v>1.0</v>
      </c>
      <c r="G222" s="49">
        <v>46.8</v>
      </c>
      <c r="H222" s="50">
        <f t="shared" si="13"/>
        <v>46.8</v>
      </c>
      <c r="I222" s="18"/>
      <c r="J222" s="54"/>
      <c r="K222" s="54"/>
      <c r="L222" s="13"/>
      <c r="M222" s="13"/>
      <c r="N222" s="13"/>
      <c r="O222" s="19"/>
      <c r="P222" s="19"/>
      <c r="Q222" s="35"/>
      <c r="R222" s="35"/>
      <c r="S222" s="35"/>
      <c r="T222" s="1"/>
      <c r="U222" s="1"/>
      <c r="V222" s="1"/>
    </row>
    <row r="223" ht="15.75" hidden="1" customHeight="1">
      <c r="A223" s="13"/>
      <c r="B223" s="13"/>
      <c r="C223" s="197" t="s">
        <v>327</v>
      </c>
      <c r="D223" s="198" t="s">
        <v>22</v>
      </c>
      <c r="E223" s="54" t="s">
        <v>328</v>
      </c>
      <c r="F223" s="56">
        <v>0.0</v>
      </c>
      <c r="G223" s="57">
        <v>321.3</v>
      </c>
      <c r="H223" s="57">
        <f t="shared" si="13"/>
        <v>0</v>
      </c>
      <c r="I223" s="18"/>
      <c r="J223" s="18"/>
      <c r="K223" s="13"/>
      <c r="L223" s="13"/>
      <c r="M223" s="13"/>
      <c r="N223" s="13"/>
      <c r="O223" s="19"/>
      <c r="P223" s="19"/>
      <c r="Q223" s="35"/>
      <c r="R223" s="35"/>
      <c r="S223" s="35"/>
      <c r="T223" s="1"/>
      <c r="U223" s="1"/>
      <c r="V223" s="1"/>
    </row>
    <row r="224" ht="15.75" customHeight="1">
      <c r="A224" s="15"/>
      <c r="B224" s="52" t="s">
        <v>18</v>
      </c>
      <c r="C224" s="196" t="s">
        <v>329</v>
      </c>
      <c r="D224" s="150" t="s">
        <v>22</v>
      </c>
      <c r="E224" s="199" t="s">
        <v>330</v>
      </c>
      <c r="F224" s="48">
        <v>2.0</v>
      </c>
      <c r="G224" s="49">
        <v>25.2</v>
      </c>
      <c r="H224" s="50">
        <f t="shared" si="13"/>
        <v>50.4</v>
      </c>
      <c r="I224" s="51"/>
      <c r="J224" s="51"/>
      <c r="K224" s="54"/>
      <c r="L224" s="52"/>
      <c r="M224" s="52"/>
      <c r="N224" s="52"/>
      <c r="O224" s="200"/>
      <c r="P224" s="200"/>
      <c r="Q224" s="1"/>
      <c r="R224" s="1"/>
      <c r="S224" s="1"/>
      <c r="T224" s="1"/>
      <c r="U224" s="1"/>
      <c r="V224" s="1"/>
    </row>
    <row r="225" ht="15.75" customHeight="1">
      <c r="A225" s="53"/>
      <c r="B225" s="54" t="s">
        <v>18</v>
      </c>
      <c r="C225" s="197" t="s">
        <v>331</v>
      </c>
      <c r="D225" s="198" t="s">
        <v>22</v>
      </c>
      <c r="E225" s="201" t="s">
        <v>332</v>
      </c>
      <c r="F225" s="56">
        <v>1.0</v>
      </c>
      <c r="G225" s="159">
        <v>48.0</v>
      </c>
      <c r="H225" s="57">
        <f t="shared" si="13"/>
        <v>48</v>
      </c>
      <c r="I225" s="58"/>
      <c r="J225" s="58"/>
      <c r="K225" s="54"/>
      <c r="L225" s="54"/>
      <c r="M225" s="54"/>
      <c r="N225" s="54"/>
      <c r="O225" s="202"/>
      <c r="P225" s="202"/>
      <c r="Q225" s="1"/>
      <c r="R225" s="1"/>
      <c r="S225" s="1"/>
      <c r="T225" s="1"/>
      <c r="U225" s="1"/>
      <c r="V225" s="1"/>
    </row>
    <row r="226" ht="15.75" customHeight="1">
      <c r="A226" s="53"/>
      <c r="B226" s="54" t="s">
        <v>18</v>
      </c>
      <c r="C226" s="203" t="s">
        <v>333</v>
      </c>
      <c r="D226" s="198" t="s">
        <v>22</v>
      </c>
      <c r="E226" s="204" t="s">
        <v>334</v>
      </c>
      <c r="F226" s="56">
        <v>1.0</v>
      </c>
      <c r="G226" s="159">
        <v>46.8</v>
      </c>
      <c r="H226" s="57">
        <f t="shared" si="13"/>
        <v>46.8</v>
      </c>
      <c r="I226" s="58"/>
      <c r="J226" s="58"/>
      <c r="K226" s="54"/>
      <c r="L226" s="54"/>
      <c r="M226" s="54"/>
      <c r="N226" s="54"/>
      <c r="O226" s="202"/>
      <c r="P226" s="202"/>
      <c r="Q226" s="1"/>
      <c r="R226" s="1"/>
      <c r="S226" s="1"/>
      <c r="T226" s="1"/>
      <c r="U226" s="1"/>
      <c r="V226" s="1"/>
    </row>
    <row r="227" ht="15.75" hidden="1" customHeight="1">
      <c r="A227" s="15"/>
      <c r="B227" s="52" t="s">
        <v>18</v>
      </c>
      <c r="C227" s="196" t="s">
        <v>335</v>
      </c>
      <c r="D227" s="150" t="s">
        <v>22</v>
      </c>
      <c r="E227" s="52"/>
      <c r="F227" s="48">
        <v>0.0</v>
      </c>
      <c r="G227" s="50">
        <v>29.69</v>
      </c>
      <c r="H227" s="50">
        <f t="shared" si="13"/>
        <v>0</v>
      </c>
      <c r="I227" s="51"/>
      <c r="J227" s="51"/>
      <c r="K227" s="52"/>
      <c r="L227" s="52"/>
      <c r="M227" s="52"/>
      <c r="N227" s="52"/>
      <c r="O227" s="200"/>
      <c r="P227" s="200"/>
      <c r="Q227" s="1"/>
      <c r="R227" s="1"/>
      <c r="S227" s="1"/>
      <c r="T227" s="1"/>
      <c r="U227" s="1"/>
      <c r="V227" s="1"/>
    </row>
    <row r="228" ht="15.75" hidden="1" customHeight="1">
      <c r="A228" s="53"/>
      <c r="B228" s="54" t="s">
        <v>18</v>
      </c>
      <c r="C228" s="197" t="s">
        <v>336</v>
      </c>
      <c r="D228" s="198" t="s">
        <v>22</v>
      </c>
      <c r="E228" s="54" t="s">
        <v>337</v>
      </c>
      <c r="F228" s="56">
        <v>0.0</v>
      </c>
      <c r="G228" s="57">
        <v>29.99</v>
      </c>
      <c r="H228" s="57">
        <f t="shared" si="13"/>
        <v>0</v>
      </c>
      <c r="I228" s="58"/>
      <c r="J228" s="58"/>
      <c r="K228" s="54"/>
      <c r="L228" s="54"/>
      <c r="M228" s="54"/>
      <c r="N228" s="54"/>
      <c r="O228" s="202"/>
      <c r="P228" s="202"/>
      <c r="Q228" s="1"/>
      <c r="R228" s="1"/>
      <c r="S228" s="1"/>
      <c r="T228" s="1"/>
      <c r="U228" s="1"/>
      <c r="V228" s="1"/>
    </row>
    <row r="229" ht="15.75" hidden="1" customHeight="1">
      <c r="A229" s="53"/>
      <c r="B229" s="54" t="s">
        <v>18</v>
      </c>
      <c r="C229" s="203" t="s">
        <v>338</v>
      </c>
      <c r="D229" s="198" t="s">
        <v>22</v>
      </c>
      <c r="E229" s="54" t="s">
        <v>339</v>
      </c>
      <c r="F229" s="56">
        <v>0.0</v>
      </c>
      <c r="G229" s="57">
        <v>16.69</v>
      </c>
      <c r="H229" s="57">
        <f t="shared" si="13"/>
        <v>0</v>
      </c>
      <c r="I229" s="58"/>
      <c r="J229" s="58"/>
      <c r="K229" s="54"/>
      <c r="L229" s="54"/>
      <c r="M229" s="54"/>
      <c r="N229" s="54"/>
      <c r="O229" s="202"/>
      <c r="P229" s="202"/>
      <c r="Q229" s="1"/>
      <c r="R229" s="1"/>
      <c r="S229" s="1"/>
      <c r="T229" s="1"/>
      <c r="U229" s="1"/>
      <c r="V229" s="1"/>
    </row>
    <row r="230" ht="15.75" hidden="1" customHeight="1">
      <c r="A230" s="15"/>
      <c r="B230" s="52" t="s">
        <v>18</v>
      </c>
      <c r="C230" s="196" t="s">
        <v>340</v>
      </c>
      <c r="D230" s="150" t="s">
        <v>22</v>
      </c>
      <c r="E230" s="52"/>
      <c r="F230" s="48">
        <v>0.0</v>
      </c>
      <c r="G230" s="50">
        <v>29.69</v>
      </c>
      <c r="H230" s="50">
        <f t="shared" si="13"/>
        <v>0</v>
      </c>
      <c r="I230" s="51"/>
      <c r="J230" s="51"/>
      <c r="K230" s="52"/>
      <c r="L230" s="52"/>
      <c r="M230" s="52"/>
      <c r="N230" s="52"/>
      <c r="O230" s="200"/>
      <c r="P230" s="200"/>
      <c r="Q230" s="1"/>
      <c r="R230" s="1"/>
      <c r="S230" s="1"/>
      <c r="T230" s="1"/>
      <c r="U230" s="1"/>
      <c r="V230" s="1"/>
    </row>
    <row r="231" ht="15.75" hidden="1" customHeight="1">
      <c r="A231" s="53"/>
      <c r="B231" s="54" t="s">
        <v>18</v>
      </c>
      <c r="C231" s="197" t="s">
        <v>341</v>
      </c>
      <c r="D231" s="198" t="s">
        <v>22</v>
      </c>
      <c r="E231" s="54" t="s">
        <v>337</v>
      </c>
      <c r="F231" s="56">
        <v>0.0</v>
      </c>
      <c r="G231" s="57">
        <v>29.99</v>
      </c>
      <c r="H231" s="57">
        <f t="shared" si="13"/>
        <v>0</v>
      </c>
      <c r="I231" s="58"/>
      <c r="J231" s="58"/>
      <c r="K231" s="54"/>
      <c r="L231" s="54"/>
      <c r="M231" s="54"/>
      <c r="N231" s="54"/>
      <c r="O231" s="202"/>
      <c r="P231" s="202"/>
      <c r="Q231" s="1"/>
      <c r="R231" s="1"/>
      <c r="S231" s="1"/>
      <c r="T231" s="1"/>
      <c r="U231" s="1"/>
      <c r="V231" s="1"/>
    </row>
    <row r="232" ht="15.75" hidden="1" customHeight="1">
      <c r="A232" s="53"/>
      <c r="B232" s="54" t="s">
        <v>18</v>
      </c>
      <c r="C232" s="197" t="s">
        <v>342</v>
      </c>
      <c r="D232" s="198" t="s">
        <v>22</v>
      </c>
      <c r="E232" s="54" t="s">
        <v>343</v>
      </c>
      <c r="F232" s="56">
        <v>0.0</v>
      </c>
      <c r="G232" s="57">
        <v>17.99</v>
      </c>
      <c r="H232" s="57">
        <f t="shared" si="13"/>
        <v>0</v>
      </c>
      <c r="I232" s="58"/>
      <c r="J232" s="58"/>
      <c r="K232" s="54"/>
      <c r="L232" s="54"/>
      <c r="M232" s="54"/>
      <c r="N232" s="54"/>
      <c r="O232" s="202"/>
      <c r="P232" s="202"/>
      <c r="Q232" s="1"/>
      <c r="R232" s="1"/>
      <c r="S232" s="1"/>
      <c r="T232" s="1"/>
      <c r="U232" s="1"/>
      <c r="V232" s="1"/>
    </row>
    <row r="233" ht="15.75" hidden="1" customHeight="1">
      <c r="A233" s="53"/>
      <c r="B233" s="54" t="s">
        <v>18</v>
      </c>
      <c r="C233" s="197" t="s">
        <v>344</v>
      </c>
      <c r="D233" s="198" t="s">
        <v>22</v>
      </c>
      <c r="E233" s="205" t="s">
        <v>345</v>
      </c>
      <c r="F233" s="158">
        <v>0.0</v>
      </c>
      <c r="G233" s="57">
        <v>19.0</v>
      </c>
      <c r="H233" s="57">
        <f t="shared" si="13"/>
        <v>0</v>
      </c>
      <c r="I233" s="58"/>
      <c r="J233" s="58"/>
      <c r="K233" s="54"/>
      <c r="L233" s="54"/>
      <c r="M233" s="54"/>
      <c r="N233" s="54"/>
      <c r="O233" s="202"/>
      <c r="P233" s="202"/>
      <c r="Q233" s="1"/>
      <c r="R233" s="1"/>
      <c r="S233" s="1"/>
      <c r="T233" s="1"/>
      <c r="U233" s="1"/>
      <c r="V233" s="1"/>
    </row>
    <row r="234" ht="15.75" hidden="1" customHeight="1">
      <c r="A234" s="13"/>
      <c r="B234" s="206" t="s">
        <v>18</v>
      </c>
      <c r="C234" s="197" t="s">
        <v>346</v>
      </c>
      <c r="D234" s="198" t="s">
        <v>22</v>
      </c>
      <c r="E234" s="205" t="s">
        <v>347</v>
      </c>
      <c r="F234" s="158">
        <v>0.0</v>
      </c>
      <c r="G234" s="57">
        <v>35.0</v>
      </c>
      <c r="H234" s="57">
        <f t="shared" si="13"/>
        <v>0</v>
      </c>
      <c r="I234" s="18"/>
      <c r="J234" s="18"/>
      <c r="K234" s="54"/>
      <c r="L234" s="13"/>
      <c r="M234" s="13"/>
      <c r="N234" s="13"/>
      <c r="O234" s="19"/>
      <c r="P234" s="19"/>
      <c r="Q234" s="35"/>
      <c r="R234" s="35"/>
      <c r="S234" s="35"/>
      <c r="T234" s="1"/>
      <c r="U234" s="1"/>
      <c r="V234" s="1"/>
    </row>
    <row r="235" ht="15.75" customHeight="1">
      <c r="A235" s="13"/>
      <c r="B235" s="13" t="s">
        <v>18</v>
      </c>
      <c r="C235" s="196" t="s">
        <v>348</v>
      </c>
      <c r="D235" s="150" t="s">
        <v>22</v>
      </c>
      <c r="E235" s="199" t="s">
        <v>349</v>
      </c>
      <c r="F235" s="48">
        <v>1.0</v>
      </c>
      <c r="G235" s="49">
        <v>24.0</v>
      </c>
      <c r="H235" s="50">
        <f t="shared" si="13"/>
        <v>24</v>
      </c>
      <c r="I235" s="18"/>
      <c r="J235" s="18"/>
      <c r="K235" s="54"/>
      <c r="L235" s="13"/>
      <c r="M235" s="13"/>
      <c r="N235" s="13"/>
      <c r="O235" s="13"/>
      <c r="P235" s="13"/>
      <c r="Q235" s="35"/>
      <c r="R235" s="35"/>
      <c r="S235" s="35"/>
      <c r="T235" s="1"/>
      <c r="U235" s="1"/>
      <c r="V235" s="1"/>
    </row>
    <row r="236" ht="15.75" customHeight="1">
      <c r="A236" s="13"/>
      <c r="B236" s="13" t="s">
        <v>350</v>
      </c>
      <c r="C236" s="196" t="s">
        <v>351</v>
      </c>
      <c r="D236" s="150" t="s">
        <v>22</v>
      </c>
      <c r="E236" s="207" t="s">
        <v>352</v>
      </c>
      <c r="F236" s="48">
        <v>1.0</v>
      </c>
      <c r="G236" s="49">
        <v>420.0</v>
      </c>
      <c r="H236" s="50">
        <f t="shared" si="13"/>
        <v>420</v>
      </c>
      <c r="I236" s="18"/>
      <c r="J236" s="18"/>
      <c r="K236" s="13"/>
      <c r="L236" s="13"/>
      <c r="M236" s="13"/>
      <c r="N236" s="13"/>
      <c r="O236" s="13"/>
      <c r="P236" s="13"/>
      <c r="Q236" s="35"/>
      <c r="R236" s="35"/>
      <c r="S236" s="35"/>
      <c r="T236" s="1"/>
      <c r="U236" s="1"/>
      <c r="V236" s="1"/>
    </row>
    <row r="237" ht="15.75" customHeight="1">
      <c r="A237" s="13"/>
      <c r="B237" s="206" t="s">
        <v>350</v>
      </c>
      <c r="C237" s="197" t="s">
        <v>353</v>
      </c>
      <c r="D237" s="198" t="s">
        <v>22</v>
      </c>
      <c r="E237" s="208" t="s">
        <v>352</v>
      </c>
      <c r="F237" s="56">
        <v>1.0</v>
      </c>
      <c r="G237" s="159">
        <v>172.0</v>
      </c>
      <c r="H237" s="57">
        <f t="shared" si="13"/>
        <v>172</v>
      </c>
      <c r="I237" s="18"/>
      <c r="J237" s="18"/>
      <c r="K237" s="13"/>
      <c r="L237" s="13"/>
      <c r="M237" s="19"/>
      <c r="N237" s="13"/>
      <c r="O237" s="19"/>
      <c r="P237" s="19"/>
      <c r="Q237" s="35"/>
      <c r="R237" s="35"/>
      <c r="S237" s="35"/>
      <c r="T237" s="1"/>
      <c r="U237" s="1"/>
      <c r="V237" s="1"/>
    </row>
    <row r="238" ht="15.75" hidden="1" customHeight="1">
      <c r="A238" s="13"/>
      <c r="B238" s="206"/>
      <c r="C238" s="197" t="s">
        <v>354</v>
      </c>
      <c r="D238" s="198" t="s">
        <v>22</v>
      </c>
      <c r="E238" s="208" t="s">
        <v>352</v>
      </c>
      <c r="F238" s="56">
        <v>0.0</v>
      </c>
      <c r="G238" s="159">
        <v>97.0</v>
      </c>
      <c r="H238" s="57">
        <f t="shared" si="13"/>
        <v>0</v>
      </c>
      <c r="I238" s="18"/>
      <c r="J238" s="18"/>
      <c r="K238" s="13"/>
      <c r="L238" s="27"/>
      <c r="M238" s="28"/>
      <c r="N238" s="27"/>
      <c r="O238" s="28"/>
      <c r="P238" s="27"/>
      <c r="Q238" s="35"/>
      <c r="R238" s="35"/>
      <c r="S238" s="35"/>
      <c r="T238" s="1"/>
      <c r="U238" s="1"/>
      <c r="V238" s="1"/>
    </row>
    <row r="239" ht="15.75" hidden="1" customHeight="1">
      <c r="A239" s="13"/>
      <c r="B239" s="156" t="s">
        <v>350</v>
      </c>
      <c r="C239" s="197" t="s">
        <v>355</v>
      </c>
      <c r="D239" s="198" t="s">
        <v>22</v>
      </c>
      <c r="E239" s="208" t="s">
        <v>356</v>
      </c>
      <c r="F239" s="56">
        <v>0.0</v>
      </c>
      <c r="G239" s="159">
        <v>366.0</v>
      </c>
      <c r="H239" s="57">
        <f t="shared" si="13"/>
        <v>0</v>
      </c>
      <c r="I239" s="18"/>
      <c r="J239" s="18"/>
      <c r="K239" s="13"/>
      <c r="L239" s="27"/>
      <c r="M239" s="28"/>
      <c r="N239" s="27"/>
      <c r="O239" s="28"/>
      <c r="P239" s="27"/>
      <c r="Q239" s="35"/>
      <c r="R239" s="35"/>
      <c r="S239" s="35"/>
      <c r="T239" s="1"/>
      <c r="U239" s="1"/>
      <c r="V239" s="1"/>
    </row>
    <row r="240" ht="15.75" hidden="1" customHeight="1">
      <c r="A240" s="13"/>
      <c r="B240" s="206" t="s">
        <v>350</v>
      </c>
      <c r="C240" s="197" t="s">
        <v>357</v>
      </c>
      <c r="D240" s="198" t="s">
        <v>22</v>
      </c>
      <c r="E240" s="208" t="s">
        <v>356</v>
      </c>
      <c r="F240" s="56">
        <v>0.0</v>
      </c>
      <c r="G240" s="159">
        <v>107.5</v>
      </c>
      <c r="H240" s="57">
        <f t="shared" si="13"/>
        <v>0</v>
      </c>
      <c r="I240" s="18"/>
      <c r="J240" s="18"/>
      <c r="K240" s="13"/>
      <c r="L240" s="27"/>
      <c r="M240" s="28"/>
      <c r="N240" s="27"/>
      <c r="O240" s="28"/>
      <c r="P240" s="27"/>
      <c r="Q240" s="35"/>
      <c r="R240" s="35"/>
      <c r="S240" s="35"/>
      <c r="T240" s="1"/>
      <c r="U240" s="1"/>
      <c r="V240" s="1"/>
    </row>
    <row r="241" ht="15.75" hidden="1" customHeight="1">
      <c r="A241" s="13"/>
      <c r="B241" s="156" t="s">
        <v>350</v>
      </c>
      <c r="C241" s="197" t="s">
        <v>358</v>
      </c>
      <c r="D241" s="198" t="s">
        <v>22</v>
      </c>
      <c r="E241" s="208" t="s">
        <v>356</v>
      </c>
      <c r="F241" s="56">
        <v>0.0</v>
      </c>
      <c r="G241" s="159">
        <v>97.0</v>
      </c>
      <c r="H241" s="57">
        <f t="shared" si="13"/>
        <v>0</v>
      </c>
      <c r="I241" s="18"/>
      <c r="J241" s="18"/>
      <c r="K241" s="13"/>
      <c r="L241" s="27"/>
      <c r="M241" s="28"/>
      <c r="N241" s="27"/>
      <c r="O241" s="28"/>
      <c r="P241" s="27"/>
      <c r="Q241" s="35"/>
      <c r="R241" s="35"/>
      <c r="S241" s="35"/>
      <c r="T241" s="1"/>
      <c r="U241" s="1"/>
      <c r="V241" s="1"/>
    </row>
    <row r="242" ht="15.75" hidden="1" customHeight="1">
      <c r="A242" s="13"/>
      <c r="B242" s="13" t="s">
        <v>18</v>
      </c>
      <c r="C242" s="196" t="s">
        <v>359</v>
      </c>
      <c r="D242" s="150" t="s">
        <v>22</v>
      </c>
      <c r="E242" s="52" t="s">
        <v>360</v>
      </c>
      <c r="F242" s="48">
        <v>0.0</v>
      </c>
      <c r="G242" s="50">
        <v>18.0</v>
      </c>
      <c r="H242" s="50">
        <f t="shared" si="13"/>
        <v>0</v>
      </c>
      <c r="I242" s="18"/>
      <c r="J242" s="18"/>
      <c r="K242" s="13"/>
      <c r="L242" s="27"/>
      <c r="M242" s="28"/>
      <c r="N242" s="27"/>
      <c r="O242" s="28"/>
      <c r="P242" s="27"/>
      <c r="Q242" s="35"/>
      <c r="R242" s="35"/>
      <c r="S242" s="35"/>
      <c r="T242" s="1"/>
      <c r="U242" s="1"/>
      <c r="V242" s="1"/>
    </row>
    <row r="243" ht="15.75" customHeight="1">
      <c r="A243" s="13"/>
      <c r="B243" s="13" t="s">
        <v>361</v>
      </c>
      <c r="C243" s="169" t="s">
        <v>362</v>
      </c>
      <c r="D243" s="66" t="s">
        <v>22</v>
      </c>
      <c r="E243" s="15" t="s">
        <v>363</v>
      </c>
      <c r="F243" s="16">
        <v>4.0</v>
      </c>
      <c r="G243" s="17">
        <v>11.0</v>
      </c>
      <c r="H243" s="17">
        <f t="shared" si="13"/>
        <v>44</v>
      </c>
      <c r="I243" s="18"/>
      <c r="J243" s="18"/>
      <c r="K243" s="13"/>
      <c r="L243" s="95"/>
      <c r="M243" s="96"/>
      <c r="N243" s="95"/>
      <c r="O243" s="95"/>
      <c r="P243" s="95"/>
      <c r="Q243" s="35"/>
      <c r="R243" s="35"/>
      <c r="S243" s="35"/>
      <c r="T243" s="1"/>
      <c r="U243" s="1"/>
      <c r="V243" s="1"/>
    </row>
    <row r="244" ht="15.75" hidden="1" customHeight="1">
      <c r="A244" s="13"/>
      <c r="B244" s="13" t="s">
        <v>361</v>
      </c>
      <c r="C244" s="169" t="s">
        <v>364</v>
      </c>
      <c r="D244" s="66" t="s">
        <v>22</v>
      </c>
      <c r="E244" s="15" t="s">
        <v>365</v>
      </c>
      <c r="F244" s="16">
        <v>0.0</v>
      </c>
      <c r="G244" s="17">
        <v>6.0</v>
      </c>
      <c r="H244" s="17">
        <f t="shared" si="13"/>
        <v>0</v>
      </c>
      <c r="I244" s="18"/>
      <c r="J244" s="18"/>
      <c r="K244" s="13"/>
      <c r="L244" s="95"/>
      <c r="M244" s="96"/>
      <c r="N244" s="95"/>
      <c r="O244" s="95"/>
      <c r="P244" s="95"/>
      <c r="Q244" s="35"/>
      <c r="R244" s="35"/>
      <c r="S244" s="35"/>
      <c r="T244" s="1"/>
      <c r="U244" s="1"/>
      <c r="V244" s="1"/>
    </row>
    <row r="245" ht="15.75" customHeight="1">
      <c r="A245" s="13"/>
      <c r="B245" s="43" t="s">
        <v>39</v>
      </c>
      <c r="C245" s="169" t="s">
        <v>263</v>
      </c>
      <c r="D245" s="66" t="s">
        <v>22</v>
      </c>
      <c r="E245" s="15"/>
      <c r="F245" s="16">
        <v>2.0</v>
      </c>
      <c r="G245" s="17">
        <v>180.0</v>
      </c>
      <c r="H245" s="17">
        <f t="shared" si="13"/>
        <v>360</v>
      </c>
      <c r="I245" s="18"/>
      <c r="J245" s="18"/>
      <c r="K245" s="13"/>
      <c r="L245" s="13"/>
      <c r="M245" s="19"/>
      <c r="N245" s="13"/>
      <c r="O245" s="19"/>
      <c r="P245" s="19"/>
      <c r="Q245" s="35"/>
      <c r="R245" s="35"/>
      <c r="S245" s="35"/>
      <c r="T245" s="1"/>
      <c r="U245" s="1"/>
      <c r="V245" s="1"/>
    </row>
    <row r="246" ht="15.75" customHeight="1">
      <c r="A246" s="13"/>
      <c r="B246" s="43" t="s">
        <v>56</v>
      </c>
      <c r="C246" s="13" t="s">
        <v>67</v>
      </c>
      <c r="D246" s="70" t="s">
        <v>24</v>
      </c>
      <c r="E246" s="15"/>
      <c r="F246" s="16">
        <v>2.0</v>
      </c>
      <c r="G246" s="17">
        <v>18.0</v>
      </c>
      <c r="H246" s="17">
        <f t="shared" si="13"/>
        <v>36</v>
      </c>
      <c r="I246" s="18"/>
      <c r="J246" s="18"/>
      <c r="K246" s="13"/>
      <c r="L246" s="63"/>
      <c r="M246" s="79"/>
      <c r="N246" s="63"/>
      <c r="O246" s="79"/>
      <c r="P246" s="79"/>
      <c r="Q246" s="35"/>
      <c r="R246" s="35"/>
      <c r="S246" s="35"/>
      <c r="T246" s="1"/>
      <c r="U246" s="1"/>
      <c r="V246" s="1"/>
    </row>
    <row r="247" ht="15.75" customHeight="1">
      <c r="A247" s="13"/>
      <c r="B247" s="43" t="s">
        <v>129</v>
      </c>
      <c r="C247" s="169" t="s">
        <v>366</v>
      </c>
      <c r="D247" s="14" t="s">
        <v>20</v>
      </c>
      <c r="E247" s="155" t="s">
        <v>367</v>
      </c>
      <c r="F247" s="16">
        <v>1.0</v>
      </c>
      <c r="G247" s="17">
        <v>348.0</v>
      </c>
      <c r="H247" s="17">
        <f t="shared" si="13"/>
        <v>348</v>
      </c>
      <c r="I247" s="18"/>
      <c r="J247" s="18"/>
      <c r="K247" s="13"/>
      <c r="L247" s="13"/>
      <c r="M247" s="19"/>
      <c r="N247" s="13"/>
      <c r="O247" s="38"/>
      <c r="P247" s="19"/>
      <c r="Q247" s="35"/>
      <c r="R247" s="35"/>
      <c r="S247" s="35"/>
      <c r="T247" s="1"/>
      <c r="U247" s="1"/>
      <c r="V247" s="1"/>
    </row>
    <row r="248" ht="15.75" customHeight="1">
      <c r="A248" s="13"/>
      <c r="B248" s="13" t="s">
        <v>18</v>
      </c>
      <c r="C248" s="169" t="s">
        <v>280</v>
      </c>
      <c r="D248" s="14" t="s">
        <v>20</v>
      </c>
      <c r="E248" s="33" t="s">
        <v>368</v>
      </c>
      <c r="F248" s="16">
        <v>1.0</v>
      </c>
      <c r="G248" s="34">
        <v>20.0</v>
      </c>
      <c r="H248" s="17">
        <f t="shared" si="13"/>
        <v>20</v>
      </c>
      <c r="I248" s="18"/>
      <c r="J248" s="18"/>
      <c r="K248" s="54"/>
      <c r="L248" s="27"/>
      <c r="M248" s="27"/>
      <c r="N248" s="27"/>
      <c r="O248" s="27"/>
      <c r="P248" s="27"/>
      <c r="Q248" s="35"/>
      <c r="R248" s="35"/>
      <c r="S248" s="35"/>
      <c r="T248" s="1"/>
      <c r="U248" s="1"/>
      <c r="V248" s="1"/>
    </row>
    <row r="249" ht="15.75" customHeight="1">
      <c r="A249" s="13"/>
      <c r="B249" s="43" t="s">
        <v>56</v>
      </c>
      <c r="C249" s="169" t="s">
        <v>282</v>
      </c>
      <c r="D249" s="70" t="s">
        <v>24</v>
      </c>
      <c r="E249" s="15"/>
      <c r="F249" s="16">
        <v>1.0</v>
      </c>
      <c r="G249" s="17">
        <v>80.0</v>
      </c>
      <c r="H249" s="17">
        <f t="shared" si="13"/>
        <v>80</v>
      </c>
      <c r="I249" s="18"/>
      <c r="J249" s="18"/>
      <c r="K249" s="13"/>
      <c r="L249" s="63"/>
      <c r="M249" s="63"/>
      <c r="N249" s="63"/>
      <c r="O249" s="63"/>
      <c r="P249" s="63"/>
      <c r="Q249" s="35"/>
      <c r="R249" s="35"/>
      <c r="S249" s="35"/>
      <c r="T249" s="1"/>
      <c r="U249" s="1"/>
      <c r="V249" s="1"/>
    </row>
    <row r="250" ht="15.75" hidden="1" customHeight="1">
      <c r="A250" s="13"/>
      <c r="B250" s="13" t="s">
        <v>18</v>
      </c>
      <c r="C250" s="169" t="s">
        <v>283</v>
      </c>
      <c r="D250" s="14" t="s">
        <v>20</v>
      </c>
      <c r="E250" s="15" t="s">
        <v>284</v>
      </c>
      <c r="F250" s="16">
        <v>0.0</v>
      </c>
      <c r="G250" s="17">
        <v>12.0</v>
      </c>
      <c r="H250" s="17">
        <f t="shared" si="13"/>
        <v>0</v>
      </c>
      <c r="I250" s="18"/>
      <c r="J250" s="18"/>
      <c r="K250" s="13"/>
      <c r="L250" s="27"/>
      <c r="M250" s="28"/>
      <c r="N250" s="27"/>
      <c r="O250" s="28"/>
      <c r="P250" s="28"/>
      <c r="Q250" s="35"/>
      <c r="R250" s="35"/>
      <c r="S250" s="35"/>
      <c r="T250" s="1"/>
      <c r="U250" s="1"/>
      <c r="V250" s="1"/>
    </row>
    <row r="251" ht="15.75" customHeight="1">
      <c r="A251" s="13"/>
      <c r="B251" s="13" t="s">
        <v>369</v>
      </c>
      <c r="C251" s="169" t="s">
        <v>370</v>
      </c>
      <c r="D251" s="14" t="s">
        <v>20</v>
      </c>
      <c r="E251" s="15">
        <v>8.49069896E8</v>
      </c>
      <c r="F251" s="16">
        <v>1.0</v>
      </c>
      <c r="G251" s="17">
        <v>5.0</v>
      </c>
      <c r="H251" s="17">
        <f t="shared" si="13"/>
        <v>5</v>
      </c>
      <c r="I251" s="18"/>
      <c r="J251" s="18"/>
      <c r="K251" s="18"/>
      <c r="L251" s="13"/>
      <c r="M251" s="19"/>
      <c r="N251" s="13"/>
      <c r="O251" s="19"/>
      <c r="P251" s="19"/>
      <c r="Q251" s="35"/>
      <c r="R251" s="35"/>
      <c r="S251" s="35"/>
      <c r="T251" s="1"/>
      <c r="U251" s="1"/>
      <c r="V251" s="1"/>
    </row>
    <row r="252" ht="15.75" customHeight="1">
      <c r="A252" s="13"/>
      <c r="B252" s="13" t="s">
        <v>18</v>
      </c>
      <c r="C252" s="169" t="s">
        <v>371</v>
      </c>
      <c r="D252" s="14" t="s">
        <v>20</v>
      </c>
      <c r="E252" s="15" t="s">
        <v>286</v>
      </c>
      <c r="F252" s="16">
        <v>2.0</v>
      </c>
      <c r="G252" s="17">
        <v>3.0</v>
      </c>
      <c r="H252" s="17">
        <f t="shared" si="13"/>
        <v>6</v>
      </c>
      <c r="I252" s="18"/>
      <c r="J252" s="18"/>
      <c r="K252" s="15"/>
      <c r="L252" s="27"/>
      <c r="M252" s="28"/>
      <c r="N252" s="27"/>
      <c r="O252" s="28"/>
      <c r="P252" s="28"/>
      <c r="Q252" s="35"/>
      <c r="R252" s="35"/>
      <c r="S252" s="35"/>
      <c r="T252" s="1"/>
      <c r="U252" s="1"/>
      <c r="V252" s="1"/>
    </row>
    <row r="253" ht="15.75" customHeight="1">
      <c r="A253" s="13"/>
      <c r="B253" s="170" t="s">
        <v>18</v>
      </c>
      <c r="C253" s="209" t="s">
        <v>372</v>
      </c>
      <c r="D253" s="14" t="s">
        <v>20</v>
      </c>
      <c r="E253" s="210"/>
      <c r="F253" s="211">
        <v>1.0</v>
      </c>
      <c r="G253" s="212">
        <v>70.0</v>
      </c>
      <c r="H253" s="17">
        <f t="shared" si="13"/>
        <v>70</v>
      </c>
      <c r="I253" s="18"/>
      <c r="J253" s="18"/>
      <c r="K253" s="15"/>
      <c r="L253" s="27"/>
      <c r="M253" s="28"/>
      <c r="N253" s="27"/>
      <c r="O253" s="28"/>
      <c r="P253" s="28"/>
      <c r="Q253" s="35"/>
      <c r="R253" s="35"/>
      <c r="S253" s="35"/>
      <c r="T253" s="1"/>
      <c r="U253" s="1"/>
      <c r="V253" s="1"/>
    </row>
    <row r="254" ht="15.75" customHeight="1">
      <c r="A254" s="13"/>
      <c r="B254" s="43" t="s">
        <v>56</v>
      </c>
      <c r="C254" s="169" t="s">
        <v>70</v>
      </c>
      <c r="D254" s="213" t="s">
        <v>24</v>
      </c>
      <c r="E254" s="15"/>
      <c r="F254" s="16">
        <v>1.0</v>
      </c>
      <c r="G254" s="34">
        <v>60.0</v>
      </c>
      <c r="H254" s="17">
        <f t="shared" si="13"/>
        <v>60</v>
      </c>
      <c r="I254" s="18"/>
      <c r="J254" s="18"/>
      <c r="K254" s="15"/>
      <c r="L254" s="27"/>
      <c r="M254" s="28"/>
      <c r="N254" s="27"/>
      <c r="O254" s="28"/>
      <c r="P254" s="28"/>
      <c r="Q254" s="35"/>
      <c r="R254" s="35"/>
      <c r="S254" s="35"/>
      <c r="T254" s="1"/>
      <c r="U254" s="1"/>
      <c r="V254" s="1"/>
    </row>
    <row r="255" ht="15.75" hidden="1" customHeight="1">
      <c r="A255" s="13"/>
      <c r="B255" s="13" t="s">
        <v>373</v>
      </c>
      <c r="C255" s="169" t="s">
        <v>69</v>
      </c>
      <c r="D255" s="14" t="s">
        <v>20</v>
      </c>
      <c r="E255" s="15"/>
      <c r="F255" s="16">
        <v>0.0</v>
      </c>
      <c r="G255" s="17">
        <v>70.0</v>
      </c>
      <c r="H255" s="17">
        <f t="shared" si="13"/>
        <v>0</v>
      </c>
      <c r="I255" s="18"/>
      <c r="J255" s="18"/>
      <c r="K255" s="13"/>
      <c r="L255" s="107"/>
      <c r="M255" s="214"/>
      <c r="N255" s="13"/>
      <c r="O255" s="13"/>
      <c r="P255" s="13"/>
      <c r="Q255" s="35"/>
      <c r="R255" s="35"/>
      <c r="S255" s="35"/>
      <c r="T255" s="1"/>
      <c r="U255" s="1"/>
      <c r="V255" s="1"/>
    </row>
    <row r="256" ht="15.75" hidden="1" customHeight="1">
      <c r="A256" s="13"/>
      <c r="B256" s="13"/>
      <c r="C256" s="169" t="s">
        <v>374</v>
      </c>
      <c r="D256" s="70" t="s">
        <v>24</v>
      </c>
      <c r="E256" s="15"/>
      <c r="F256" s="16">
        <v>0.0</v>
      </c>
      <c r="G256" s="17">
        <v>207.0</v>
      </c>
      <c r="H256" s="17">
        <f t="shared" si="13"/>
        <v>0</v>
      </c>
      <c r="I256" s="18"/>
      <c r="J256" s="18"/>
      <c r="K256" s="13"/>
      <c r="L256" s="63"/>
      <c r="M256" s="63"/>
      <c r="N256" s="63"/>
      <c r="O256" s="63"/>
      <c r="P256" s="63"/>
      <c r="Q256" s="35"/>
      <c r="R256" s="35"/>
      <c r="S256" s="35"/>
      <c r="T256" s="1"/>
      <c r="U256" s="1"/>
      <c r="V256" s="1"/>
    </row>
    <row r="257" ht="15.75" hidden="1" customHeight="1">
      <c r="A257" s="13"/>
      <c r="B257" s="13"/>
      <c r="C257" s="169" t="s">
        <v>375</v>
      </c>
      <c r="D257" s="70" t="s">
        <v>24</v>
      </c>
      <c r="E257" s="15"/>
      <c r="F257" s="16">
        <v>0.0</v>
      </c>
      <c r="G257" s="17">
        <v>450.0</v>
      </c>
      <c r="H257" s="17">
        <f t="shared" si="13"/>
        <v>0</v>
      </c>
      <c r="I257" s="18"/>
      <c r="J257" s="18"/>
      <c r="K257" s="13" t="s">
        <v>376</v>
      </c>
      <c r="L257" s="63"/>
      <c r="M257" s="63"/>
      <c r="N257" s="63"/>
      <c r="O257" s="63"/>
      <c r="P257" s="63"/>
      <c r="Q257" s="35"/>
      <c r="R257" s="35"/>
      <c r="S257" s="35"/>
      <c r="T257" s="1"/>
      <c r="U257" s="1"/>
      <c r="V257" s="1"/>
    </row>
    <row r="258" ht="15.75" hidden="1" customHeight="1">
      <c r="A258" s="13"/>
      <c r="B258" s="13"/>
      <c r="C258" s="13" t="s">
        <v>71</v>
      </c>
      <c r="D258" s="213" t="s">
        <v>24</v>
      </c>
      <c r="E258" s="52"/>
      <c r="F258" s="48">
        <v>0.0</v>
      </c>
      <c r="G258" s="50">
        <v>80.0</v>
      </c>
      <c r="H258" s="50">
        <f t="shared" si="13"/>
        <v>0</v>
      </c>
      <c r="I258" s="18"/>
      <c r="J258" s="18"/>
      <c r="K258" s="13"/>
      <c r="L258" s="63"/>
      <c r="M258" s="63"/>
      <c r="N258" s="63"/>
      <c r="O258" s="63"/>
      <c r="P258" s="63"/>
      <c r="Q258" s="35"/>
      <c r="R258" s="35"/>
      <c r="S258" s="35"/>
      <c r="T258" s="1"/>
      <c r="U258" s="1"/>
      <c r="V258" s="1"/>
    </row>
    <row r="259" ht="15.75" hidden="1" customHeight="1">
      <c r="A259" s="13"/>
      <c r="B259" s="13" t="s">
        <v>18</v>
      </c>
      <c r="C259" s="13" t="s">
        <v>377</v>
      </c>
      <c r="D259" s="14" t="s">
        <v>20</v>
      </c>
      <c r="E259" s="52" t="s">
        <v>28</v>
      </c>
      <c r="F259" s="48">
        <v>0.0</v>
      </c>
      <c r="G259" s="50">
        <v>70.0</v>
      </c>
      <c r="H259" s="50">
        <f t="shared" si="13"/>
        <v>0</v>
      </c>
      <c r="I259" s="18"/>
      <c r="J259" s="18"/>
      <c r="K259" s="13"/>
      <c r="L259" s="63"/>
      <c r="M259" s="63"/>
      <c r="N259" s="63"/>
      <c r="O259" s="63"/>
      <c r="P259" s="63"/>
      <c r="Q259" s="35"/>
      <c r="R259" s="35"/>
      <c r="S259" s="35"/>
      <c r="T259" s="1"/>
      <c r="U259" s="1"/>
      <c r="V259" s="1"/>
    </row>
    <row r="260" ht="15.75" customHeight="1">
      <c r="A260" s="13"/>
      <c r="B260" s="43" t="s">
        <v>56</v>
      </c>
      <c r="C260" s="13" t="s">
        <v>221</v>
      </c>
      <c r="D260" s="213" t="s">
        <v>24</v>
      </c>
      <c r="E260" s="52"/>
      <c r="F260" s="215">
        <v>2.0</v>
      </c>
      <c r="G260" s="50">
        <v>50.0</v>
      </c>
      <c r="H260" s="50">
        <f t="shared" si="13"/>
        <v>100</v>
      </c>
      <c r="I260" s="18"/>
      <c r="J260" s="18"/>
      <c r="K260" s="13"/>
      <c r="L260" s="63"/>
      <c r="M260" s="63"/>
      <c r="N260" s="63"/>
      <c r="O260" s="63"/>
      <c r="P260" s="63"/>
      <c r="Q260" s="35"/>
      <c r="R260" s="35"/>
      <c r="S260" s="35"/>
      <c r="T260" s="1"/>
      <c r="U260" s="1"/>
      <c r="V260" s="1"/>
    </row>
    <row r="261" ht="15.75" customHeight="1">
      <c r="A261" s="13"/>
      <c r="B261" s="43" t="s">
        <v>18</v>
      </c>
      <c r="C261" s="156" t="s">
        <v>230</v>
      </c>
      <c r="D261" s="14" t="s">
        <v>20</v>
      </c>
      <c r="E261" s="157" t="s">
        <v>231</v>
      </c>
      <c r="F261" s="158">
        <v>4.0</v>
      </c>
      <c r="G261" s="159">
        <v>35.0</v>
      </c>
      <c r="H261" s="50">
        <f t="shared" si="13"/>
        <v>140</v>
      </c>
      <c r="I261" s="18"/>
      <c r="J261" s="18"/>
      <c r="K261" s="13"/>
      <c r="L261" s="63"/>
      <c r="M261" s="63"/>
      <c r="N261" s="63"/>
      <c r="O261" s="63"/>
      <c r="P261" s="63"/>
      <c r="Q261" s="35"/>
      <c r="R261" s="35"/>
      <c r="S261" s="35"/>
      <c r="T261" s="1"/>
      <c r="U261" s="1"/>
      <c r="V261" s="1"/>
    </row>
    <row r="262" ht="15.75" customHeight="1">
      <c r="A262" s="13"/>
      <c r="B262" s="43" t="s">
        <v>56</v>
      </c>
      <c r="C262" s="156" t="s">
        <v>232</v>
      </c>
      <c r="D262" s="70" t="s">
        <v>24</v>
      </c>
      <c r="E262" s="160"/>
      <c r="F262" s="158">
        <v>1.0</v>
      </c>
      <c r="G262" s="159">
        <v>150.0</v>
      </c>
      <c r="H262" s="50">
        <f t="shared" si="13"/>
        <v>150</v>
      </c>
      <c r="I262" s="18"/>
      <c r="J262" s="18"/>
      <c r="K262" s="13"/>
      <c r="L262" s="63"/>
      <c r="M262" s="63"/>
      <c r="N262" s="63"/>
      <c r="O262" s="63"/>
      <c r="P262" s="63"/>
      <c r="Q262" s="35"/>
      <c r="R262" s="35"/>
      <c r="S262" s="35"/>
      <c r="T262" s="1"/>
      <c r="U262" s="1"/>
      <c r="V262" s="1"/>
    </row>
    <row r="263" ht="15.75" customHeight="1">
      <c r="A263" s="13"/>
      <c r="B263" s="43" t="s">
        <v>39</v>
      </c>
      <c r="C263" s="156" t="s">
        <v>258</v>
      </c>
      <c r="D263" s="66" t="s">
        <v>22</v>
      </c>
      <c r="E263" s="160"/>
      <c r="F263" s="158">
        <v>1.0</v>
      </c>
      <c r="G263" s="159">
        <v>124.0</v>
      </c>
      <c r="H263" s="50">
        <f t="shared" si="13"/>
        <v>124</v>
      </c>
      <c r="I263" s="18"/>
      <c r="J263" s="18"/>
      <c r="K263" s="13"/>
      <c r="L263" s="63"/>
      <c r="M263" s="63"/>
      <c r="N263" s="63"/>
      <c r="O263" s="63"/>
      <c r="P263" s="63"/>
      <c r="Q263" s="35"/>
      <c r="R263" s="35"/>
      <c r="S263" s="35"/>
      <c r="T263" s="1"/>
      <c r="U263" s="1"/>
      <c r="V263" s="1"/>
    </row>
    <row r="264" ht="15.75" hidden="1" customHeight="1">
      <c r="A264" s="13"/>
      <c r="B264" s="13"/>
      <c r="C264" s="206" t="s">
        <v>222</v>
      </c>
      <c r="D264" s="216" t="s">
        <v>24</v>
      </c>
      <c r="E264" s="54"/>
      <c r="F264" s="56">
        <v>0.0</v>
      </c>
      <c r="G264" s="57">
        <v>40.0</v>
      </c>
      <c r="H264" s="57">
        <f t="shared" si="13"/>
        <v>0</v>
      </c>
      <c r="I264" s="18"/>
      <c r="J264" s="18"/>
      <c r="K264" s="13"/>
      <c r="L264" s="63"/>
      <c r="M264" s="63"/>
      <c r="N264" s="63"/>
      <c r="O264" s="63"/>
      <c r="P264" s="63"/>
      <c r="Q264" s="35"/>
      <c r="R264" s="35"/>
      <c r="S264" s="35"/>
      <c r="T264" s="1"/>
      <c r="U264" s="1"/>
      <c r="V264" s="1"/>
    </row>
    <row r="265" ht="28.5" customHeight="1">
      <c r="A265" s="217"/>
      <c r="B265" s="172" t="s">
        <v>378</v>
      </c>
      <c r="C265" s="7">
        <f>SUM(H266:H318)</f>
        <v>14082.6</v>
      </c>
      <c r="D265" s="148"/>
      <c r="E265" s="148"/>
      <c r="F265" s="81"/>
      <c r="G265" s="82"/>
      <c r="H265" s="82"/>
      <c r="I265" s="82"/>
      <c r="J265" s="82"/>
      <c r="K265" s="81"/>
      <c r="L265" s="83"/>
      <c r="M265" s="83"/>
      <c r="N265" s="83"/>
      <c r="O265" s="83"/>
      <c r="P265" s="83"/>
      <c r="Q265" s="35"/>
      <c r="R265" s="35"/>
      <c r="S265" s="35"/>
      <c r="T265" s="1"/>
      <c r="U265" s="1"/>
      <c r="V265" s="1"/>
    </row>
    <row r="266" ht="15.75" customHeight="1">
      <c r="A266" s="13"/>
      <c r="B266" s="13" t="s">
        <v>18</v>
      </c>
      <c r="C266" s="169" t="s">
        <v>296</v>
      </c>
      <c r="D266" s="14" t="s">
        <v>20</v>
      </c>
      <c r="E266" s="218" t="s">
        <v>379</v>
      </c>
      <c r="F266" s="16">
        <v>1.0</v>
      </c>
      <c r="G266" s="34">
        <v>144.0</v>
      </c>
      <c r="H266" s="17">
        <f t="shared" ref="H266:H330" si="14">SUM(F266*G266)</f>
        <v>144</v>
      </c>
      <c r="I266" s="18"/>
      <c r="J266" s="17"/>
      <c r="K266" s="13"/>
      <c r="L266" s="13"/>
      <c r="M266" s="13"/>
      <c r="N266" s="13"/>
      <c r="O266" s="13"/>
      <c r="P266" s="13"/>
      <c r="Q266" s="35"/>
      <c r="R266" s="35"/>
      <c r="S266" s="35"/>
      <c r="T266" s="1"/>
      <c r="U266" s="1"/>
      <c r="V266" s="1"/>
    </row>
    <row r="267" ht="15.75" customHeight="1">
      <c r="A267" s="13"/>
      <c r="B267" s="13" t="s">
        <v>18</v>
      </c>
      <c r="C267" s="169" t="s">
        <v>300</v>
      </c>
      <c r="D267" s="14" t="s">
        <v>20</v>
      </c>
      <c r="E267" s="15"/>
      <c r="F267" s="16">
        <v>6.0</v>
      </c>
      <c r="G267" s="17">
        <v>5.0</v>
      </c>
      <c r="H267" s="17">
        <f t="shared" si="14"/>
        <v>30</v>
      </c>
      <c r="I267" s="18"/>
      <c r="J267" s="17"/>
      <c r="K267" s="13"/>
      <c r="L267" s="13"/>
      <c r="M267" s="19"/>
      <c r="N267" s="19"/>
      <c r="O267" s="38"/>
      <c r="P267" s="19"/>
      <c r="Q267" s="35"/>
      <c r="R267" s="35"/>
      <c r="S267" s="35"/>
      <c r="T267" s="1"/>
      <c r="U267" s="1"/>
      <c r="V267" s="1"/>
    </row>
    <row r="268" ht="15.75" hidden="1" customHeight="1">
      <c r="A268" s="13"/>
      <c r="B268" s="13"/>
      <c r="C268" s="169" t="s">
        <v>380</v>
      </c>
      <c r="D268" s="70" t="s">
        <v>24</v>
      </c>
      <c r="E268" s="15"/>
      <c r="F268" s="40">
        <v>0.0</v>
      </c>
      <c r="G268" s="17">
        <v>95.0</v>
      </c>
      <c r="H268" s="17">
        <f t="shared" si="14"/>
        <v>0</v>
      </c>
      <c r="I268" s="18"/>
      <c r="J268" s="17"/>
      <c r="K268" s="13"/>
      <c r="L268" s="27"/>
      <c r="M268" s="28"/>
      <c r="N268" s="27"/>
      <c r="O268" s="28"/>
      <c r="P268" s="27"/>
      <c r="Q268" s="35"/>
      <c r="R268" s="35"/>
      <c r="S268" s="35"/>
      <c r="T268" s="1"/>
      <c r="U268" s="1"/>
      <c r="V268" s="1"/>
    </row>
    <row r="269" ht="15.75" customHeight="1">
      <c r="A269" s="13"/>
      <c r="B269" s="43" t="s">
        <v>18</v>
      </c>
      <c r="C269" s="195" t="s">
        <v>381</v>
      </c>
      <c r="D269" s="14" t="s">
        <v>20</v>
      </c>
      <c r="E269" s="194" t="s">
        <v>382</v>
      </c>
      <c r="F269" s="40">
        <v>4.0</v>
      </c>
      <c r="G269" s="34">
        <v>27.3</v>
      </c>
      <c r="H269" s="17">
        <f t="shared" si="14"/>
        <v>109.2</v>
      </c>
      <c r="I269" s="18"/>
      <c r="J269" s="17"/>
      <c r="K269" s="13"/>
      <c r="L269" s="27"/>
      <c r="M269" s="28"/>
      <c r="N269" s="27"/>
      <c r="O269" s="28"/>
      <c r="P269" s="27"/>
      <c r="Q269" s="35"/>
      <c r="R269" s="35"/>
      <c r="S269" s="35"/>
      <c r="T269" s="1"/>
      <c r="U269" s="1"/>
      <c r="V269" s="1"/>
    </row>
    <row r="270" ht="15.75" customHeight="1">
      <c r="A270" s="13"/>
      <c r="B270" s="43" t="s">
        <v>383</v>
      </c>
      <c r="C270" s="195" t="s">
        <v>384</v>
      </c>
      <c r="D270" s="101" t="s">
        <v>32</v>
      </c>
      <c r="E270" s="219"/>
      <c r="F270" s="190">
        <v>1.0</v>
      </c>
      <c r="G270" s="191">
        <v>11000.0</v>
      </c>
      <c r="H270" s="192">
        <f t="shared" si="14"/>
        <v>11000</v>
      </c>
      <c r="I270" s="193"/>
      <c r="J270" s="18"/>
      <c r="K270" s="13"/>
      <c r="L270" s="63"/>
      <c r="M270" s="63"/>
      <c r="N270" s="63"/>
      <c r="O270" s="63"/>
      <c r="P270" s="63"/>
      <c r="Q270" s="35"/>
      <c r="R270" s="35"/>
      <c r="S270" s="35"/>
      <c r="T270" s="1"/>
      <c r="U270" s="1"/>
      <c r="V270" s="1"/>
    </row>
    <row r="271" ht="15.75" hidden="1" customHeight="1">
      <c r="A271" s="13"/>
      <c r="B271" s="13"/>
      <c r="C271" s="169" t="s">
        <v>299</v>
      </c>
      <c r="D271" s="70" t="s">
        <v>24</v>
      </c>
      <c r="E271" s="15"/>
      <c r="F271" s="16">
        <v>0.0</v>
      </c>
      <c r="G271" s="17">
        <v>120.0</v>
      </c>
      <c r="H271" s="17">
        <f t="shared" si="14"/>
        <v>0</v>
      </c>
      <c r="I271" s="18"/>
      <c r="J271" s="18"/>
      <c r="K271" s="13"/>
      <c r="L271" s="63"/>
      <c r="M271" s="63"/>
      <c r="N271" s="63"/>
      <c r="O271" s="63"/>
      <c r="P271" s="63"/>
      <c r="Q271" s="35"/>
      <c r="R271" s="35"/>
      <c r="S271" s="35"/>
      <c r="T271" s="1"/>
      <c r="U271" s="1"/>
      <c r="V271" s="1"/>
    </row>
    <row r="272" ht="15.75" customHeight="1">
      <c r="A272" s="13"/>
      <c r="B272" s="220" t="s">
        <v>385</v>
      </c>
      <c r="C272" s="169" t="s">
        <v>308</v>
      </c>
      <c r="D272" s="101" t="s">
        <v>32</v>
      </c>
      <c r="E272" s="194" t="s">
        <v>386</v>
      </c>
      <c r="F272" s="190">
        <v>1.0</v>
      </c>
      <c r="G272" s="191">
        <v>304.8</v>
      </c>
      <c r="H272" s="192">
        <f t="shared" si="14"/>
        <v>304.8</v>
      </c>
      <c r="I272" s="193"/>
      <c r="J272" s="18"/>
      <c r="K272" s="13"/>
      <c r="L272" s="27"/>
      <c r="M272" s="27"/>
      <c r="N272" s="27"/>
      <c r="O272" s="27"/>
      <c r="P272" s="27"/>
      <c r="Q272" s="35"/>
      <c r="R272" s="35"/>
      <c r="S272" s="35"/>
      <c r="T272" s="1"/>
      <c r="U272" s="1"/>
      <c r="V272" s="1"/>
    </row>
    <row r="273" ht="15.75" hidden="1" customHeight="1">
      <c r="A273" s="13"/>
      <c r="B273" s="220" t="s">
        <v>18</v>
      </c>
      <c r="C273" s="195" t="s">
        <v>387</v>
      </c>
      <c r="D273" s="101" t="s">
        <v>32</v>
      </c>
      <c r="E273" s="221"/>
      <c r="F273" s="222">
        <v>0.0</v>
      </c>
      <c r="G273" s="191">
        <v>128.0</v>
      </c>
      <c r="H273" s="192">
        <f t="shared" si="14"/>
        <v>0</v>
      </c>
      <c r="I273" s="193"/>
      <c r="J273" s="18"/>
      <c r="K273" s="13"/>
      <c r="L273" s="27"/>
      <c r="M273" s="27"/>
      <c r="N273" s="27"/>
      <c r="O273" s="27"/>
      <c r="P273" s="27"/>
      <c r="Q273" s="35"/>
      <c r="R273" s="35"/>
      <c r="S273" s="35"/>
      <c r="T273" s="1"/>
      <c r="U273" s="1"/>
      <c r="V273" s="1"/>
    </row>
    <row r="274" ht="15.75" hidden="1" customHeight="1">
      <c r="A274" s="13"/>
      <c r="B274" s="13" t="s">
        <v>18</v>
      </c>
      <c r="C274" s="169" t="s">
        <v>301</v>
      </c>
      <c r="D274" s="14" t="s">
        <v>20</v>
      </c>
      <c r="E274" s="15" t="s">
        <v>302</v>
      </c>
      <c r="F274" s="16">
        <v>0.0</v>
      </c>
      <c r="G274" s="17">
        <v>6.2</v>
      </c>
      <c r="H274" s="17">
        <f t="shared" si="14"/>
        <v>0</v>
      </c>
      <c r="I274" s="18"/>
      <c r="J274" s="18"/>
      <c r="K274" s="13"/>
      <c r="L274" s="27"/>
      <c r="M274" s="27"/>
      <c r="N274" s="27"/>
      <c r="O274" s="27"/>
      <c r="P274" s="27"/>
      <c r="Q274" s="35"/>
      <c r="R274" s="35"/>
      <c r="S274" s="35"/>
      <c r="T274" s="1"/>
      <c r="U274" s="1"/>
      <c r="V274" s="1"/>
    </row>
    <row r="275" ht="15.75" hidden="1" customHeight="1">
      <c r="A275" s="13"/>
      <c r="B275" s="13"/>
      <c r="C275" s="169" t="s">
        <v>303</v>
      </c>
      <c r="D275" s="70" t="s">
        <v>24</v>
      </c>
      <c r="E275" s="15"/>
      <c r="F275" s="16">
        <v>0.0</v>
      </c>
      <c r="G275" s="17">
        <v>40.0</v>
      </c>
      <c r="H275" s="17">
        <f t="shared" si="14"/>
        <v>0</v>
      </c>
      <c r="I275" s="18"/>
      <c r="J275" s="18"/>
      <c r="K275" s="13"/>
      <c r="L275" s="27"/>
      <c r="M275" s="27"/>
      <c r="N275" s="27"/>
      <c r="O275" s="27"/>
      <c r="P275" s="27"/>
      <c r="Q275" s="35"/>
      <c r="R275" s="35"/>
      <c r="S275" s="35"/>
      <c r="T275" s="1"/>
      <c r="U275" s="1"/>
      <c r="V275" s="1"/>
    </row>
    <row r="276" ht="15.75" hidden="1" customHeight="1">
      <c r="A276" s="13"/>
      <c r="B276" s="13" t="s">
        <v>18</v>
      </c>
      <c r="C276" s="169" t="s">
        <v>47</v>
      </c>
      <c r="D276" s="14" t="s">
        <v>20</v>
      </c>
      <c r="E276" s="33" t="s">
        <v>388</v>
      </c>
      <c r="F276" s="40">
        <v>0.0</v>
      </c>
      <c r="G276" s="17">
        <v>139.0</v>
      </c>
      <c r="H276" s="17">
        <f t="shared" si="14"/>
        <v>0</v>
      </c>
      <c r="I276" s="18"/>
      <c r="J276" s="18"/>
      <c r="K276" s="13"/>
      <c r="L276" s="27"/>
      <c r="M276" s="27"/>
      <c r="N276" s="27"/>
      <c r="O276" s="27"/>
      <c r="P276" s="27"/>
      <c r="Q276" s="35"/>
      <c r="R276" s="35"/>
      <c r="S276" s="35"/>
      <c r="T276" s="1"/>
      <c r="U276" s="1"/>
      <c r="V276" s="1"/>
    </row>
    <row r="277" ht="15.75" hidden="1" customHeight="1">
      <c r="A277" s="13"/>
      <c r="B277" s="13"/>
      <c r="C277" s="169" t="s">
        <v>304</v>
      </c>
      <c r="D277" s="70" t="s">
        <v>24</v>
      </c>
      <c r="E277" s="15"/>
      <c r="F277" s="40">
        <v>0.0</v>
      </c>
      <c r="G277" s="17">
        <v>120.0</v>
      </c>
      <c r="H277" s="17">
        <f t="shared" si="14"/>
        <v>0</v>
      </c>
      <c r="I277" s="18"/>
      <c r="J277" s="18"/>
      <c r="K277" s="13"/>
      <c r="L277" s="27"/>
      <c r="M277" s="27"/>
      <c r="N277" s="27"/>
      <c r="O277" s="27"/>
      <c r="P277" s="27"/>
      <c r="Q277" s="35"/>
      <c r="R277" s="35"/>
      <c r="S277" s="35"/>
      <c r="T277" s="1"/>
      <c r="U277" s="1"/>
      <c r="V277" s="1"/>
    </row>
    <row r="278" ht="15.75" hidden="1" customHeight="1">
      <c r="A278" s="13"/>
      <c r="B278" s="13" t="s">
        <v>18</v>
      </c>
      <c r="C278" s="169" t="s">
        <v>389</v>
      </c>
      <c r="D278" s="14" t="s">
        <v>20</v>
      </c>
      <c r="E278" s="15"/>
      <c r="F278" s="40">
        <v>0.0</v>
      </c>
      <c r="G278" s="17">
        <v>5.0</v>
      </c>
      <c r="H278" s="17">
        <f t="shared" si="14"/>
        <v>0</v>
      </c>
      <c r="I278" s="18"/>
      <c r="J278" s="18"/>
      <c r="K278" s="13"/>
      <c r="L278" s="27"/>
      <c r="M278" s="27"/>
      <c r="N278" s="27"/>
      <c r="O278" s="27"/>
      <c r="P278" s="27"/>
      <c r="Q278" s="35"/>
      <c r="R278" s="35"/>
      <c r="S278" s="35"/>
      <c r="T278" s="1"/>
      <c r="U278" s="1"/>
      <c r="V278" s="1"/>
    </row>
    <row r="279" ht="15.75" customHeight="1">
      <c r="A279" s="13"/>
      <c r="B279" s="13" t="s">
        <v>18</v>
      </c>
      <c r="C279" s="195" t="s">
        <v>390</v>
      </c>
      <c r="D279" s="66" t="s">
        <v>22</v>
      </c>
      <c r="E279" s="194" t="s">
        <v>391</v>
      </c>
      <c r="F279" s="40">
        <v>4.0</v>
      </c>
      <c r="G279" s="34">
        <v>42.0</v>
      </c>
      <c r="H279" s="17">
        <f t="shared" si="14"/>
        <v>168</v>
      </c>
      <c r="I279" s="18"/>
      <c r="J279" s="18"/>
      <c r="K279" s="13"/>
      <c r="L279" s="13"/>
      <c r="M279" s="13"/>
      <c r="N279" s="13"/>
      <c r="O279" s="13"/>
      <c r="P279" s="13"/>
      <c r="Q279" s="35"/>
      <c r="R279" s="35"/>
      <c r="S279" s="35"/>
      <c r="T279" s="1"/>
      <c r="U279" s="1"/>
      <c r="V279" s="1"/>
    </row>
    <row r="280" ht="15.75" customHeight="1">
      <c r="A280" s="13"/>
      <c r="B280" s="13" t="s">
        <v>18</v>
      </c>
      <c r="C280" s="195" t="s">
        <v>392</v>
      </c>
      <c r="D280" s="66" t="s">
        <v>22</v>
      </c>
      <c r="E280" s="171" t="s">
        <v>393</v>
      </c>
      <c r="F280" s="40">
        <v>1.0</v>
      </c>
      <c r="G280" s="34">
        <v>120.0</v>
      </c>
      <c r="H280" s="17">
        <f t="shared" si="14"/>
        <v>120</v>
      </c>
      <c r="I280" s="18"/>
      <c r="J280" s="18"/>
      <c r="K280" s="13"/>
      <c r="L280" s="27"/>
      <c r="M280" s="28"/>
      <c r="N280" s="27"/>
      <c r="O280" s="27"/>
      <c r="P280" s="27"/>
      <c r="Q280" s="35"/>
      <c r="R280" s="35"/>
      <c r="S280" s="35"/>
      <c r="T280" s="1"/>
      <c r="U280" s="1"/>
      <c r="V280" s="1"/>
    </row>
    <row r="281" ht="15.75" customHeight="1">
      <c r="A281" s="13"/>
      <c r="B281" s="13" t="s">
        <v>18</v>
      </c>
      <c r="C281" s="169" t="s">
        <v>394</v>
      </c>
      <c r="D281" s="66" t="s">
        <v>22</v>
      </c>
      <c r="E281" s="171" t="s">
        <v>395</v>
      </c>
      <c r="F281" s="16">
        <v>4.0</v>
      </c>
      <c r="G281" s="34">
        <v>80.4</v>
      </c>
      <c r="H281" s="17">
        <f t="shared" si="14"/>
        <v>321.6</v>
      </c>
      <c r="I281" s="18"/>
      <c r="J281" s="18"/>
      <c r="K281" s="13"/>
      <c r="L281" s="27"/>
      <c r="M281" s="28"/>
      <c r="N281" s="27"/>
      <c r="O281" s="28"/>
      <c r="P281" s="28"/>
      <c r="Q281" s="35"/>
      <c r="R281" s="35"/>
      <c r="S281" s="35"/>
      <c r="T281" s="1"/>
      <c r="U281" s="1"/>
      <c r="V281" s="1"/>
    </row>
    <row r="282" ht="15.75" hidden="1" customHeight="1">
      <c r="A282" s="130"/>
      <c r="B282" s="130" t="s">
        <v>18</v>
      </c>
      <c r="C282" s="175" t="s">
        <v>309</v>
      </c>
      <c r="D282" s="176" t="s">
        <v>20</v>
      </c>
      <c r="E282" s="177" t="s">
        <v>310</v>
      </c>
      <c r="F282" s="178">
        <v>0.0</v>
      </c>
      <c r="G282" s="179">
        <v>15.0</v>
      </c>
      <c r="H282" s="179">
        <f t="shared" si="14"/>
        <v>0</v>
      </c>
      <c r="I282" s="180"/>
      <c r="J282" s="180"/>
      <c r="K282" s="130"/>
      <c r="L282" s="130"/>
      <c r="M282" s="181"/>
      <c r="N282" s="130"/>
      <c r="O282" s="181"/>
      <c r="P282" s="181"/>
      <c r="Q282" s="182"/>
      <c r="R282" s="182"/>
      <c r="S282" s="182"/>
      <c r="T282" s="182"/>
      <c r="U282" s="182"/>
      <c r="V282" s="182"/>
    </row>
    <row r="283" ht="15.75" hidden="1" customHeight="1">
      <c r="A283" s="130"/>
      <c r="B283" s="130" t="s">
        <v>18</v>
      </c>
      <c r="C283" s="175" t="s">
        <v>311</v>
      </c>
      <c r="D283" s="176" t="s">
        <v>20</v>
      </c>
      <c r="E283" s="177" t="s">
        <v>312</v>
      </c>
      <c r="F283" s="178">
        <v>0.0</v>
      </c>
      <c r="G283" s="179">
        <v>15.0</v>
      </c>
      <c r="H283" s="179">
        <f t="shared" si="14"/>
        <v>0</v>
      </c>
      <c r="I283" s="180"/>
      <c r="J283" s="180"/>
      <c r="K283" s="130"/>
      <c r="L283" s="130"/>
      <c r="M283" s="181"/>
      <c r="N283" s="130"/>
      <c r="O283" s="181"/>
      <c r="P283" s="181"/>
      <c r="Q283" s="182"/>
      <c r="R283" s="182"/>
      <c r="S283" s="182"/>
      <c r="T283" s="182"/>
      <c r="U283" s="182"/>
      <c r="V283" s="182"/>
    </row>
    <row r="284" ht="15.75" hidden="1" customHeight="1">
      <c r="A284" s="130"/>
      <c r="B284" s="130" t="s">
        <v>18</v>
      </c>
      <c r="C284" s="175" t="s">
        <v>313</v>
      </c>
      <c r="D284" s="176" t="s">
        <v>20</v>
      </c>
      <c r="E284" s="177" t="s">
        <v>314</v>
      </c>
      <c r="F284" s="178">
        <v>0.0</v>
      </c>
      <c r="G284" s="179">
        <v>1.6</v>
      </c>
      <c r="H284" s="179">
        <f t="shared" si="14"/>
        <v>0</v>
      </c>
      <c r="I284" s="180"/>
      <c r="J284" s="180"/>
      <c r="K284" s="130"/>
      <c r="L284" s="130"/>
      <c r="M284" s="181"/>
      <c r="N284" s="130"/>
      <c r="O284" s="181"/>
      <c r="P284" s="181"/>
      <c r="Q284" s="182"/>
      <c r="R284" s="182"/>
      <c r="S284" s="182"/>
      <c r="T284" s="182"/>
      <c r="U284" s="182"/>
      <c r="V284" s="182"/>
    </row>
    <row r="285" ht="15.75" hidden="1" customHeight="1">
      <c r="A285" s="13"/>
      <c r="B285" s="13"/>
      <c r="C285" s="169" t="s">
        <v>59</v>
      </c>
      <c r="D285" s="101" t="s">
        <v>32</v>
      </c>
      <c r="E285" s="15" t="s">
        <v>60</v>
      </c>
      <c r="F285" s="16">
        <v>0.0</v>
      </c>
      <c r="G285" s="17">
        <v>0.0</v>
      </c>
      <c r="H285" s="17">
        <f t="shared" si="14"/>
        <v>0</v>
      </c>
      <c r="I285" s="18"/>
      <c r="J285" s="18"/>
      <c r="K285" s="13"/>
      <c r="L285" s="27"/>
      <c r="M285" s="28"/>
      <c r="N285" s="27"/>
      <c r="O285" s="28"/>
      <c r="P285" s="28"/>
      <c r="Q285" s="35"/>
      <c r="R285" s="35"/>
      <c r="S285" s="35"/>
      <c r="T285" s="1"/>
      <c r="U285" s="1"/>
      <c r="V285" s="1"/>
    </row>
    <row r="286" ht="15.75" hidden="1" customHeight="1">
      <c r="A286" s="13"/>
      <c r="B286" s="18" t="s">
        <v>18</v>
      </c>
      <c r="C286" s="169" t="s">
        <v>315</v>
      </c>
      <c r="D286" s="14" t="s">
        <v>20</v>
      </c>
      <c r="E286" s="15" t="s">
        <v>396</v>
      </c>
      <c r="F286" s="40">
        <v>0.0</v>
      </c>
      <c r="G286" s="17">
        <v>30.0</v>
      </c>
      <c r="H286" s="17">
        <f t="shared" si="14"/>
        <v>0</v>
      </c>
      <c r="I286" s="18"/>
      <c r="J286" s="18"/>
      <c r="K286" s="13"/>
      <c r="L286" s="27"/>
      <c r="M286" s="28"/>
      <c r="N286" s="27"/>
      <c r="O286" s="28"/>
      <c r="P286" s="28"/>
      <c r="Q286" s="35"/>
      <c r="R286" s="35"/>
      <c r="S286" s="35"/>
      <c r="T286" s="1"/>
      <c r="U286" s="1"/>
      <c r="V286" s="1"/>
    </row>
    <row r="287" ht="15.75" hidden="1" customHeight="1">
      <c r="A287" s="13"/>
      <c r="B287" s="166"/>
      <c r="C287" s="188" t="s">
        <v>259</v>
      </c>
      <c r="D287" s="167" t="s">
        <v>32</v>
      </c>
      <c r="E287" s="219"/>
      <c r="F287" s="190">
        <v>0.0</v>
      </c>
      <c r="G287" s="192">
        <v>0.0</v>
      </c>
      <c r="H287" s="192">
        <f t="shared" si="14"/>
        <v>0</v>
      </c>
      <c r="I287" s="193"/>
      <c r="J287" s="18"/>
      <c r="K287" s="13"/>
      <c r="L287" s="27"/>
      <c r="M287" s="28"/>
      <c r="N287" s="27"/>
      <c r="O287" s="27"/>
      <c r="P287" s="27"/>
      <c r="Q287" s="35"/>
      <c r="R287" s="35"/>
      <c r="S287" s="35"/>
      <c r="T287" s="1"/>
      <c r="U287" s="1"/>
      <c r="V287" s="1"/>
    </row>
    <row r="288" ht="15.75" hidden="1" customHeight="1">
      <c r="A288" s="13"/>
      <c r="B288" s="166" t="s">
        <v>397</v>
      </c>
      <c r="C288" s="188" t="s">
        <v>318</v>
      </c>
      <c r="D288" s="167" t="s">
        <v>32</v>
      </c>
      <c r="E288" s="219" t="s">
        <v>398</v>
      </c>
      <c r="F288" s="190">
        <v>0.0</v>
      </c>
      <c r="G288" s="192">
        <v>354.0</v>
      </c>
      <c r="H288" s="192">
        <f t="shared" si="14"/>
        <v>0</v>
      </c>
      <c r="I288" s="193"/>
      <c r="J288" s="18"/>
      <c r="K288" s="13"/>
      <c r="L288" s="13"/>
      <c r="M288" s="13"/>
      <c r="N288" s="13"/>
      <c r="O288" s="13"/>
      <c r="P288" s="13"/>
      <c r="Q288" s="35"/>
      <c r="R288" s="35"/>
      <c r="S288" s="35"/>
      <c r="T288" s="1"/>
      <c r="U288" s="1"/>
      <c r="V288" s="1"/>
    </row>
    <row r="289" ht="15.75" hidden="1" customHeight="1">
      <c r="A289" s="13"/>
      <c r="B289" s="13"/>
      <c r="C289" s="169" t="s">
        <v>321</v>
      </c>
      <c r="D289" s="66" t="s">
        <v>22</v>
      </c>
      <c r="E289" s="15"/>
      <c r="F289" s="16">
        <v>0.0</v>
      </c>
      <c r="G289" s="17">
        <v>10.0</v>
      </c>
      <c r="H289" s="17">
        <f t="shared" si="14"/>
        <v>0</v>
      </c>
      <c r="I289" s="18"/>
      <c r="J289" s="18"/>
      <c r="K289" s="13"/>
      <c r="L289" s="13"/>
      <c r="M289" s="19"/>
      <c r="N289" s="13"/>
      <c r="O289" s="13"/>
      <c r="P289" s="13"/>
      <c r="Q289" s="35"/>
      <c r="R289" s="35"/>
      <c r="S289" s="35"/>
      <c r="T289" s="1"/>
      <c r="U289" s="1"/>
      <c r="V289" s="1"/>
    </row>
    <row r="290" ht="15.75" customHeight="1">
      <c r="A290" s="13"/>
      <c r="B290" s="13" t="s">
        <v>399</v>
      </c>
      <c r="C290" s="196" t="s">
        <v>364</v>
      </c>
      <c r="D290" s="150" t="s">
        <v>22</v>
      </c>
      <c r="E290" s="52" t="s">
        <v>365</v>
      </c>
      <c r="F290" s="48">
        <v>8.0</v>
      </c>
      <c r="G290" s="50">
        <v>6.0</v>
      </c>
      <c r="H290" s="50">
        <f t="shared" si="14"/>
        <v>48</v>
      </c>
      <c r="I290" s="50"/>
      <c r="J290" s="18"/>
      <c r="K290" s="13"/>
      <c r="L290" s="13"/>
      <c r="M290" s="19"/>
      <c r="N290" s="13"/>
      <c r="O290" s="19"/>
      <c r="P290" s="19"/>
      <c r="Q290" s="35"/>
      <c r="R290" s="35"/>
      <c r="S290" s="35"/>
      <c r="T290" s="1"/>
      <c r="U290" s="1"/>
      <c r="V290" s="1"/>
    </row>
    <row r="291" ht="15.75" customHeight="1">
      <c r="A291" s="13"/>
      <c r="B291" s="43" t="s">
        <v>39</v>
      </c>
      <c r="C291" s="169" t="s">
        <v>400</v>
      </c>
      <c r="D291" s="150" t="s">
        <v>22</v>
      </c>
      <c r="E291" s="52"/>
      <c r="F291" s="215">
        <v>1.0</v>
      </c>
      <c r="G291" s="49">
        <v>391.8</v>
      </c>
      <c r="H291" s="50">
        <f t="shared" si="14"/>
        <v>391.8</v>
      </c>
      <c r="I291" s="50"/>
      <c r="J291" s="18"/>
      <c r="K291" s="13"/>
      <c r="L291" s="63"/>
      <c r="M291" s="63"/>
      <c r="N291" s="63"/>
      <c r="O291" s="63"/>
      <c r="P291" s="63"/>
      <c r="Q291" s="35"/>
      <c r="R291" s="35"/>
      <c r="S291" s="35"/>
      <c r="T291" s="1"/>
      <c r="U291" s="1"/>
      <c r="V291" s="1"/>
    </row>
    <row r="292" ht="15.75" customHeight="1">
      <c r="A292" s="13"/>
      <c r="B292" s="13" t="s">
        <v>18</v>
      </c>
      <c r="C292" s="196" t="s">
        <v>401</v>
      </c>
      <c r="D292" s="66" t="s">
        <v>22</v>
      </c>
      <c r="E292" s="223" t="s">
        <v>402</v>
      </c>
      <c r="F292" s="215">
        <v>1.0</v>
      </c>
      <c r="G292" s="49">
        <v>15.0</v>
      </c>
      <c r="H292" s="17">
        <f t="shared" si="14"/>
        <v>15</v>
      </c>
      <c r="I292" s="51"/>
      <c r="J292" s="18"/>
      <c r="K292" s="13"/>
      <c r="L292" s="13"/>
      <c r="M292" s="19"/>
      <c r="N292" s="13"/>
      <c r="O292" s="19"/>
      <c r="P292" s="19"/>
      <c r="Q292" s="35"/>
      <c r="R292" s="35"/>
      <c r="S292" s="35"/>
      <c r="T292" s="1"/>
      <c r="U292" s="1"/>
      <c r="V292" s="1"/>
    </row>
    <row r="293" ht="15.75" hidden="1" customHeight="1">
      <c r="A293" s="13"/>
      <c r="B293" s="13"/>
      <c r="C293" s="169" t="s">
        <v>258</v>
      </c>
      <c r="D293" s="66" t="s">
        <v>22</v>
      </c>
      <c r="E293" s="15"/>
      <c r="F293" s="16">
        <v>0.0</v>
      </c>
      <c r="G293" s="17">
        <v>150.0</v>
      </c>
      <c r="H293" s="17">
        <f t="shared" si="14"/>
        <v>0</v>
      </c>
      <c r="I293" s="18"/>
      <c r="J293" s="18"/>
      <c r="K293" s="13"/>
      <c r="L293" s="13"/>
      <c r="M293" s="19"/>
      <c r="N293" s="13"/>
      <c r="O293" s="19"/>
      <c r="P293" s="19"/>
      <c r="Q293" s="35"/>
      <c r="R293" s="35"/>
      <c r="S293" s="35"/>
      <c r="T293" s="1"/>
      <c r="U293" s="1"/>
      <c r="V293" s="1"/>
    </row>
    <row r="294" ht="15.75" customHeight="1">
      <c r="A294" s="13"/>
      <c r="B294" s="13" t="s">
        <v>18</v>
      </c>
      <c r="C294" s="224" t="s">
        <v>403</v>
      </c>
      <c r="D294" s="66" t="s">
        <v>22</v>
      </c>
      <c r="E294" s="225" t="s">
        <v>404</v>
      </c>
      <c r="F294" s="48">
        <v>1.0</v>
      </c>
      <c r="G294" s="49">
        <v>20.0</v>
      </c>
      <c r="H294" s="17">
        <f t="shared" si="14"/>
        <v>20</v>
      </c>
      <c r="I294" s="51"/>
      <c r="J294" s="18"/>
      <c r="K294" s="13"/>
      <c r="L294" s="13"/>
      <c r="M294" s="13"/>
      <c r="N294" s="13"/>
      <c r="O294" s="19"/>
      <c r="P294" s="19"/>
      <c r="Q294" s="35"/>
      <c r="R294" s="35"/>
      <c r="S294" s="35"/>
      <c r="T294" s="1"/>
      <c r="U294" s="1"/>
      <c r="V294" s="1"/>
    </row>
    <row r="295" ht="15.75" hidden="1" customHeight="1">
      <c r="A295" s="13"/>
      <c r="B295" s="13"/>
      <c r="C295" s="197" t="s">
        <v>327</v>
      </c>
      <c r="D295" s="198" t="s">
        <v>22</v>
      </c>
      <c r="E295" s="54" t="s">
        <v>328</v>
      </c>
      <c r="F295" s="56">
        <v>0.0</v>
      </c>
      <c r="G295" s="57">
        <v>321.3</v>
      </c>
      <c r="H295" s="57">
        <f t="shared" si="14"/>
        <v>0</v>
      </c>
      <c r="I295" s="18"/>
      <c r="J295" s="18"/>
      <c r="K295" s="13"/>
      <c r="L295" s="13"/>
      <c r="M295" s="13"/>
      <c r="N295" s="13"/>
      <c r="O295" s="19"/>
      <c r="P295" s="19"/>
      <c r="Q295" s="35"/>
      <c r="R295" s="35"/>
      <c r="S295" s="35"/>
      <c r="T295" s="1"/>
      <c r="U295" s="1"/>
      <c r="V295" s="1"/>
    </row>
    <row r="296" ht="15.75" customHeight="1">
      <c r="A296" s="13"/>
      <c r="B296" s="43" t="s">
        <v>39</v>
      </c>
      <c r="C296" s="169" t="s">
        <v>405</v>
      </c>
      <c r="D296" s="150" t="s">
        <v>22</v>
      </c>
      <c r="E296" s="52"/>
      <c r="F296" s="215">
        <v>2.0</v>
      </c>
      <c r="G296" s="50">
        <v>25.0</v>
      </c>
      <c r="H296" s="50">
        <f t="shared" si="14"/>
        <v>50</v>
      </c>
      <c r="I296" s="50"/>
      <c r="J296" s="18"/>
      <c r="K296" s="13"/>
      <c r="L296" s="52"/>
      <c r="M296" s="52"/>
      <c r="N296" s="52"/>
      <c r="O296" s="200"/>
      <c r="P296" s="200"/>
      <c r="Q296" s="1"/>
      <c r="R296" s="1"/>
      <c r="S296" s="1"/>
      <c r="T296" s="1"/>
      <c r="U296" s="1"/>
      <c r="V296" s="1"/>
    </row>
    <row r="297" ht="15.75" customHeight="1">
      <c r="A297" s="13"/>
      <c r="B297" s="13" t="s">
        <v>239</v>
      </c>
      <c r="C297" s="195" t="s">
        <v>406</v>
      </c>
      <c r="D297" s="14" t="s">
        <v>20</v>
      </c>
      <c r="E297" s="15"/>
      <c r="F297" s="16">
        <v>1.0</v>
      </c>
      <c r="G297" s="34">
        <v>575.0</v>
      </c>
      <c r="H297" s="17">
        <f t="shared" si="14"/>
        <v>575</v>
      </c>
      <c r="I297" s="18"/>
      <c r="J297" s="18"/>
      <c r="K297" s="13"/>
      <c r="L297" s="54"/>
      <c r="M297" s="54"/>
      <c r="N297" s="54"/>
      <c r="O297" s="202"/>
      <c r="P297" s="202"/>
      <c r="Q297" s="1"/>
      <c r="R297" s="1"/>
      <c r="S297" s="1"/>
      <c r="T297" s="1"/>
      <c r="U297" s="1"/>
      <c r="V297" s="1"/>
    </row>
    <row r="298" ht="15.75" customHeight="1">
      <c r="A298" s="13"/>
      <c r="B298" s="13" t="s">
        <v>18</v>
      </c>
      <c r="C298" s="169" t="s">
        <v>407</v>
      </c>
      <c r="D298" s="66" t="s">
        <v>22</v>
      </c>
      <c r="E298" s="155" t="s">
        <v>408</v>
      </c>
      <c r="F298" s="16">
        <v>2.0</v>
      </c>
      <c r="G298" s="226">
        <v>153.6</v>
      </c>
      <c r="H298" s="17">
        <f t="shared" si="14"/>
        <v>307.2</v>
      </c>
      <c r="I298" s="18"/>
      <c r="J298" s="18"/>
      <c r="K298" s="13"/>
      <c r="L298" s="54"/>
      <c r="M298" s="54"/>
      <c r="N298" s="54"/>
      <c r="O298" s="202"/>
      <c r="P298" s="202"/>
      <c r="Q298" s="1"/>
      <c r="R298" s="1"/>
      <c r="S298" s="1"/>
      <c r="T298" s="1"/>
      <c r="U298" s="1"/>
      <c r="V298" s="1"/>
    </row>
    <row r="299" ht="15.75" hidden="1" customHeight="1">
      <c r="A299" s="53"/>
      <c r="B299" s="52" t="s">
        <v>18</v>
      </c>
      <c r="C299" s="196" t="s">
        <v>335</v>
      </c>
      <c r="D299" s="150" t="s">
        <v>22</v>
      </c>
      <c r="E299" s="52"/>
      <c r="F299" s="48">
        <v>0.0</v>
      </c>
      <c r="G299" s="50">
        <v>29.69</v>
      </c>
      <c r="H299" s="50">
        <f t="shared" si="14"/>
        <v>0</v>
      </c>
      <c r="I299" s="58"/>
      <c r="J299" s="58"/>
      <c r="K299" s="54"/>
      <c r="L299" s="54"/>
      <c r="M299" s="54"/>
      <c r="N299" s="54"/>
      <c r="O299" s="202"/>
      <c r="P299" s="202"/>
      <c r="Q299" s="1"/>
      <c r="R299" s="1"/>
      <c r="S299" s="1"/>
      <c r="T299" s="1"/>
      <c r="U299" s="1"/>
      <c r="V299" s="1"/>
    </row>
    <row r="300" ht="15.75" hidden="1" customHeight="1">
      <c r="A300" s="53"/>
      <c r="B300" s="54" t="s">
        <v>18</v>
      </c>
      <c r="C300" s="197" t="s">
        <v>336</v>
      </c>
      <c r="D300" s="198" t="s">
        <v>22</v>
      </c>
      <c r="E300" s="54" t="s">
        <v>337</v>
      </c>
      <c r="F300" s="56">
        <v>0.0</v>
      </c>
      <c r="G300" s="57">
        <v>29.99</v>
      </c>
      <c r="H300" s="57">
        <f t="shared" si="14"/>
        <v>0</v>
      </c>
      <c r="I300" s="58"/>
      <c r="J300" s="58"/>
      <c r="K300" s="54"/>
      <c r="L300" s="54"/>
      <c r="M300" s="54"/>
      <c r="N300" s="54"/>
      <c r="O300" s="202"/>
      <c r="P300" s="202"/>
      <c r="Q300" s="1"/>
      <c r="R300" s="1"/>
      <c r="S300" s="1"/>
      <c r="T300" s="1"/>
      <c r="U300" s="1"/>
      <c r="V300" s="1"/>
    </row>
    <row r="301" ht="15.75" hidden="1" customHeight="1">
      <c r="A301" s="15"/>
      <c r="B301" s="54" t="s">
        <v>18</v>
      </c>
      <c r="C301" s="203" t="s">
        <v>338</v>
      </c>
      <c r="D301" s="198" t="s">
        <v>22</v>
      </c>
      <c r="E301" s="54" t="s">
        <v>339</v>
      </c>
      <c r="F301" s="56">
        <v>0.0</v>
      </c>
      <c r="G301" s="57">
        <v>16.69</v>
      </c>
      <c r="H301" s="57">
        <f t="shared" si="14"/>
        <v>0</v>
      </c>
      <c r="I301" s="51"/>
      <c r="J301" s="51"/>
      <c r="K301" s="52"/>
      <c r="L301" s="52"/>
      <c r="M301" s="52"/>
      <c r="N301" s="52"/>
      <c r="O301" s="200"/>
      <c r="P301" s="200"/>
      <c r="Q301" s="1"/>
      <c r="R301" s="1"/>
      <c r="S301" s="1"/>
      <c r="T301" s="1"/>
      <c r="U301" s="1"/>
      <c r="V301" s="1"/>
    </row>
    <row r="302" ht="15.75" hidden="1" customHeight="1">
      <c r="A302" s="53"/>
      <c r="B302" s="52" t="s">
        <v>18</v>
      </c>
      <c r="C302" s="196" t="s">
        <v>340</v>
      </c>
      <c r="D302" s="150" t="s">
        <v>22</v>
      </c>
      <c r="E302" s="52"/>
      <c r="F302" s="48">
        <v>0.0</v>
      </c>
      <c r="G302" s="50">
        <v>29.69</v>
      </c>
      <c r="H302" s="50">
        <f t="shared" si="14"/>
        <v>0</v>
      </c>
      <c r="I302" s="58"/>
      <c r="J302" s="58"/>
      <c r="K302" s="54"/>
      <c r="L302" s="54"/>
      <c r="M302" s="54"/>
      <c r="N302" s="54"/>
      <c r="O302" s="202"/>
      <c r="P302" s="202"/>
      <c r="Q302" s="1"/>
      <c r="R302" s="1"/>
      <c r="S302" s="1"/>
      <c r="T302" s="1"/>
      <c r="U302" s="1"/>
      <c r="V302" s="1"/>
    </row>
    <row r="303" ht="15.75" hidden="1" customHeight="1">
      <c r="A303" s="53"/>
      <c r="B303" s="54" t="s">
        <v>18</v>
      </c>
      <c r="C303" s="197" t="s">
        <v>341</v>
      </c>
      <c r="D303" s="198" t="s">
        <v>22</v>
      </c>
      <c r="E303" s="54" t="s">
        <v>337</v>
      </c>
      <c r="F303" s="56">
        <v>0.0</v>
      </c>
      <c r="G303" s="57">
        <v>29.99</v>
      </c>
      <c r="H303" s="57">
        <f t="shared" si="14"/>
        <v>0</v>
      </c>
      <c r="I303" s="58"/>
      <c r="J303" s="58"/>
      <c r="K303" s="54"/>
      <c r="L303" s="54"/>
      <c r="M303" s="54"/>
      <c r="N303" s="54"/>
      <c r="O303" s="202"/>
      <c r="P303" s="202"/>
      <c r="Q303" s="1"/>
      <c r="R303" s="1"/>
      <c r="S303" s="1"/>
      <c r="T303" s="1"/>
      <c r="U303" s="1"/>
      <c r="V303" s="1"/>
    </row>
    <row r="304" ht="15.75" hidden="1" customHeight="1">
      <c r="A304" s="53"/>
      <c r="B304" s="54" t="s">
        <v>18</v>
      </c>
      <c r="C304" s="197" t="s">
        <v>342</v>
      </c>
      <c r="D304" s="198" t="s">
        <v>22</v>
      </c>
      <c r="E304" s="54" t="s">
        <v>343</v>
      </c>
      <c r="F304" s="56">
        <v>0.0</v>
      </c>
      <c r="G304" s="57">
        <v>17.99</v>
      </c>
      <c r="H304" s="57">
        <f t="shared" si="14"/>
        <v>0</v>
      </c>
      <c r="I304" s="58"/>
      <c r="J304" s="58"/>
      <c r="K304" s="54"/>
      <c r="L304" s="54"/>
      <c r="M304" s="54"/>
      <c r="N304" s="54"/>
      <c r="O304" s="202"/>
      <c r="P304" s="202"/>
      <c r="Q304" s="1"/>
      <c r="R304" s="1"/>
      <c r="S304" s="1"/>
      <c r="T304" s="1"/>
      <c r="U304" s="1"/>
      <c r="V304" s="1"/>
    </row>
    <row r="305" ht="15.75" hidden="1" customHeight="1">
      <c r="A305" s="15"/>
      <c r="B305" s="54" t="s">
        <v>18</v>
      </c>
      <c r="C305" s="197" t="s">
        <v>344</v>
      </c>
      <c r="D305" s="198" t="s">
        <v>22</v>
      </c>
      <c r="E305" s="205" t="s">
        <v>345</v>
      </c>
      <c r="F305" s="158">
        <v>0.0</v>
      </c>
      <c r="G305" s="57">
        <v>19.0</v>
      </c>
      <c r="H305" s="57">
        <f t="shared" si="14"/>
        <v>0</v>
      </c>
      <c r="I305" s="51"/>
      <c r="J305" s="51"/>
      <c r="K305" s="52"/>
      <c r="L305" s="52"/>
      <c r="M305" s="52"/>
      <c r="N305" s="52"/>
      <c r="O305" s="200"/>
      <c r="P305" s="200"/>
      <c r="Q305" s="1"/>
      <c r="R305" s="1"/>
      <c r="S305" s="1"/>
      <c r="T305" s="1"/>
      <c r="U305" s="1"/>
      <c r="V305" s="1"/>
    </row>
    <row r="306" ht="15.75" hidden="1" customHeight="1">
      <c r="A306" s="53"/>
      <c r="B306" s="206" t="s">
        <v>18</v>
      </c>
      <c r="C306" s="197" t="s">
        <v>346</v>
      </c>
      <c r="D306" s="198" t="s">
        <v>22</v>
      </c>
      <c r="E306" s="205" t="s">
        <v>347</v>
      </c>
      <c r="F306" s="158">
        <v>0.0</v>
      </c>
      <c r="G306" s="57">
        <v>35.0</v>
      </c>
      <c r="H306" s="57">
        <f t="shared" si="14"/>
        <v>0</v>
      </c>
      <c r="I306" s="58"/>
      <c r="J306" s="58"/>
      <c r="K306" s="54"/>
      <c r="L306" s="54"/>
      <c r="M306" s="54"/>
      <c r="N306" s="54"/>
      <c r="O306" s="202"/>
      <c r="P306" s="202"/>
      <c r="Q306" s="1"/>
      <c r="R306" s="1"/>
      <c r="S306" s="1"/>
      <c r="T306" s="1"/>
      <c r="U306" s="1"/>
      <c r="V306" s="1"/>
    </row>
    <row r="307" ht="15.75" customHeight="1">
      <c r="A307" s="13"/>
      <c r="B307" s="13" t="s">
        <v>18</v>
      </c>
      <c r="C307" s="169" t="s">
        <v>409</v>
      </c>
      <c r="D307" s="66" t="s">
        <v>22</v>
      </c>
      <c r="E307" s="33" t="s">
        <v>410</v>
      </c>
      <c r="F307" s="16">
        <v>2.0</v>
      </c>
      <c r="G307" s="227">
        <v>19.0</v>
      </c>
      <c r="H307" s="17">
        <f t="shared" si="14"/>
        <v>38</v>
      </c>
      <c r="I307" s="18"/>
      <c r="J307" s="18"/>
      <c r="K307" s="13"/>
      <c r="L307" s="54"/>
      <c r="M307" s="54"/>
      <c r="N307" s="54"/>
      <c r="O307" s="202"/>
      <c r="P307" s="202"/>
      <c r="Q307" s="1"/>
      <c r="R307" s="1"/>
      <c r="S307" s="1"/>
      <c r="T307" s="1"/>
      <c r="U307" s="1"/>
      <c r="V307" s="1"/>
    </row>
    <row r="308" ht="15.75" customHeight="1">
      <c r="A308" s="13"/>
      <c r="B308" s="43" t="s">
        <v>88</v>
      </c>
      <c r="C308" s="54" t="s">
        <v>411</v>
      </c>
      <c r="D308" s="14" t="s">
        <v>20</v>
      </c>
      <c r="E308" s="218" t="s">
        <v>412</v>
      </c>
      <c r="F308" s="16">
        <v>1.0</v>
      </c>
      <c r="G308" s="34">
        <v>334.0</v>
      </c>
      <c r="H308" s="17">
        <f t="shared" si="14"/>
        <v>334</v>
      </c>
      <c r="I308" s="18"/>
      <c r="J308" s="18"/>
      <c r="K308" s="13"/>
      <c r="L308" s="54"/>
      <c r="M308" s="54"/>
      <c r="N308" s="54"/>
      <c r="O308" s="202"/>
      <c r="P308" s="202"/>
      <c r="Q308" s="1"/>
      <c r="R308" s="1"/>
      <c r="S308" s="1"/>
      <c r="T308" s="1"/>
      <c r="U308" s="1"/>
      <c r="V308" s="1"/>
    </row>
    <row r="309" ht="15.75" customHeight="1">
      <c r="A309" s="13"/>
      <c r="B309" s="13" t="s">
        <v>18</v>
      </c>
      <c r="C309" s="169" t="s">
        <v>280</v>
      </c>
      <c r="D309" s="14" t="s">
        <v>20</v>
      </c>
      <c r="E309" s="15" t="s">
        <v>413</v>
      </c>
      <c r="F309" s="16">
        <v>1.0</v>
      </c>
      <c r="G309" s="34">
        <v>20.0</v>
      </c>
      <c r="H309" s="17">
        <f t="shared" si="14"/>
        <v>20</v>
      </c>
      <c r="I309" s="18"/>
      <c r="J309" s="18"/>
      <c r="K309" s="13"/>
      <c r="L309" s="13"/>
      <c r="M309" s="13"/>
      <c r="N309" s="13"/>
      <c r="O309" s="19"/>
      <c r="P309" s="19"/>
      <c r="Q309" s="35"/>
      <c r="R309" s="35"/>
      <c r="S309" s="35"/>
      <c r="T309" s="1"/>
      <c r="U309" s="1"/>
      <c r="V309" s="1"/>
    </row>
    <row r="310" ht="15.75" hidden="1" customHeight="1">
      <c r="A310" s="13"/>
      <c r="B310" s="206"/>
      <c r="C310" s="197" t="s">
        <v>354</v>
      </c>
      <c r="D310" s="198" t="s">
        <v>22</v>
      </c>
      <c r="E310" s="208" t="s">
        <v>352</v>
      </c>
      <c r="F310" s="56">
        <v>0.0</v>
      </c>
      <c r="G310" s="159">
        <v>97.0</v>
      </c>
      <c r="H310" s="57">
        <f t="shared" si="14"/>
        <v>0</v>
      </c>
      <c r="I310" s="18"/>
      <c r="J310" s="18"/>
      <c r="K310" s="13"/>
      <c r="L310" s="13"/>
      <c r="M310" s="13"/>
      <c r="N310" s="13"/>
      <c r="O310" s="13"/>
      <c r="P310" s="13"/>
      <c r="Q310" s="35"/>
      <c r="R310" s="35"/>
      <c r="S310" s="35"/>
      <c r="T310" s="1"/>
      <c r="U310" s="1"/>
      <c r="V310" s="1"/>
    </row>
    <row r="311" ht="15.75" hidden="1" customHeight="1">
      <c r="A311" s="13"/>
      <c r="B311" s="156" t="s">
        <v>350</v>
      </c>
      <c r="C311" s="197" t="s">
        <v>355</v>
      </c>
      <c r="D311" s="198" t="s">
        <v>22</v>
      </c>
      <c r="E311" s="208" t="s">
        <v>356</v>
      </c>
      <c r="F311" s="56">
        <v>0.0</v>
      </c>
      <c r="G311" s="159">
        <v>366.0</v>
      </c>
      <c r="H311" s="57">
        <f t="shared" si="14"/>
        <v>0</v>
      </c>
      <c r="I311" s="18"/>
      <c r="J311" s="18"/>
      <c r="K311" s="13"/>
      <c r="L311" s="13"/>
      <c r="M311" s="13"/>
      <c r="N311" s="13"/>
      <c r="O311" s="13"/>
      <c r="P311" s="13"/>
      <c r="Q311" s="35"/>
      <c r="R311" s="35"/>
      <c r="S311" s="35"/>
      <c r="T311" s="1"/>
      <c r="U311" s="1"/>
      <c r="V311" s="1"/>
    </row>
    <row r="312" ht="15.75" hidden="1" customHeight="1">
      <c r="A312" s="13"/>
      <c r="B312" s="206" t="s">
        <v>350</v>
      </c>
      <c r="C312" s="197" t="s">
        <v>357</v>
      </c>
      <c r="D312" s="198" t="s">
        <v>22</v>
      </c>
      <c r="E312" s="208" t="s">
        <v>356</v>
      </c>
      <c r="F312" s="56">
        <v>0.0</v>
      </c>
      <c r="G312" s="159">
        <v>107.5</v>
      </c>
      <c r="H312" s="57">
        <f t="shared" si="14"/>
        <v>0</v>
      </c>
      <c r="I312" s="18"/>
      <c r="J312" s="18"/>
      <c r="K312" s="13"/>
      <c r="L312" s="13"/>
      <c r="M312" s="19"/>
      <c r="N312" s="13"/>
      <c r="O312" s="19"/>
      <c r="P312" s="19"/>
      <c r="Q312" s="35"/>
      <c r="R312" s="35"/>
      <c r="S312" s="35"/>
      <c r="T312" s="1"/>
      <c r="U312" s="1"/>
      <c r="V312" s="1"/>
    </row>
    <row r="313" ht="15.75" hidden="1" customHeight="1">
      <c r="A313" s="13"/>
      <c r="B313" s="156" t="s">
        <v>350</v>
      </c>
      <c r="C313" s="197" t="s">
        <v>358</v>
      </c>
      <c r="D313" s="198" t="s">
        <v>22</v>
      </c>
      <c r="E313" s="208" t="s">
        <v>356</v>
      </c>
      <c r="F313" s="56">
        <v>0.0</v>
      </c>
      <c r="G313" s="159">
        <v>97.0</v>
      </c>
      <c r="H313" s="57">
        <f t="shared" si="14"/>
        <v>0</v>
      </c>
      <c r="I313" s="18"/>
      <c r="J313" s="18"/>
      <c r="K313" s="13"/>
      <c r="L313" s="27"/>
      <c r="M313" s="28"/>
      <c r="N313" s="27"/>
      <c r="O313" s="28"/>
      <c r="P313" s="27"/>
      <c r="Q313" s="35"/>
      <c r="R313" s="35"/>
      <c r="S313" s="35"/>
      <c r="T313" s="1"/>
      <c r="U313" s="1"/>
      <c r="V313" s="1"/>
    </row>
    <row r="314" ht="15.75" hidden="1" customHeight="1">
      <c r="A314" s="13"/>
      <c r="B314" s="13" t="s">
        <v>18</v>
      </c>
      <c r="C314" s="196" t="s">
        <v>359</v>
      </c>
      <c r="D314" s="150" t="s">
        <v>22</v>
      </c>
      <c r="E314" s="52" t="s">
        <v>360</v>
      </c>
      <c r="F314" s="48">
        <v>0.0</v>
      </c>
      <c r="G314" s="50">
        <v>18.0</v>
      </c>
      <c r="H314" s="50">
        <f t="shared" si="14"/>
        <v>0</v>
      </c>
      <c r="I314" s="18"/>
      <c r="J314" s="18"/>
      <c r="K314" s="13"/>
      <c r="L314" s="27"/>
      <c r="M314" s="28"/>
      <c r="N314" s="27"/>
      <c r="O314" s="28"/>
      <c r="P314" s="27"/>
      <c r="Q314" s="35"/>
      <c r="R314" s="35"/>
      <c r="S314" s="35"/>
      <c r="T314" s="1"/>
      <c r="U314" s="1"/>
      <c r="V314" s="1"/>
    </row>
    <row r="315" ht="15.75" customHeight="1">
      <c r="A315" s="13"/>
      <c r="B315" s="43" t="s">
        <v>56</v>
      </c>
      <c r="C315" s="169" t="s">
        <v>414</v>
      </c>
      <c r="D315" s="70" t="s">
        <v>24</v>
      </c>
      <c r="E315" s="15"/>
      <c r="F315" s="16">
        <v>1.0</v>
      </c>
      <c r="G315" s="17">
        <v>80.0</v>
      </c>
      <c r="H315" s="17">
        <f t="shared" si="14"/>
        <v>80</v>
      </c>
      <c r="I315" s="18"/>
      <c r="J315" s="18"/>
      <c r="K315" s="13"/>
      <c r="L315" s="27"/>
      <c r="M315" s="28"/>
      <c r="N315" s="27"/>
      <c r="O315" s="28"/>
      <c r="P315" s="27"/>
      <c r="Q315" s="35"/>
      <c r="R315" s="35"/>
      <c r="S315" s="35"/>
      <c r="T315" s="1"/>
      <c r="U315" s="1"/>
      <c r="V315" s="1"/>
    </row>
    <row r="316" ht="15.75" hidden="1" customHeight="1">
      <c r="A316" s="13"/>
      <c r="B316" s="13" t="s">
        <v>361</v>
      </c>
      <c r="C316" s="169" t="s">
        <v>364</v>
      </c>
      <c r="D316" s="66" t="s">
        <v>22</v>
      </c>
      <c r="E316" s="15" t="s">
        <v>365</v>
      </c>
      <c r="F316" s="16">
        <v>0.0</v>
      </c>
      <c r="G316" s="17">
        <v>6.0</v>
      </c>
      <c r="H316" s="17">
        <f t="shared" si="14"/>
        <v>0</v>
      </c>
      <c r="I316" s="18"/>
      <c r="J316" s="18"/>
      <c r="K316" s="13"/>
      <c r="L316" s="27"/>
      <c r="M316" s="28"/>
      <c r="N316" s="27"/>
      <c r="O316" s="28"/>
      <c r="P316" s="27"/>
      <c r="Q316" s="35"/>
      <c r="R316" s="35"/>
      <c r="S316" s="35"/>
      <c r="T316" s="1"/>
      <c r="U316" s="1"/>
      <c r="V316" s="1"/>
    </row>
    <row r="317" ht="15.75" hidden="1" customHeight="1">
      <c r="A317" s="13"/>
      <c r="B317" s="13" t="s">
        <v>18</v>
      </c>
      <c r="C317" s="169" t="s">
        <v>370</v>
      </c>
      <c r="D317" s="14" t="s">
        <v>20</v>
      </c>
      <c r="E317" s="15">
        <v>8.49069896E8</v>
      </c>
      <c r="F317" s="40">
        <v>0.0</v>
      </c>
      <c r="G317" s="17">
        <v>5.0</v>
      </c>
      <c r="H317" s="17">
        <f t="shared" si="14"/>
        <v>0</v>
      </c>
      <c r="I317" s="18"/>
      <c r="J317" s="18"/>
      <c r="K317" s="13"/>
      <c r="L317" s="27"/>
      <c r="M317" s="28"/>
      <c r="N317" s="27"/>
      <c r="O317" s="28"/>
      <c r="P317" s="27"/>
      <c r="Q317" s="35"/>
      <c r="R317" s="35"/>
      <c r="S317" s="35"/>
      <c r="T317" s="1"/>
      <c r="U317" s="1"/>
      <c r="V317" s="1"/>
    </row>
    <row r="318" ht="15.75" customHeight="1">
      <c r="A318" s="13"/>
      <c r="B318" s="13" t="s">
        <v>18</v>
      </c>
      <c r="C318" s="169" t="s">
        <v>371</v>
      </c>
      <c r="D318" s="14" t="s">
        <v>20</v>
      </c>
      <c r="E318" s="15" t="s">
        <v>286</v>
      </c>
      <c r="F318" s="16">
        <v>2.0</v>
      </c>
      <c r="G318" s="17">
        <v>3.0</v>
      </c>
      <c r="H318" s="17">
        <f t="shared" si="14"/>
        <v>6</v>
      </c>
      <c r="I318" s="18"/>
      <c r="J318" s="18"/>
      <c r="K318" s="13"/>
      <c r="L318" s="95"/>
      <c r="M318" s="96"/>
      <c r="N318" s="95"/>
      <c r="O318" s="95"/>
      <c r="P318" s="95"/>
      <c r="Q318" s="35"/>
      <c r="R318" s="35"/>
      <c r="S318" s="35"/>
      <c r="T318" s="1"/>
      <c r="U318" s="1"/>
      <c r="V318" s="1"/>
    </row>
    <row r="319" ht="15.75" hidden="1" customHeight="1">
      <c r="A319" s="13"/>
      <c r="B319" s="13" t="s">
        <v>18</v>
      </c>
      <c r="C319" s="169" t="s">
        <v>283</v>
      </c>
      <c r="D319" s="14" t="s">
        <v>20</v>
      </c>
      <c r="E319" s="15" t="s">
        <v>284</v>
      </c>
      <c r="F319" s="16">
        <v>0.0</v>
      </c>
      <c r="G319" s="17">
        <v>12.0</v>
      </c>
      <c r="H319" s="17">
        <f t="shared" si="14"/>
        <v>0</v>
      </c>
      <c r="I319" s="18"/>
      <c r="J319" s="18"/>
      <c r="K319" s="13"/>
      <c r="L319" s="13"/>
      <c r="M319" s="19"/>
      <c r="N319" s="13"/>
      <c r="O319" s="38"/>
      <c r="P319" s="19"/>
      <c r="Q319" s="35"/>
      <c r="R319" s="35"/>
      <c r="S319" s="35"/>
      <c r="T319" s="1"/>
      <c r="U319" s="1"/>
      <c r="V319" s="1"/>
    </row>
    <row r="320" ht="15.75" hidden="1" customHeight="1">
      <c r="A320" s="13"/>
      <c r="B320" s="13" t="s">
        <v>18</v>
      </c>
      <c r="C320" s="195" t="s">
        <v>372</v>
      </c>
      <c r="D320" s="14" t="s">
        <v>20</v>
      </c>
      <c r="E320" s="210"/>
      <c r="F320" s="228">
        <v>0.0</v>
      </c>
      <c r="G320" s="212">
        <v>70.0</v>
      </c>
      <c r="H320" s="17">
        <f t="shared" si="14"/>
        <v>0</v>
      </c>
      <c r="I320" s="18"/>
      <c r="J320" s="18"/>
      <c r="K320" s="13"/>
      <c r="L320" s="27"/>
      <c r="M320" s="28"/>
      <c r="N320" s="27"/>
      <c r="O320" s="28"/>
      <c r="P320" s="28"/>
      <c r="Q320" s="35"/>
      <c r="R320" s="35"/>
      <c r="S320" s="35"/>
      <c r="T320" s="1"/>
      <c r="U320" s="1"/>
      <c r="V320" s="1"/>
    </row>
    <row r="321" ht="15.75" hidden="1" customHeight="1">
      <c r="A321" s="13"/>
      <c r="B321" s="13"/>
      <c r="C321" s="169" t="s">
        <v>70</v>
      </c>
      <c r="D321" s="14" t="s">
        <v>20</v>
      </c>
      <c r="E321" s="15"/>
      <c r="F321" s="40">
        <v>0.0</v>
      </c>
      <c r="G321" s="34">
        <v>60.0</v>
      </c>
      <c r="H321" s="17">
        <f t="shared" si="14"/>
        <v>0</v>
      </c>
      <c r="I321" s="18"/>
      <c r="J321" s="18"/>
      <c r="K321" s="18"/>
      <c r="L321" s="13"/>
      <c r="M321" s="19"/>
      <c r="N321" s="13"/>
      <c r="O321" s="19"/>
      <c r="P321" s="19"/>
      <c r="Q321" s="35"/>
      <c r="R321" s="35"/>
      <c r="S321" s="35"/>
      <c r="T321" s="1"/>
      <c r="U321" s="1"/>
      <c r="V321" s="1"/>
    </row>
    <row r="322" ht="15.75" hidden="1" customHeight="1">
      <c r="A322" s="13"/>
      <c r="B322" s="13" t="s">
        <v>373</v>
      </c>
      <c r="C322" s="169" t="s">
        <v>69</v>
      </c>
      <c r="D322" s="14" t="s">
        <v>20</v>
      </c>
      <c r="E322" s="15"/>
      <c r="F322" s="16">
        <v>0.0</v>
      </c>
      <c r="G322" s="17">
        <v>70.0</v>
      </c>
      <c r="H322" s="17">
        <f t="shared" si="14"/>
        <v>0</v>
      </c>
      <c r="I322" s="18"/>
      <c r="J322" s="18"/>
      <c r="K322" s="13"/>
      <c r="L322" s="27"/>
      <c r="M322" s="28"/>
      <c r="N322" s="27"/>
      <c r="O322" s="28"/>
      <c r="P322" s="28"/>
      <c r="Q322" s="35"/>
      <c r="R322" s="35"/>
      <c r="S322" s="35"/>
      <c r="T322" s="1"/>
      <c r="U322" s="1"/>
      <c r="V322" s="1"/>
    </row>
    <row r="323" ht="15.75" hidden="1" customHeight="1">
      <c r="A323" s="13"/>
      <c r="B323" s="13"/>
      <c r="C323" s="169" t="s">
        <v>374</v>
      </c>
      <c r="D323" s="70" t="s">
        <v>24</v>
      </c>
      <c r="E323" s="15"/>
      <c r="F323" s="16">
        <v>0.0</v>
      </c>
      <c r="G323" s="17">
        <v>207.0</v>
      </c>
      <c r="H323" s="17">
        <f t="shared" si="14"/>
        <v>0</v>
      </c>
      <c r="I323" s="18"/>
      <c r="J323" s="18"/>
      <c r="K323" s="13"/>
      <c r="L323" s="107"/>
      <c r="M323" s="214"/>
      <c r="N323" s="13"/>
      <c r="O323" s="13"/>
      <c r="P323" s="13"/>
      <c r="Q323" s="35"/>
      <c r="R323" s="35"/>
      <c r="S323" s="35"/>
      <c r="T323" s="1"/>
      <c r="U323" s="1"/>
      <c r="V323" s="1"/>
    </row>
    <row r="324" ht="15.75" hidden="1" customHeight="1">
      <c r="A324" s="13"/>
      <c r="B324" s="13"/>
      <c r="C324" s="169" t="s">
        <v>375</v>
      </c>
      <c r="D324" s="70" t="s">
        <v>24</v>
      </c>
      <c r="E324" s="15"/>
      <c r="F324" s="16">
        <v>0.0</v>
      </c>
      <c r="G324" s="17">
        <v>450.0</v>
      </c>
      <c r="H324" s="17">
        <f t="shared" si="14"/>
        <v>0</v>
      </c>
      <c r="I324" s="18"/>
      <c r="J324" s="18"/>
      <c r="K324" s="13"/>
      <c r="L324" s="63"/>
      <c r="M324" s="63"/>
      <c r="N324" s="63"/>
      <c r="O324" s="63"/>
      <c r="P324" s="63"/>
      <c r="Q324" s="35"/>
      <c r="R324" s="35"/>
      <c r="S324" s="35"/>
      <c r="T324" s="1"/>
      <c r="U324" s="1"/>
      <c r="V324" s="1"/>
    </row>
    <row r="325" ht="15.75" hidden="1" customHeight="1">
      <c r="A325" s="13"/>
      <c r="B325" s="13"/>
      <c r="C325" s="13" t="s">
        <v>71</v>
      </c>
      <c r="D325" s="213" t="s">
        <v>24</v>
      </c>
      <c r="E325" s="52"/>
      <c r="F325" s="48">
        <v>0.0</v>
      </c>
      <c r="G325" s="50">
        <v>80.0</v>
      </c>
      <c r="H325" s="50">
        <f t="shared" si="14"/>
        <v>0</v>
      </c>
      <c r="I325" s="18"/>
      <c r="J325" s="18"/>
      <c r="K325" s="13" t="s">
        <v>376</v>
      </c>
      <c r="L325" s="63"/>
      <c r="M325" s="63"/>
      <c r="N325" s="63"/>
      <c r="O325" s="63"/>
      <c r="P325" s="63"/>
      <c r="Q325" s="35"/>
      <c r="R325" s="35"/>
      <c r="S325" s="35"/>
      <c r="T325" s="1"/>
      <c r="U325" s="1"/>
      <c r="V325" s="1"/>
    </row>
    <row r="326" ht="15.75" hidden="1" customHeight="1">
      <c r="A326" s="13"/>
      <c r="B326" s="13" t="s">
        <v>18</v>
      </c>
      <c r="C326" s="13" t="s">
        <v>377</v>
      </c>
      <c r="D326" s="14" t="s">
        <v>20</v>
      </c>
      <c r="E326" s="52" t="s">
        <v>28</v>
      </c>
      <c r="F326" s="48">
        <v>0.0</v>
      </c>
      <c r="G326" s="50">
        <v>70.0</v>
      </c>
      <c r="H326" s="50">
        <f t="shared" si="14"/>
        <v>0</v>
      </c>
      <c r="I326" s="18"/>
      <c r="J326" s="18"/>
      <c r="K326" s="13"/>
      <c r="L326" s="63"/>
      <c r="M326" s="63"/>
      <c r="N326" s="63"/>
      <c r="O326" s="63"/>
      <c r="P326" s="63"/>
      <c r="Q326" s="35"/>
      <c r="R326" s="35"/>
      <c r="S326" s="35"/>
      <c r="T326" s="1"/>
      <c r="U326" s="1"/>
      <c r="V326" s="1"/>
    </row>
    <row r="327" ht="15.75" hidden="1" customHeight="1">
      <c r="A327" s="13"/>
      <c r="B327" s="13"/>
      <c r="C327" s="13" t="s">
        <v>221</v>
      </c>
      <c r="D327" s="213" t="s">
        <v>24</v>
      </c>
      <c r="E327" s="52"/>
      <c r="F327" s="215">
        <v>0.0</v>
      </c>
      <c r="G327" s="50">
        <v>50.0</v>
      </c>
      <c r="H327" s="50">
        <f t="shared" si="14"/>
        <v>0</v>
      </c>
      <c r="I327" s="18"/>
      <c r="J327" s="18"/>
      <c r="K327" s="13"/>
      <c r="L327" s="63"/>
      <c r="M327" s="63"/>
      <c r="N327" s="63"/>
      <c r="O327" s="63"/>
      <c r="P327" s="63"/>
      <c r="Q327" s="35"/>
      <c r="R327" s="35"/>
      <c r="S327" s="35"/>
      <c r="T327" s="1"/>
      <c r="U327" s="1"/>
      <c r="V327" s="1"/>
    </row>
    <row r="328" ht="15.75" hidden="1" customHeight="1">
      <c r="A328" s="13"/>
      <c r="B328" s="43" t="s">
        <v>18</v>
      </c>
      <c r="C328" s="156" t="s">
        <v>230</v>
      </c>
      <c r="D328" s="14" t="s">
        <v>20</v>
      </c>
      <c r="E328" s="157" t="s">
        <v>231</v>
      </c>
      <c r="F328" s="158">
        <v>0.0</v>
      </c>
      <c r="G328" s="159">
        <v>35.0</v>
      </c>
      <c r="H328" s="50">
        <f t="shared" si="14"/>
        <v>0</v>
      </c>
      <c r="I328" s="18"/>
      <c r="J328" s="18"/>
      <c r="K328" s="13"/>
      <c r="L328" s="63"/>
      <c r="M328" s="63"/>
      <c r="N328" s="63"/>
      <c r="O328" s="63"/>
      <c r="P328" s="63"/>
      <c r="Q328" s="35"/>
      <c r="R328" s="35"/>
      <c r="S328" s="35"/>
      <c r="T328" s="1"/>
      <c r="U328" s="1"/>
      <c r="V328" s="1"/>
    </row>
    <row r="329" ht="15.75" hidden="1" customHeight="1">
      <c r="A329" s="13"/>
      <c r="B329" s="43"/>
      <c r="C329" s="156" t="s">
        <v>232</v>
      </c>
      <c r="D329" s="70" t="s">
        <v>24</v>
      </c>
      <c r="E329" s="160"/>
      <c r="F329" s="158">
        <v>0.0</v>
      </c>
      <c r="G329" s="159">
        <v>150.0</v>
      </c>
      <c r="H329" s="50">
        <f t="shared" si="14"/>
        <v>0</v>
      </c>
      <c r="I329" s="18"/>
      <c r="J329" s="18"/>
      <c r="K329" s="13"/>
      <c r="L329" s="63"/>
      <c r="M329" s="63"/>
      <c r="N329" s="63"/>
      <c r="O329" s="63"/>
      <c r="P329" s="63"/>
      <c r="Q329" s="35"/>
      <c r="R329" s="35"/>
      <c r="S329" s="35"/>
      <c r="T329" s="1"/>
      <c r="U329" s="1"/>
      <c r="V329" s="1"/>
    </row>
    <row r="330" ht="15.75" hidden="1" customHeight="1">
      <c r="A330" s="13"/>
      <c r="B330" s="13"/>
      <c r="C330" s="206" t="s">
        <v>222</v>
      </c>
      <c r="D330" s="216" t="s">
        <v>24</v>
      </c>
      <c r="E330" s="54"/>
      <c r="F330" s="56">
        <v>0.0</v>
      </c>
      <c r="G330" s="57">
        <v>40.0</v>
      </c>
      <c r="H330" s="57">
        <f t="shared" si="14"/>
        <v>0</v>
      </c>
      <c r="I330" s="18"/>
      <c r="J330" s="18"/>
      <c r="K330" s="13"/>
      <c r="L330" s="63"/>
      <c r="M330" s="63"/>
      <c r="N330" s="63"/>
      <c r="O330" s="63"/>
      <c r="P330" s="63"/>
      <c r="Q330" s="35"/>
      <c r="R330" s="35"/>
      <c r="S330" s="35"/>
      <c r="T330" s="1"/>
      <c r="U330" s="1"/>
      <c r="V330" s="1"/>
    </row>
    <row r="331" ht="28.5" customHeight="1">
      <c r="A331" s="6"/>
      <c r="B331" s="172" t="s">
        <v>415</v>
      </c>
      <c r="C331" s="7">
        <f>SUM(H332:H402)</f>
        <v>5991.31</v>
      </c>
      <c r="D331" s="148"/>
      <c r="E331" s="148"/>
      <c r="F331" s="83"/>
      <c r="G331" s="82"/>
      <c r="H331" s="82"/>
      <c r="I331" s="82"/>
      <c r="J331" s="82"/>
      <c r="K331" s="83"/>
      <c r="L331" s="83"/>
      <c r="M331" s="83"/>
      <c r="N331" s="83"/>
      <c r="O331" s="83"/>
      <c r="P331" s="83"/>
      <c r="Q331" s="35"/>
      <c r="R331" s="35"/>
      <c r="S331" s="35"/>
      <c r="T331" s="1"/>
      <c r="U331" s="1"/>
      <c r="V331" s="1"/>
    </row>
    <row r="332" ht="15.75" customHeight="1">
      <c r="A332" s="13"/>
      <c r="B332" s="43" t="s">
        <v>39</v>
      </c>
      <c r="C332" s="169" t="s">
        <v>191</v>
      </c>
      <c r="D332" s="66" t="s">
        <v>22</v>
      </c>
      <c r="E332" s="15"/>
      <c r="F332" s="16">
        <v>1.0</v>
      </c>
      <c r="G332" s="34">
        <v>100.0</v>
      </c>
      <c r="H332" s="17">
        <f t="shared" ref="H332:H402" si="15">SUM(F332*G332)</f>
        <v>100</v>
      </c>
      <c r="I332" s="18"/>
      <c r="J332" s="18"/>
      <c r="K332" s="13"/>
      <c r="L332" s="13"/>
      <c r="M332" s="13"/>
      <c r="N332" s="13"/>
      <c r="O332" s="13"/>
      <c r="P332" s="13"/>
      <c r="Q332" s="35"/>
      <c r="R332" s="35"/>
      <c r="S332" s="35"/>
      <c r="T332" s="1"/>
      <c r="U332" s="1"/>
      <c r="V332" s="1"/>
    </row>
    <row r="333" ht="15.75" customHeight="1">
      <c r="A333" s="13"/>
      <c r="B333" s="13" t="s">
        <v>18</v>
      </c>
      <c r="C333" s="169" t="s">
        <v>416</v>
      </c>
      <c r="D333" s="14" t="s">
        <v>20</v>
      </c>
      <c r="E333" s="15"/>
      <c r="F333" s="16">
        <v>1.0</v>
      </c>
      <c r="G333" s="17">
        <v>5.0</v>
      </c>
      <c r="H333" s="17">
        <f t="shared" si="15"/>
        <v>5</v>
      </c>
      <c r="I333" s="18"/>
      <c r="J333" s="18"/>
      <c r="K333" s="13"/>
      <c r="L333" s="13"/>
      <c r="M333" s="19"/>
      <c r="N333" s="19"/>
      <c r="O333" s="38"/>
      <c r="P333" s="19"/>
      <c r="Q333" s="35"/>
      <c r="R333" s="35"/>
      <c r="S333" s="35"/>
      <c r="T333" s="1"/>
      <c r="U333" s="1"/>
      <c r="V333" s="1"/>
    </row>
    <row r="334" ht="15.75" customHeight="1">
      <c r="A334" s="13"/>
      <c r="B334" s="13" t="s">
        <v>18</v>
      </c>
      <c r="C334" s="169" t="s">
        <v>296</v>
      </c>
      <c r="D334" s="14" t="s">
        <v>20</v>
      </c>
      <c r="E334" s="218" t="s">
        <v>417</v>
      </c>
      <c r="F334" s="16">
        <v>1.0</v>
      </c>
      <c r="G334" s="34">
        <v>132.0</v>
      </c>
      <c r="H334" s="17">
        <f t="shared" si="15"/>
        <v>132</v>
      </c>
      <c r="I334" s="18"/>
      <c r="J334" s="18"/>
      <c r="K334" s="13"/>
      <c r="L334" s="27"/>
      <c r="M334" s="28"/>
      <c r="N334" s="27"/>
      <c r="O334" s="28"/>
      <c r="P334" s="27"/>
      <c r="Q334" s="35"/>
      <c r="R334" s="35"/>
      <c r="S334" s="35"/>
      <c r="T334" s="1"/>
      <c r="U334" s="1"/>
      <c r="V334" s="1"/>
    </row>
    <row r="335" ht="15.75" customHeight="1">
      <c r="A335" s="13"/>
      <c r="B335" s="43" t="s">
        <v>56</v>
      </c>
      <c r="C335" s="169" t="s">
        <v>298</v>
      </c>
      <c r="D335" s="70" t="s">
        <v>24</v>
      </c>
      <c r="E335" s="15"/>
      <c r="F335" s="16">
        <v>1.0</v>
      </c>
      <c r="G335" s="17">
        <v>95.0</v>
      </c>
      <c r="H335" s="17">
        <f t="shared" si="15"/>
        <v>95</v>
      </c>
      <c r="I335" s="18"/>
      <c r="J335" s="18"/>
      <c r="K335" s="13"/>
      <c r="L335" s="63"/>
      <c r="M335" s="63"/>
      <c r="N335" s="63"/>
      <c r="O335" s="63"/>
      <c r="P335" s="63"/>
      <c r="Q335" s="35"/>
      <c r="R335" s="35"/>
      <c r="S335" s="35"/>
      <c r="T335" s="1"/>
      <c r="U335" s="1"/>
      <c r="V335" s="1"/>
    </row>
    <row r="336" ht="15.75" hidden="1" customHeight="1">
      <c r="A336" s="13"/>
      <c r="B336" s="13"/>
      <c r="C336" s="169" t="s">
        <v>299</v>
      </c>
      <c r="D336" s="70" t="s">
        <v>24</v>
      </c>
      <c r="E336" s="15"/>
      <c r="F336" s="16">
        <v>0.0</v>
      </c>
      <c r="G336" s="17">
        <v>120.0</v>
      </c>
      <c r="H336" s="17">
        <f t="shared" si="15"/>
        <v>0</v>
      </c>
      <c r="I336" s="18"/>
      <c r="J336" s="18"/>
      <c r="K336" s="13"/>
      <c r="L336" s="63"/>
      <c r="M336" s="63"/>
      <c r="N336" s="63"/>
      <c r="O336" s="63"/>
      <c r="P336" s="63"/>
      <c r="Q336" s="35"/>
      <c r="R336" s="35"/>
      <c r="S336" s="35"/>
      <c r="T336" s="1"/>
      <c r="U336" s="1"/>
      <c r="V336" s="1"/>
    </row>
    <row r="337" ht="15.75" customHeight="1">
      <c r="A337" s="13"/>
      <c r="B337" s="13" t="s">
        <v>18</v>
      </c>
      <c r="C337" s="169" t="s">
        <v>300</v>
      </c>
      <c r="D337" s="14" t="s">
        <v>20</v>
      </c>
      <c r="E337" s="15"/>
      <c r="F337" s="40">
        <v>6.0</v>
      </c>
      <c r="G337" s="17">
        <v>5.0</v>
      </c>
      <c r="H337" s="17">
        <f t="shared" si="15"/>
        <v>30</v>
      </c>
      <c r="I337" s="18"/>
      <c r="J337" s="18"/>
      <c r="K337" s="13"/>
      <c r="L337" s="27"/>
      <c r="M337" s="27"/>
      <c r="N337" s="27"/>
      <c r="O337" s="27"/>
      <c r="P337" s="27"/>
      <c r="Q337" s="35"/>
      <c r="R337" s="35"/>
      <c r="S337" s="35"/>
      <c r="T337" s="1"/>
      <c r="U337" s="1"/>
      <c r="V337" s="1"/>
    </row>
    <row r="338" ht="15.75" hidden="1" customHeight="1">
      <c r="A338" s="13"/>
      <c r="B338" s="13" t="s">
        <v>18</v>
      </c>
      <c r="C338" s="169" t="s">
        <v>301</v>
      </c>
      <c r="D338" s="14" t="s">
        <v>20</v>
      </c>
      <c r="E338" s="15" t="s">
        <v>302</v>
      </c>
      <c r="F338" s="16">
        <v>0.0</v>
      </c>
      <c r="G338" s="17">
        <v>6.2</v>
      </c>
      <c r="H338" s="17">
        <f t="shared" si="15"/>
        <v>0</v>
      </c>
      <c r="I338" s="18"/>
      <c r="J338" s="18"/>
      <c r="K338" s="13"/>
      <c r="L338" s="27"/>
      <c r="M338" s="27"/>
      <c r="N338" s="27"/>
      <c r="O338" s="27"/>
      <c r="P338" s="27"/>
      <c r="Q338" s="35"/>
      <c r="R338" s="35"/>
      <c r="S338" s="35"/>
      <c r="T338" s="1"/>
      <c r="U338" s="1"/>
      <c r="V338" s="1"/>
    </row>
    <row r="339" ht="15.75" hidden="1" customHeight="1">
      <c r="A339" s="13"/>
      <c r="B339" s="13"/>
      <c r="C339" s="169" t="s">
        <v>303</v>
      </c>
      <c r="D339" s="70" t="s">
        <v>24</v>
      </c>
      <c r="E339" s="15"/>
      <c r="F339" s="16">
        <v>0.0</v>
      </c>
      <c r="G339" s="17">
        <v>40.0</v>
      </c>
      <c r="H339" s="17">
        <f t="shared" si="15"/>
        <v>0</v>
      </c>
      <c r="I339" s="18"/>
      <c r="J339" s="18"/>
      <c r="K339" s="13"/>
      <c r="L339" s="27"/>
      <c r="M339" s="27"/>
      <c r="N339" s="27"/>
      <c r="O339" s="27"/>
      <c r="P339" s="27"/>
      <c r="Q339" s="35"/>
      <c r="R339" s="35"/>
      <c r="S339" s="35"/>
      <c r="T339" s="1"/>
      <c r="U339" s="1"/>
      <c r="V339" s="1"/>
    </row>
    <row r="340" ht="15.75" hidden="1" customHeight="1">
      <c r="A340" s="13"/>
      <c r="B340" s="13" t="s">
        <v>18</v>
      </c>
      <c r="C340" s="169" t="s">
        <v>47</v>
      </c>
      <c r="D340" s="14" t="s">
        <v>20</v>
      </c>
      <c r="E340" s="15" t="s">
        <v>418</v>
      </c>
      <c r="F340" s="16">
        <v>0.0</v>
      </c>
      <c r="G340" s="17">
        <v>63.0</v>
      </c>
      <c r="H340" s="17">
        <f t="shared" si="15"/>
        <v>0</v>
      </c>
      <c r="I340" s="18"/>
      <c r="J340" s="18"/>
      <c r="K340" s="13"/>
      <c r="L340" s="27"/>
      <c r="M340" s="27"/>
      <c r="N340" s="27"/>
      <c r="O340" s="27"/>
      <c r="P340" s="27"/>
      <c r="Q340" s="35"/>
      <c r="R340" s="35"/>
      <c r="S340" s="35"/>
      <c r="T340" s="1"/>
      <c r="U340" s="1"/>
      <c r="V340" s="1"/>
    </row>
    <row r="341" ht="15.75" hidden="1" customHeight="1">
      <c r="A341" s="13"/>
      <c r="B341" s="13"/>
      <c r="C341" s="169" t="s">
        <v>304</v>
      </c>
      <c r="D341" s="70" t="s">
        <v>24</v>
      </c>
      <c r="E341" s="15"/>
      <c r="F341" s="16">
        <v>0.0</v>
      </c>
      <c r="G341" s="17">
        <v>120.0</v>
      </c>
      <c r="H341" s="17">
        <f t="shared" si="15"/>
        <v>0</v>
      </c>
      <c r="I341" s="18"/>
      <c r="J341" s="18"/>
      <c r="K341" s="13"/>
      <c r="L341" s="27"/>
      <c r="M341" s="27"/>
      <c r="N341" s="27"/>
      <c r="O341" s="27"/>
      <c r="P341" s="27"/>
      <c r="Q341" s="35"/>
      <c r="R341" s="35"/>
      <c r="S341" s="35"/>
      <c r="T341" s="1"/>
      <c r="U341" s="1"/>
      <c r="V341" s="1"/>
    </row>
    <row r="342" ht="15.75" hidden="1" customHeight="1">
      <c r="A342" s="13"/>
      <c r="B342" s="13" t="s">
        <v>18</v>
      </c>
      <c r="C342" s="169" t="s">
        <v>389</v>
      </c>
      <c r="D342" s="14" t="s">
        <v>20</v>
      </c>
      <c r="E342" s="15"/>
      <c r="F342" s="16">
        <v>0.0</v>
      </c>
      <c r="G342" s="17">
        <v>5.0</v>
      </c>
      <c r="H342" s="17">
        <f t="shared" si="15"/>
        <v>0</v>
      </c>
      <c r="I342" s="18"/>
      <c r="J342" s="18"/>
      <c r="K342" s="13"/>
      <c r="L342" s="27"/>
      <c r="M342" s="27"/>
      <c r="N342" s="27"/>
      <c r="O342" s="27"/>
      <c r="P342" s="27"/>
      <c r="Q342" s="35"/>
      <c r="R342" s="35"/>
      <c r="S342" s="35"/>
      <c r="T342" s="1"/>
      <c r="U342" s="1"/>
      <c r="V342" s="1"/>
    </row>
    <row r="343" ht="15.75" customHeight="1">
      <c r="A343" s="13"/>
      <c r="B343" s="43" t="s">
        <v>234</v>
      </c>
      <c r="C343" s="169" t="s">
        <v>305</v>
      </c>
      <c r="D343" s="101" t="s">
        <v>32</v>
      </c>
      <c r="E343" s="154" t="s">
        <v>419</v>
      </c>
      <c r="F343" s="40">
        <v>2.0</v>
      </c>
      <c r="G343" s="34">
        <v>451.4</v>
      </c>
      <c r="H343" s="17">
        <f t="shared" si="15"/>
        <v>902.8</v>
      </c>
      <c r="I343" s="18"/>
      <c r="J343" s="18"/>
      <c r="K343" s="13"/>
      <c r="L343" s="13"/>
      <c r="M343" s="13"/>
      <c r="N343" s="13"/>
      <c r="O343" s="13"/>
      <c r="P343" s="13"/>
      <c r="Q343" s="35"/>
      <c r="R343" s="35"/>
      <c r="S343" s="35"/>
      <c r="T343" s="1"/>
      <c r="U343" s="1"/>
      <c r="V343" s="1"/>
    </row>
    <row r="344" ht="15.75" customHeight="1">
      <c r="A344" s="13"/>
      <c r="B344" s="43" t="s">
        <v>217</v>
      </c>
      <c r="C344" s="169" t="s">
        <v>307</v>
      </c>
      <c r="D344" s="101" t="s">
        <v>32</v>
      </c>
      <c r="E344" s="154">
        <v>82570.0</v>
      </c>
      <c r="F344" s="40">
        <v>1.0</v>
      </c>
      <c r="G344" s="34">
        <v>387.84</v>
      </c>
      <c r="H344" s="17">
        <f t="shared" si="15"/>
        <v>387.84</v>
      </c>
      <c r="I344" s="18"/>
      <c r="J344" s="18"/>
      <c r="K344" s="43"/>
      <c r="L344" s="27"/>
      <c r="M344" s="28"/>
      <c r="N344" s="27"/>
      <c r="O344" s="27"/>
      <c r="P344" s="27"/>
      <c r="Q344" s="35"/>
      <c r="R344" s="35"/>
      <c r="S344" s="35"/>
      <c r="T344" s="1"/>
      <c r="U344" s="1"/>
      <c r="V344" s="1"/>
    </row>
    <row r="345" ht="15.75" customHeight="1">
      <c r="A345" s="13"/>
      <c r="B345" s="43" t="s">
        <v>217</v>
      </c>
      <c r="C345" s="169" t="s">
        <v>308</v>
      </c>
      <c r="D345" s="101" t="s">
        <v>32</v>
      </c>
      <c r="E345" s="154">
        <v>82572.0</v>
      </c>
      <c r="F345" s="16">
        <v>1.0</v>
      </c>
      <c r="G345" s="34">
        <v>1014.55</v>
      </c>
      <c r="H345" s="17">
        <f t="shared" si="15"/>
        <v>1014.55</v>
      </c>
      <c r="I345" s="18"/>
      <c r="J345" s="18"/>
      <c r="K345" s="43"/>
      <c r="L345" s="27"/>
      <c r="M345" s="28"/>
      <c r="N345" s="27"/>
      <c r="O345" s="28"/>
      <c r="P345" s="28"/>
      <c r="Q345" s="35"/>
      <c r="R345" s="35"/>
      <c r="S345" s="35"/>
      <c r="T345" s="1"/>
      <c r="U345" s="1"/>
      <c r="V345" s="1"/>
    </row>
    <row r="346" ht="15.75" hidden="1" customHeight="1">
      <c r="A346" s="130"/>
      <c r="B346" s="130" t="s">
        <v>18</v>
      </c>
      <c r="C346" s="175" t="s">
        <v>309</v>
      </c>
      <c r="D346" s="176" t="s">
        <v>20</v>
      </c>
      <c r="E346" s="177" t="s">
        <v>310</v>
      </c>
      <c r="F346" s="178">
        <v>0.0</v>
      </c>
      <c r="G346" s="179">
        <v>15.0</v>
      </c>
      <c r="H346" s="179">
        <f t="shared" si="15"/>
        <v>0</v>
      </c>
      <c r="I346" s="180"/>
      <c r="J346" s="180"/>
      <c r="K346" s="130"/>
      <c r="L346" s="130"/>
      <c r="M346" s="181"/>
      <c r="N346" s="130"/>
      <c r="O346" s="181"/>
      <c r="P346" s="181"/>
      <c r="Q346" s="182"/>
      <c r="R346" s="182"/>
      <c r="S346" s="182"/>
      <c r="T346" s="182"/>
      <c r="U346" s="182"/>
      <c r="V346" s="182"/>
    </row>
    <row r="347" ht="15.75" hidden="1" customHeight="1">
      <c r="A347" s="130"/>
      <c r="B347" s="130" t="s">
        <v>18</v>
      </c>
      <c r="C347" s="175" t="s">
        <v>311</v>
      </c>
      <c r="D347" s="176" t="s">
        <v>20</v>
      </c>
      <c r="E347" s="177" t="s">
        <v>312</v>
      </c>
      <c r="F347" s="178">
        <v>0.0</v>
      </c>
      <c r="G347" s="179">
        <v>15.0</v>
      </c>
      <c r="H347" s="179">
        <f t="shared" si="15"/>
        <v>0</v>
      </c>
      <c r="I347" s="180"/>
      <c r="J347" s="180"/>
      <c r="K347" s="130"/>
      <c r="L347" s="130"/>
      <c r="M347" s="181"/>
      <c r="N347" s="130"/>
      <c r="O347" s="181"/>
      <c r="P347" s="181"/>
      <c r="Q347" s="182"/>
      <c r="R347" s="182"/>
      <c r="S347" s="182"/>
      <c r="T347" s="182"/>
      <c r="U347" s="182"/>
      <c r="V347" s="182"/>
    </row>
    <row r="348" ht="15.75" hidden="1" customHeight="1">
      <c r="A348" s="130"/>
      <c r="B348" s="130" t="s">
        <v>18</v>
      </c>
      <c r="C348" s="175" t="s">
        <v>313</v>
      </c>
      <c r="D348" s="176" t="s">
        <v>20</v>
      </c>
      <c r="E348" s="177" t="s">
        <v>314</v>
      </c>
      <c r="F348" s="178">
        <v>0.0</v>
      </c>
      <c r="G348" s="179">
        <v>1.6</v>
      </c>
      <c r="H348" s="179">
        <f t="shared" si="15"/>
        <v>0</v>
      </c>
      <c r="I348" s="180"/>
      <c r="J348" s="180"/>
      <c r="K348" s="130"/>
      <c r="L348" s="130"/>
      <c r="M348" s="181"/>
      <c r="N348" s="130"/>
      <c r="O348" s="181"/>
      <c r="P348" s="181"/>
      <c r="Q348" s="182"/>
      <c r="R348" s="182"/>
      <c r="S348" s="182"/>
      <c r="T348" s="182"/>
      <c r="U348" s="182"/>
      <c r="V348" s="182"/>
    </row>
    <row r="349" ht="15.75" hidden="1" customHeight="1">
      <c r="A349" s="13"/>
      <c r="B349" s="13"/>
      <c r="C349" s="169" t="s">
        <v>59</v>
      </c>
      <c r="D349" s="101" t="s">
        <v>32</v>
      </c>
      <c r="E349" s="15" t="s">
        <v>60</v>
      </c>
      <c r="F349" s="16">
        <v>0.0</v>
      </c>
      <c r="G349" s="17">
        <v>0.0</v>
      </c>
      <c r="H349" s="17">
        <f t="shared" si="15"/>
        <v>0</v>
      </c>
      <c r="I349" s="18"/>
      <c r="J349" s="18"/>
      <c r="K349" s="13"/>
      <c r="L349" s="27"/>
      <c r="M349" s="28"/>
      <c r="N349" s="27"/>
      <c r="O349" s="28"/>
      <c r="P349" s="28"/>
      <c r="Q349" s="35"/>
      <c r="R349" s="35"/>
      <c r="S349" s="35"/>
      <c r="T349" s="1"/>
      <c r="U349" s="1"/>
      <c r="V349" s="1"/>
    </row>
    <row r="350" ht="15.75" customHeight="1">
      <c r="A350" s="13"/>
      <c r="B350" s="220" t="s">
        <v>234</v>
      </c>
      <c r="C350" s="195" t="s">
        <v>259</v>
      </c>
      <c r="D350" s="101" t="s">
        <v>32</v>
      </c>
      <c r="E350" s="154">
        <v>506.0</v>
      </c>
      <c r="F350" s="40">
        <v>1.0</v>
      </c>
      <c r="G350" s="34">
        <v>238.0</v>
      </c>
      <c r="H350" s="17">
        <f t="shared" si="15"/>
        <v>238</v>
      </c>
      <c r="I350" s="18"/>
      <c r="J350" s="18"/>
      <c r="K350" s="13"/>
      <c r="L350" s="27"/>
      <c r="M350" s="28"/>
      <c r="N350" s="27"/>
      <c r="O350" s="28"/>
      <c r="P350" s="28"/>
      <c r="Q350" s="35"/>
      <c r="R350" s="35"/>
      <c r="S350" s="35"/>
      <c r="T350" s="1"/>
      <c r="U350" s="1"/>
      <c r="V350" s="1"/>
    </row>
    <row r="351" ht="15.75" hidden="1" customHeight="1">
      <c r="A351" s="13"/>
      <c r="B351" s="18" t="s">
        <v>18</v>
      </c>
      <c r="C351" s="169" t="s">
        <v>315</v>
      </c>
      <c r="D351" s="14" t="s">
        <v>20</v>
      </c>
      <c r="E351" s="33" t="s">
        <v>420</v>
      </c>
      <c r="F351" s="40">
        <v>0.0</v>
      </c>
      <c r="G351" s="17">
        <v>40.0</v>
      </c>
      <c r="H351" s="17">
        <f t="shared" si="15"/>
        <v>0</v>
      </c>
      <c r="I351" s="18"/>
      <c r="J351" s="18"/>
      <c r="K351" s="13"/>
      <c r="L351" s="27"/>
      <c r="M351" s="28"/>
      <c r="N351" s="27"/>
      <c r="O351" s="28"/>
      <c r="P351" s="28"/>
      <c r="Q351" s="35"/>
      <c r="R351" s="35"/>
      <c r="S351" s="35"/>
      <c r="T351" s="1"/>
      <c r="U351" s="1"/>
      <c r="V351" s="1"/>
    </row>
    <row r="352" ht="15.75" hidden="1" customHeight="1">
      <c r="A352" s="13"/>
      <c r="B352" s="166"/>
      <c r="C352" s="188" t="s">
        <v>259</v>
      </c>
      <c r="D352" s="167" t="s">
        <v>32</v>
      </c>
      <c r="E352" s="219"/>
      <c r="F352" s="190">
        <v>0.0</v>
      </c>
      <c r="G352" s="192">
        <v>0.0</v>
      </c>
      <c r="H352" s="192">
        <f t="shared" si="15"/>
        <v>0</v>
      </c>
      <c r="I352" s="193"/>
      <c r="J352" s="18"/>
      <c r="K352" s="13"/>
      <c r="L352" s="27"/>
      <c r="M352" s="28"/>
      <c r="N352" s="27"/>
      <c r="O352" s="27"/>
      <c r="P352" s="27"/>
      <c r="Q352" s="35"/>
      <c r="R352" s="35"/>
      <c r="S352" s="35"/>
      <c r="T352" s="1"/>
      <c r="U352" s="1"/>
      <c r="V352" s="1"/>
    </row>
    <row r="353" ht="15.75" hidden="1" customHeight="1">
      <c r="A353" s="13"/>
      <c r="B353" s="166" t="s">
        <v>397</v>
      </c>
      <c r="C353" s="188" t="s">
        <v>318</v>
      </c>
      <c r="D353" s="167" t="s">
        <v>32</v>
      </c>
      <c r="E353" s="219" t="s">
        <v>398</v>
      </c>
      <c r="F353" s="190">
        <v>0.0</v>
      </c>
      <c r="G353" s="192">
        <v>354.0</v>
      </c>
      <c r="H353" s="192">
        <f t="shared" si="15"/>
        <v>0</v>
      </c>
      <c r="I353" s="193"/>
      <c r="J353" s="18"/>
      <c r="K353" s="13"/>
      <c r="L353" s="13"/>
      <c r="M353" s="13"/>
      <c r="N353" s="13"/>
      <c r="O353" s="13"/>
      <c r="P353" s="13"/>
      <c r="Q353" s="35"/>
      <c r="R353" s="35"/>
      <c r="S353" s="35"/>
      <c r="T353" s="1"/>
      <c r="U353" s="1"/>
      <c r="V353" s="1"/>
    </row>
    <row r="354" ht="15.75" hidden="1" customHeight="1">
      <c r="A354" s="13"/>
      <c r="B354" s="13" t="s">
        <v>320</v>
      </c>
      <c r="C354" s="169" t="s">
        <v>321</v>
      </c>
      <c r="D354" s="66" t="s">
        <v>22</v>
      </c>
      <c r="E354" s="15"/>
      <c r="F354" s="16">
        <v>0.0</v>
      </c>
      <c r="G354" s="17">
        <v>10.0</v>
      </c>
      <c r="H354" s="17">
        <f t="shared" si="15"/>
        <v>0</v>
      </c>
      <c r="I354" s="18"/>
      <c r="J354" s="18"/>
      <c r="K354" s="13"/>
      <c r="L354" s="13"/>
      <c r="M354" s="19"/>
      <c r="N354" s="13"/>
      <c r="O354" s="13"/>
      <c r="P354" s="13"/>
      <c r="Q354" s="35"/>
      <c r="R354" s="35"/>
      <c r="S354" s="35"/>
      <c r="T354" s="1"/>
      <c r="U354" s="1"/>
      <c r="V354" s="1"/>
    </row>
    <row r="355" ht="15.75" customHeight="1">
      <c r="A355" s="13"/>
      <c r="B355" s="13" t="s">
        <v>239</v>
      </c>
      <c r="C355" s="195" t="s">
        <v>322</v>
      </c>
      <c r="D355" s="14" t="s">
        <v>20</v>
      </c>
      <c r="E355" s="15"/>
      <c r="F355" s="16">
        <v>1.0</v>
      </c>
      <c r="G355" s="34">
        <v>877.0</v>
      </c>
      <c r="H355" s="17">
        <f t="shared" si="15"/>
        <v>877</v>
      </c>
      <c r="I355" s="18"/>
      <c r="J355" s="18"/>
      <c r="K355" s="13"/>
      <c r="L355" s="13"/>
      <c r="M355" s="19"/>
      <c r="N355" s="13"/>
      <c r="O355" s="19"/>
      <c r="P355" s="19"/>
      <c r="Q355" s="35"/>
      <c r="R355" s="35"/>
      <c r="S355" s="35"/>
      <c r="T355" s="1"/>
      <c r="U355" s="1"/>
      <c r="V355" s="1"/>
    </row>
    <row r="356" ht="15.75" customHeight="1">
      <c r="A356" s="13"/>
      <c r="B356" s="43" t="s">
        <v>56</v>
      </c>
      <c r="C356" s="169" t="s">
        <v>323</v>
      </c>
      <c r="D356" s="70" t="s">
        <v>24</v>
      </c>
      <c r="E356" s="15"/>
      <c r="F356" s="16">
        <v>1.0</v>
      </c>
      <c r="G356" s="17">
        <v>80.0</v>
      </c>
      <c r="H356" s="17">
        <f t="shared" si="15"/>
        <v>80</v>
      </c>
      <c r="I356" s="18"/>
      <c r="J356" s="18"/>
      <c r="K356" s="13"/>
      <c r="L356" s="63"/>
      <c r="M356" s="63"/>
      <c r="N356" s="63"/>
      <c r="O356" s="63"/>
      <c r="P356" s="63"/>
      <c r="Q356" s="35"/>
      <c r="R356" s="35"/>
      <c r="S356" s="35"/>
      <c r="T356" s="1"/>
      <c r="U356" s="1"/>
      <c r="V356" s="1"/>
    </row>
    <row r="357" ht="15.75" customHeight="1">
      <c r="A357" s="13"/>
      <c r="B357" s="43" t="s">
        <v>56</v>
      </c>
      <c r="C357" s="169" t="s">
        <v>324</v>
      </c>
      <c r="D357" s="14" t="s">
        <v>20</v>
      </c>
      <c r="E357" s="15"/>
      <c r="F357" s="16">
        <v>1.0</v>
      </c>
      <c r="G357" s="17">
        <v>35.0</v>
      </c>
      <c r="H357" s="17">
        <f t="shared" si="15"/>
        <v>35</v>
      </c>
      <c r="I357" s="18"/>
      <c r="J357" s="18"/>
      <c r="K357" s="13"/>
      <c r="L357" s="13"/>
      <c r="M357" s="19"/>
      <c r="N357" s="13"/>
      <c r="O357" s="19"/>
      <c r="P357" s="19"/>
      <c r="Q357" s="35"/>
      <c r="R357" s="35"/>
      <c r="S357" s="35"/>
      <c r="T357" s="1"/>
      <c r="U357" s="1"/>
      <c r="V357" s="1"/>
    </row>
    <row r="358" ht="15.75" hidden="1" customHeight="1">
      <c r="A358" s="13"/>
      <c r="B358" s="13"/>
      <c r="C358" s="169" t="s">
        <v>258</v>
      </c>
      <c r="D358" s="66" t="s">
        <v>22</v>
      </c>
      <c r="E358" s="15"/>
      <c r="F358" s="16">
        <v>0.0</v>
      </c>
      <c r="G358" s="17">
        <v>150.0</v>
      </c>
      <c r="H358" s="17">
        <f t="shared" si="15"/>
        <v>0</v>
      </c>
      <c r="I358" s="18"/>
      <c r="J358" s="18"/>
      <c r="K358" s="13"/>
      <c r="L358" s="13"/>
      <c r="M358" s="19"/>
      <c r="N358" s="13"/>
      <c r="O358" s="19"/>
      <c r="P358" s="19"/>
      <c r="Q358" s="35"/>
      <c r="R358" s="35"/>
      <c r="S358" s="35"/>
      <c r="T358" s="1"/>
      <c r="U358" s="1"/>
      <c r="V358" s="1"/>
    </row>
    <row r="359" ht="15.75" customHeight="1">
      <c r="A359" s="13"/>
      <c r="B359" s="43" t="s">
        <v>18</v>
      </c>
      <c r="C359" s="196" t="s">
        <v>421</v>
      </c>
      <c r="D359" s="150" t="s">
        <v>22</v>
      </c>
      <c r="E359" s="229" t="s">
        <v>422</v>
      </c>
      <c r="F359" s="215">
        <v>2.0</v>
      </c>
      <c r="G359" s="49">
        <v>72.0</v>
      </c>
      <c r="H359" s="50">
        <f t="shared" si="15"/>
        <v>144</v>
      </c>
      <c r="I359" s="18"/>
      <c r="J359" s="18"/>
      <c r="K359" s="13"/>
      <c r="L359" s="13"/>
      <c r="M359" s="13"/>
      <c r="N359" s="13"/>
      <c r="O359" s="19"/>
      <c r="P359" s="19"/>
      <c r="Q359" s="35"/>
      <c r="R359" s="35"/>
      <c r="S359" s="35"/>
      <c r="T359" s="1"/>
      <c r="U359" s="1"/>
      <c r="V359" s="1"/>
    </row>
    <row r="360" ht="15.75" hidden="1" customHeight="1">
      <c r="A360" s="13"/>
      <c r="B360" s="13" t="s">
        <v>18</v>
      </c>
      <c r="C360" s="196" t="s">
        <v>325</v>
      </c>
      <c r="D360" s="150" t="s">
        <v>22</v>
      </c>
      <c r="E360" s="199" t="s">
        <v>423</v>
      </c>
      <c r="F360" s="215">
        <v>0.0</v>
      </c>
      <c r="G360" s="50">
        <v>150.0</v>
      </c>
      <c r="H360" s="50">
        <f t="shared" si="15"/>
        <v>0</v>
      </c>
      <c r="I360" s="18"/>
      <c r="J360" s="18"/>
      <c r="K360" s="13"/>
      <c r="L360" s="13"/>
      <c r="M360" s="13"/>
      <c r="N360" s="13"/>
      <c r="O360" s="19"/>
      <c r="P360" s="19"/>
      <c r="Q360" s="35"/>
      <c r="R360" s="35"/>
      <c r="S360" s="35"/>
      <c r="T360" s="1"/>
      <c r="U360" s="1"/>
      <c r="V360" s="1"/>
    </row>
    <row r="361" ht="15.75" hidden="1" customHeight="1">
      <c r="A361" s="15"/>
      <c r="B361" s="52" t="s">
        <v>18</v>
      </c>
      <c r="C361" s="196" t="s">
        <v>329</v>
      </c>
      <c r="D361" s="150" t="s">
        <v>22</v>
      </c>
      <c r="E361" s="199" t="s">
        <v>330</v>
      </c>
      <c r="F361" s="215">
        <v>0.0</v>
      </c>
      <c r="G361" s="49">
        <v>25.2</v>
      </c>
      <c r="H361" s="50">
        <f t="shared" si="15"/>
        <v>0</v>
      </c>
      <c r="I361" s="51"/>
      <c r="J361" s="51"/>
      <c r="K361" s="52"/>
      <c r="L361" s="52"/>
      <c r="M361" s="52"/>
      <c r="N361" s="52"/>
      <c r="O361" s="200"/>
      <c r="P361" s="200"/>
      <c r="Q361" s="1"/>
      <c r="R361" s="1"/>
      <c r="S361" s="1"/>
      <c r="T361" s="1"/>
      <c r="U361" s="1"/>
      <c r="V361" s="1"/>
    </row>
    <row r="362" ht="15.75" hidden="1" customHeight="1">
      <c r="A362" s="53"/>
      <c r="B362" s="54" t="s">
        <v>18</v>
      </c>
      <c r="C362" s="197" t="s">
        <v>331</v>
      </c>
      <c r="D362" s="198" t="s">
        <v>22</v>
      </c>
      <c r="E362" s="201" t="s">
        <v>332</v>
      </c>
      <c r="F362" s="158">
        <v>0.0</v>
      </c>
      <c r="G362" s="159">
        <v>48.0</v>
      </c>
      <c r="H362" s="57">
        <f t="shared" si="15"/>
        <v>0</v>
      </c>
      <c r="I362" s="58"/>
      <c r="J362" s="58"/>
      <c r="K362" s="54"/>
      <c r="L362" s="54"/>
      <c r="M362" s="54"/>
      <c r="N362" s="54"/>
      <c r="O362" s="202"/>
      <c r="P362" s="202"/>
      <c r="Q362" s="1"/>
      <c r="R362" s="1"/>
      <c r="S362" s="1"/>
      <c r="T362" s="1"/>
      <c r="U362" s="1"/>
      <c r="V362" s="1"/>
    </row>
    <row r="363" ht="15.75" hidden="1" customHeight="1">
      <c r="A363" s="53"/>
      <c r="B363" s="54" t="s">
        <v>18</v>
      </c>
      <c r="C363" s="203" t="s">
        <v>333</v>
      </c>
      <c r="D363" s="198" t="s">
        <v>22</v>
      </c>
      <c r="E363" s="204" t="s">
        <v>334</v>
      </c>
      <c r="F363" s="158">
        <v>0.0</v>
      </c>
      <c r="G363" s="159">
        <v>46.8</v>
      </c>
      <c r="H363" s="57">
        <f t="shared" si="15"/>
        <v>0</v>
      </c>
      <c r="I363" s="58"/>
      <c r="J363" s="58"/>
      <c r="K363" s="54"/>
      <c r="L363" s="54"/>
      <c r="M363" s="54"/>
      <c r="N363" s="54"/>
      <c r="O363" s="202"/>
      <c r="P363" s="202"/>
      <c r="Q363" s="1"/>
      <c r="R363" s="1"/>
      <c r="S363" s="1"/>
      <c r="T363" s="1"/>
      <c r="U363" s="1"/>
      <c r="V363" s="1"/>
    </row>
    <row r="364" ht="15.75" hidden="1" customHeight="1">
      <c r="A364" s="53"/>
      <c r="B364" s="52" t="s">
        <v>18</v>
      </c>
      <c r="C364" s="196" t="s">
        <v>335</v>
      </c>
      <c r="D364" s="150" t="s">
        <v>22</v>
      </c>
      <c r="E364" s="44"/>
      <c r="F364" s="48">
        <v>0.0</v>
      </c>
      <c r="G364" s="50">
        <v>29.69</v>
      </c>
      <c r="H364" s="50">
        <f t="shared" si="15"/>
        <v>0</v>
      </c>
      <c r="I364" s="58"/>
      <c r="J364" s="58"/>
      <c r="K364" s="54"/>
      <c r="L364" s="54"/>
      <c r="M364" s="54"/>
      <c r="N364" s="54"/>
      <c r="O364" s="202"/>
      <c r="P364" s="202"/>
      <c r="Q364" s="1"/>
      <c r="R364" s="1"/>
      <c r="S364" s="1"/>
      <c r="T364" s="1"/>
      <c r="U364" s="1"/>
      <c r="V364" s="1"/>
    </row>
    <row r="365" ht="15.75" hidden="1" customHeight="1">
      <c r="A365" s="15"/>
      <c r="B365" s="54" t="s">
        <v>18</v>
      </c>
      <c r="C365" s="197" t="s">
        <v>336</v>
      </c>
      <c r="D365" s="198" t="s">
        <v>22</v>
      </c>
      <c r="E365" s="54" t="s">
        <v>337</v>
      </c>
      <c r="F365" s="56">
        <v>0.0</v>
      </c>
      <c r="G365" s="57">
        <v>29.99</v>
      </c>
      <c r="H365" s="57">
        <f t="shared" si="15"/>
        <v>0</v>
      </c>
      <c r="I365" s="51"/>
      <c r="J365" s="51"/>
      <c r="K365" s="52"/>
      <c r="L365" s="52"/>
      <c r="M365" s="52"/>
      <c r="N365" s="52"/>
      <c r="O365" s="200"/>
      <c r="P365" s="200"/>
      <c r="Q365" s="1"/>
      <c r="R365" s="1"/>
      <c r="S365" s="1"/>
      <c r="T365" s="1"/>
      <c r="U365" s="1"/>
      <c r="V365" s="1"/>
    </row>
    <row r="366" ht="15.75" hidden="1" customHeight="1">
      <c r="A366" s="53"/>
      <c r="B366" s="54" t="s">
        <v>18</v>
      </c>
      <c r="C366" s="203" t="s">
        <v>338</v>
      </c>
      <c r="D366" s="198" t="s">
        <v>22</v>
      </c>
      <c r="E366" s="54" t="s">
        <v>339</v>
      </c>
      <c r="F366" s="56">
        <v>0.0</v>
      </c>
      <c r="G366" s="57">
        <v>16.69</v>
      </c>
      <c r="H366" s="57">
        <f t="shared" si="15"/>
        <v>0</v>
      </c>
      <c r="I366" s="58"/>
      <c r="J366" s="58"/>
      <c r="K366" s="54"/>
      <c r="L366" s="54"/>
      <c r="M366" s="54"/>
      <c r="N366" s="54"/>
      <c r="O366" s="202"/>
      <c r="P366" s="202"/>
      <c r="Q366" s="1"/>
      <c r="R366" s="1"/>
      <c r="S366" s="1"/>
      <c r="T366" s="1"/>
      <c r="U366" s="1"/>
      <c r="V366" s="1"/>
    </row>
    <row r="367" ht="15.75" customHeight="1">
      <c r="A367" s="53"/>
      <c r="B367" s="52" t="s">
        <v>18</v>
      </c>
      <c r="C367" s="196" t="s">
        <v>340</v>
      </c>
      <c r="D367" s="150" t="s">
        <v>22</v>
      </c>
      <c r="E367" s="199" t="s">
        <v>330</v>
      </c>
      <c r="F367" s="215">
        <v>4.0</v>
      </c>
      <c r="G367" s="49">
        <v>24.33</v>
      </c>
      <c r="H367" s="50">
        <f t="shared" si="15"/>
        <v>97.32</v>
      </c>
      <c r="I367" s="58"/>
      <c r="J367" s="58"/>
      <c r="K367" s="54"/>
      <c r="L367" s="54"/>
      <c r="M367" s="54"/>
      <c r="N367" s="54"/>
      <c r="O367" s="202"/>
      <c r="P367" s="202"/>
      <c r="Q367" s="1"/>
      <c r="R367" s="1"/>
      <c r="S367" s="1"/>
      <c r="T367" s="1"/>
      <c r="U367" s="1"/>
      <c r="V367" s="1"/>
    </row>
    <row r="368" ht="15.75" customHeight="1">
      <c r="A368" s="53"/>
      <c r="B368" s="54" t="s">
        <v>18</v>
      </c>
      <c r="C368" s="197" t="s">
        <v>341</v>
      </c>
      <c r="D368" s="198" t="s">
        <v>22</v>
      </c>
      <c r="E368" s="230" t="s">
        <v>424</v>
      </c>
      <c r="F368" s="158">
        <v>2.0</v>
      </c>
      <c r="G368" s="159">
        <v>33.6</v>
      </c>
      <c r="H368" s="57">
        <f t="shared" si="15"/>
        <v>67.2</v>
      </c>
      <c r="I368" s="58"/>
      <c r="J368" s="58"/>
      <c r="K368" s="54"/>
      <c r="L368" s="54"/>
      <c r="M368" s="54"/>
      <c r="N368" s="54"/>
      <c r="O368" s="202"/>
      <c r="P368" s="202"/>
      <c r="Q368" s="1"/>
      <c r="R368" s="1"/>
      <c r="S368" s="1"/>
      <c r="T368" s="1"/>
      <c r="U368" s="1"/>
      <c r="V368" s="1"/>
    </row>
    <row r="369" ht="15.75" customHeight="1">
      <c r="A369" s="15"/>
      <c r="B369" s="54" t="s">
        <v>18</v>
      </c>
      <c r="C369" s="197" t="s">
        <v>342</v>
      </c>
      <c r="D369" s="198" t="s">
        <v>22</v>
      </c>
      <c r="E369" s="230" t="s">
        <v>425</v>
      </c>
      <c r="F369" s="158">
        <v>2.0</v>
      </c>
      <c r="G369" s="159">
        <v>39.6</v>
      </c>
      <c r="H369" s="57">
        <f t="shared" si="15"/>
        <v>79.2</v>
      </c>
      <c r="I369" s="51"/>
      <c r="J369" s="51"/>
      <c r="K369" s="52"/>
      <c r="L369" s="52"/>
      <c r="M369" s="52"/>
      <c r="N369" s="52"/>
      <c r="O369" s="200"/>
      <c r="P369" s="200"/>
      <c r="Q369" s="1"/>
      <c r="R369" s="1"/>
      <c r="S369" s="1"/>
      <c r="T369" s="1"/>
      <c r="U369" s="1"/>
      <c r="V369" s="1"/>
    </row>
    <row r="370" ht="15.75" hidden="1" customHeight="1">
      <c r="A370" s="53"/>
      <c r="B370" s="54" t="s">
        <v>18</v>
      </c>
      <c r="C370" s="197" t="s">
        <v>344</v>
      </c>
      <c r="D370" s="198" t="s">
        <v>22</v>
      </c>
      <c r="E370" s="205" t="s">
        <v>345</v>
      </c>
      <c r="F370" s="158">
        <v>0.0</v>
      </c>
      <c r="G370" s="57">
        <v>19.0</v>
      </c>
      <c r="H370" s="57">
        <f t="shared" si="15"/>
        <v>0</v>
      </c>
      <c r="I370" s="58"/>
      <c r="J370" s="58"/>
      <c r="K370" s="54"/>
      <c r="L370" s="54"/>
      <c r="M370" s="54"/>
      <c r="N370" s="54"/>
      <c r="O370" s="202"/>
      <c r="P370" s="202"/>
      <c r="Q370" s="1"/>
      <c r="R370" s="1"/>
      <c r="S370" s="1"/>
      <c r="T370" s="1"/>
      <c r="U370" s="1"/>
      <c r="V370" s="1"/>
    </row>
    <row r="371" ht="15.75" hidden="1" customHeight="1">
      <c r="A371" s="53"/>
      <c r="B371" s="206" t="s">
        <v>18</v>
      </c>
      <c r="C371" s="197" t="s">
        <v>346</v>
      </c>
      <c r="D371" s="198" t="s">
        <v>22</v>
      </c>
      <c r="E371" s="205" t="s">
        <v>347</v>
      </c>
      <c r="F371" s="158">
        <v>0.0</v>
      </c>
      <c r="G371" s="57">
        <v>35.0</v>
      </c>
      <c r="H371" s="57">
        <f t="shared" si="15"/>
        <v>0</v>
      </c>
      <c r="I371" s="58"/>
      <c r="J371" s="58"/>
      <c r="K371" s="54"/>
      <c r="L371" s="54"/>
      <c r="M371" s="54"/>
      <c r="N371" s="54"/>
      <c r="O371" s="202"/>
      <c r="P371" s="202"/>
      <c r="Q371" s="1"/>
      <c r="R371" s="1"/>
      <c r="S371" s="1"/>
      <c r="T371" s="1"/>
      <c r="U371" s="1"/>
      <c r="V371" s="1"/>
    </row>
    <row r="372" ht="15.75" hidden="1" customHeight="1">
      <c r="A372" s="53"/>
      <c r="B372" s="13" t="s">
        <v>18</v>
      </c>
      <c r="C372" s="196" t="s">
        <v>348</v>
      </c>
      <c r="D372" s="150" t="s">
        <v>22</v>
      </c>
      <c r="E372" s="199" t="s">
        <v>349</v>
      </c>
      <c r="F372" s="215">
        <v>0.0</v>
      </c>
      <c r="G372" s="49">
        <v>24.0</v>
      </c>
      <c r="H372" s="50">
        <f t="shared" si="15"/>
        <v>0</v>
      </c>
      <c r="I372" s="58"/>
      <c r="J372" s="58"/>
      <c r="K372" s="54"/>
      <c r="L372" s="54"/>
      <c r="M372" s="54"/>
      <c r="N372" s="54"/>
      <c r="O372" s="202"/>
      <c r="P372" s="202"/>
      <c r="Q372" s="1"/>
      <c r="R372" s="1"/>
      <c r="S372" s="1"/>
      <c r="T372" s="1"/>
      <c r="U372" s="1"/>
      <c r="V372" s="1"/>
    </row>
    <row r="373" ht="15.75" hidden="1" customHeight="1">
      <c r="A373" s="13"/>
      <c r="B373" s="13" t="s">
        <v>350</v>
      </c>
      <c r="C373" s="196" t="s">
        <v>351</v>
      </c>
      <c r="D373" s="150" t="s">
        <v>22</v>
      </c>
      <c r="E373" s="207" t="s">
        <v>352</v>
      </c>
      <c r="F373" s="215">
        <v>0.0</v>
      </c>
      <c r="G373" s="49">
        <v>420.0</v>
      </c>
      <c r="H373" s="50">
        <f t="shared" si="15"/>
        <v>0</v>
      </c>
      <c r="I373" s="18"/>
      <c r="J373" s="18"/>
      <c r="K373" s="13"/>
      <c r="L373" s="13"/>
      <c r="M373" s="13"/>
      <c r="N373" s="13"/>
      <c r="O373" s="19"/>
      <c r="P373" s="19"/>
      <c r="Q373" s="35"/>
      <c r="R373" s="35"/>
      <c r="S373" s="35"/>
      <c r="T373" s="1"/>
      <c r="U373" s="1"/>
      <c r="V373" s="1"/>
    </row>
    <row r="374" ht="15.75" hidden="1" customHeight="1">
      <c r="A374" s="53"/>
      <c r="B374" s="206" t="s">
        <v>350</v>
      </c>
      <c r="C374" s="197" t="s">
        <v>353</v>
      </c>
      <c r="D374" s="198" t="s">
        <v>22</v>
      </c>
      <c r="E374" s="208" t="s">
        <v>352</v>
      </c>
      <c r="F374" s="158">
        <v>0.0</v>
      </c>
      <c r="G374" s="159">
        <v>172.0</v>
      </c>
      <c r="H374" s="57">
        <f t="shared" si="15"/>
        <v>0</v>
      </c>
      <c r="I374" s="58"/>
      <c r="J374" s="58"/>
      <c r="K374" s="54"/>
      <c r="L374" s="54"/>
      <c r="M374" s="54"/>
      <c r="N374" s="54"/>
      <c r="O374" s="202"/>
      <c r="P374" s="202"/>
      <c r="Q374" s="1"/>
      <c r="R374" s="1"/>
      <c r="S374" s="1"/>
      <c r="T374" s="1"/>
      <c r="U374" s="1"/>
      <c r="V374" s="1"/>
    </row>
    <row r="375" ht="15.75" hidden="1" customHeight="1">
      <c r="A375" s="13"/>
      <c r="B375" s="130" t="s">
        <v>426</v>
      </c>
      <c r="C375" s="197" t="s">
        <v>354</v>
      </c>
      <c r="D375" s="198" t="s">
        <v>22</v>
      </c>
      <c r="E375" s="208" t="s">
        <v>352</v>
      </c>
      <c r="F375" s="56">
        <v>0.0</v>
      </c>
      <c r="G375" s="159">
        <v>97.0</v>
      </c>
      <c r="H375" s="57">
        <f t="shared" si="15"/>
        <v>0</v>
      </c>
      <c r="I375" s="18"/>
      <c r="J375" s="18"/>
      <c r="K375" s="13"/>
      <c r="L375" s="13"/>
      <c r="M375" s="13"/>
      <c r="N375" s="13"/>
      <c r="O375" s="13"/>
      <c r="P375" s="13"/>
      <c r="Q375" s="35"/>
      <c r="R375" s="35"/>
      <c r="S375" s="35"/>
      <c r="T375" s="1"/>
      <c r="U375" s="1"/>
      <c r="V375" s="1"/>
    </row>
    <row r="376" ht="15.75" hidden="1" customHeight="1">
      <c r="A376" s="13"/>
      <c r="B376" s="156" t="s">
        <v>350</v>
      </c>
      <c r="C376" s="197" t="s">
        <v>355</v>
      </c>
      <c r="D376" s="198" t="s">
        <v>22</v>
      </c>
      <c r="E376" s="208" t="s">
        <v>356</v>
      </c>
      <c r="F376" s="56">
        <v>0.0</v>
      </c>
      <c r="G376" s="159">
        <v>366.0</v>
      </c>
      <c r="H376" s="57">
        <f t="shared" si="15"/>
        <v>0</v>
      </c>
      <c r="I376" s="18"/>
      <c r="J376" s="18"/>
      <c r="K376" s="13"/>
      <c r="L376" s="13"/>
      <c r="M376" s="13"/>
      <c r="N376" s="13"/>
      <c r="O376" s="13"/>
      <c r="P376" s="13"/>
      <c r="Q376" s="35"/>
      <c r="R376" s="35"/>
      <c r="S376" s="35"/>
      <c r="T376" s="1"/>
      <c r="U376" s="1"/>
      <c r="V376" s="1"/>
    </row>
    <row r="377" ht="15.75" hidden="1" customHeight="1">
      <c r="A377" s="13"/>
      <c r="B377" s="206" t="s">
        <v>350</v>
      </c>
      <c r="C377" s="197" t="s">
        <v>357</v>
      </c>
      <c r="D377" s="198" t="s">
        <v>22</v>
      </c>
      <c r="E377" s="208" t="s">
        <v>356</v>
      </c>
      <c r="F377" s="56">
        <v>0.0</v>
      </c>
      <c r="G377" s="159">
        <v>107.5</v>
      </c>
      <c r="H377" s="57">
        <f t="shared" si="15"/>
        <v>0</v>
      </c>
      <c r="I377" s="18"/>
      <c r="J377" s="18"/>
      <c r="K377" s="13"/>
      <c r="L377" s="13"/>
      <c r="M377" s="19"/>
      <c r="N377" s="13"/>
      <c r="O377" s="19"/>
      <c r="P377" s="19"/>
      <c r="Q377" s="35"/>
      <c r="R377" s="35"/>
      <c r="S377" s="35"/>
      <c r="T377" s="1"/>
      <c r="U377" s="1"/>
      <c r="V377" s="1"/>
    </row>
    <row r="378" ht="15.75" hidden="1" customHeight="1">
      <c r="A378" s="13"/>
      <c r="B378" s="156" t="s">
        <v>350</v>
      </c>
      <c r="C378" s="197" t="s">
        <v>358</v>
      </c>
      <c r="D378" s="198" t="s">
        <v>22</v>
      </c>
      <c r="E378" s="208" t="s">
        <v>356</v>
      </c>
      <c r="F378" s="56">
        <v>0.0</v>
      </c>
      <c r="G378" s="159">
        <v>97.0</v>
      </c>
      <c r="H378" s="57">
        <f t="shared" si="15"/>
        <v>0</v>
      </c>
      <c r="I378" s="18"/>
      <c r="J378" s="18"/>
      <c r="K378" s="13"/>
      <c r="L378" s="27"/>
      <c r="M378" s="28"/>
      <c r="N378" s="27"/>
      <c r="O378" s="28"/>
      <c r="P378" s="27"/>
      <c r="Q378" s="35"/>
      <c r="R378" s="35"/>
      <c r="S378" s="35"/>
      <c r="T378" s="1"/>
      <c r="U378" s="1"/>
      <c r="V378" s="1"/>
    </row>
    <row r="379" ht="15.75" hidden="1" customHeight="1">
      <c r="A379" s="13"/>
      <c r="B379" s="13" t="s">
        <v>18</v>
      </c>
      <c r="C379" s="196" t="s">
        <v>359</v>
      </c>
      <c r="D379" s="150" t="s">
        <v>22</v>
      </c>
      <c r="E379" s="52" t="s">
        <v>360</v>
      </c>
      <c r="F379" s="48">
        <v>0.0</v>
      </c>
      <c r="G379" s="50">
        <v>18.0</v>
      </c>
      <c r="H379" s="50">
        <f t="shared" si="15"/>
        <v>0</v>
      </c>
      <c r="I379" s="18"/>
      <c r="J379" s="18"/>
      <c r="K379" s="13"/>
      <c r="L379" s="27"/>
      <c r="M379" s="28"/>
      <c r="N379" s="27"/>
      <c r="O379" s="28"/>
      <c r="P379" s="27"/>
      <c r="Q379" s="35"/>
      <c r="R379" s="35"/>
      <c r="S379" s="35"/>
      <c r="T379" s="1"/>
      <c r="U379" s="1"/>
      <c r="V379" s="1"/>
    </row>
    <row r="380" ht="15.75" customHeight="1">
      <c r="A380" s="13"/>
      <c r="B380" s="231" t="s">
        <v>350</v>
      </c>
      <c r="C380" s="232" t="s">
        <v>407</v>
      </c>
      <c r="D380" s="233" t="s">
        <v>22</v>
      </c>
      <c r="E380" s="130"/>
      <c r="F380" s="178">
        <v>2.0</v>
      </c>
      <c r="G380" s="234">
        <v>300.0</v>
      </c>
      <c r="H380" s="179">
        <f t="shared" si="15"/>
        <v>600</v>
      </c>
      <c r="I380" s="18"/>
      <c r="J380" s="18"/>
      <c r="K380" s="13"/>
      <c r="L380" s="27"/>
      <c r="M380" s="28"/>
      <c r="N380" s="27"/>
      <c r="O380" s="28"/>
      <c r="P380" s="27"/>
      <c r="Q380" s="35"/>
      <c r="R380" s="35"/>
      <c r="S380" s="35"/>
      <c r="T380" s="1"/>
      <c r="U380" s="1"/>
      <c r="V380" s="1"/>
    </row>
    <row r="381" ht="15.75" customHeight="1">
      <c r="A381" s="13"/>
      <c r="B381" s="231" t="s">
        <v>350</v>
      </c>
      <c r="C381" s="232" t="s">
        <v>427</v>
      </c>
      <c r="D381" s="233" t="s">
        <v>22</v>
      </c>
      <c r="E381" s="231" t="s">
        <v>428</v>
      </c>
      <c r="F381" s="178">
        <v>2.0</v>
      </c>
      <c r="G381" s="235">
        <v>107.5</v>
      </c>
      <c r="H381" s="179">
        <f t="shared" si="15"/>
        <v>215</v>
      </c>
      <c r="I381" s="18"/>
      <c r="J381" s="18"/>
      <c r="K381" s="13"/>
      <c r="L381" s="27"/>
      <c r="M381" s="28"/>
      <c r="N381" s="27"/>
      <c r="O381" s="28"/>
      <c r="P381" s="27"/>
      <c r="Q381" s="35"/>
      <c r="R381" s="35"/>
      <c r="S381" s="35"/>
      <c r="T381" s="1"/>
      <c r="U381" s="1"/>
      <c r="V381" s="1"/>
    </row>
    <row r="382" ht="15.75" hidden="1" customHeight="1">
      <c r="A382" s="13"/>
      <c r="B382" s="231" t="s">
        <v>350</v>
      </c>
      <c r="C382" s="232" t="s">
        <v>429</v>
      </c>
      <c r="D382" s="233" t="s">
        <v>22</v>
      </c>
      <c r="E382" s="130"/>
      <c r="F382" s="184">
        <v>0.0</v>
      </c>
      <c r="G382" s="235">
        <v>97.0</v>
      </c>
      <c r="H382" s="179">
        <f t="shared" si="15"/>
        <v>0</v>
      </c>
      <c r="I382" s="18"/>
      <c r="J382" s="18"/>
      <c r="K382" s="13"/>
      <c r="L382" s="27"/>
      <c r="M382" s="28"/>
      <c r="N382" s="27"/>
      <c r="O382" s="28"/>
      <c r="P382" s="27"/>
      <c r="Q382" s="35"/>
      <c r="R382" s="35"/>
      <c r="S382" s="35"/>
      <c r="T382" s="1"/>
      <c r="U382" s="1"/>
      <c r="V382" s="1"/>
    </row>
    <row r="383" ht="15.75" customHeight="1">
      <c r="A383" s="13"/>
      <c r="B383" s="130" t="s">
        <v>18</v>
      </c>
      <c r="C383" s="232" t="s">
        <v>409</v>
      </c>
      <c r="D383" s="233" t="s">
        <v>22</v>
      </c>
      <c r="E383" s="236" t="s">
        <v>430</v>
      </c>
      <c r="F383" s="178">
        <v>2.0</v>
      </c>
      <c r="G383" s="235">
        <v>19.2</v>
      </c>
      <c r="H383" s="179">
        <f t="shared" si="15"/>
        <v>38.4</v>
      </c>
      <c r="I383" s="18"/>
      <c r="J383" s="18"/>
      <c r="K383" s="13"/>
      <c r="L383" s="27"/>
      <c r="M383" s="28"/>
      <c r="N383" s="27"/>
      <c r="O383" s="28"/>
      <c r="P383" s="27"/>
      <c r="Q383" s="35"/>
      <c r="R383" s="35"/>
      <c r="S383" s="35"/>
      <c r="T383" s="1"/>
      <c r="U383" s="1"/>
      <c r="V383" s="1"/>
    </row>
    <row r="384" ht="15.75" hidden="1" customHeight="1">
      <c r="A384" s="13"/>
      <c r="B384" s="13" t="s">
        <v>361</v>
      </c>
      <c r="C384" s="169" t="s">
        <v>362</v>
      </c>
      <c r="D384" s="66" t="s">
        <v>22</v>
      </c>
      <c r="E384" s="15" t="s">
        <v>363</v>
      </c>
      <c r="F384" s="40">
        <v>0.0</v>
      </c>
      <c r="G384" s="17">
        <v>11.0</v>
      </c>
      <c r="H384" s="17">
        <f t="shared" si="15"/>
        <v>0</v>
      </c>
      <c r="I384" s="18"/>
      <c r="J384" s="18"/>
      <c r="K384" s="13"/>
      <c r="L384" s="27"/>
      <c r="M384" s="28"/>
      <c r="N384" s="27"/>
      <c r="O384" s="28"/>
      <c r="P384" s="27"/>
      <c r="Q384" s="35"/>
      <c r="R384" s="35"/>
      <c r="S384" s="35"/>
      <c r="T384" s="1"/>
      <c r="U384" s="1"/>
      <c r="V384" s="1"/>
    </row>
    <row r="385" ht="15.75" customHeight="1">
      <c r="A385" s="13"/>
      <c r="B385" s="13" t="s">
        <v>361</v>
      </c>
      <c r="C385" s="169" t="s">
        <v>364</v>
      </c>
      <c r="D385" s="66" t="s">
        <v>22</v>
      </c>
      <c r="E385" s="15" t="s">
        <v>365</v>
      </c>
      <c r="F385" s="40">
        <v>8.0</v>
      </c>
      <c r="G385" s="17">
        <v>6.0</v>
      </c>
      <c r="H385" s="17">
        <f t="shared" si="15"/>
        <v>48</v>
      </c>
      <c r="I385" s="18"/>
      <c r="J385" s="18"/>
      <c r="K385" s="13"/>
      <c r="L385" s="27"/>
      <c r="M385" s="28"/>
      <c r="N385" s="27"/>
      <c r="O385" s="28"/>
      <c r="P385" s="27"/>
      <c r="Q385" s="35"/>
      <c r="R385" s="35"/>
      <c r="S385" s="35"/>
      <c r="T385" s="1"/>
      <c r="U385" s="1"/>
      <c r="V385" s="1"/>
    </row>
    <row r="386" ht="15.75" hidden="1" customHeight="1">
      <c r="A386" s="13"/>
      <c r="B386" s="43" t="s">
        <v>64</v>
      </c>
      <c r="C386" s="169" t="s">
        <v>263</v>
      </c>
      <c r="D386" s="66" t="s">
        <v>22</v>
      </c>
      <c r="E386" s="15"/>
      <c r="F386" s="40">
        <v>0.0</v>
      </c>
      <c r="G386" s="17">
        <v>180.0</v>
      </c>
      <c r="H386" s="17">
        <f t="shared" si="15"/>
        <v>0</v>
      </c>
      <c r="I386" s="18"/>
      <c r="J386" s="18"/>
      <c r="K386" s="13"/>
      <c r="L386" s="27"/>
      <c r="M386" s="28"/>
      <c r="N386" s="27"/>
      <c r="O386" s="28"/>
      <c r="P386" s="27"/>
      <c r="Q386" s="35"/>
      <c r="R386" s="35"/>
      <c r="S386" s="35"/>
      <c r="T386" s="1"/>
      <c r="U386" s="1"/>
      <c r="V386" s="1"/>
    </row>
    <row r="387" ht="15.75" hidden="1" customHeight="1">
      <c r="A387" s="13"/>
      <c r="B387" s="13"/>
      <c r="C387" s="13" t="s">
        <v>67</v>
      </c>
      <c r="D387" s="70" t="s">
        <v>24</v>
      </c>
      <c r="E387" s="15"/>
      <c r="F387" s="40">
        <v>0.0</v>
      </c>
      <c r="G387" s="17">
        <v>18.0</v>
      </c>
      <c r="H387" s="17">
        <f t="shared" si="15"/>
        <v>0</v>
      </c>
      <c r="I387" s="18"/>
      <c r="J387" s="18"/>
      <c r="K387" s="13"/>
      <c r="L387" s="27"/>
      <c r="M387" s="28"/>
      <c r="N387" s="27"/>
      <c r="O387" s="28"/>
      <c r="P387" s="27"/>
      <c r="Q387" s="35"/>
      <c r="R387" s="35"/>
      <c r="S387" s="35"/>
      <c r="T387" s="1"/>
      <c r="U387" s="1"/>
      <c r="V387" s="1"/>
    </row>
    <row r="388" ht="15.75" customHeight="1">
      <c r="A388" s="13"/>
      <c r="B388" s="43" t="s">
        <v>88</v>
      </c>
      <c r="C388" s="195" t="s">
        <v>431</v>
      </c>
      <c r="D388" s="14" t="s">
        <v>20</v>
      </c>
      <c r="E388" s="171" t="s">
        <v>412</v>
      </c>
      <c r="F388" s="16">
        <v>1.0</v>
      </c>
      <c r="G388" s="34">
        <v>334.0</v>
      </c>
      <c r="H388" s="17">
        <f t="shared" si="15"/>
        <v>334</v>
      </c>
      <c r="I388" s="18"/>
      <c r="J388" s="18"/>
      <c r="K388" s="13"/>
      <c r="L388" s="27"/>
      <c r="M388" s="28"/>
      <c r="N388" s="27"/>
      <c r="O388" s="28"/>
      <c r="P388" s="27"/>
      <c r="Q388" s="35"/>
      <c r="R388" s="35"/>
      <c r="S388" s="35"/>
      <c r="T388" s="1"/>
      <c r="U388" s="1"/>
      <c r="V388" s="1"/>
    </row>
    <row r="389" ht="15.75" customHeight="1">
      <c r="A389" s="13"/>
      <c r="B389" s="13" t="s">
        <v>18</v>
      </c>
      <c r="C389" s="169" t="s">
        <v>280</v>
      </c>
      <c r="D389" s="14" t="s">
        <v>20</v>
      </c>
      <c r="E389" s="33" t="s">
        <v>368</v>
      </c>
      <c r="F389" s="16">
        <v>1.0</v>
      </c>
      <c r="G389" s="34">
        <v>20.0</v>
      </c>
      <c r="H389" s="17">
        <f t="shared" si="15"/>
        <v>20</v>
      </c>
      <c r="I389" s="18"/>
      <c r="J389" s="18"/>
      <c r="K389" s="13"/>
      <c r="L389" s="27"/>
      <c r="M389" s="28"/>
      <c r="N389" s="27"/>
      <c r="O389" s="28"/>
      <c r="P389" s="27"/>
      <c r="Q389" s="35"/>
      <c r="R389" s="35"/>
      <c r="S389" s="35"/>
      <c r="T389" s="1"/>
      <c r="U389" s="1"/>
      <c r="V389" s="1"/>
    </row>
    <row r="390" ht="15.75" customHeight="1">
      <c r="A390" s="13"/>
      <c r="B390" s="43" t="s">
        <v>56</v>
      </c>
      <c r="C390" s="169" t="s">
        <v>282</v>
      </c>
      <c r="D390" s="70" t="s">
        <v>24</v>
      </c>
      <c r="E390" s="15"/>
      <c r="F390" s="16">
        <v>1.0</v>
      </c>
      <c r="G390" s="17">
        <v>80.0</v>
      </c>
      <c r="H390" s="17">
        <f t="shared" si="15"/>
        <v>80</v>
      </c>
      <c r="I390" s="18"/>
      <c r="J390" s="18"/>
      <c r="K390" s="13"/>
      <c r="L390" s="27"/>
      <c r="M390" s="28"/>
      <c r="N390" s="27"/>
      <c r="O390" s="28"/>
      <c r="P390" s="27"/>
      <c r="Q390" s="35"/>
      <c r="R390" s="35"/>
      <c r="S390" s="35"/>
      <c r="T390" s="1"/>
      <c r="U390" s="1"/>
      <c r="V390" s="1"/>
    </row>
    <row r="391" ht="15.75" hidden="1" customHeight="1">
      <c r="A391" s="13"/>
      <c r="B391" s="13" t="s">
        <v>18</v>
      </c>
      <c r="C391" s="169" t="s">
        <v>283</v>
      </c>
      <c r="D391" s="14" t="s">
        <v>20</v>
      </c>
      <c r="E391" s="15" t="s">
        <v>284</v>
      </c>
      <c r="F391" s="16">
        <v>0.0</v>
      </c>
      <c r="G391" s="17">
        <v>12.0</v>
      </c>
      <c r="H391" s="17">
        <f t="shared" si="15"/>
        <v>0</v>
      </c>
      <c r="I391" s="18"/>
      <c r="J391" s="18"/>
      <c r="K391" s="13"/>
      <c r="L391" s="95"/>
      <c r="M391" s="96"/>
      <c r="N391" s="95"/>
      <c r="O391" s="95"/>
      <c r="P391" s="95"/>
      <c r="Q391" s="35"/>
      <c r="R391" s="35"/>
      <c r="S391" s="35"/>
      <c r="T391" s="1"/>
      <c r="U391" s="1"/>
      <c r="V391" s="1"/>
    </row>
    <row r="392" ht="15.75" customHeight="1">
      <c r="A392" s="13"/>
      <c r="B392" s="13" t="s">
        <v>369</v>
      </c>
      <c r="C392" s="169" t="s">
        <v>370</v>
      </c>
      <c r="D392" s="14" t="s">
        <v>20</v>
      </c>
      <c r="E392" s="15">
        <v>8.49069896E8</v>
      </c>
      <c r="F392" s="16">
        <v>1.0</v>
      </c>
      <c r="G392" s="17">
        <v>5.0</v>
      </c>
      <c r="H392" s="17">
        <f t="shared" si="15"/>
        <v>5</v>
      </c>
      <c r="I392" s="18"/>
      <c r="J392" s="18"/>
      <c r="K392" s="13"/>
      <c r="L392" s="95"/>
      <c r="M392" s="96"/>
      <c r="N392" s="95"/>
      <c r="O392" s="95"/>
      <c r="P392" s="95"/>
      <c r="Q392" s="35"/>
      <c r="R392" s="35"/>
      <c r="S392" s="35"/>
      <c r="T392" s="1"/>
      <c r="U392" s="1"/>
      <c r="V392" s="1"/>
    </row>
    <row r="393" ht="15.75" customHeight="1">
      <c r="A393" s="13"/>
      <c r="B393" s="13" t="s">
        <v>18</v>
      </c>
      <c r="C393" s="169" t="s">
        <v>371</v>
      </c>
      <c r="D393" s="14" t="s">
        <v>20</v>
      </c>
      <c r="E393" s="15" t="s">
        <v>286</v>
      </c>
      <c r="F393" s="16">
        <v>2.0</v>
      </c>
      <c r="G393" s="17">
        <v>3.0</v>
      </c>
      <c r="H393" s="17">
        <f t="shared" si="15"/>
        <v>6</v>
      </c>
      <c r="I393" s="18"/>
      <c r="J393" s="18"/>
      <c r="K393" s="13"/>
      <c r="L393" s="13"/>
      <c r="M393" s="19"/>
      <c r="N393" s="13"/>
      <c r="O393" s="19"/>
      <c r="P393" s="19"/>
      <c r="Q393" s="35"/>
      <c r="R393" s="35"/>
      <c r="S393" s="35"/>
      <c r="T393" s="1"/>
      <c r="U393" s="1"/>
      <c r="V393" s="1"/>
    </row>
    <row r="394" ht="15.75" customHeight="1">
      <c r="A394" s="13"/>
      <c r="B394" s="237" t="s">
        <v>18</v>
      </c>
      <c r="C394" s="238" t="s">
        <v>372</v>
      </c>
      <c r="D394" s="14" t="s">
        <v>20</v>
      </c>
      <c r="E394" s="210"/>
      <c r="F394" s="228">
        <v>2.0</v>
      </c>
      <c r="G394" s="212">
        <v>70.0</v>
      </c>
      <c r="H394" s="17">
        <f t="shared" si="15"/>
        <v>140</v>
      </c>
      <c r="I394" s="18"/>
      <c r="J394" s="18"/>
      <c r="K394" s="13"/>
      <c r="L394" s="63"/>
      <c r="M394" s="79"/>
      <c r="N394" s="63"/>
      <c r="O394" s="79"/>
      <c r="P394" s="79"/>
      <c r="Q394" s="35"/>
      <c r="R394" s="35"/>
      <c r="S394" s="35"/>
      <c r="T394" s="1"/>
      <c r="U394" s="1"/>
      <c r="V394" s="1"/>
    </row>
    <row r="395" ht="15.75" customHeight="1">
      <c r="A395" s="13"/>
      <c r="B395" s="43" t="s">
        <v>56</v>
      </c>
      <c r="C395" s="169" t="s">
        <v>70</v>
      </c>
      <c r="D395" s="70" t="s">
        <v>24</v>
      </c>
      <c r="E395" s="15"/>
      <c r="F395" s="40">
        <v>2.0</v>
      </c>
      <c r="G395" s="34">
        <v>60.0</v>
      </c>
      <c r="H395" s="17">
        <f t="shared" si="15"/>
        <v>120</v>
      </c>
      <c r="I395" s="18"/>
      <c r="J395" s="18"/>
      <c r="K395" s="13"/>
      <c r="L395" s="13"/>
      <c r="M395" s="19"/>
      <c r="N395" s="13"/>
      <c r="O395" s="38"/>
      <c r="P395" s="19"/>
      <c r="Q395" s="35"/>
      <c r="R395" s="35"/>
      <c r="S395" s="35"/>
      <c r="T395" s="1"/>
      <c r="U395" s="1"/>
      <c r="V395" s="1"/>
    </row>
    <row r="396" ht="15.75" hidden="1" customHeight="1">
      <c r="A396" s="13"/>
      <c r="B396" s="13" t="s">
        <v>373</v>
      </c>
      <c r="C396" s="169" t="s">
        <v>69</v>
      </c>
      <c r="D396" s="14" t="s">
        <v>20</v>
      </c>
      <c r="E396" s="15"/>
      <c r="F396" s="16">
        <v>0.0</v>
      </c>
      <c r="G396" s="17">
        <v>70.0</v>
      </c>
      <c r="H396" s="17">
        <f t="shared" si="15"/>
        <v>0</v>
      </c>
      <c r="I396" s="18"/>
      <c r="J396" s="18"/>
      <c r="K396" s="13"/>
      <c r="L396" s="27"/>
      <c r="M396" s="27"/>
      <c r="N396" s="27"/>
      <c r="O396" s="27"/>
      <c r="P396" s="27"/>
      <c r="Q396" s="35"/>
      <c r="R396" s="35"/>
      <c r="S396" s="35"/>
      <c r="T396" s="1"/>
      <c r="U396" s="1"/>
      <c r="V396" s="1"/>
    </row>
    <row r="397" ht="15.75" hidden="1" customHeight="1">
      <c r="A397" s="13"/>
      <c r="B397" s="13"/>
      <c r="C397" s="169" t="s">
        <v>374</v>
      </c>
      <c r="D397" s="70" t="s">
        <v>24</v>
      </c>
      <c r="E397" s="15"/>
      <c r="F397" s="16">
        <v>0.0</v>
      </c>
      <c r="G397" s="17">
        <v>207.0</v>
      </c>
      <c r="H397" s="17">
        <f t="shared" si="15"/>
        <v>0</v>
      </c>
      <c r="I397" s="18"/>
      <c r="J397" s="18"/>
      <c r="K397" s="13"/>
      <c r="L397" s="63"/>
      <c r="M397" s="63"/>
      <c r="N397" s="63"/>
      <c r="O397" s="63"/>
      <c r="P397" s="63"/>
      <c r="Q397" s="35"/>
      <c r="R397" s="35"/>
      <c r="S397" s="35"/>
      <c r="T397" s="1"/>
      <c r="U397" s="1"/>
      <c r="V397" s="1"/>
    </row>
    <row r="398" ht="15.75" hidden="1" customHeight="1">
      <c r="A398" s="13"/>
      <c r="B398" s="13"/>
      <c r="C398" s="169" t="s">
        <v>375</v>
      </c>
      <c r="D398" s="70" t="s">
        <v>24</v>
      </c>
      <c r="E398" s="15"/>
      <c r="F398" s="16">
        <v>0.0</v>
      </c>
      <c r="G398" s="17">
        <v>450.0</v>
      </c>
      <c r="H398" s="17">
        <f t="shared" si="15"/>
        <v>0</v>
      </c>
      <c r="I398" s="18"/>
      <c r="J398" s="18"/>
      <c r="K398" s="13"/>
      <c r="L398" s="27"/>
      <c r="M398" s="28"/>
      <c r="N398" s="27"/>
      <c r="O398" s="28"/>
      <c r="P398" s="28"/>
      <c r="Q398" s="35"/>
      <c r="R398" s="35"/>
      <c r="S398" s="35"/>
      <c r="T398" s="1"/>
      <c r="U398" s="1"/>
      <c r="V398" s="1"/>
    </row>
    <row r="399" ht="15.75" hidden="1" customHeight="1">
      <c r="A399" s="13"/>
      <c r="B399" s="13"/>
      <c r="C399" s="13" t="s">
        <v>71</v>
      </c>
      <c r="D399" s="213" t="s">
        <v>24</v>
      </c>
      <c r="E399" s="52"/>
      <c r="F399" s="48">
        <v>0.0</v>
      </c>
      <c r="G399" s="50">
        <v>80.0</v>
      </c>
      <c r="H399" s="50">
        <f t="shared" si="15"/>
        <v>0</v>
      </c>
      <c r="I399" s="18"/>
      <c r="J399" s="18"/>
      <c r="K399" s="18"/>
      <c r="L399" s="13"/>
      <c r="M399" s="19"/>
      <c r="N399" s="13"/>
      <c r="O399" s="19"/>
      <c r="P399" s="19"/>
      <c r="Q399" s="35"/>
      <c r="R399" s="35"/>
      <c r="S399" s="35"/>
      <c r="T399" s="1"/>
      <c r="U399" s="1"/>
      <c r="V399" s="1"/>
    </row>
    <row r="400" ht="15.75" hidden="1" customHeight="1">
      <c r="A400" s="13"/>
      <c r="B400" s="13" t="s">
        <v>18</v>
      </c>
      <c r="C400" s="13" t="s">
        <v>377</v>
      </c>
      <c r="D400" s="14" t="s">
        <v>20</v>
      </c>
      <c r="E400" s="52" t="s">
        <v>28</v>
      </c>
      <c r="F400" s="48">
        <v>0.0</v>
      </c>
      <c r="G400" s="50">
        <v>70.0</v>
      </c>
      <c r="H400" s="50">
        <f t="shared" si="15"/>
        <v>0</v>
      </c>
      <c r="I400" s="18"/>
      <c r="J400" s="18"/>
      <c r="K400" s="13"/>
      <c r="L400" s="27"/>
      <c r="M400" s="28"/>
      <c r="N400" s="27"/>
      <c r="O400" s="28"/>
      <c r="P400" s="28"/>
      <c r="Q400" s="35"/>
      <c r="R400" s="35"/>
      <c r="S400" s="35"/>
      <c r="T400" s="1"/>
      <c r="U400" s="1"/>
      <c r="V400" s="1"/>
    </row>
    <row r="401" ht="15.75" customHeight="1">
      <c r="A401" s="13"/>
      <c r="B401" s="43" t="s">
        <v>56</v>
      </c>
      <c r="C401" s="13" t="s">
        <v>221</v>
      </c>
      <c r="D401" s="213" t="s">
        <v>24</v>
      </c>
      <c r="E401" s="52"/>
      <c r="F401" s="215">
        <v>2.0</v>
      </c>
      <c r="G401" s="50">
        <v>50.0</v>
      </c>
      <c r="H401" s="50">
        <f t="shared" si="15"/>
        <v>100</v>
      </c>
      <c r="I401" s="239"/>
      <c r="J401" s="239"/>
      <c r="K401" s="170"/>
      <c r="L401" s="107"/>
      <c r="M401" s="214"/>
      <c r="N401" s="13"/>
      <c r="O401" s="13"/>
      <c r="P401" s="13"/>
      <c r="Q401" s="35"/>
      <c r="R401" s="35"/>
      <c r="S401" s="35"/>
      <c r="T401" s="1"/>
      <c r="U401" s="1"/>
      <c r="V401" s="1"/>
    </row>
    <row r="402" ht="15.75" hidden="1" customHeight="1">
      <c r="A402" s="13"/>
      <c r="B402" s="13"/>
      <c r="C402" s="206" t="s">
        <v>222</v>
      </c>
      <c r="D402" s="216" t="s">
        <v>24</v>
      </c>
      <c r="E402" s="54"/>
      <c r="F402" s="56">
        <v>0.0</v>
      </c>
      <c r="G402" s="57">
        <v>40.0</v>
      </c>
      <c r="H402" s="57">
        <f t="shared" si="15"/>
        <v>0</v>
      </c>
      <c r="I402" s="18"/>
      <c r="J402" s="18"/>
      <c r="K402" s="13"/>
      <c r="L402" s="63"/>
      <c r="M402" s="63"/>
      <c r="N402" s="63"/>
      <c r="O402" s="63"/>
      <c r="P402" s="63"/>
      <c r="Q402" s="35"/>
      <c r="R402" s="35"/>
      <c r="S402" s="35"/>
      <c r="T402" s="1"/>
      <c r="U402" s="1"/>
      <c r="V402" s="1"/>
    </row>
    <row r="403" ht="30.75" customHeight="1">
      <c r="A403" s="217"/>
      <c r="B403" s="240" t="s">
        <v>432</v>
      </c>
      <c r="C403" s="7">
        <f>SUM(H404:H483)</f>
        <v>12129.2</v>
      </c>
      <c r="D403" s="148"/>
      <c r="E403" s="148"/>
      <c r="F403" s="81"/>
      <c r="G403" s="82"/>
      <c r="H403" s="82"/>
      <c r="I403" s="82"/>
      <c r="J403" s="82"/>
      <c r="K403" s="81"/>
      <c r="L403" s="83"/>
      <c r="M403" s="83"/>
      <c r="N403" s="83"/>
      <c r="O403" s="83"/>
      <c r="P403" s="83"/>
      <c r="Q403" s="35"/>
      <c r="R403" s="35"/>
      <c r="S403" s="35"/>
      <c r="T403" s="1"/>
      <c r="U403" s="1"/>
      <c r="V403" s="1"/>
    </row>
    <row r="404" ht="15.75" hidden="1" customHeight="1">
      <c r="A404" s="13"/>
      <c r="B404" s="13"/>
      <c r="C404" s="169" t="s">
        <v>191</v>
      </c>
      <c r="D404" s="66" t="s">
        <v>22</v>
      </c>
      <c r="E404" s="15"/>
      <c r="F404" s="16">
        <v>0.0</v>
      </c>
      <c r="G404" s="17">
        <v>100.0</v>
      </c>
      <c r="H404" s="17">
        <f t="shared" ref="H404:H506" si="16">SUM(F404*G404)</f>
        <v>0</v>
      </c>
      <c r="I404" s="18"/>
      <c r="J404" s="18"/>
      <c r="K404" s="13"/>
      <c r="L404" s="13"/>
      <c r="M404" s="13"/>
      <c r="N404" s="13"/>
      <c r="O404" s="13"/>
      <c r="P404" s="13"/>
      <c r="Q404" s="35"/>
      <c r="R404" s="35"/>
      <c r="S404" s="35"/>
      <c r="T404" s="1"/>
      <c r="U404" s="1"/>
      <c r="V404" s="1"/>
    </row>
    <row r="405" ht="15.75" hidden="1" customHeight="1">
      <c r="A405" s="13"/>
      <c r="B405" s="13" t="s">
        <v>18</v>
      </c>
      <c r="C405" s="169" t="s">
        <v>433</v>
      </c>
      <c r="D405" s="14" t="s">
        <v>20</v>
      </c>
      <c r="E405" s="15"/>
      <c r="F405" s="16">
        <v>0.0</v>
      </c>
      <c r="G405" s="17">
        <v>5.0</v>
      </c>
      <c r="H405" s="17">
        <f t="shared" si="16"/>
        <v>0</v>
      </c>
      <c r="I405" s="18"/>
      <c r="J405" s="18"/>
      <c r="K405" s="13"/>
      <c r="L405" s="13"/>
      <c r="M405" s="13"/>
      <c r="N405" s="13"/>
      <c r="O405" s="13"/>
      <c r="P405" s="13"/>
      <c r="Q405" s="35"/>
      <c r="R405" s="35"/>
      <c r="S405" s="35"/>
      <c r="T405" s="1"/>
      <c r="U405" s="1"/>
      <c r="V405" s="1"/>
    </row>
    <row r="406" ht="15.75" hidden="1" customHeight="1">
      <c r="A406" s="13"/>
      <c r="B406" s="13" t="s">
        <v>18</v>
      </c>
      <c r="C406" s="169" t="s">
        <v>19</v>
      </c>
      <c r="D406" s="14" t="s">
        <v>20</v>
      </c>
      <c r="E406" s="15"/>
      <c r="F406" s="16">
        <v>0.0</v>
      </c>
      <c r="G406" s="17">
        <v>0.0</v>
      </c>
      <c r="H406" s="17">
        <f t="shared" si="16"/>
        <v>0</v>
      </c>
      <c r="I406" s="18"/>
      <c r="J406" s="17"/>
      <c r="K406" s="13"/>
      <c r="L406" s="13"/>
      <c r="M406" s="19"/>
      <c r="N406" s="19"/>
      <c r="O406" s="38"/>
      <c r="P406" s="19"/>
      <c r="Q406" s="35"/>
      <c r="R406" s="35"/>
      <c r="S406" s="35"/>
      <c r="T406" s="1"/>
      <c r="U406" s="1"/>
      <c r="V406" s="1"/>
    </row>
    <row r="407" ht="15.75" hidden="1" customHeight="1">
      <c r="A407" s="13"/>
      <c r="B407" s="13" t="s">
        <v>18</v>
      </c>
      <c r="C407" s="169" t="s">
        <v>434</v>
      </c>
      <c r="D407" s="14" t="s">
        <v>20</v>
      </c>
      <c r="E407" s="15"/>
      <c r="F407" s="16">
        <v>0.0</v>
      </c>
      <c r="G407" s="17">
        <v>5.0</v>
      </c>
      <c r="H407" s="17">
        <f t="shared" si="16"/>
        <v>0</v>
      </c>
      <c r="I407" s="18"/>
      <c r="J407" s="17"/>
      <c r="K407" s="13"/>
      <c r="L407" s="13"/>
      <c r="M407" s="19"/>
      <c r="N407" s="19"/>
      <c r="O407" s="38"/>
      <c r="P407" s="19"/>
      <c r="Q407" s="35"/>
      <c r="R407" s="35"/>
      <c r="S407" s="35"/>
      <c r="T407" s="1"/>
      <c r="U407" s="1"/>
      <c r="V407" s="1"/>
    </row>
    <row r="408" ht="15.75" hidden="1" customHeight="1">
      <c r="A408" s="13"/>
      <c r="B408" s="13"/>
      <c r="C408" s="169" t="s">
        <v>435</v>
      </c>
      <c r="D408" s="70" t="s">
        <v>24</v>
      </c>
      <c r="E408" s="15"/>
      <c r="F408" s="16">
        <v>0.0</v>
      </c>
      <c r="G408" s="17">
        <v>103.5</v>
      </c>
      <c r="H408" s="17">
        <f t="shared" si="16"/>
        <v>0</v>
      </c>
      <c r="I408" s="18"/>
      <c r="J408" s="17"/>
      <c r="K408" s="13"/>
      <c r="L408" s="13"/>
      <c r="M408" s="19"/>
      <c r="N408" s="19"/>
      <c r="O408" s="38"/>
      <c r="P408" s="19"/>
      <c r="Q408" s="35"/>
      <c r="R408" s="35"/>
      <c r="S408" s="35"/>
      <c r="T408" s="1"/>
      <c r="U408" s="1"/>
      <c r="V408" s="1"/>
    </row>
    <row r="409" ht="15.75" customHeight="1">
      <c r="A409" s="13"/>
      <c r="B409" s="43" t="s">
        <v>383</v>
      </c>
      <c r="C409" s="169" t="s">
        <v>436</v>
      </c>
      <c r="D409" s="101" t="s">
        <v>32</v>
      </c>
      <c r="E409" s="219"/>
      <c r="F409" s="190">
        <v>1.0</v>
      </c>
      <c r="G409" s="191">
        <v>10000.0</v>
      </c>
      <c r="H409" s="192">
        <f t="shared" si="16"/>
        <v>10000</v>
      </c>
      <c r="I409" s="193"/>
      <c r="J409" s="18"/>
      <c r="K409" s="13"/>
      <c r="L409" s="13"/>
      <c r="M409" s="19"/>
      <c r="N409" s="19"/>
      <c r="O409" s="38"/>
      <c r="P409" s="19"/>
      <c r="Q409" s="35"/>
      <c r="R409" s="35"/>
      <c r="S409" s="35"/>
      <c r="T409" s="1"/>
      <c r="U409" s="1"/>
      <c r="V409" s="1"/>
    </row>
    <row r="410" ht="15.75" hidden="1" customHeight="1">
      <c r="A410" s="13"/>
      <c r="B410" s="220" t="s">
        <v>18</v>
      </c>
      <c r="C410" s="169" t="s">
        <v>308</v>
      </c>
      <c r="D410" s="101" t="s">
        <v>32</v>
      </c>
      <c r="E410" s="171" t="s">
        <v>437</v>
      </c>
      <c r="F410" s="222">
        <v>0.0</v>
      </c>
      <c r="G410" s="191">
        <v>288.0</v>
      </c>
      <c r="H410" s="192">
        <f t="shared" si="16"/>
        <v>0</v>
      </c>
      <c r="I410" s="193"/>
      <c r="J410" s="18"/>
      <c r="K410" s="13"/>
      <c r="L410" s="13"/>
      <c r="M410" s="19"/>
      <c r="N410" s="19"/>
      <c r="O410" s="38"/>
      <c r="P410" s="19"/>
      <c r="Q410" s="35"/>
      <c r="R410" s="35"/>
      <c r="S410" s="35"/>
      <c r="T410" s="1"/>
      <c r="U410" s="1"/>
      <c r="V410" s="1"/>
    </row>
    <row r="411" ht="15.75" hidden="1" customHeight="1">
      <c r="A411" s="13"/>
      <c r="B411" s="13"/>
      <c r="C411" s="169" t="s">
        <v>19</v>
      </c>
      <c r="D411" s="14" t="s">
        <v>20</v>
      </c>
      <c r="E411" s="155" t="s">
        <v>438</v>
      </c>
      <c r="F411" s="40">
        <v>0.0</v>
      </c>
      <c r="G411" s="17">
        <v>5.0</v>
      </c>
      <c r="H411" s="17">
        <f t="shared" si="16"/>
        <v>0</v>
      </c>
      <c r="I411" s="18"/>
      <c r="J411" s="17"/>
      <c r="K411" s="13"/>
      <c r="L411" s="13"/>
      <c r="M411" s="19"/>
      <c r="N411" s="19"/>
      <c r="O411" s="38"/>
      <c r="P411" s="19"/>
      <c r="Q411" s="35"/>
      <c r="R411" s="35"/>
      <c r="S411" s="35"/>
      <c r="T411" s="1"/>
      <c r="U411" s="1"/>
      <c r="V411" s="1"/>
    </row>
    <row r="412" ht="15.75" hidden="1" customHeight="1">
      <c r="A412" s="13"/>
      <c r="B412" s="18" t="s">
        <v>18</v>
      </c>
      <c r="C412" s="195" t="s">
        <v>439</v>
      </c>
      <c r="D412" s="46" t="s">
        <v>20</v>
      </c>
      <c r="E412" s="52"/>
      <c r="F412" s="215">
        <v>0.0</v>
      </c>
      <c r="G412" s="49">
        <v>20.0</v>
      </c>
      <c r="H412" s="50">
        <f t="shared" si="16"/>
        <v>0</v>
      </c>
      <c r="I412" s="193"/>
      <c r="J412" s="18"/>
      <c r="K412" s="13"/>
      <c r="L412" s="13"/>
      <c r="M412" s="19"/>
      <c r="N412" s="19"/>
      <c r="O412" s="38"/>
      <c r="P412" s="19"/>
      <c r="Q412" s="35"/>
      <c r="R412" s="35"/>
      <c r="S412" s="35"/>
      <c r="T412" s="1"/>
      <c r="U412" s="1"/>
      <c r="V412" s="1"/>
    </row>
    <row r="413" ht="15.75" hidden="1" customHeight="1">
      <c r="A413" s="13"/>
      <c r="B413" s="13"/>
      <c r="C413" s="169" t="s">
        <v>440</v>
      </c>
      <c r="D413" s="70" t="s">
        <v>24</v>
      </c>
      <c r="E413" s="15"/>
      <c r="F413" s="16">
        <v>0.0</v>
      </c>
      <c r="G413" s="17">
        <v>200.0</v>
      </c>
      <c r="H413" s="17">
        <f t="shared" si="16"/>
        <v>0</v>
      </c>
      <c r="I413" s="18"/>
      <c r="J413" s="17"/>
      <c r="K413" s="13"/>
      <c r="L413" s="13"/>
      <c r="M413" s="19"/>
      <c r="N413" s="19"/>
      <c r="O413" s="38"/>
      <c r="P413" s="19"/>
      <c r="Q413" s="35"/>
      <c r="R413" s="35"/>
      <c r="S413" s="35"/>
      <c r="T413" s="1"/>
      <c r="U413" s="1"/>
      <c r="V413" s="1"/>
    </row>
    <row r="414" ht="15.75" customHeight="1">
      <c r="A414" s="13"/>
      <c r="B414" s="43" t="s">
        <v>18</v>
      </c>
      <c r="C414" s="169" t="s">
        <v>394</v>
      </c>
      <c r="D414" s="66" t="s">
        <v>22</v>
      </c>
      <c r="E414" s="194" t="s">
        <v>441</v>
      </c>
      <c r="F414" s="40">
        <v>2.0</v>
      </c>
      <c r="G414" s="34">
        <v>43.0</v>
      </c>
      <c r="H414" s="17">
        <f t="shared" si="16"/>
        <v>86</v>
      </c>
      <c r="I414" s="18"/>
      <c r="J414" s="18"/>
      <c r="K414" s="13"/>
      <c r="L414" s="13"/>
      <c r="M414" s="19"/>
      <c r="N414" s="13"/>
      <c r="O414" s="19"/>
      <c r="P414" s="13"/>
      <c r="Q414" s="35"/>
      <c r="R414" s="35"/>
      <c r="S414" s="35"/>
      <c r="T414" s="1"/>
      <c r="U414" s="1"/>
      <c r="V414" s="1"/>
    </row>
    <row r="415" ht="15.75" customHeight="1">
      <c r="A415" s="13"/>
      <c r="B415" s="43" t="s">
        <v>18</v>
      </c>
      <c r="C415" s="195" t="s">
        <v>442</v>
      </c>
      <c r="D415" s="66" t="s">
        <v>22</v>
      </c>
      <c r="E415" s="194" t="s">
        <v>443</v>
      </c>
      <c r="F415" s="40">
        <v>4.0</v>
      </c>
      <c r="G415" s="34">
        <v>33.6</v>
      </c>
      <c r="H415" s="17">
        <f t="shared" si="16"/>
        <v>134.4</v>
      </c>
      <c r="I415" s="18"/>
      <c r="J415" s="18"/>
      <c r="K415" s="13"/>
      <c r="L415" s="13"/>
      <c r="M415" s="19"/>
      <c r="N415" s="13"/>
      <c r="O415" s="19"/>
      <c r="P415" s="13"/>
      <c r="Q415" s="35"/>
      <c r="R415" s="35"/>
      <c r="S415" s="35"/>
      <c r="T415" s="1"/>
      <c r="U415" s="1"/>
      <c r="V415" s="1"/>
    </row>
    <row r="416" ht="15.75" customHeight="1">
      <c r="A416" s="13"/>
      <c r="B416" s="43" t="s">
        <v>18</v>
      </c>
      <c r="C416" s="195" t="s">
        <v>444</v>
      </c>
      <c r="D416" s="66" t="s">
        <v>22</v>
      </c>
      <c r="E416" s="194" t="s">
        <v>445</v>
      </c>
      <c r="F416" s="40">
        <v>1.0</v>
      </c>
      <c r="G416" s="34">
        <v>228.0</v>
      </c>
      <c r="H416" s="17">
        <f t="shared" si="16"/>
        <v>228</v>
      </c>
      <c r="I416" s="18"/>
      <c r="J416" s="18"/>
      <c r="K416" s="13"/>
      <c r="L416" s="13"/>
      <c r="M416" s="19"/>
      <c r="N416" s="13"/>
      <c r="O416" s="19"/>
      <c r="P416" s="13"/>
      <c r="Q416" s="35"/>
      <c r="R416" s="35"/>
      <c r="S416" s="35"/>
      <c r="T416" s="1"/>
      <c r="U416" s="1"/>
      <c r="V416" s="1"/>
    </row>
    <row r="417" ht="15.75" hidden="1" customHeight="1">
      <c r="A417" s="13"/>
      <c r="B417" s="13"/>
      <c r="C417" s="169" t="s">
        <v>307</v>
      </c>
      <c r="D417" s="101" t="s">
        <v>32</v>
      </c>
      <c r="E417" s="219"/>
      <c r="F417" s="190">
        <v>0.0</v>
      </c>
      <c r="G417" s="192">
        <v>0.0</v>
      </c>
      <c r="H417" s="192">
        <f t="shared" si="16"/>
        <v>0</v>
      </c>
      <c r="I417" s="193"/>
      <c r="J417" s="18"/>
      <c r="K417" s="13"/>
      <c r="L417" s="27"/>
      <c r="M417" s="27"/>
      <c r="N417" s="27"/>
      <c r="O417" s="27"/>
      <c r="P417" s="27"/>
      <c r="Q417" s="35"/>
      <c r="R417" s="35"/>
      <c r="S417" s="35"/>
      <c r="T417" s="1"/>
      <c r="U417" s="1"/>
      <c r="V417" s="1"/>
    </row>
    <row r="418" ht="15.75" customHeight="1">
      <c r="A418" s="13"/>
      <c r="B418" s="43" t="s">
        <v>39</v>
      </c>
      <c r="C418" s="196" t="s">
        <v>405</v>
      </c>
      <c r="D418" s="66" t="s">
        <v>22</v>
      </c>
      <c r="E418" s="207" t="s">
        <v>446</v>
      </c>
      <c r="F418" s="215">
        <v>5.0</v>
      </c>
      <c r="G418" s="50">
        <v>25.0</v>
      </c>
      <c r="H418" s="17">
        <f t="shared" si="16"/>
        <v>125</v>
      </c>
      <c r="I418" s="51"/>
      <c r="J418" s="18"/>
      <c r="K418" s="13"/>
      <c r="L418" s="27"/>
      <c r="M418" s="241"/>
      <c r="N418" s="27"/>
      <c r="O418" s="27"/>
      <c r="P418" s="27"/>
      <c r="Q418" s="35"/>
      <c r="R418" s="35"/>
      <c r="S418" s="35"/>
      <c r="T418" s="1"/>
      <c r="U418" s="1"/>
      <c r="V418" s="1"/>
    </row>
    <row r="419" ht="15.75" hidden="1" customHeight="1">
      <c r="A419" s="13"/>
      <c r="B419" s="18" t="s">
        <v>18</v>
      </c>
      <c r="C419" s="169" t="s">
        <v>447</v>
      </c>
      <c r="D419" s="46" t="s">
        <v>20</v>
      </c>
      <c r="E419" s="207" t="s">
        <v>448</v>
      </c>
      <c r="F419" s="242">
        <v>0.0</v>
      </c>
      <c r="G419" s="243">
        <v>19.0</v>
      </c>
      <c r="H419" s="192">
        <f t="shared" si="16"/>
        <v>0</v>
      </c>
      <c r="I419" s="193"/>
      <c r="J419" s="18"/>
      <c r="K419" s="13"/>
      <c r="L419" s="27"/>
      <c r="M419" s="241"/>
      <c r="N419" s="27"/>
      <c r="O419" s="27"/>
      <c r="P419" s="27"/>
      <c r="Q419" s="35"/>
      <c r="R419" s="35"/>
      <c r="S419" s="35"/>
      <c r="T419" s="1"/>
      <c r="U419" s="1"/>
      <c r="V419" s="1"/>
    </row>
    <row r="420" ht="15.75" hidden="1" customHeight="1">
      <c r="A420" s="13"/>
      <c r="B420" s="18" t="s">
        <v>18</v>
      </c>
      <c r="C420" s="169" t="s">
        <v>447</v>
      </c>
      <c r="D420" s="46" t="s">
        <v>20</v>
      </c>
      <c r="E420" s="207" t="s">
        <v>449</v>
      </c>
      <c r="F420" s="242">
        <v>0.0</v>
      </c>
      <c r="G420" s="243">
        <v>15.0</v>
      </c>
      <c r="H420" s="192">
        <f t="shared" si="16"/>
        <v>0</v>
      </c>
      <c r="I420" s="193"/>
      <c r="J420" s="18"/>
      <c r="K420" s="13"/>
      <c r="L420" s="27"/>
      <c r="M420" s="241"/>
      <c r="N420" s="27"/>
      <c r="O420" s="27"/>
      <c r="P420" s="27"/>
      <c r="Q420" s="35"/>
      <c r="R420" s="35"/>
      <c r="S420" s="35"/>
      <c r="T420" s="1"/>
      <c r="U420" s="1"/>
      <c r="V420" s="1"/>
    </row>
    <row r="421" ht="15.75" hidden="1" customHeight="1">
      <c r="A421" s="13"/>
      <c r="B421" s="18" t="s">
        <v>18</v>
      </c>
      <c r="C421" s="169" t="s">
        <v>450</v>
      </c>
      <c r="D421" s="46" t="s">
        <v>20</v>
      </c>
      <c r="E421" s="52" t="s">
        <v>451</v>
      </c>
      <c r="F421" s="48">
        <v>0.0</v>
      </c>
      <c r="G421" s="50">
        <v>19.99</v>
      </c>
      <c r="H421" s="50">
        <f t="shared" si="16"/>
        <v>0</v>
      </c>
      <c r="I421" s="193"/>
      <c r="J421" s="18"/>
      <c r="K421" s="13"/>
      <c r="L421" s="27"/>
      <c r="M421" s="241"/>
      <c r="N421" s="27"/>
      <c r="O421" s="27"/>
      <c r="P421" s="27"/>
      <c r="Q421" s="35"/>
      <c r="R421" s="35"/>
      <c r="S421" s="35"/>
      <c r="T421" s="1"/>
      <c r="U421" s="1"/>
      <c r="V421" s="1"/>
    </row>
    <row r="422" ht="15.75" customHeight="1">
      <c r="A422" s="13"/>
      <c r="B422" s="13" t="s">
        <v>399</v>
      </c>
      <c r="C422" s="196" t="s">
        <v>364</v>
      </c>
      <c r="D422" s="150" t="s">
        <v>22</v>
      </c>
      <c r="E422" s="52" t="s">
        <v>365</v>
      </c>
      <c r="F422" s="215">
        <v>8.0</v>
      </c>
      <c r="G422" s="50">
        <v>6.0</v>
      </c>
      <c r="H422" s="50">
        <f t="shared" si="16"/>
        <v>48</v>
      </c>
      <c r="I422" s="50"/>
      <c r="J422" s="18"/>
      <c r="K422" s="13"/>
      <c r="L422" s="13"/>
      <c r="M422" s="13"/>
      <c r="N422" s="13"/>
      <c r="O422" s="13"/>
      <c r="P422" s="13"/>
      <c r="Q422" s="35"/>
      <c r="R422" s="35"/>
      <c r="S422" s="35"/>
      <c r="T422" s="1"/>
      <c r="U422" s="1"/>
      <c r="V422" s="1"/>
    </row>
    <row r="423" ht="15.75" hidden="1" customHeight="1">
      <c r="A423" s="13"/>
      <c r="B423" s="13" t="s">
        <v>18</v>
      </c>
      <c r="C423" s="244" t="s">
        <v>452</v>
      </c>
      <c r="D423" s="198" t="s">
        <v>22</v>
      </c>
      <c r="E423" s="204" t="s">
        <v>453</v>
      </c>
      <c r="F423" s="158">
        <v>0.0</v>
      </c>
      <c r="G423" s="159">
        <v>144.0</v>
      </c>
      <c r="H423" s="50">
        <f t="shared" si="16"/>
        <v>0</v>
      </c>
      <c r="I423" s="57"/>
      <c r="J423" s="18"/>
      <c r="K423" s="13"/>
      <c r="L423" s="13"/>
      <c r="M423" s="13"/>
      <c r="N423" s="13"/>
      <c r="O423" s="13"/>
      <c r="P423" s="13"/>
      <c r="Q423" s="35"/>
      <c r="R423" s="35"/>
      <c r="S423" s="35"/>
      <c r="T423" s="1"/>
      <c r="U423" s="1"/>
      <c r="V423" s="1"/>
    </row>
    <row r="424" ht="15.75" hidden="1" customHeight="1">
      <c r="A424" s="13"/>
      <c r="B424" s="13" t="s">
        <v>454</v>
      </c>
      <c r="C424" s="169" t="s">
        <v>321</v>
      </c>
      <c r="D424" s="66" t="s">
        <v>22</v>
      </c>
      <c r="E424" s="15"/>
      <c r="F424" s="16">
        <v>0.0</v>
      </c>
      <c r="G424" s="17">
        <v>10.0</v>
      </c>
      <c r="H424" s="17">
        <f t="shared" si="16"/>
        <v>0</v>
      </c>
      <c r="I424" s="18"/>
      <c r="J424" s="18"/>
      <c r="K424" s="13"/>
      <c r="L424" s="13"/>
      <c r="M424" s="19"/>
      <c r="N424" s="13"/>
      <c r="O424" s="13"/>
      <c r="P424" s="13"/>
      <c r="Q424" s="35"/>
      <c r="R424" s="35"/>
      <c r="S424" s="35"/>
      <c r="T424" s="1"/>
      <c r="U424" s="1"/>
      <c r="V424" s="1"/>
    </row>
    <row r="425" ht="15.75" hidden="1" customHeight="1">
      <c r="A425" s="13"/>
      <c r="B425" s="13" t="s">
        <v>18</v>
      </c>
      <c r="C425" s="244" t="s">
        <v>455</v>
      </c>
      <c r="D425" s="198" t="s">
        <v>22</v>
      </c>
      <c r="E425" s="201" t="s">
        <v>456</v>
      </c>
      <c r="F425" s="158">
        <v>0.0</v>
      </c>
      <c r="G425" s="57">
        <v>32.0</v>
      </c>
      <c r="H425" s="50">
        <f t="shared" si="16"/>
        <v>0</v>
      </c>
      <c r="I425" s="57"/>
      <c r="J425" s="18"/>
      <c r="K425" s="13"/>
      <c r="L425" s="13"/>
      <c r="M425" s="13"/>
      <c r="N425" s="13"/>
      <c r="O425" s="13"/>
      <c r="P425" s="13"/>
      <c r="Q425" s="35"/>
      <c r="R425" s="35"/>
      <c r="S425" s="35"/>
      <c r="T425" s="1"/>
      <c r="U425" s="1"/>
      <c r="V425" s="1"/>
    </row>
    <row r="426" ht="15.75" customHeight="1">
      <c r="A426" s="13"/>
      <c r="B426" s="43" t="s">
        <v>39</v>
      </c>
      <c r="C426" s="244" t="s">
        <v>258</v>
      </c>
      <c r="D426" s="198" t="s">
        <v>22</v>
      </c>
      <c r="E426" s="54"/>
      <c r="F426" s="56">
        <v>1.0</v>
      </c>
      <c r="G426" s="159">
        <v>168.8</v>
      </c>
      <c r="H426" s="50">
        <f t="shared" si="16"/>
        <v>168.8</v>
      </c>
      <c r="I426" s="57"/>
      <c r="J426" s="18"/>
      <c r="K426" s="13"/>
      <c r="L426" s="13"/>
      <c r="M426" s="13"/>
      <c r="N426" s="13"/>
      <c r="O426" s="13"/>
      <c r="P426" s="13"/>
      <c r="Q426" s="35"/>
      <c r="R426" s="35"/>
      <c r="S426" s="35"/>
      <c r="T426" s="1"/>
      <c r="U426" s="1"/>
      <c r="V426" s="1"/>
    </row>
    <row r="427" ht="15.75" customHeight="1">
      <c r="A427" s="13"/>
      <c r="B427" s="13" t="s">
        <v>239</v>
      </c>
      <c r="C427" s="195" t="s">
        <v>406</v>
      </c>
      <c r="D427" s="14" t="s">
        <v>20</v>
      </c>
      <c r="E427" s="15"/>
      <c r="F427" s="16">
        <v>1.0</v>
      </c>
      <c r="G427" s="34">
        <v>300.0</v>
      </c>
      <c r="H427" s="17">
        <f t="shared" si="16"/>
        <v>300</v>
      </c>
      <c r="I427" s="18"/>
      <c r="J427" s="18"/>
      <c r="K427" s="13"/>
      <c r="L427" s="13"/>
      <c r="M427" s="13"/>
      <c r="N427" s="13"/>
      <c r="O427" s="13"/>
      <c r="P427" s="13"/>
      <c r="Q427" s="35"/>
      <c r="R427" s="35"/>
      <c r="S427" s="35"/>
      <c r="T427" s="1"/>
      <c r="U427" s="1"/>
      <c r="V427" s="1"/>
    </row>
    <row r="428" ht="15.75" hidden="1" customHeight="1">
      <c r="A428" s="13"/>
      <c r="B428" s="13" t="s">
        <v>18</v>
      </c>
      <c r="C428" s="196" t="s">
        <v>258</v>
      </c>
      <c r="D428" s="150" t="s">
        <v>22</v>
      </c>
      <c r="E428" s="245" t="s">
        <v>457</v>
      </c>
      <c r="F428" s="215">
        <v>0.0</v>
      </c>
      <c r="G428" s="50">
        <v>0.0</v>
      </c>
      <c r="H428" s="50">
        <f t="shared" si="16"/>
        <v>0</v>
      </c>
      <c r="I428" s="50"/>
      <c r="J428" s="18"/>
      <c r="K428" s="13"/>
      <c r="L428" s="13"/>
      <c r="M428" s="13"/>
      <c r="N428" s="13"/>
      <c r="O428" s="13"/>
      <c r="P428" s="13"/>
      <c r="Q428" s="35"/>
      <c r="R428" s="35"/>
      <c r="S428" s="35"/>
      <c r="T428" s="1"/>
      <c r="U428" s="1"/>
      <c r="V428" s="1"/>
    </row>
    <row r="429" ht="15.75" customHeight="1">
      <c r="A429" s="13"/>
      <c r="B429" s="43" t="s">
        <v>18</v>
      </c>
      <c r="C429" s="195" t="s">
        <v>407</v>
      </c>
      <c r="D429" s="66" t="s">
        <v>22</v>
      </c>
      <c r="E429" s="218" t="s">
        <v>458</v>
      </c>
      <c r="F429" s="40">
        <v>2.0</v>
      </c>
      <c r="G429" s="226">
        <v>163.0</v>
      </c>
      <c r="H429" s="17">
        <f t="shared" si="16"/>
        <v>326</v>
      </c>
      <c r="I429" s="18"/>
      <c r="J429" s="18"/>
      <c r="K429" s="13"/>
      <c r="L429" s="13"/>
      <c r="M429" s="13"/>
      <c r="N429" s="13"/>
      <c r="O429" s="13"/>
      <c r="P429" s="13"/>
      <c r="Q429" s="35"/>
      <c r="R429" s="35"/>
      <c r="S429" s="35"/>
      <c r="T429" s="1"/>
      <c r="U429" s="1"/>
      <c r="V429" s="1"/>
    </row>
    <row r="430" ht="15.75" customHeight="1">
      <c r="A430" s="13"/>
      <c r="B430" s="13" t="s">
        <v>18</v>
      </c>
      <c r="C430" s="195" t="s">
        <v>409</v>
      </c>
      <c r="D430" s="66" t="s">
        <v>22</v>
      </c>
      <c r="E430" s="194" t="s">
        <v>430</v>
      </c>
      <c r="F430" s="40">
        <v>2.0</v>
      </c>
      <c r="G430" s="227">
        <v>18.0</v>
      </c>
      <c r="H430" s="17">
        <f t="shared" si="16"/>
        <v>36</v>
      </c>
      <c r="I430" s="18"/>
      <c r="J430" s="18"/>
      <c r="K430" s="13"/>
      <c r="L430" s="13"/>
      <c r="M430" s="13"/>
      <c r="N430" s="13"/>
      <c r="O430" s="13"/>
      <c r="P430" s="13"/>
      <c r="Q430" s="35"/>
      <c r="R430" s="35"/>
      <c r="S430" s="35"/>
      <c r="T430" s="1"/>
      <c r="U430" s="1"/>
      <c r="V430" s="1"/>
    </row>
    <row r="431" ht="15.75" hidden="1" customHeight="1">
      <c r="A431" s="13"/>
      <c r="B431" s="13" t="s">
        <v>18</v>
      </c>
      <c r="C431" s="196" t="s">
        <v>459</v>
      </c>
      <c r="D431" s="66" t="s">
        <v>22</v>
      </c>
      <c r="E431" s="246" t="s">
        <v>460</v>
      </c>
      <c r="F431" s="215">
        <v>0.0</v>
      </c>
      <c r="G431" s="50">
        <v>0.0</v>
      </c>
      <c r="H431" s="17">
        <f t="shared" si="16"/>
        <v>0</v>
      </c>
      <c r="I431" s="51"/>
      <c r="J431" s="18"/>
      <c r="K431" s="13"/>
      <c r="L431" s="13"/>
      <c r="M431" s="13"/>
      <c r="N431" s="13"/>
      <c r="O431" s="13"/>
      <c r="P431" s="13"/>
      <c r="Q431" s="35"/>
      <c r="R431" s="35"/>
      <c r="S431" s="35"/>
      <c r="T431" s="1"/>
      <c r="U431" s="1"/>
      <c r="V431" s="1"/>
    </row>
    <row r="432" ht="15.75" customHeight="1">
      <c r="A432" s="13"/>
      <c r="B432" s="43" t="s">
        <v>88</v>
      </c>
      <c r="C432" s="54" t="s">
        <v>411</v>
      </c>
      <c r="D432" s="14" t="s">
        <v>20</v>
      </c>
      <c r="E432" s="171" t="s">
        <v>412</v>
      </c>
      <c r="F432" s="16">
        <v>1.0</v>
      </c>
      <c r="G432" s="34">
        <v>334.0</v>
      </c>
      <c r="H432" s="17">
        <f t="shared" si="16"/>
        <v>334</v>
      </c>
      <c r="I432" s="18"/>
      <c r="J432" s="18"/>
      <c r="K432" s="13"/>
      <c r="L432" s="13"/>
      <c r="M432" s="13"/>
      <c r="N432" s="13"/>
      <c r="O432" s="13"/>
      <c r="P432" s="13"/>
      <c r="Q432" s="35"/>
      <c r="R432" s="35"/>
      <c r="S432" s="35"/>
      <c r="T432" s="1"/>
      <c r="U432" s="1"/>
      <c r="V432" s="1"/>
    </row>
    <row r="433" ht="15.75" hidden="1" customHeight="1">
      <c r="A433" s="13"/>
      <c r="B433" s="13" t="s">
        <v>18</v>
      </c>
      <c r="C433" s="244" t="s">
        <v>461</v>
      </c>
      <c r="D433" s="150" t="s">
        <v>22</v>
      </c>
      <c r="E433" s="201" t="s">
        <v>462</v>
      </c>
      <c r="F433" s="158">
        <v>0.0</v>
      </c>
      <c r="G433" s="57">
        <v>0.0</v>
      </c>
      <c r="H433" s="50">
        <f t="shared" si="16"/>
        <v>0</v>
      </c>
      <c r="I433" s="57"/>
      <c r="J433" s="18"/>
      <c r="K433" s="13"/>
      <c r="L433" s="13"/>
      <c r="M433" s="13"/>
      <c r="N433" s="13"/>
      <c r="O433" s="13"/>
      <c r="P433" s="13"/>
      <c r="Q433" s="35"/>
      <c r="R433" s="35"/>
      <c r="S433" s="35"/>
      <c r="T433" s="1"/>
      <c r="U433" s="1"/>
      <c r="V433" s="1"/>
    </row>
    <row r="434" ht="15.75" hidden="1" customHeight="1">
      <c r="A434" s="13"/>
      <c r="B434" s="13" t="s">
        <v>463</v>
      </c>
      <c r="C434" s="244" t="s">
        <v>405</v>
      </c>
      <c r="D434" s="150" t="s">
        <v>22</v>
      </c>
      <c r="E434" s="201" t="s">
        <v>464</v>
      </c>
      <c r="F434" s="158">
        <v>0.0</v>
      </c>
      <c r="G434" s="57">
        <v>0.0</v>
      </c>
      <c r="H434" s="50">
        <f t="shared" si="16"/>
        <v>0</v>
      </c>
      <c r="I434" s="57"/>
      <c r="J434" s="18"/>
      <c r="K434" s="13"/>
      <c r="L434" s="13"/>
      <c r="M434" s="13"/>
      <c r="N434" s="13"/>
      <c r="O434" s="13"/>
      <c r="P434" s="13"/>
      <c r="Q434" s="35"/>
      <c r="R434" s="35"/>
      <c r="S434" s="35"/>
      <c r="T434" s="1"/>
      <c r="U434" s="1"/>
      <c r="V434" s="1"/>
    </row>
    <row r="435" ht="15.75" hidden="1" customHeight="1">
      <c r="A435" s="13"/>
      <c r="B435" s="13" t="s">
        <v>463</v>
      </c>
      <c r="C435" s="244" t="s">
        <v>465</v>
      </c>
      <c r="D435" s="150" t="s">
        <v>22</v>
      </c>
      <c r="E435" s="201" t="s">
        <v>466</v>
      </c>
      <c r="F435" s="158">
        <v>0.0</v>
      </c>
      <c r="G435" s="57">
        <v>0.0</v>
      </c>
      <c r="H435" s="50">
        <f t="shared" si="16"/>
        <v>0</v>
      </c>
      <c r="I435" s="57"/>
      <c r="J435" s="18"/>
      <c r="K435" s="13"/>
      <c r="L435" s="13"/>
      <c r="M435" s="13"/>
      <c r="N435" s="13"/>
      <c r="O435" s="13"/>
      <c r="P435" s="13"/>
      <c r="Q435" s="35"/>
      <c r="R435" s="35"/>
      <c r="S435" s="35"/>
      <c r="T435" s="1"/>
      <c r="U435" s="1"/>
      <c r="V435" s="1"/>
    </row>
    <row r="436" ht="15.75" hidden="1" customHeight="1">
      <c r="A436" s="13"/>
      <c r="B436" s="13" t="s">
        <v>18</v>
      </c>
      <c r="C436" s="244" t="s">
        <v>442</v>
      </c>
      <c r="D436" s="198" t="s">
        <v>22</v>
      </c>
      <c r="E436" s="201" t="s">
        <v>467</v>
      </c>
      <c r="F436" s="158">
        <v>0.0</v>
      </c>
      <c r="G436" s="57">
        <v>30.0</v>
      </c>
      <c r="H436" s="57">
        <f t="shared" si="16"/>
        <v>0</v>
      </c>
      <c r="I436" s="57"/>
      <c r="J436" s="18"/>
      <c r="K436" s="13"/>
      <c r="L436" s="13"/>
      <c r="M436" s="13"/>
      <c r="N436" s="13"/>
      <c r="O436" s="13"/>
      <c r="P436" s="13"/>
      <c r="Q436" s="35"/>
      <c r="R436" s="35"/>
      <c r="S436" s="35"/>
      <c r="T436" s="1"/>
      <c r="U436" s="1"/>
      <c r="V436" s="1"/>
    </row>
    <row r="437" ht="15.75" customHeight="1">
      <c r="A437" s="13"/>
      <c r="B437" s="13" t="s">
        <v>18</v>
      </c>
      <c r="C437" s="169" t="s">
        <v>280</v>
      </c>
      <c r="D437" s="14" t="s">
        <v>20</v>
      </c>
      <c r="E437" s="15" t="s">
        <v>468</v>
      </c>
      <c r="F437" s="16">
        <v>1.0</v>
      </c>
      <c r="G437" s="34">
        <v>20.0</v>
      </c>
      <c r="H437" s="17">
        <f t="shared" si="16"/>
        <v>20</v>
      </c>
      <c r="I437" s="18"/>
      <c r="J437" s="18"/>
      <c r="K437" s="13"/>
      <c r="L437" s="13"/>
      <c r="M437" s="13"/>
      <c r="N437" s="13"/>
      <c r="O437" s="13"/>
      <c r="P437" s="13"/>
      <c r="Q437" s="35"/>
      <c r="R437" s="35"/>
      <c r="S437" s="35"/>
      <c r="T437" s="1"/>
      <c r="U437" s="1"/>
      <c r="V437" s="1"/>
    </row>
    <row r="438" ht="15.75" hidden="1" customHeight="1">
      <c r="A438" s="13"/>
      <c r="B438" s="13"/>
      <c r="C438" s="169" t="s">
        <v>323</v>
      </c>
      <c r="D438" s="70" t="s">
        <v>24</v>
      </c>
      <c r="E438" s="15"/>
      <c r="F438" s="16">
        <v>0.0</v>
      </c>
      <c r="G438" s="17">
        <v>80.0</v>
      </c>
      <c r="H438" s="17">
        <f t="shared" si="16"/>
        <v>0</v>
      </c>
      <c r="I438" s="18"/>
      <c r="J438" s="18"/>
      <c r="K438" s="13"/>
      <c r="L438" s="13"/>
      <c r="M438" s="13"/>
      <c r="N438" s="13"/>
      <c r="O438" s="13"/>
      <c r="P438" s="13"/>
      <c r="Q438" s="35"/>
      <c r="R438" s="35"/>
      <c r="S438" s="35"/>
      <c r="T438" s="1"/>
      <c r="U438" s="1"/>
      <c r="V438" s="1"/>
    </row>
    <row r="439" ht="15.75" hidden="1" customHeight="1">
      <c r="A439" s="13"/>
      <c r="B439" s="13"/>
      <c r="C439" s="169" t="s">
        <v>324</v>
      </c>
      <c r="D439" s="14" t="s">
        <v>20</v>
      </c>
      <c r="E439" s="15"/>
      <c r="F439" s="16">
        <v>0.0</v>
      </c>
      <c r="G439" s="17">
        <v>35.0</v>
      </c>
      <c r="H439" s="17">
        <f t="shared" si="16"/>
        <v>0</v>
      </c>
      <c r="I439" s="18"/>
      <c r="J439" s="18"/>
      <c r="K439" s="13"/>
      <c r="L439" s="13"/>
      <c r="M439" s="19"/>
      <c r="N439" s="13"/>
      <c r="O439" s="19"/>
      <c r="P439" s="19"/>
      <c r="Q439" s="35"/>
      <c r="R439" s="35"/>
      <c r="S439" s="35"/>
      <c r="T439" s="1"/>
      <c r="U439" s="1"/>
      <c r="V439" s="1"/>
    </row>
    <row r="440" ht="15.75" hidden="1" customHeight="1">
      <c r="A440" s="13"/>
      <c r="B440" s="13"/>
      <c r="C440" s="169" t="s">
        <v>469</v>
      </c>
      <c r="D440" s="70" t="s">
        <v>24</v>
      </c>
      <c r="E440" s="15"/>
      <c r="F440" s="16">
        <v>0.0</v>
      </c>
      <c r="G440" s="17">
        <v>290.0</v>
      </c>
      <c r="H440" s="17">
        <f t="shared" si="16"/>
        <v>0</v>
      </c>
      <c r="I440" s="18"/>
      <c r="J440" s="18"/>
      <c r="K440" s="13"/>
      <c r="L440" s="63"/>
      <c r="M440" s="63"/>
      <c r="N440" s="63"/>
      <c r="O440" s="63"/>
      <c r="P440" s="63"/>
      <c r="Q440" s="35"/>
      <c r="R440" s="35"/>
      <c r="S440" s="35"/>
      <c r="T440" s="1"/>
      <c r="U440" s="1"/>
      <c r="V440" s="1"/>
    </row>
    <row r="441" ht="15.75" hidden="1" customHeight="1">
      <c r="A441" s="13"/>
      <c r="B441" s="13"/>
      <c r="C441" s="169" t="s">
        <v>470</v>
      </c>
      <c r="D441" s="14" t="s">
        <v>20</v>
      </c>
      <c r="E441" s="15"/>
      <c r="F441" s="16">
        <v>0.0</v>
      </c>
      <c r="G441" s="17">
        <v>150.0</v>
      </c>
      <c r="H441" s="17">
        <f t="shared" si="16"/>
        <v>0</v>
      </c>
      <c r="I441" s="18"/>
      <c r="J441" s="18"/>
      <c r="K441" s="13"/>
      <c r="L441" s="13"/>
      <c r="M441" s="19"/>
      <c r="N441" s="13"/>
      <c r="O441" s="19"/>
      <c r="P441" s="19"/>
      <c r="Q441" s="35"/>
      <c r="R441" s="35"/>
      <c r="S441" s="35"/>
      <c r="T441" s="1"/>
      <c r="U441" s="1"/>
      <c r="V441" s="1"/>
    </row>
    <row r="442" ht="15.75" hidden="1" customHeight="1">
      <c r="A442" s="13"/>
      <c r="B442" s="13"/>
      <c r="C442" s="169" t="s">
        <v>471</v>
      </c>
      <c r="D442" s="70" t="s">
        <v>24</v>
      </c>
      <c r="E442" s="15"/>
      <c r="F442" s="16">
        <v>0.0</v>
      </c>
      <c r="G442" s="17">
        <v>250.0</v>
      </c>
      <c r="H442" s="17">
        <f t="shared" si="16"/>
        <v>0</v>
      </c>
      <c r="I442" s="18"/>
      <c r="J442" s="18"/>
      <c r="K442" s="13"/>
      <c r="L442" s="13"/>
      <c r="M442" s="19"/>
      <c r="N442" s="13"/>
      <c r="O442" s="19"/>
      <c r="P442" s="19"/>
      <c r="Q442" s="35"/>
      <c r="R442" s="35"/>
      <c r="S442" s="35"/>
      <c r="T442" s="1"/>
      <c r="U442" s="1"/>
      <c r="V442" s="1"/>
    </row>
    <row r="443" ht="15.75" hidden="1" customHeight="1">
      <c r="A443" s="13"/>
      <c r="B443" s="13"/>
      <c r="C443" s="247" t="s">
        <v>472</v>
      </c>
      <c r="D443" s="14" t="s">
        <v>20</v>
      </c>
      <c r="E443" s="15"/>
      <c r="F443" s="16">
        <v>0.0</v>
      </c>
      <c r="G443" s="17">
        <v>150.0</v>
      </c>
      <c r="H443" s="17">
        <f t="shared" si="16"/>
        <v>0</v>
      </c>
      <c r="I443" s="18"/>
      <c r="J443" s="18"/>
      <c r="K443" s="13"/>
      <c r="L443" s="13"/>
      <c r="M443" s="19"/>
      <c r="N443" s="13"/>
      <c r="O443" s="19"/>
      <c r="P443" s="19"/>
      <c r="Q443" s="35"/>
      <c r="R443" s="35"/>
      <c r="S443" s="35"/>
      <c r="T443" s="1"/>
      <c r="U443" s="1"/>
      <c r="V443" s="1"/>
    </row>
    <row r="444" ht="15.75" hidden="1" customHeight="1">
      <c r="A444" s="13"/>
      <c r="B444" s="13" t="s">
        <v>18</v>
      </c>
      <c r="C444" s="196" t="s">
        <v>309</v>
      </c>
      <c r="D444" s="46" t="s">
        <v>20</v>
      </c>
      <c r="E444" s="207" t="s">
        <v>473</v>
      </c>
      <c r="F444" s="48">
        <v>0.0</v>
      </c>
      <c r="G444" s="50">
        <v>20.0</v>
      </c>
      <c r="H444" s="50">
        <f t="shared" si="16"/>
        <v>0</v>
      </c>
      <c r="I444" s="18"/>
      <c r="J444" s="18"/>
      <c r="K444" s="13"/>
      <c r="L444" s="13"/>
      <c r="M444" s="19"/>
      <c r="N444" s="13"/>
      <c r="O444" s="19"/>
      <c r="P444" s="19"/>
      <c r="Q444" s="35"/>
      <c r="R444" s="35"/>
      <c r="S444" s="35"/>
      <c r="T444" s="1"/>
      <c r="U444" s="1"/>
      <c r="V444" s="1"/>
    </row>
    <row r="445" ht="15.75" hidden="1" customHeight="1">
      <c r="A445" s="13"/>
      <c r="B445" s="206" t="s">
        <v>18</v>
      </c>
      <c r="C445" s="197" t="s">
        <v>474</v>
      </c>
      <c r="D445" s="55" t="s">
        <v>20</v>
      </c>
      <c r="E445" s="208" t="s">
        <v>475</v>
      </c>
      <c r="F445" s="56">
        <v>0.0</v>
      </c>
      <c r="G445" s="57">
        <v>24.0</v>
      </c>
      <c r="H445" s="57">
        <f t="shared" si="16"/>
        <v>0</v>
      </c>
      <c r="I445" s="18"/>
      <c r="J445" s="18"/>
      <c r="K445" s="13"/>
      <c r="L445" s="13"/>
      <c r="M445" s="19"/>
      <c r="N445" s="13"/>
      <c r="O445" s="19"/>
      <c r="P445" s="19"/>
      <c r="Q445" s="35"/>
      <c r="R445" s="35"/>
      <c r="S445" s="35"/>
      <c r="T445" s="1"/>
      <c r="U445" s="1"/>
      <c r="V445" s="1"/>
    </row>
    <row r="446" ht="15.75" hidden="1" customHeight="1">
      <c r="A446" s="13"/>
      <c r="B446" s="13"/>
      <c r="C446" s="169" t="s">
        <v>258</v>
      </c>
      <c r="D446" s="66" t="s">
        <v>22</v>
      </c>
      <c r="E446" s="15"/>
      <c r="F446" s="16">
        <v>0.0</v>
      </c>
      <c r="G446" s="17">
        <v>150.0</v>
      </c>
      <c r="H446" s="17">
        <f t="shared" si="16"/>
        <v>0</v>
      </c>
      <c r="I446" s="18"/>
      <c r="J446" s="17"/>
      <c r="K446" s="13"/>
      <c r="L446" s="13"/>
      <c r="M446" s="13"/>
      <c r="N446" s="13"/>
      <c r="O446" s="19"/>
      <c r="P446" s="19"/>
      <c r="Q446" s="35"/>
      <c r="R446" s="35"/>
      <c r="S446" s="35"/>
      <c r="T446" s="1"/>
      <c r="U446" s="1"/>
      <c r="V446" s="1"/>
    </row>
    <row r="447" ht="15.75" hidden="1" customHeight="1">
      <c r="A447" s="13"/>
      <c r="B447" s="13" t="s">
        <v>18</v>
      </c>
      <c r="C447" s="169" t="s">
        <v>476</v>
      </c>
      <c r="D447" s="66" t="s">
        <v>22</v>
      </c>
      <c r="E447" s="15" t="s">
        <v>477</v>
      </c>
      <c r="F447" s="16">
        <v>0.0</v>
      </c>
      <c r="G447" s="17">
        <v>15.0</v>
      </c>
      <c r="H447" s="17">
        <f t="shared" si="16"/>
        <v>0</v>
      </c>
      <c r="I447" s="18"/>
      <c r="J447" s="18"/>
      <c r="K447" s="13"/>
      <c r="L447" s="13"/>
      <c r="M447" s="13"/>
      <c r="N447" s="13"/>
      <c r="O447" s="13"/>
      <c r="P447" s="13"/>
      <c r="Q447" s="35"/>
      <c r="R447" s="35"/>
      <c r="S447" s="35"/>
      <c r="T447" s="1"/>
      <c r="U447" s="1"/>
      <c r="V447" s="1"/>
    </row>
    <row r="448" ht="15.75" hidden="1" customHeight="1">
      <c r="A448" s="13"/>
      <c r="B448" s="13"/>
      <c r="C448" s="169" t="s">
        <v>478</v>
      </c>
      <c r="D448" s="14" t="s">
        <v>20</v>
      </c>
      <c r="E448" s="15"/>
      <c r="F448" s="16">
        <v>0.0</v>
      </c>
      <c r="G448" s="17">
        <v>500.0</v>
      </c>
      <c r="H448" s="17">
        <f t="shared" si="16"/>
        <v>0</v>
      </c>
      <c r="I448" s="18"/>
      <c r="J448" s="18"/>
      <c r="K448" s="13"/>
      <c r="L448" s="13"/>
      <c r="M448" s="13"/>
      <c r="N448" s="13"/>
      <c r="O448" s="13"/>
      <c r="P448" s="13"/>
      <c r="Q448" s="35"/>
      <c r="R448" s="35"/>
      <c r="S448" s="35"/>
      <c r="T448" s="1"/>
      <c r="U448" s="1"/>
      <c r="V448" s="1"/>
    </row>
    <row r="449" ht="15.75" hidden="1" customHeight="1">
      <c r="A449" s="13"/>
      <c r="B449" s="13"/>
      <c r="C449" s="13" t="s">
        <v>479</v>
      </c>
      <c r="D449" s="70" t="s">
        <v>24</v>
      </c>
      <c r="E449" s="15"/>
      <c r="F449" s="16">
        <v>0.0</v>
      </c>
      <c r="G449" s="17">
        <v>210.0</v>
      </c>
      <c r="H449" s="17">
        <f t="shared" si="16"/>
        <v>0</v>
      </c>
      <c r="I449" s="18"/>
      <c r="J449" s="18"/>
      <c r="K449" s="13"/>
      <c r="L449" s="63"/>
      <c r="M449" s="63"/>
      <c r="N449" s="63"/>
      <c r="O449" s="63"/>
      <c r="P449" s="63"/>
      <c r="Q449" s="35"/>
      <c r="R449" s="35"/>
      <c r="S449" s="35"/>
      <c r="T449" s="1"/>
      <c r="U449" s="1"/>
      <c r="V449" s="1"/>
    </row>
    <row r="450" ht="15.75" hidden="1" customHeight="1">
      <c r="A450" s="13"/>
      <c r="B450" s="13"/>
      <c r="C450" s="169" t="s">
        <v>480</v>
      </c>
      <c r="D450" s="14" t="s">
        <v>20</v>
      </c>
      <c r="E450" s="15"/>
      <c r="F450" s="16">
        <v>0.0</v>
      </c>
      <c r="G450" s="17">
        <v>155.0</v>
      </c>
      <c r="H450" s="17">
        <f t="shared" si="16"/>
        <v>0</v>
      </c>
      <c r="I450" s="18"/>
      <c r="J450" s="18"/>
      <c r="K450" s="13"/>
      <c r="L450" s="13"/>
      <c r="M450" s="13"/>
      <c r="N450" s="13"/>
      <c r="O450" s="13"/>
      <c r="P450" s="13"/>
      <c r="Q450" s="35"/>
      <c r="R450" s="35"/>
      <c r="S450" s="35"/>
      <c r="T450" s="1"/>
      <c r="U450" s="1"/>
      <c r="V450" s="1"/>
    </row>
    <row r="451" ht="15.75" hidden="1" customHeight="1">
      <c r="A451" s="13"/>
      <c r="B451" s="13"/>
      <c r="C451" s="169" t="s">
        <v>481</v>
      </c>
      <c r="D451" s="70" t="s">
        <v>24</v>
      </c>
      <c r="E451" s="15"/>
      <c r="F451" s="16">
        <v>0.0</v>
      </c>
      <c r="G451" s="17">
        <v>70.0</v>
      </c>
      <c r="H451" s="17">
        <f t="shared" si="16"/>
        <v>0</v>
      </c>
      <c r="I451" s="18"/>
      <c r="J451" s="18"/>
      <c r="K451" s="13"/>
      <c r="L451" s="13"/>
      <c r="M451" s="19"/>
      <c r="N451" s="13"/>
      <c r="O451" s="19"/>
      <c r="P451" s="19"/>
      <c r="Q451" s="35"/>
      <c r="R451" s="35"/>
      <c r="S451" s="35"/>
      <c r="T451" s="1"/>
      <c r="U451" s="1"/>
      <c r="V451" s="1"/>
    </row>
    <row r="452" ht="15.75" hidden="1" customHeight="1">
      <c r="A452" s="13"/>
      <c r="B452" s="13"/>
      <c r="C452" s="169" t="s">
        <v>482</v>
      </c>
      <c r="D452" s="14" t="s">
        <v>20</v>
      </c>
      <c r="E452" s="15"/>
      <c r="F452" s="16">
        <v>0.0</v>
      </c>
      <c r="G452" s="17">
        <v>400.0</v>
      </c>
      <c r="H452" s="17">
        <f t="shared" si="16"/>
        <v>0</v>
      </c>
      <c r="I452" s="18"/>
      <c r="J452" s="17"/>
      <c r="K452" s="13"/>
      <c r="L452" s="13"/>
      <c r="M452" s="19"/>
      <c r="N452" s="13"/>
      <c r="O452" s="19"/>
      <c r="P452" s="19"/>
      <c r="Q452" s="35"/>
      <c r="R452" s="35"/>
      <c r="S452" s="35"/>
      <c r="T452" s="1"/>
      <c r="U452" s="1"/>
      <c r="V452" s="1"/>
    </row>
    <row r="453" ht="15.75" hidden="1" customHeight="1">
      <c r="A453" s="13"/>
      <c r="B453" s="13"/>
      <c r="C453" s="169" t="s">
        <v>483</v>
      </c>
      <c r="D453" s="14" t="s">
        <v>20</v>
      </c>
      <c r="E453" s="15"/>
      <c r="F453" s="16">
        <v>0.0</v>
      </c>
      <c r="G453" s="17">
        <v>440.0</v>
      </c>
      <c r="H453" s="17">
        <f t="shared" si="16"/>
        <v>0</v>
      </c>
      <c r="I453" s="18"/>
      <c r="J453" s="17"/>
      <c r="K453" s="13"/>
      <c r="L453" s="13"/>
      <c r="M453" s="19"/>
      <c r="N453" s="13"/>
      <c r="O453" s="19"/>
      <c r="P453" s="19"/>
      <c r="Q453" s="35"/>
      <c r="R453" s="35"/>
      <c r="S453" s="35"/>
      <c r="T453" s="1"/>
      <c r="U453" s="1"/>
      <c r="V453" s="1"/>
    </row>
    <row r="454" ht="15.75" hidden="1" customHeight="1">
      <c r="A454" s="13"/>
      <c r="B454" s="13"/>
      <c r="C454" s="169" t="s">
        <v>484</v>
      </c>
      <c r="D454" s="70" t="s">
        <v>24</v>
      </c>
      <c r="E454" s="15"/>
      <c r="F454" s="16">
        <v>0.0</v>
      </c>
      <c r="G454" s="17">
        <v>90.0</v>
      </c>
      <c r="H454" s="17">
        <f t="shared" si="16"/>
        <v>0</v>
      </c>
      <c r="I454" s="18"/>
      <c r="J454" s="17"/>
      <c r="K454" s="13"/>
      <c r="L454" s="63"/>
      <c r="M454" s="79"/>
      <c r="N454" s="63"/>
      <c r="O454" s="79"/>
      <c r="P454" s="79"/>
      <c r="Q454" s="35"/>
      <c r="R454" s="35"/>
      <c r="S454" s="35"/>
      <c r="T454" s="1"/>
      <c r="U454" s="1"/>
      <c r="V454" s="1"/>
    </row>
    <row r="455" ht="15.75" hidden="1" customHeight="1">
      <c r="A455" s="13"/>
      <c r="B455" s="13"/>
      <c r="C455" s="169" t="s">
        <v>485</v>
      </c>
      <c r="D455" s="14" t="s">
        <v>20</v>
      </c>
      <c r="E455" s="15"/>
      <c r="F455" s="16">
        <v>0.0</v>
      </c>
      <c r="G455" s="17">
        <v>100.0</v>
      </c>
      <c r="H455" s="17">
        <f t="shared" si="16"/>
        <v>0</v>
      </c>
      <c r="I455" s="18"/>
      <c r="J455" s="17"/>
      <c r="K455" s="13"/>
      <c r="L455" s="63"/>
      <c r="M455" s="79"/>
      <c r="N455" s="63"/>
      <c r="O455" s="79"/>
      <c r="P455" s="79"/>
      <c r="Q455" s="35"/>
      <c r="R455" s="35"/>
      <c r="S455" s="35"/>
      <c r="T455" s="1"/>
      <c r="U455" s="1"/>
      <c r="V455" s="1"/>
    </row>
    <row r="456" ht="15.75" hidden="1" customHeight="1">
      <c r="A456" s="13"/>
      <c r="B456" s="13"/>
      <c r="C456" s="13" t="s">
        <v>486</v>
      </c>
      <c r="D456" s="46" t="s">
        <v>20</v>
      </c>
      <c r="E456" s="52"/>
      <c r="F456" s="48">
        <v>0.0</v>
      </c>
      <c r="G456" s="50">
        <v>30.0</v>
      </c>
      <c r="H456" s="50">
        <f t="shared" si="16"/>
        <v>0</v>
      </c>
      <c r="I456" s="50"/>
      <c r="J456" s="17"/>
      <c r="K456" s="13"/>
      <c r="L456" s="63"/>
      <c r="M456" s="79"/>
      <c r="N456" s="63"/>
      <c r="O456" s="79"/>
      <c r="P456" s="79"/>
      <c r="Q456" s="35"/>
      <c r="R456" s="35"/>
      <c r="S456" s="35"/>
      <c r="T456" s="1"/>
      <c r="U456" s="1"/>
      <c r="V456" s="1"/>
    </row>
    <row r="457" ht="15.75" hidden="1" customHeight="1">
      <c r="A457" s="13"/>
      <c r="B457" s="13"/>
      <c r="C457" s="13" t="s">
        <v>487</v>
      </c>
      <c r="D457" s="46" t="s">
        <v>20</v>
      </c>
      <c r="E457" s="52"/>
      <c r="F457" s="48">
        <v>0.0</v>
      </c>
      <c r="G457" s="50">
        <v>30.0</v>
      </c>
      <c r="H457" s="50">
        <f t="shared" si="16"/>
        <v>0</v>
      </c>
      <c r="I457" s="50"/>
      <c r="J457" s="17"/>
      <c r="K457" s="13"/>
      <c r="L457" s="63"/>
      <c r="M457" s="79"/>
      <c r="N457" s="63"/>
      <c r="O457" s="79"/>
      <c r="P457" s="79"/>
      <c r="Q457" s="35"/>
      <c r="R457" s="35"/>
      <c r="S457" s="35"/>
      <c r="T457" s="1"/>
      <c r="U457" s="1"/>
      <c r="V457" s="1"/>
    </row>
    <row r="458" ht="15.75" hidden="1" customHeight="1">
      <c r="A458" s="13"/>
      <c r="B458" s="13"/>
      <c r="C458" s="13" t="s">
        <v>488</v>
      </c>
      <c r="D458" s="14" t="s">
        <v>20</v>
      </c>
      <c r="E458" s="15"/>
      <c r="F458" s="16">
        <v>0.0</v>
      </c>
      <c r="G458" s="17">
        <v>850.0</v>
      </c>
      <c r="H458" s="17">
        <f t="shared" si="16"/>
        <v>0</v>
      </c>
      <c r="I458" s="18"/>
      <c r="J458" s="17"/>
      <c r="K458" s="13"/>
      <c r="L458" s="63"/>
      <c r="M458" s="79"/>
      <c r="N458" s="63"/>
      <c r="O458" s="79"/>
      <c r="P458" s="79"/>
      <c r="Q458" s="35"/>
      <c r="R458" s="35"/>
      <c r="S458" s="35"/>
      <c r="T458" s="1"/>
      <c r="U458" s="1"/>
      <c r="V458" s="1"/>
    </row>
    <row r="459" ht="15.75" hidden="1" customHeight="1">
      <c r="A459" s="13"/>
      <c r="B459" s="13"/>
      <c r="C459" s="13" t="s">
        <v>489</v>
      </c>
      <c r="D459" s="70" t="s">
        <v>24</v>
      </c>
      <c r="E459" s="15"/>
      <c r="F459" s="16">
        <v>0.0</v>
      </c>
      <c r="G459" s="17">
        <v>460.0</v>
      </c>
      <c r="H459" s="17">
        <f t="shared" si="16"/>
        <v>0</v>
      </c>
      <c r="I459" s="18"/>
      <c r="J459" s="17"/>
      <c r="K459" s="13"/>
      <c r="L459" s="63"/>
      <c r="M459" s="79"/>
      <c r="N459" s="63"/>
      <c r="O459" s="79"/>
      <c r="P459" s="79"/>
      <c r="Q459" s="35"/>
      <c r="R459" s="35"/>
      <c r="S459" s="35"/>
      <c r="T459" s="1"/>
      <c r="U459" s="1"/>
      <c r="V459" s="1"/>
    </row>
    <row r="460" ht="15.75" hidden="1" customHeight="1">
      <c r="A460" s="13"/>
      <c r="B460" s="13"/>
      <c r="C460" s="169" t="s">
        <v>490</v>
      </c>
      <c r="D460" s="66" t="s">
        <v>22</v>
      </c>
      <c r="E460" s="15"/>
      <c r="F460" s="16">
        <v>0.0</v>
      </c>
      <c r="G460" s="17">
        <v>0.0</v>
      </c>
      <c r="H460" s="17">
        <f t="shared" si="16"/>
        <v>0</v>
      </c>
      <c r="I460" s="18"/>
      <c r="J460" s="17"/>
      <c r="K460" s="13"/>
      <c r="L460" s="13"/>
      <c r="M460" s="19"/>
      <c r="N460" s="13"/>
      <c r="O460" s="19"/>
      <c r="P460" s="19"/>
      <c r="Q460" s="35"/>
      <c r="R460" s="35"/>
      <c r="S460" s="35"/>
      <c r="T460" s="1"/>
      <c r="U460" s="1"/>
      <c r="V460" s="1"/>
    </row>
    <row r="461" ht="15.75" hidden="1" customHeight="1">
      <c r="A461" s="13"/>
      <c r="B461" s="13" t="s">
        <v>18</v>
      </c>
      <c r="C461" s="169" t="s">
        <v>491</v>
      </c>
      <c r="D461" s="66" t="s">
        <v>22</v>
      </c>
      <c r="E461" s="15" t="s">
        <v>492</v>
      </c>
      <c r="F461" s="16">
        <v>0.0</v>
      </c>
      <c r="G461" s="248">
        <v>105.0</v>
      </c>
      <c r="H461" s="17">
        <f t="shared" si="16"/>
        <v>0</v>
      </c>
      <c r="I461" s="18"/>
      <c r="J461" s="18"/>
      <c r="K461" s="13"/>
      <c r="L461" s="13"/>
      <c r="M461" s="19"/>
      <c r="N461" s="13"/>
      <c r="O461" s="19"/>
      <c r="P461" s="19"/>
      <c r="Q461" s="35"/>
      <c r="R461" s="35"/>
      <c r="S461" s="35"/>
      <c r="T461" s="1"/>
      <c r="U461" s="1"/>
      <c r="V461" s="1"/>
    </row>
    <row r="462" ht="15.75" hidden="1" customHeight="1">
      <c r="A462" s="13"/>
      <c r="B462" s="43" t="s">
        <v>350</v>
      </c>
      <c r="C462" s="169" t="s">
        <v>493</v>
      </c>
      <c r="D462" s="66" t="s">
        <v>22</v>
      </c>
      <c r="E462" s="154" t="s">
        <v>494</v>
      </c>
      <c r="F462" s="16">
        <v>0.0</v>
      </c>
      <c r="G462" s="227">
        <v>86.0</v>
      </c>
      <c r="H462" s="17">
        <f t="shared" si="16"/>
        <v>0</v>
      </c>
      <c r="I462" s="18"/>
      <c r="J462" s="18"/>
      <c r="K462" s="13"/>
      <c r="L462" s="13"/>
      <c r="M462" s="19"/>
      <c r="N462" s="13"/>
      <c r="O462" s="19"/>
      <c r="P462" s="19"/>
      <c r="Q462" s="35"/>
      <c r="R462" s="35"/>
      <c r="S462" s="35"/>
      <c r="T462" s="1"/>
      <c r="U462" s="1"/>
      <c r="V462" s="1"/>
    </row>
    <row r="463" ht="15.75" hidden="1" customHeight="1">
      <c r="A463" s="13"/>
      <c r="B463" s="13"/>
      <c r="C463" s="169" t="s">
        <v>495</v>
      </c>
      <c r="D463" s="66" t="s">
        <v>22</v>
      </c>
      <c r="E463" s="15"/>
      <c r="F463" s="16">
        <v>0.0</v>
      </c>
      <c r="G463" s="249">
        <v>70.0</v>
      </c>
      <c r="H463" s="17">
        <f t="shared" si="16"/>
        <v>0</v>
      </c>
      <c r="I463" s="18"/>
      <c r="J463" s="18"/>
      <c r="K463" s="13"/>
      <c r="L463" s="13"/>
      <c r="M463" s="19"/>
      <c r="N463" s="13"/>
      <c r="O463" s="19"/>
      <c r="P463" s="19"/>
      <c r="Q463" s="35"/>
      <c r="R463" s="35"/>
      <c r="S463" s="35"/>
      <c r="T463" s="1"/>
      <c r="U463" s="1"/>
      <c r="V463" s="1"/>
    </row>
    <row r="464" ht="15.75" hidden="1" customHeight="1">
      <c r="A464" s="13"/>
      <c r="B464" s="13" t="s">
        <v>18</v>
      </c>
      <c r="C464" s="169" t="s">
        <v>496</v>
      </c>
      <c r="D464" s="66" t="s">
        <v>22</v>
      </c>
      <c r="E464" s="15" t="s">
        <v>497</v>
      </c>
      <c r="F464" s="16">
        <v>0.0</v>
      </c>
      <c r="G464" s="249">
        <v>15.0</v>
      </c>
      <c r="H464" s="17">
        <f t="shared" si="16"/>
        <v>0</v>
      </c>
      <c r="I464" s="18"/>
      <c r="J464" s="18"/>
      <c r="K464" s="13"/>
      <c r="L464" s="27"/>
      <c r="M464" s="28"/>
      <c r="N464" s="27"/>
      <c r="O464" s="28"/>
      <c r="P464" s="27"/>
      <c r="Q464" s="35"/>
      <c r="R464" s="35"/>
      <c r="S464" s="35"/>
      <c r="T464" s="1"/>
      <c r="U464" s="1"/>
      <c r="V464" s="1"/>
    </row>
    <row r="465" ht="15.75" customHeight="1">
      <c r="A465" s="13"/>
      <c r="B465" s="13" t="s">
        <v>18</v>
      </c>
      <c r="C465" s="169" t="s">
        <v>370</v>
      </c>
      <c r="D465" s="14" t="s">
        <v>20</v>
      </c>
      <c r="E465" s="15">
        <v>8.49069896E8</v>
      </c>
      <c r="F465" s="16">
        <v>1.0</v>
      </c>
      <c r="G465" s="17">
        <v>5.0</v>
      </c>
      <c r="H465" s="17">
        <f t="shared" si="16"/>
        <v>5</v>
      </c>
      <c r="I465" s="18"/>
      <c r="J465" s="18"/>
      <c r="K465" s="13"/>
      <c r="L465" s="27"/>
      <c r="M465" s="28"/>
      <c r="N465" s="27"/>
      <c r="O465" s="28"/>
      <c r="P465" s="27"/>
      <c r="Q465" s="35"/>
      <c r="R465" s="35"/>
      <c r="S465" s="35"/>
      <c r="T465" s="1"/>
      <c r="U465" s="1"/>
      <c r="V465" s="1"/>
    </row>
    <row r="466" ht="15.75" hidden="1" customHeight="1">
      <c r="A466" s="13"/>
      <c r="B466" s="231" t="s">
        <v>350</v>
      </c>
      <c r="C466" s="169" t="s">
        <v>427</v>
      </c>
      <c r="D466" s="66" t="s">
        <v>22</v>
      </c>
      <c r="E466" s="231" t="s">
        <v>428</v>
      </c>
      <c r="F466" s="16">
        <v>0.0</v>
      </c>
      <c r="G466" s="235">
        <v>107.5</v>
      </c>
      <c r="H466" s="17">
        <f t="shared" si="16"/>
        <v>0</v>
      </c>
      <c r="I466" s="18"/>
      <c r="J466" s="18"/>
      <c r="K466" s="13"/>
      <c r="L466" s="27"/>
      <c r="M466" s="28"/>
      <c r="N466" s="27"/>
      <c r="O466" s="28"/>
      <c r="P466" s="27"/>
      <c r="Q466" s="35"/>
      <c r="R466" s="35"/>
      <c r="S466" s="35"/>
      <c r="T466" s="1"/>
      <c r="U466" s="1"/>
      <c r="V466" s="1"/>
    </row>
    <row r="467" ht="15.75" hidden="1" customHeight="1">
      <c r="A467" s="13"/>
      <c r="B467" s="231" t="s">
        <v>350</v>
      </c>
      <c r="C467" s="169" t="s">
        <v>429</v>
      </c>
      <c r="D467" s="66" t="s">
        <v>22</v>
      </c>
      <c r="E467" s="15"/>
      <c r="F467" s="16">
        <v>0.0</v>
      </c>
      <c r="G467" s="235">
        <v>97.0</v>
      </c>
      <c r="H467" s="17">
        <f t="shared" si="16"/>
        <v>0</v>
      </c>
      <c r="I467" s="18"/>
      <c r="J467" s="18"/>
      <c r="K467" s="13"/>
      <c r="L467" s="27"/>
      <c r="M467" s="28"/>
      <c r="N467" s="27"/>
      <c r="O467" s="28"/>
      <c r="P467" s="27"/>
      <c r="Q467" s="35"/>
      <c r="R467" s="35"/>
      <c r="S467" s="35"/>
      <c r="T467" s="1"/>
      <c r="U467" s="1"/>
      <c r="V467" s="1"/>
    </row>
    <row r="468" ht="15.75" customHeight="1">
      <c r="A468" s="13"/>
      <c r="B468" s="13" t="s">
        <v>18</v>
      </c>
      <c r="C468" s="169" t="s">
        <v>371</v>
      </c>
      <c r="D468" s="14" t="s">
        <v>20</v>
      </c>
      <c r="E468" s="15" t="s">
        <v>286</v>
      </c>
      <c r="F468" s="16">
        <v>2.0</v>
      </c>
      <c r="G468" s="17">
        <v>3.0</v>
      </c>
      <c r="H468" s="17">
        <f t="shared" si="16"/>
        <v>6</v>
      </c>
      <c r="I468" s="18"/>
      <c r="J468" s="18"/>
      <c r="K468" s="13"/>
      <c r="L468" s="27"/>
      <c r="M468" s="28"/>
      <c r="N468" s="27"/>
      <c r="O468" s="28"/>
      <c r="P468" s="27"/>
      <c r="Q468" s="35"/>
      <c r="R468" s="35"/>
      <c r="S468" s="35"/>
      <c r="T468" s="1"/>
      <c r="U468" s="1"/>
      <c r="V468" s="1"/>
    </row>
    <row r="469" ht="15.75" customHeight="1">
      <c r="A469" s="13"/>
      <c r="B469" s="43" t="s">
        <v>498</v>
      </c>
      <c r="C469" s="195" t="s">
        <v>308</v>
      </c>
      <c r="D469" s="14" t="s">
        <v>20</v>
      </c>
      <c r="E469" s="218" t="s">
        <v>499</v>
      </c>
      <c r="F469" s="40">
        <v>1.0</v>
      </c>
      <c r="G469" s="34">
        <v>312.0</v>
      </c>
      <c r="H469" s="17">
        <f t="shared" si="16"/>
        <v>312</v>
      </c>
      <c r="I469" s="18"/>
      <c r="J469" s="18"/>
      <c r="K469" s="43"/>
      <c r="L469" s="27"/>
      <c r="M469" s="28"/>
      <c r="N469" s="27"/>
      <c r="O469" s="28"/>
      <c r="P469" s="27"/>
      <c r="Q469" s="35"/>
      <c r="R469" s="35"/>
      <c r="S469" s="35"/>
      <c r="T469" s="1"/>
      <c r="U469" s="1"/>
      <c r="V469" s="1"/>
    </row>
    <row r="470" ht="15.75" hidden="1" customHeight="1">
      <c r="A470" s="13"/>
      <c r="B470" s="13" t="s">
        <v>18</v>
      </c>
      <c r="C470" s="169" t="s">
        <v>500</v>
      </c>
      <c r="D470" s="14" t="s">
        <v>20</v>
      </c>
      <c r="E470" s="15"/>
      <c r="F470" s="16">
        <v>0.0</v>
      </c>
      <c r="G470" s="17">
        <v>5.0</v>
      </c>
      <c r="H470" s="17">
        <f t="shared" si="16"/>
        <v>0</v>
      </c>
      <c r="I470" s="18"/>
      <c r="J470" s="17"/>
      <c r="K470" s="17"/>
      <c r="L470" s="13"/>
      <c r="M470" s="19"/>
      <c r="N470" s="13"/>
      <c r="O470" s="19"/>
      <c r="P470" s="19"/>
      <c r="Q470" s="35"/>
      <c r="R470" s="35"/>
      <c r="S470" s="35"/>
      <c r="T470" s="1"/>
      <c r="U470" s="1"/>
      <c r="V470" s="1"/>
    </row>
    <row r="471" ht="15.75" hidden="1" customHeight="1">
      <c r="A471" s="13"/>
      <c r="B471" s="13"/>
      <c r="C471" s="169" t="s">
        <v>501</v>
      </c>
      <c r="D471" s="70" t="s">
        <v>24</v>
      </c>
      <c r="E471" s="15"/>
      <c r="F471" s="16">
        <v>0.0</v>
      </c>
      <c r="G471" s="17">
        <v>210.0</v>
      </c>
      <c r="H471" s="17">
        <f t="shared" si="16"/>
        <v>0</v>
      </c>
      <c r="I471" s="18"/>
      <c r="J471" s="17"/>
      <c r="K471" s="13"/>
      <c r="L471" s="63"/>
      <c r="M471" s="79"/>
      <c r="N471" s="63"/>
      <c r="O471" s="79"/>
      <c r="P471" s="79"/>
      <c r="Q471" s="35"/>
      <c r="R471" s="35"/>
      <c r="S471" s="35"/>
      <c r="T471" s="1"/>
      <c r="U471" s="1"/>
      <c r="V471" s="1"/>
    </row>
    <row r="472" ht="15.75" hidden="1" customHeight="1">
      <c r="A472" s="13"/>
      <c r="B472" s="13" t="s">
        <v>18</v>
      </c>
      <c r="C472" s="169" t="s">
        <v>502</v>
      </c>
      <c r="D472" s="66" t="s">
        <v>22</v>
      </c>
      <c r="E472" s="15"/>
      <c r="F472" s="16">
        <v>0.0</v>
      </c>
      <c r="G472" s="17">
        <v>0.0</v>
      </c>
      <c r="H472" s="17">
        <f t="shared" si="16"/>
        <v>0</v>
      </c>
      <c r="I472" s="18"/>
      <c r="J472" s="17"/>
      <c r="K472" s="13"/>
      <c r="L472" s="13"/>
      <c r="M472" s="19"/>
      <c r="N472" s="13"/>
      <c r="O472" s="19"/>
      <c r="P472" s="19"/>
      <c r="Q472" s="35"/>
      <c r="R472" s="35"/>
      <c r="S472" s="35"/>
      <c r="T472" s="1"/>
      <c r="U472" s="1"/>
      <c r="V472" s="1"/>
    </row>
    <row r="473" ht="15.75" hidden="1" customHeight="1">
      <c r="A473" s="13"/>
      <c r="B473" s="13" t="s">
        <v>18</v>
      </c>
      <c r="C473" s="169" t="s">
        <v>283</v>
      </c>
      <c r="D473" s="14" t="s">
        <v>20</v>
      </c>
      <c r="E473" s="15" t="s">
        <v>284</v>
      </c>
      <c r="F473" s="16">
        <v>0.0</v>
      </c>
      <c r="G473" s="17">
        <v>12.0</v>
      </c>
      <c r="H473" s="17">
        <f t="shared" si="16"/>
        <v>0</v>
      </c>
      <c r="I473" s="18"/>
      <c r="J473" s="18"/>
      <c r="K473" s="13"/>
      <c r="L473" s="63"/>
      <c r="M473" s="63"/>
      <c r="N473" s="63"/>
      <c r="O473" s="63"/>
      <c r="P473" s="63"/>
      <c r="Q473" s="35"/>
      <c r="R473" s="35"/>
      <c r="S473" s="35"/>
      <c r="T473" s="1"/>
      <c r="U473" s="1"/>
      <c r="V473" s="1"/>
    </row>
    <row r="474" ht="15.75" hidden="1" customHeight="1">
      <c r="A474" s="13"/>
      <c r="B474" s="13"/>
      <c r="C474" s="13" t="s">
        <v>221</v>
      </c>
      <c r="D474" s="213" t="s">
        <v>24</v>
      </c>
      <c r="E474" s="52"/>
      <c r="F474" s="48">
        <v>0.0</v>
      </c>
      <c r="G474" s="50">
        <v>50.0</v>
      </c>
      <c r="H474" s="50">
        <f t="shared" si="16"/>
        <v>0</v>
      </c>
      <c r="I474" s="18"/>
      <c r="J474" s="18"/>
      <c r="K474" s="13"/>
      <c r="L474" s="63"/>
      <c r="M474" s="63"/>
      <c r="N474" s="63"/>
      <c r="O474" s="63"/>
      <c r="P474" s="63"/>
      <c r="Q474" s="35"/>
      <c r="R474" s="35"/>
      <c r="S474" s="35"/>
      <c r="T474" s="1"/>
      <c r="U474" s="1"/>
      <c r="V474" s="1"/>
    </row>
    <row r="475" ht="15.75" hidden="1" customHeight="1">
      <c r="A475" s="13"/>
      <c r="B475" s="13"/>
      <c r="C475" s="206" t="s">
        <v>222</v>
      </c>
      <c r="D475" s="216" t="s">
        <v>24</v>
      </c>
      <c r="E475" s="54"/>
      <c r="F475" s="56">
        <v>0.0</v>
      </c>
      <c r="G475" s="57">
        <v>40.0</v>
      </c>
      <c r="H475" s="57">
        <f t="shared" si="16"/>
        <v>0</v>
      </c>
      <c r="I475" s="18"/>
      <c r="J475" s="18"/>
      <c r="K475" s="13"/>
      <c r="L475" s="63"/>
      <c r="M475" s="63"/>
      <c r="N475" s="63"/>
      <c r="O475" s="63"/>
      <c r="P475" s="63"/>
      <c r="Q475" s="35"/>
      <c r="R475" s="35"/>
      <c r="S475" s="35"/>
      <c r="T475" s="1"/>
      <c r="U475" s="1"/>
      <c r="V475" s="1"/>
    </row>
    <row r="476" ht="15.75" hidden="1" customHeight="1">
      <c r="A476" s="13"/>
      <c r="B476" s="13"/>
      <c r="C476" s="169" t="s">
        <v>374</v>
      </c>
      <c r="D476" s="70" t="s">
        <v>24</v>
      </c>
      <c r="E476" s="15"/>
      <c r="F476" s="16">
        <v>0.0</v>
      </c>
      <c r="G476" s="17">
        <v>210.0</v>
      </c>
      <c r="H476" s="17">
        <f t="shared" si="16"/>
        <v>0</v>
      </c>
      <c r="I476" s="18"/>
      <c r="J476" s="18"/>
      <c r="K476" s="13"/>
      <c r="L476" s="63"/>
      <c r="M476" s="63"/>
      <c r="N476" s="63"/>
      <c r="O476" s="63"/>
      <c r="P476" s="63"/>
      <c r="Q476" s="35"/>
      <c r="R476" s="35"/>
      <c r="S476" s="35"/>
      <c r="T476" s="1"/>
      <c r="U476" s="1"/>
      <c r="V476" s="1"/>
    </row>
    <row r="477" ht="15.75" hidden="1" customHeight="1">
      <c r="A477" s="13"/>
      <c r="B477" s="13" t="s">
        <v>373</v>
      </c>
      <c r="C477" s="169" t="s">
        <v>372</v>
      </c>
      <c r="D477" s="14" t="s">
        <v>20</v>
      </c>
      <c r="E477" s="15"/>
      <c r="F477" s="16">
        <v>0.0</v>
      </c>
      <c r="G477" s="17">
        <v>70.0</v>
      </c>
      <c r="H477" s="17">
        <f t="shared" si="16"/>
        <v>0</v>
      </c>
      <c r="I477" s="18"/>
      <c r="J477" s="18"/>
      <c r="K477" s="13"/>
      <c r="L477" s="13"/>
      <c r="M477" s="13"/>
      <c r="N477" s="13"/>
      <c r="O477" s="13"/>
      <c r="P477" s="13"/>
      <c r="Q477" s="35"/>
      <c r="R477" s="35"/>
      <c r="S477" s="35"/>
      <c r="T477" s="1"/>
      <c r="U477" s="1"/>
      <c r="V477" s="1"/>
    </row>
    <row r="478" ht="15.75" hidden="1" customHeight="1">
      <c r="A478" s="13"/>
      <c r="B478" s="13" t="s">
        <v>18</v>
      </c>
      <c r="C478" s="169" t="s">
        <v>503</v>
      </c>
      <c r="D478" s="14" t="s">
        <v>20</v>
      </c>
      <c r="E478" s="15"/>
      <c r="F478" s="16">
        <v>0.0</v>
      </c>
      <c r="G478" s="17">
        <v>50.0</v>
      </c>
      <c r="H478" s="17">
        <f t="shared" si="16"/>
        <v>0</v>
      </c>
      <c r="I478" s="18"/>
      <c r="J478" s="17"/>
      <c r="K478" s="13"/>
      <c r="L478" s="13"/>
      <c r="M478" s="13"/>
      <c r="N478" s="13"/>
      <c r="O478" s="13"/>
      <c r="P478" s="13"/>
      <c r="Q478" s="35"/>
      <c r="R478" s="35"/>
      <c r="S478" s="35"/>
      <c r="T478" s="1"/>
      <c r="U478" s="1"/>
      <c r="V478" s="1"/>
    </row>
    <row r="479" ht="15.75" hidden="1" customHeight="1">
      <c r="A479" s="13"/>
      <c r="B479" s="13"/>
      <c r="C479" s="169" t="s">
        <v>504</v>
      </c>
      <c r="D479" s="70" t="s">
        <v>24</v>
      </c>
      <c r="E479" s="15"/>
      <c r="F479" s="16">
        <v>0.0</v>
      </c>
      <c r="G479" s="17">
        <v>50.0</v>
      </c>
      <c r="H479" s="17">
        <f t="shared" si="16"/>
        <v>0</v>
      </c>
      <c r="I479" s="18"/>
      <c r="J479" s="17"/>
      <c r="K479" s="13"/>
      <c r="L479" s="13"/>
      <c r="M479" s="13"/>
      <c r="N479" s="13"/>
      <c r="O479" s="13"/>
      <c r="P479" s="13"/>
      <c r="Q479" s="35"/>
      <c r="R479" s="35"/>
      <c r="S479" s="35"/>
      <c r="T479" s="1"/>
      <c r="U479" s="1"/>
      <c r="V479" s="1"/>
    </row>
    <row r="480" ht="15.75" hidden="1" customHeight="1">
      <c r="A480" s="13"/>
      <c r="B480" s="13"/>
      <c r="C480" s="169" t="s">
        <v>505</v>
      </c>
      <c r="D480" s="70" t="s">
        <v>24</v>
      </c>
      <c r="E480" s="15"/>
      <c r="F480" s="16">
        <v>0.0</v>
      </c>
      <c r="G480" s="17">
        <v>120.0</v>
      </c>
      <c r="H480" s="17">
        <f t="shared" si="16"/>
        <v>0</v>
      </c>
      <c r="I480" s="18"/>
      <c r="J480" s="17"/>
      <c r="K480" s="13"/>
      <c r="L480" s="63"/>
      <c r="M480" s="63"/>
      <c r="N480" s="63"/>
      <c r="O480" s="63"/>
      <c r="P480" s="63"/>
      <c r="Q480" s="35"/>
      <c r="R480" s="35"/>
      <c r="S480" s="35"/>
      <c r="T480" s="1"/>
      <c r="U480" s="1"/>
      <c r="V480" s="1"/>
    </row>
    <row r="481" ht="15.75" hidden="1" customHeight="1">
      <c r="A481" s="13"/>
      <c r="B481" s="13"/>
      <c r="C481" s="169" t="s">
        <v>506</v>
      </c>
      <c r="D481" s="70" t="s">
        <v>24</v>
      </c>
      <c r="E481" s="15"/>
      <c r="F481" s="16">
        <v>0.0</v>
      </c>
      <c r="G481" s="17">
        <v>80.0</v>
      </c>
      <c r="H481" s="17">
        <f t="shared" si="16"/>
        <v>0</v>
      </c>
      <c r="I481" s="18"/>
      <c r="J481" s="17"/>
      <c r="K481" s="13"/>
      <c r="L481" s="63"/>
      <c r="M481" s="63"/>
      <c r="N481" s="63"/>
      <c r="O481" s="63"/>
      <c r="P481" s="63"/>
      <c r="Q481" s="35"/>
      <c r="R481" s="35"/>
      <c r="S481" s="35"/>
      <c r="T481" s="1"/>
      <c r="U481" s="1"/>
      <c r="V481" s="1"/>
    </row>
    <row r="482" ht="15.75" hidden="1" customHeight="1">
      <c r="A482" s="13"/>
      <c r="B482" s="13"/>
      <c r="C482" s="169" t="s">
        <v>507</v>
      </c>
      <c r="D482" s="14" t="s">
        <v>20</v>
      </c>
      <c r="E482" s="15"/>
      <c r="F482" s="16">
        <v>0.0</v>
      </c>
      <c r="G482" s="17">
        <v>300.0</v>
      </c>
      <c r="H482" s="17">
        <f t="shared" si="16"/>
        <v>0</v>
      </c>
      <c r="I482" s="18"/>
      <c r="J482" s="17"/>
      <c r="K482" s="13"/>
      <c r="L482" s="63"/>
      <c r="M482" s="63"/>
      <c r="N482" s="63"/>
      <c r="O482" s="63"/>
      <c r="P482" s="63"/>
      <c r="Q482" s="35"/>
      <c r="R482" s="35"/>
      <c r="S482" s="35"/>
      <c r="T482" s="1"/>
      <c r="U482" s="1"/>
      <c r="V482" s="1"/>
    </row>
    <row r="483" ht="15.75" hidden="1" customHeight="1">
      <c r="A483" s="13"/>
      <c r="B483" s="13"/>
      <c r="C483" s="169" t="s">
        <v>508</v>
      </c>
      <c r="D483" s="70" t="s">
        <v>24</v>
      </c>
      <c r="E483" s="15"/>
      <c r="F483" s="16">
        <v>0.0</v>
      </c>
      <c r="G483" s="17">
        <v>290.0</v>
      </c>
      <c r="H483" s="17">
        <f t="shared" si="16"/>
        <v>0</v>
      </c>
      <c r="I483" s="18"/>
      <c r="J483" s="17"/>
      <c r="K483" s="13"/>
      <c r="L483" s="63"/>
      <c r="M483" s="63"/>
      <c r="N483" s="63"/>
      <c r="O483" s="63"/>
      <c r="P483" s="63"/>
      <c r="Q483" s="35"/>
      <c r="R483" s="35"/>
      <c r="S483" s="35"/>
      <c r="T483" s="1"/>
      <c r="U483" s="1"/>
      <c r="V483" s="1"/>
    </row>
    <row r="484" ht="15.75" hidden="1" customHeight="1">
      <c r="A484" s="13"/>
      <c r="B484" s="13"/>
      <c r="C484" s="13" t="s">
        <v>509</v>
      </c>
      <c r="D484" s="46" t="s">
        <v>20</v>
      </c>
      <c r="E484" s="52"/>
      <c r="F484" s="48">
        <v>0.0</v>
      </c>
      <c r="G484" s="50">
        <v>30.0</v>
      </c>
      <c r="H484" s="50">
        <f t="shared" si="16"/>
        <v>0</v>
      </c>
      <c r="I484" s="50"/>
      <c r="J484" s="17"/>
      <c r="K484" s="13"/>
      <c r="L484" s="63"/>
      <c r="M484" s="63"/>
      <c r="N484" s="63"/>
      <c r="O484" s="63"/>
      <c r="P484" s="63"/>
      <c r="Q484" s="35"/>
      <c r="R484" s="35"/>
      <c r="S484" s="35"/>
      <c r="T484" s="1"/>
      <c r="U484" s="1"/>
      <c r="V484" s="1"/>
    </row>
    <row r="485" ht="15.75" hidden="1" customHeight="1">
      <c r="A485" s="13"/>
      <c r="B485" s="13"/>
      <c r="C485" s="206" t="s">
        <v>510</v>
      </c>
      <c r="D485" s="216" t="s">
        <v>24</v>
      </c>
      <c r="E485" s="54"/>
      <c r="F485" s="56">
        <v>0.0</v>
      </c>
      <c r="G485" s="57">
        <v>70.0</v>
      </c>
      <c r="H485" s="57">
        <f t="shared" si="16"/>
        <v>0</v>
      </c>
      <c r="I485" s="57"/>
      <c r="J485" s="17"/>
      <c r="K485" s="13"/>
      <c r="L485" s="63"/>
      <c r="M485" s="63"/>
      <c r="N485" s="63"/>
      <c r="O485" s="63"/>
      <c r="P485" s="63"/>
      <c r="Q485" s="35"/>
      <c r="R485" s="35"/>
      <c r="S485" s="35"/>
      <c r="T485" s="1"/>
      <c r="U485" s="1"/>
      <c r="V485" s="1"/>
    </row>
    <row r="486" ht="15.75" hidden="1" customHeight="1">
      <c r="A486" s="13"/>
      <c r="B486" s="13"/>
      <c r="C486" s="13" t="s">
        <v>511</v>
      </c>
      <c r="D486" s="46" t="s">
        <v>20</v>
      </c>
      <c r="E486" s="52"/>
      <c r="F486" s="48">
        <v>0.0</v>
      </c>
      <c r="G486" s="50">
        <v>368.0</v>
      </c>
      <c r="H486" s="50">
        <f t="shared" si="16"/>
        <v>0</v>
      </c>
      <c r="I486" s="50"/>
      <c r="J486" s="17"/>
      <c r="K486" s="13"/>
      <c r="L486" s="63"/>
      <c r="M486" s="63"/>
      <c r="N486" s="63"/>
      <c r="O486" s="63"/>
      <c r="P486" s="63"/>
      <c r="Q486" s="35"/>
      <c r="R486" s="35"/>
      <c r="S486" s="35"/>
      <c r="T486" s="1"/>
      <c r="U486" s="1"/>
      <c r="V486" s="1"/>
    </row>
    <row r="487" ht="15.75" hidden="1" customHeight="1">
      <c r="A487" s="13"/>
      <c r="B487" s="13"/>
      <c r="C487" s="206" t="s">
        <v>512</v>
      </c>
      <c r="D487" s="55" t="s">
        <v>20</v>
      </c>
      <c r="E487" s="54"/>
      <c r="F487" s="56">
        <v>0.0</v>
      </c>
      <c r="G487" s="57">
        <v>183.0</v>
      </c>
      <c r="H487" s="57">
        <f t="shared" si="16"/>
        <v>0</v>
      </c>
      <c r="I487" s="57"/>
      <c r="J487" s="17"/>
      <c r="K487" s="13"/>
      <c r="L487" s="63"/>
      <c r="M487" s="63"/>
      <c r="N487" s="63"/>
      <c r="O487" s="63"/>
      <c r="P487" s="63"/>
      <c r="Q487" s="35"/>
      <c r="R487" s="35"/>
      <c r="S487" s="35"/>
      <c r="T487" s="1"/>
      <c r="U487" s="1"/>
      <c r="V487" s="1"/>
    </row>
    <row r="488" ht="15.75" hidden="1" customHeight="1">
      <c r="A488" s="13"/>
      <c r="B488" s="13"/>
      <c r="C488" s="250" t="s">
        <v>513</v>
      </c>
      <c r="D488" s="55" t="s">
        <v>20</v>
      </c>
      <c r="E488" s="54"/>
      <c r="F488" s="56">
        <v>0.0</v>
      </c>
      <c r="G488" s="57">
        <v>45.0</v>
      </c>
      <c r="H488" s="57">
        <f t="shared" si="16"/>
        <v>0</v>
      </c>
      <c r="I488" s="57"/>
      <c r="J488" s="17"/>
      <c r="K488" s="13"/>
      <c r="L488" s="63"/>
      <c r="M488" s="63"/>
      <c r="N488" s="63"/>
      <c r="O488" s="63"/>
      <c r="P488" s="63"/>
      <c r="Q488" s="35"/>
      <c r="R488" s="35"/>
      <c r="S488" s="35"/>
      <c r="T488" s="1"/>
      <c r="U488" s="1"/>
      <c r="V488" s="1"/>
    </row>
    <row r="489" ht="15.75" hidden="1" customHeight="1">
      <c r="A489" s="13"/>
      <c r="B489" s="13"/>
      <c r="C489" s="250" t="s">
        <v>514</v>
      </c>
      <c r="D489" s="55" t="s">
        <v>20</v>
      </c>
      <c r="E489" s="54"/>
      <c r="F489" s="56">
        <v>0.0</v>
      </c>
      <c r="G489" s="57">
        <v>60.0</v>
      </c>
      <c r="H489" s="57">
        <f t="shared" si="16"/>
        <v>0</v>
      </c>
      <c r="I489" s="57"/>
      <c r="J489" s="17"/>
      <c r="K489" s="13"/>
      <c r="L489" s="63"/>
      <c r="M489" s="63"/>
      <c r="N489" s="63"/>
      <c r="O489" s="63"/>
      <c r="P489" s="63"/>
      <c r="Q489" s="35"/>
      <c r="R489" s="35"/>
      <c r="S489" s="35"/>
      <c r="T489" s="1"/>
      <c r="U489" s="1"/>
      <c r="V489" s="1"/>
    </row>
    <row r="490" ht="15.75" hidden="1" customHeight="1">
      <c r="A490" s="13"/>
      <c r="B490" s="13"/>
      <c r="C490" s="251" t="s">
        <v>515</v>
      </c>
      <c r="D490" s="216" t="s">
        <v>24</v>
      </c>
      <c r="E490" s="54"/>
      <c r="F490" s="56">
        <v>0.0</v>
      </c>
      <c r="G490" s="57">
        <v>290.0</v>
      </c>
      <c r="H490" s="57">
        <f t="shared" si="16"/>
        <v>0</v>
      </c>
      <c r="I490" s="57"/>
      <c r="J490" s="17"/>
      <c r="K490" s="13"/>
      <c r="L490" s="63"/>
      <c r="M490" s="63"/>
      <c r="N490" s="63"/>
      <c r="O490" s="63"/>
      <c r="P490" s="63"/>
      <c r="Q490" s="35"/>
      <c r="R490" s="35"/>
      <c r="S490" s="35"/>
      <c r="T490" s="1"/>
      <c r="U490" s="1"/>
      <c r="V490" s="1"/>
    </row>
    <row r="491" ht="15.75" hidden="1" customHeight="1">
      <c r="A491" s="13"/>
      <c r="B491" s="13"/>
      <c r="C491" s="13" t="s">
        <v>71</v>
      </c>
      <c r="D491" s="213" t="s">
        <v>24</v>
      </c>
      <c r="E491" s="52"/>
      <c r="F491" s="56">
        <v>0.0</v>
      </c>
      <c r="G491" s="50">
        <v>80.0</v>
      </c>
      <c r="H491" s="50">
        <f t="shared" si="16"/>
        <v>0</v>
      </c>
      <c r="I491" s="57"/>
      <c r="J491" s="17"/>
      <c r="K491" s="13"/>
      <c r="L491" s="63"/>
      <c r="M491" s="63"/>
      <c r="N491" s="63"/>
      <c r="O491" s="63"/>
      <c r="P491" s="63"/>
      <c r="Q491" s="35"/>
      <c r="R491" s="35"/>
      <c r="S491" s="35"/>
      <c r="T491" s="1"/>
      <c r="U491" s="1"/>
      <c r="V491" s="1"/>
    </row>
    <row r="492" ht="15.75" hidden="1" customHeight="1">
      <c r="A492" s="13"/>
      <c r="B492" s="13"/>
      <c r="C492" s="169" t="s">
        <v>516</v>
      </c>
      <c r="D492" s="46" t="s">
        <v>20</v>
      </c>
      <c r="E492" s="52"/>
      <c r="F492" s="48">
        <v>0.0</v>
      </c>
      <c r="G492" s="50">
        <v>300.0</v>
      </c>
      <c r="H492" s="50">
        <f t="shared" si="16"/>
        <v>0</v>
      </c>
      <c r="I492" s="57"/>
      <c r="J492" s="17"/>
      <c r="K492" s="13"/>
      <c r="L492" s="63"/>
      <c r="M492" s="63"/>
      <c r="N492" s="63"/>
      <c r="O492" s="63"/>
      <c r="P492" s="63"/>
      <c r="Q492" s="35"/>
      <c r="R492" s="35"/>
      <c r="S492" s="35"/>
      <c r="T492" s="1"/>
      <c r="U492" s="1"/>
      <c r="V492" s="1"/>
    </row>
    <row r="493" ht="15.75" hidden="1" customHeight="1">
      <c r="A493" s="13"/>
      <c r="B493" s="13"/>
      <c r="C493" s="244" t="s">
        <v>517</v>
      </c>
      <c r="D493" s="216" t="s">
        <v>24</v>
      </c>
      <c r="E493" s="54"/>
      <c r="F493" s="56">
        <v>0.0</v>
      </c>
      <c r="G493" s="57">
        <v>900.0</v>
      </c>
      <c r="H493" s="50">
        <f t="shared" si="16"/>
        <v>0</v>
      </c>
      <c r="I493" s="57"/>
      <c r="J493" s="17"/>
      <c r="K493" s="13"/>
      <c r="L493" s="63"/>
      <c r="M493" s="63"/>
      <c r="N493" s="63"/>
      <c r="O493" s="63"/>
      <c r="P493" s="63"/>
      <c r="Q493" s="35"/>
      <c r="R493" s="35"/>
      <c r="S493" s="35"/>
      <c r="T493" s="1"/>
      <c r="U493" s="1"/>
      <c r="V493" s="1"/>
    </row>
    <row r="494" ht="15.75" hidden="1" customHeight="1">
      <c r="A494" s="13"/>
      <c r="B494" s="13"/>
      <c r="C494" s="169" t="s">
        <v>518</v>
      </c>
      <c r="D494" s="213" t="s">
        <v>24</v>
      </c>
      <c r="E494" s="52"/>
      <c r="F494" s="48">
        <v>0.0</v>
      </c>
      <c r="G494" s="50">
        <v>150.0</v>
      </c>
      <c r="H494" s="50">
        <f t="shared" si="16"/>
        <v>0</v>
      </c>
      <c r="I494" s="57"/>
      <c r="J494" s="17"/>
      <c r="K494" s="13"/>
      <c r="L494" s="63"/>
      <c r="M494" s="63"/>
      <c r="N494" s="63"/>
      <c r="O494" s="63"/>
      <c r="P494" s="63"/>
      <c r="Q494" s="35"/>
      <c r="R494" s="35"/>
      <c r="S494" s="35"/>
      <c r="T494" s="1"/>
      <c r="U494" s="1"/>
      <c r="V494" s="1"/>
    </row>
    <row r="495" ht="15.75" hidden="1" customHeight="1">
      <c r="A495" s="13"/>
      <c r="B495" s="13"/>
      <c r="C495" s="244" t="s">
        <v>519</v>
      </c>
      <c r="D495" s="55" t="s">
        <v>20</v>
      </c>
      <c r="E495" s="54"/>
      <c r="F495" s="56">
        <v>0.0</v>
      </c>
      <c r="G495" s="57">
        <v>60.0</v>
      </c>
      <c r="H495" s="57">
        <f t="shared" si="16"/>
        <v>0</v>
      </c>
      <c r="I495" s="57"/>
      <c r="J495" s="17"/>
      <c r="K495" s="13"/>
      <c r="L495" s="63"/>
      <c r="M495" s="63"/>
      <c r="N495" s="63"/>
      <c r="O495" s="63"/>
      <c r="P495" s="63"/>
      <c r="Q495" s="35"/>
      <c r="R495" s="35"/>
      <c r="S495" s="35"/>
      <c r="T495" s="1"/>
      <c r="U495" s="1"/>
      <c r="V495" s="1"/>
    </row>
    <row r="496" ht="15.75" hidden="1" customHeight="1">
      <c r="A496" s="13"/>
      <c r="B496" s="13"/>
      <c r="C496" s="244" t="s">
        <v>520</v>
      </c>
      <c r="D496" s="213" t="s">
        <v>24</v>
      </c>
      <c r="E496" s="54"/>
      <c r="F496" s="56">
        <v>0.0</v>
      </c>
      <c r="G496" s="57">
        <v>500.0</v>
      </c>
      <c r="H496" s="57">
        <f t="shared" si="16"/>
        <v>0</v>
      </c>
      <c r="I496" s="57"/>
      <c r="J496" s="17"/>
      <c r="K496" s="13"/>
      <c r="L496" s="63"/>
      <c r="M496" s="63"/>
      <c r="N496" s="63"/>
      <c r="O496" s="63"/>
      <c r="P496" s="63"/>
      <c r="Q496" s="35"/>
      <c r="R496" s="35"/>
      <c r="S496" s="35"/>
      <c r="T496" s="1"/>
      <c r="U496" s="1"/>
      <c r="V496" s="1"/>
    </row>
    <row r="497" ht="15.75" hidden="1" customHeight="1">
      <c r="A497" s="13"/>
      <c r="B497" s="13"/>
      <c r="C497" s="244" t="s">
        <v>521</v>
      </c>
      <c r="D497" s="55" t="s">
        <v>20</v>
      </c>
      <c r="E497" s="54"/>
      <c r="F497" s="56">
        <v>0.0</v>
      </c>
      <c r="G497" s="57">
        <v>130.0</v>
      </c>
      <c r="H497" s="57">
        <f t="shared" si="16"/>
        <v>0</v>
      </c>
      <c r="I497" s="57"/>
      <c r="J497" s="17"/>
      <c r="K497" s="13"/>
      <c r="L497" s="63"/>
      <c r="M497" s="63"/>
      <c r="N497" s="63"/>
      <c r="O497" s="63"/>
      <c r="P497" s="63"/>
      <c r="Q497" s="35"/>
      <c r="R497" s="35"/>
      <c r="S497" s="35"/>
      <c r="T497" s="1"/>
      <c r="U497" s="1"/>
      <c r="V497" s="1"/>
    </row>
    <row r="498" ht="15.75" hidden="1" customHeight="1">
      <c r="A498" s="15"/>
      <c r="B498" s="52"/>
      <c r="C498" s="196" t="s">
        <v>522</v>
      </c>
      <c r="D498" s="46" t="s">
        <v>20</v>
      </c>
      <c r="E498" s="52"/>
      <c r="F498" s="48">
        <v>0.0</v>
      </c>
      <c r="G498" s="50">
        <v>30.0</v>
      </c>
      <c r="H498" s="50">
        <f t="shared" si="16"/>
        <v>0</v>
      </c>
      <c r="I498" s="51"/>
      <c r="J498" s="51"/>
      <c r="K498" s="52"/>
      <c r="L498" s="52"/>
      <c r="M498" s="52"/>
      <c r="N498" s="52"/>
      <c r="O498" s="52"/>
      <c r="P498" s="52"/>
      <c r="Q498" s="1"/>
      <c r="R498" s="1"/>
      <c r="S498" s="1"/>
      <c r="T498" s="1"/>
      <c r="U498" s="1"/>
      <c r="V498" s="1"/>
    </row>
    <row r="499" ht="15.75" hidden="1" customHeight="1">
      <c r="A499" s="53"/>
      <c r="B499" s="54"/>
      <c r="C499" s="197" t="s">
        <v>523</v>
      </c>
      <c r="D499" s="216" t="s">
        <v>24</v>
      </c>
      <c r="E499" s="54"/>
      <c r="F499" s="56">
        <v>0.0</v>
      </c>
      <c r="G499" s="57">
        <v>25.0</v>
      </c>
      <c r="H499" s="57">
        <f t="shared" si="16"/>
        <v>0</v>
      </c>
      <c r="I499" s="58"/>
      <c r="J499" s="58"/>
      <c r="K499" s="54"/>
      <c r="L499" s="252"/>
      <c r="M499" s="252"/>
      <c r="N499" s="252"/>
      <c r="O499" s="252"/>
      <c r="P499" s="252"/>
      <c r="Q499" s="1"/>
      <c r="R499" s="1"/>
      <c r="S499" s="1"/>
      <c r="T499" s="1"/>
      <c r="U499" s="1"/>
      <c r="V499" s="1"/>
    </row>
    <row r="500" ht="15.75" hidden="1" customHeight="1">
      <c r="A500" s="53"/>
      <c r="B500" s="54"/>
      <c r="C500" s="197" t="s">
        <v>524</v>
      </c>
      <c r="D500" s="55" t="s">
        <v>20</v>
      </c>
      <c r="E500" s="54"/>
      <c r="F500" s="56">
        <v>0.0</v>
      </c>
      <c r="G500" s="57">
        <v>15.0</v>
      </c>
      <c r="H500" s="57">
        <f t="shared" si="16"/>
        <v>0</v>
      </c>
      <c r="I500" s="58"/>
      <c r="J500" s="58"/>
      <c r="K500" s="54"/>
      <c r="L500" s="54"/>
      <c r="M500" s="54"/>
      <c r="N500" s="54"/>
      <c r="O500" s="54"/>
      <c r="P500" s="54"/>
      <c r="Q500" s="1"/>
      <c r="R500" s="1"/>
      <c r="S500" s="1"/>
      <c r="T500" s="1"/>
      <c r="U500" s="1"/>
      <c r="V500" s="1"/>
    </row>
    <row r="501" ht="15.75" hidden="1" customHeight="1">
      <c r="A501" s="13"/>
      <c r="B501" s="13"/>
      <c r="C501" s="244" t="s">
        <v>525</v>
      </c>
      <c r="D501" s="213" t="s">
        <v>24</v>
      </c>
      <c r="E501" s="54"/>
      <c r="F501" s="56">
        <v>0.0</v>
      </c>
      <c r="G501" s="57">
        <v>60.0</v>
      </c>
      <c r="H501" s="57">
        <f t="shared" si="16"/>
        <v>0</v>
      </c>
      <c r="I501" s="57"/>
      <c r="J501" s="17"/>
      <c r="K501" s="13"/>
      <c r="L501" s="63"/>
      <c r="M501" s="63"/>
      <c r="N501" s="63"/>
      <c r="O501" s="63"/>
      <c r="P501" s="63"/>
      <c r="Q501" s="35"/>
      <c r="R501" s="35"/>
      <c r="S501" s="35"/>
      <c r="T501" s="1"/>
      <c r="U501" s="1"/>
      <c r="V501" s="1"/>
    </row>
    <row r="502" ht="15.75" hidden="1" customHeight="1">
      <c r="A502" s="13"/>
      <c r="B502" s="13"/>
      <c r="C502" s="244" t="s">
        <v>526</v>
      </c>
      <c r="D502" s="213" t="s">
        <v>24</v>
      </c>
      <c r="E502" s="54"/>
      <c r="F502" s="56">
        <v>0.0</v>
      </c>
      <c r="G502" s="57">
        <v>80.0</v>
      </c>
      <c r="H502" s="57">
        <f t="shared" si="16"/>
        <v>0</v>
      </c>
      <c r="I502" s="57"/>
      <c r="J502" s="17"/>
      <c r="K502" s="13"/>
      <c r="L502" s="63"/>
      <c r="M502" s="63"/>
      <c r="N502" s="63"/>
      <c r="O502" s="63"/>
      <c r="P502" s="63"/>
      <c r="Q502" s="35"/>
      <c r="R502" s="35"/>
      <c r="S502" s="35"/>
      <c r="T502" s="1"/>
      <c r="U502" s="1"/>
      <c r="V502" s="1"/>
    </row>
    <row r="503" ht="15.75" hidden="1" customHeight="1">
      <c r="A503" s="13"/>
      <c r="B503" s="13"/>
      <c r="C503" s="244" t="s">
        <v>527</v>
      </c>
      <c r="D503" s="46" t="s">
        <v>20</v>
      </c>
      <c r="E503" s="54"/>
      <c r="F503" s="56">
        <v>0.0</v>
      </c>
      <c r="G503" s="57">
        <v>5000.0</v>
      </c>
      <c r="H503" s="50">
        <f t="shared" si="16"/>
        <v>0</v>
      </c>
      <c r="I503" s="57"/>
      <c r="J503" s="17"/>
      <c r="K503" s="13"/>
      <c r="L503" s="63"/>
      <c r="M503" s="63"/>
      <c r="N503" s="63"/>
      <c r="O503" s="63"/>
      <c r="P503" s="63"/>
      <c r="Q503" s="35"/>
      <c r="R503" s="35"/>
      <c r="S503" s="35"/>
      <c r="T503" s="1"/>
      <c r="U503" s="1"/>
      <c r="V503" s="1"/>
    </row>
    <row r="504" ht="15.75" hidden="1" customHeight="1">
      <c r="A504" s="13"/>
      <c r="B504" s="13"/>
      <c r="C504" s="169" t="s">
        <v>528</v>
      </c>
      <c r="D504" s="213" t="s">
        <v>24</v>
      </c>
      <c r="E504" s="52" t="s">
        <v>529</v>
      </c>
      <c r="F504" s="48">
        <v>0.0</v>
      </c>
      <c r="G504" s="50">
        <v>2800.0</v>
      </c>
      <c r="H504" s="50">
        <f t="shared" si="16"/>
        <v>0</v>
      </c>
      <c r="I504" s="57"/>
      <c r="J504" s="17"/>
      <c r="K504" s="13"/>
      <c r="L504" s="63"/>
      <c r="M504" s="63"/>
      <c r="N504" s="63"/>
      <c r="O504" s="63"/>
      <c r="P504" s="63"/>
      <c r="Q504" s="35"/>
      <c r="R504" s="35"/>
      <c r="S504" s="35"/>
      <c r="T504" s="1"/>
      <c r="U504" s="1"/>
      <c r="V504" s="1"/>
    </row>
    <row r="505" ht="15.75" hidden="1" customHeight="1">
      <c r="A505" s="13"/>
      <c r="B505" s="13"/>
      <c r="C505" s="244" t="s">
        <v>530</v>
      </c>
      <c r="D505" s="216" t="s">
        <v>24</v>
      </c>
      <c r="E505" s="54"/>
      <c r="F505" s="56">
        <v>0.0</v>
      </c>
      <c r="G505" s="57">
        <v>2000.0</v>
      </c>
      <c r="H505" s="57">
        <f t="shared" si="16"/>
        <v>0</v>
      </c>
      <c r="I505" s="57"/>
      <c r="J505" s="17"/>
      <c r="K505" s="13"/>
      <c r="L505" s="63"/>
      <c r="M505" s="63"/>
      <c r="N505" s="63"/>
      <c r="O505" s="63"/>
      <c r="P505" s="63"/>
      <c r="Q505" s="35"/>
      <c r="R505" s="35"/>
      <c r="S505" s="35"/>
      <c r="T505" s="1"/>
      <c r="U505" s="1"/>
      <c r="V505" s="1"/>
    </row>
    <row r="506" ht="15.75" hidden="1" customHeight="1">
      <c r="A506" s="13"/>
      <c r="B506" s="13"/>
      <c r="C506" s="244" t="s">
        <v>531</v>
      </c>
      <c r="D506" s="216" t="s">
        <v>24</v>
      </c>
      <c r="E506" s="54"/>
      <c r="F506" s="56">
        <v>0.0</v>
      </c>
      <c r="G506" s="57">
        <v>2200.0</v>
      </c>
      <c r="H506" s="57">
        <f t="shared" si="16"/>
        <v>0</v>
      </c>
      <c r="I506" s="57"/>
      <c r="J506" s="17"/>
      <c r="K506" s="13"/>
      <c r="L506" s="63"/>
      <c r="M506" s="63"/>
      <c r="N506" s="63"/>
      <c r="O506" s="63"/>
      <c r="P506" s="63"/>
      <c r="Q506" s="35"/>
      <c r="R506" s="35"/>
      <c r="S506" s="35"/>
      <c r="T506" s="1"/>
      <c r="U506" s="1"/>
      <c r="V506" s="1"/>
    </row>
    <row r="507" ht="28.5" customHeight="1">
      <c r="A507" s="6"/>
      <c r="B507" s="172" t="s">
        <v>532</v>
      </c>
      <c r="C507" s="7">
        <f>SUM(H508:H568)</f>
        <v>3826.96</v>
      </c>
      <c r="D507" s="148"/>
      <c r="E507" s="148"/>
      <c r="F507" s="83"/>
      <c r="G507" s="82"/>
      <c r="H507" s="82"/>
      <c r="I507" s="82"/>
      <c r="J507" s="82"/>
      <c r="K507" s="83"/>
      <c r="L507" s="83"/>
      <c r="M507" s="83"/>
      <c r="N507" s="83"/>
      <c r="O507" s="83"/>
      <c r="P507" s="83"/>
      <c r="Q507" s="35"/>
      <c r="R507" s="35"/>
      <c r="S507" s="35"/>
      <c r="T507" s="1"/>
      <c r="U507" s="1"/>
      <c r="V507" s="1"/>
    </row>
    <row r="508" ht="15.75" hidden="1" customHeight="1">
      <c r="A508" s="13"/>
      <c r="B508" s="13"/>
      <c r="C508" s="169" t="s">
        <v>191</v>
      </c>
      <c r="D508" s="66" t="s">
        <v>22</v>
      </c>
      <c r="E508" s="15"/>
      <c r="F508" s="16">
        <v>0.0</v>
      </c>
      <c r="G508" s="17">
        <v>175.0</v>
      </c>
      <c r="H508" s="17">
        <f t="shared" ref="H508:H572" si="17">SUM(F508*G508)</f>
        <v>0</v>
      </c>
      <c r="I508" s="18"/>
      <c r="J508" s="18"/>
      <c r="K508" s="13"/>
      <c r="L508" s="13"/>
      <c r="M508" s="13"/>
      <c r="N508" s="13"/>
      <c r="O508" s="13"/>
      <c r="P508" s="13"/>
      <c r="Q508" s="35"/>
      <c r="R508" s="35"/>
      <c r="S508" s="35"/>
      <c r="T508" s="1"/>
      <c r="U508" s="1"/>
      <c r="V508" s="1"/>
    </row>
    <row r="509" ht="15.75" hidden="1" customHeight="1">
      <c r="A509" s="13"/>
      <c r="B509" s="13" t="s">
        <v>18</v>
      </c>
      <c r="C509" s="169" t="s">
        <v>294</v>
      </c>
      <c r="D509" s="14" t="s">
        <v>20</v>
      </c>
      <c r="E509" s="15"/>
      <c r="F509" s="16">
        <v>0.0</v>
      </c>
      <c r="G509" s="17">
        <v>5.0</v>
      </c>
      <c r="H509" s="17">
        <f t="shared" si="17"/>
        <v>0</v>
      </c>
      <c r="I509" s="18"/>
      <c r="J509" s="18"/>
      <c r="K509" s="13"/>
      <c r="L509" s="13"/>
      <c r="M509" s="19"/>
      <c r="N509" s="19"/>
      <c r="O509" s="38"/>
      <c r="P509" s="19"/>
      <c r="Q509" s="35"/>
      <c r="R509" s="35"/>
      <c r="S509" s="35"/>
      <c r="T509" s="1"/>
      <c r="U509" s="1"/>
      <c r="V509" s="1"/>
    </row>
    <row r="510" ht="15.75" customHeight="1">
      <c r="A510" s="13"/>
      <c r="B510" s="13" t="s">
        <v>18</v>
      </c>
      <c r="C510" s="169" t="s">
        <v>296</v>
      </c>
      <c r="D510" s="14" t="s">
        <v>20</v>
      </c>
      <c r="E510" s="218" t="s">
        <v>533</v>
      </c>
      <c r="F510" s="16">
        <v>1.0</v>
      </c>
      <c r="G510" s="34">
        <v>72.0</v>
      </c>
      <c r="H510" s="17">
        <f t="shared" si="17"/>
        <v>72</v>
      </c>
      <c r="I510" s="18"/>
      <c r="J510" s="18"/>
      <c r="K510" s="13"/>
      <c r="L510" s="27"/>
      <c r="M510" s="28"/>
      <c r="N510" s="27"/>
      <c r="O510" s="28"/>
      <c r="P510" s="27"/>
      <c r="Q510" s="35"/>
      <c r="R510" s="35"/>
      <c r="S510" s="35"/>
      <c r="T510" s="1"/>
      <c r="U510" s="1"/>
      <c r="V510" s="1"/>
    </row>
    <row r="511" ht="15.75" customHeight="1">
      <c r="A511" s="13"/>
      <c r="B511" s="43" t="s">
        <v>56</v>
      </c>
      <c r="C511" s="169" t="s">
        <v>298</v>
      </c>
      <c r="D511" s="70" t="s">
        <v>24</v>
      </c>
      <c r="E511" s="15"/>
      <c r="F511" s="16">
        <v>1.0</v>
      </c>
      <c r="G511" s="17">
        <v>95.0</v>
      </c>
      <c r="H511" s="17">
        <f t="shared" si="17"/>
        <v>95</v>
      </c>
      <c r="I511" s="18"/>
      <c r="J511" s="18"/>
      <c r="K511" s="13"/>
      <c r="L511" s="63"/>
      <c r="M511" s="63"/>
      <c r="N511" s="63"/>
      <c r="O511" s="63"/>
      <c r="P511" s="63"/>
      <c r="Q511" s="35"/>
      <c r="R511" s="35"/>
      <c r="S511" s="35"/>
      <c r="T511" s="1"/>
      <c r="U511" s="1"/>
      <c r="V511" s="1"/>
    </row>
    <row r="512" ht="15.75" hidden="1" customHeight="1">
      <c r="A512" s="13"/>
      <c r="B512" s="13"/>
      <c r="C512" s="169" t="s">
        <v>299</v>
      </c>
      <c r="D512" s="70" t="s">
        <v>24</v>
      </c>
      <c r="E512" s="15"/>
      <c r="F512" s="16">
        <v>0.0</v>
      </c>
      <c r="G512" s="17">
        <v>120.0</v>
      </c>
      <c r="H512" s="17">
        <f t="shared" si="17"/>
        <v>0</v>
      </c>
      <c r="I512" s="18"/>
      <c r="J512" s="18"/>
      <c r="K512" s="13"/>
      <c r="L512" s="63"/>
      <c r="M512" s="63"/>
      <c r="N512" s="63"/>
      <c r="O512" s="63"/>
      <c r="P512" s="63"/>
      <c r="Q512" s="35"/>
      <c r="R512" s="35"/>
      <c r="S512" s="35"/>
      <c r="T512" s="1"/>
      <c r="U512" s="1"/>
      <c r="V512" s="1"/>
    </row>
    <row r="513" ht="15.75" customHeight="1">
      <c r="A513" s="13"/>
      <c r="B513" s="13" t="s">
        <v>18</v>
      </c>
      <c r="C513" s="169" t="s">
        <v>300</v>
      </c>
      <c r="D513" s="14" t="s">
        <v>20</v>
      </c>
      <c r="E513" s="15"/>
      <c r="F513" s="40">
        <v>6.0</v>
      </c>
      <c r="G513" s="17">
        <v>5.0</v>
      </c>
      <c r="H513" s="17">
        <f t="shared" si="17"/>
        <v>30</v>
      </c>
      <c r="I513" s="18"/>
      <c r="J513" s="18"/>
      <c r="K513" s="13"/>
      <c r="L513" s="27"/>
      <c r="M513" s="27"/>
      <c r="N513" s="27"/>
      <c r="O513" s="27"/>
      <c r="P513" s="27"/>
      <c r="Q513" s="35"/>
      <c r="R513" s="35"/>
      <c r="S513" s="35"/>
      <c r="T513" s="1"/>
      <c r="U513" s="1"/>
      <c r="V513" s="1"/>
    </row>
    <row r="514" ht="15.75" hidden="1" customHeight="1">
      <c r="A514" s="13"/>
      <c r="B514" s="13" t="s">
        <v>18</v>
      </c>
      <c r="C514" s="169" t="s">
        <v>301</v>
      </c>
      <c r="D514" s="14" t="s">
        <v>20</v>
      </c>
      <c r="E514" s="15" t="s">
        <v>302</v>
      </c>
      <c r="F514" s="16">
        <v>0.0</v>
      </c>
      <c r="G514" s="17">
        <v>6.2</v>
      </c>
      <c r="H514" s="17">
        <f t="shared" si="17"/>
        <v>0</v>
      </c>
      <c r="I514" s="18"/>
      <c r="J514" s="18"/>
      <c r="K514" s="13"/>
      <c r="L514" s="27"/>
      <c r="M514" s="27"/>
      <c r="N514" s="27"/>
      <c r="O514" s="27"/>
      <c r="P514" s="27"/>
      <c r="Q514" s="35"/>
      <c r="R514" s="35"/>
      <c r="S514" s="35"/>
      <c r="T514" s="1"/>
      <c r="U514" s="1"/>
      <c r="V514" s="1"/>
    </row>
    <row r="515" ht="15.75" hidden="1" customHeight="1">
      <c r="A515" s="13"/>
      <c r="B515" s="13"/>
      <c r="C515" s="169" t="s">
        <v>303</v>
      </c>
      <c r="D515" s="70" t="s">
        <v>24</v>
      </c>
      <c r="E515" s="15"/>
      <c r="F515" s="16">
        <v>0.0</v>
      </c>
      <c r="G515" s="17">
        <v>40.0</v>
      </c>
      <c r="H515" s="17">
        <f t="shared" si="17"/>
        <v>0</v>
      </c>
      <c r="I515" s="18"/>
      <c r="J515" s="18"/>
      <c r="K515" s="13"/>
      <c r="L515" s="27"/>
      <c r="M515" s="27"/>
      <c r="N515" s="27"/>
      <c r="O515" s="27"/>
      <c r="P515" s="27"/>
      <c r="Q515" s="35"/>
      <c r="R515" s="35"/>
      <c r="S515" s="35"/>
      <c r="T515" s="1"/>
      <c r="U515" s="1"/>
      <c r="V515" s="1"/>
    </row>
    <row r="516" ht="15.75" customHeight="1">
      <c r="A516" s="13"/>
      <c r="B516" s="13" t="s">
        <v>18</v>
      </c>
      <c r="C516" s="195" t="s">
        <v>534</v>
      </c>
      <c r="D516" s="14" t="s">
        <v>20</v>
      </c>
      <c r="E516" s="253" t="s">
        <v>535</v>
      </c>
      <c r="F516" s="16">
        <v>2.0</v>
      </c>
      <c r="G516" s="34">
        <v>78.0</v>
      </c>
      <c r="H516" s="17">
        <f t="shared" si="17"/>
        <v>156</v>
      </c>
      <c r="I516" s="18"/>
      <c r="J516" s="18"/>
      <c r="K516" s="13"/>
      <c r="L516" s="27"/>
      <c r="M516" s="27"/>
      <c r="N516" s="27"/>
      <c r="O516" s="27"/>
      <c r="P516" s="27"/>
      <c r="Q516" s="35"/>
      <c r="R516" s="35"/>
      <c r="S516" s="35"/>
      <c r="T516" s="1"/>
      <c r="U516" s="1"/>
      <c r="V516" s="1"/>
    </row>
    <row r="517" ht="15.75" customHeight="1">
      <c r="A517" s="13"/>
      <c r="B517" s="13" t="s">
        <v>18</v>
      </c>
      <c r="C517" s="169" t="s">
        <v>389</v>
      </c>
      <c r="D517" s="14" t="s">
        <v>20</v>
      </c>
      <c r="E517" s="15"/>
      <c r="F517" s="16">
        <v>2.0</v>
      </c>
      <c r="G517" s="17">
        <v>5.0</v>
      </c>
      <c r="H517" s="17">
        <f t="shared" si="17"/>
        <v>10</v>
      </c>
      <c r="I517" s="18"/>
      <c r="J517" s="18"/>
      <c r="K517" s="13"/>
      <c r="L517" s="27"/>
      <c r="M517" s="27"/>
      <c r="N517" s="27"/>
      <c r="O517" s="27"/>
      <c r="P517" s="27"/>
      <c r="Q517" s="35"/>
      <c r="R517" s="35"/>
      <c r="S517" s="35"/>
      <c r="T517" s="1"/>
      <c r="U517" s="1"/>
      <c r="V517" s="1"/>
    </row>
    <row r="518" ht="15.75" customHeight="1">
      <c r="A518" s="13"/>
      <c r="B518" s="43" t="s">
        <v>56</v>
      </c>
      <c r="C518" s="169" t="s">
        <v>304</v>
      </c>
      <c r="D518" s="70" t="s">
        <v>24</v>
      </c>
      <c r="E518" s="15"/>
      <c r="F518" s="16">
        <v>2.0</v>
      </c>
      <c r="G518" s="17">
        <v>120.0</v>
      </c>
      <c r="H518" s="17">
        <f t="shared" si="17"/>
        <v>240</v>
      </c>
      <c r="I518" s="18"/>
      <c r="J518" s="18"/>
      <c r="K518" s="13"/>
      <c r="L518" s="27"/>
      <c r="M518" s="27"/>
      <c r="N518" s="27"/>
      <c r="O518" s="27"/>
      <c r="P518" s="27"/>
      <c r="Q518" s="35"/>
      <c r="R518" s="35"/>
      <c r="S518" s="35"/>
      <c r="T518" s="1"/>
      <c r="U518" s="1"/>
      <c r="V518" s="1"/>
    </row>
    <row r="519" ht="15.75" customHeight="1">
      <c r="A519" s="13"/>
      <c r="B519" s="13" t="s">
        <v>58</v>
      </c>
      <c r="C519" s="169" t="s">
        <v>305</v>
      </c>
      <c r="D519" s="101" t="s">
        <v>32</v>
      </c>
      <c r="E519" s="15" t="s">
        <v>60</v>
      </c>
      <c r="F519" s="16">
        <v>1.0</v>
      </c>
      <c r="G519" s="17">
        <v>0.0</v>
      </c>
      <c r="H519" s="17">
        <f t="shared" si="17"/>
        <v>0</v>
      </c>
      <c r="I519" s="18"/>
      <c r="J519" s="18"/>
      <c r="K519" s="13"/>
      <c r="L519" s="13"/>
      <c r="M519" s="13"/>
      <c r="N519" s="13"/>
      <c r="O519" s="13"/>
      <c r="P519" s="13"/>
      <c r="Q519" s="35"/>
      <c r="R519" s="35"/>
      <c r="S519" s="35"/>
      <c r="T519" s="1"/>
      <c r="U519" s="1"/>
      <c r="V519" s="1"/>
    </row>
    <row r="520" ht="15.75" customHeight="1">
      <c r="A520" s="13"/>
      <c r="B520" s="43" t="s">
        <v>217</v>
      </c>
      <c r="C520" s="169" t="s">
        <v>307</v>
      </c>
      <c r="D520" s="101" t="s">
        <v>32</v>
      </c>
      <c r="E520" s="154">
        <v>78842.0</v>
      </c>
      <c r="F520" s="40">
        <v>2.0</v>
      </c>
      <c r="G520" s="34">
        <v>289.2</v>
      </c>
      <c r="H520" s="17">
        <f t="shared" si="17"/>
        <v>578.4</v>
      </c>
      <c r="I520" s="18"/>
      <c r="J520" s="18"/>
      <c r="K520" s="43"/>
      <c r="L520" s="27"/>
      <c r="M520" s="28"/>
      <c r="N520" s="27"/>
      <c r="O520" s="27"/>
      <c r="P520" s="27"/>
      <c r="Q520" s="35"/>
      <c r="R520" s="35"/>
      <c r="S520" s="35"/>
      <c r="T520" s="1"/>
      <c r="U520" s="1"/>
      <c r="V520" s="1"/>
    </row>
    <row r="521" ht="15.75" customHeight="1">
      <c r="A521" s="13"/>
      <c r="B521" s="43" t="s">
        <v>217</v>
      </c>
      <c r="C521" s="169" t="s">
        <v>308</v>
      </c>
      <c r="D521" s="101" t="s">
        <v>32</v>
      </c>
      <c r="E521" s="154">
        <v>78843.0</v>
      </c>
      <c r="F521" s="16">
        <v>1.0</v>
      </c>
      <c r="G521" s="34">
        <v>767.56</v>
      </c>
      <c r="H521" s="17">
        <f t="shared" si="17"/>
        <v>767.56</v>
      </c>
      <c r="I521" s="18"/>
      <c r="J521" s="18"/>
      <c r="K521" s="43"/>
      <c r="L521" s="27"/>
      <c r="M521" s="28"/>
      <c r="N521" s="27"/>
      <c r="O521" s="28"/>
      <c r="P521" s="28"/>
      <c r="Q521" s="35"/>
      <c r="R521" s="35"/>
      <c r="S521" s="35"/>
      <c r="T521" s="1"/>
      <c r="U521" s="1"/>
      <c r="V521" s="1"/>
    </row>
    <row r="522" ht="15.75" hidden="1" customHeight="1">
      <c r="A522" s="130"/>
      <c r="B522" s="130" t="s">
        <v>18</v>
      </c>
      <c r="C522" s="175" t="s">
        <v>309</v>
      </c>
      <c r="D522" s="176" t="s">
        <v>20</v>
      </c>
      <c r="E522" s="177" t="s">
        <v>310</v>
      </c>
      <c r="F522" s="178">
        <v>0.0</v>
      </c>
      <c r="G522" s="179">
        <v>15.0</v>
      </c>
      <c r="H522" s="179">
        <f t="shared" si="17"/>
        <v>0</v>
      </c>
      <c r="I522" s="180"/>
      <c r="J522" s="180"/>
      <c r="K522" s="130"/>
      <c r="L522" s="130"/>
      <c r="M522" s="181"/>
      <c r="N522" s="130"/>
      <c r="O522" s="181"/>
      <c r="P522" s="181"/>
      <c r="Q522" s="182"/>
      <c r="R522" s="182"/>
      <c r="S522" s="182"/>
      <c r="T522" s="182"/>
      <c r="U522" s="182"/>
      <c r="V522" s="182"/>
    </row>
    <row r="523" ht="15.75" hidden="1" customHeight="1">
      <c r="A523" s="130"/>
      <c r="B523" s="130" t="s">
        <v>18</v>
      </c>
      <c r="C523" s="175" t="s">
        <v>311</v>
      </c>
      <c r="D523" s="176" t="s">
        <v>20</v>
      </c>
      <c r="E523" s="177" t="s">
        <v>312</v>
      </c>
      <c r="F523" s="178">
        <v>0.0</v>
      </c>
      <c r="G523" s="179">
        <v>15.0</v>
      </c>
      <c r="H523" s="179">
        <f t="shared" si="17"/>
        <v>0</v>
      </c>
      <c r="I523" s="180"/>
      <c r="J523" s="180"/>
      <c r="K523" s="130"/>
      <c r="L523" s="130"/>
      <c r="M523" s="181"/>
      <c r="N523" s="130"/>
      <c r="O523" s="181"/>
      <c r="P523" s="181"/>
      <c r="Q523" s="182"/>
      <c r="R523" s="182"/>
      <c r="S523" s="182"/>
      <c r="T523" s="182"/>
      <c r="U523" s="182"/>
      <c r="V523" s="182"/>
    </row>
    <row r="524" ht="15.75" hidden="1" customHeight="1">
      <c r="A524" s="130"/>
      <c r="B524" s="130" t="s">
        <v>18</v>
      </c>
      <c r="C524" s="175" t="s">
        <v>313</v>
      </c>
      <c r="D524" s="176" t="s">
        <v>20</v>
      </c>
      <c r="E524" s="177" t="s">
        <v>314</v>
      </c>
      <c r="F524" s="178">
        <v>0.0</v>
      </c>
      <c r="G524" s="179">
        <v>1.6</v>
      </c>
      <c r="H524" s="179">
        <f t="shared" si="17"/>
        <v>0</v>
      </c>
      <c r="I524" s="180"/>
      <c r="J524" s="180"/>
      <c r="K524" s="130"/>
      <c r="L524" s="130"/>
      <c r="M524" s="181"/>
      <c r="N524" s="130"/>
      <c r="O524" s="181"/>
      <c r="P524" s="181"/>
      <c r="Q524" s="182"/>
      <c r="R524" s="182"/>
      <c r="S524" s="182"/>
      <c r="T524" s="182"/>
      <c r="U524" s="182"/>
      <c r="V524" s="182"/>
    </row>
    <row r="525" ht="15.75" hidden="1" customHeight="1">
      <c r="A525" s="13"/>
      <c r="B525" s="18" t="s">
        <v>18</v>
      </c>
      <c r="C525" s="169" t="s">
        <v>315</v>
      </c>
      <c r="D525" s="14" t="s">
        <v>20</v>
      </c>
      <c r="E525" s="33" t="s">
        <v>536</v>
      </c>
      <c r="F525" s="40">
        <v>0.0</v>
      </c>
      <c r="G525" s="17">
        <v>40.0</v>
      </c>
      <c r="H525" s="17">
        <f t="shared" si="17"/>
        <v>0</v>
      </c>
      <c r="I525" s="18"/>
      <c r="J525" s="18"/>
      <c r="K525" s="13"/>
      <c r="L525" s="27"/>
      <c r="M525" s="28"/>
      <c r="N525" s="27"/>
      <c r="O525" s="28"/>
      <c r="P525" s="28"/>
      <c r="Q525" s="35"/>
      <c r="R525" s="35"/>
      <c r="S525" s="35"/>
      <c r="T525" s="1"/>
      <c r="U525" s="1"/>
      <c r="V525" s="1"/>
    </row>
    <row r="526" ht="15.75" hidden="1" customHeight="1">
      <c r="A526" s="13"/>
      <c r="B526" s="166"/>
      <c r="C526" s="188" t="s">
        <v>259</v>
      </c>
      <c r="D526" s="167" t="s">
        <v>32</v>
      </c>
      <c r="E526" s="219"/>
      <c r="F526" s="190">
        <v>0.0</v>
      </c>
      <c r="G526" s="192">
        <v>0.0</v>
      </c>
      <c r="H526" s="192">
        <f t="shared" si="17"/>
        <v>0</v>
      </c>
      <c r="I526" s="193"/>
      <c r="J526" s="18"/>
      <c r="K526" s="13"/>
      <c r="L526" s="27"/>
      <c r="M526" s="28"/>
      <c r="N526" s="27"/>
      <c r="O526" s="27"/>
      <c r="P526" s="27"/>
      <c r="Q526" s="35"/>
      <c r="R526" s="35"/>
      <c r="S526" s="35"/>
      <c r="T526" s="1"/>
      <c r="U526" s="1"/>
      <c r="V526" s="1"/>
    </row>
    <row r="527" ht="15.75" hidden="1" customHeight="1">
      <c r="A527" s="13"/>
      <c r="B527" s="166" t="s">
        <v>397</v>
      </c>
      <c r="C527" s="188" t="s">
        <v>318</v>
      </c>
      <c r="D527" s="167" t="s">
        <v>32</v>
      </c>
      <c r="E527" s="219" t="s">
        <v>398</v>
      </c>
      <c r="F527" s="190">
        <v>0.0</v>
      </c>
      <c r="G527" s="192">
        <v>354.0</v>
      </c>
      <c r="H527" s="192">
        <f t="shared" si="17"/>
        <v>0</v>
      </c>
      <c r="I527" s="193"/>
      <c r="J527" s="18"/>
      <c r="K527" s="13"/>
      <c r="L527" s="13"/>
      <c r="M527" s="13"/>
      <c r="N527" s="13"/>
      <c r="O527" s="13"/>
      <c r="P527" s="13"/>
      <c r="Q527" s="35"/>
      <c r="R527" s="35"/>
      <c r="S527" s="35"/>
      <c r="T527" s="1"/>
      <c r="U527" s="1"/>
      <c r="V527" s="1"/>
    </row>
    <row r="528" ht="15.75" hidden="1" customHeight="1">
      <c r="A528" s="13"/>
      <c r="B528" s="13" t="s">
        <v>320</v>
      </c>
      <c r="C528" s="169" t="s">
        <v>321</v>
      </c>
      <c r="D528" s="66" t="s">
        <v>22</v>
      </c>
      <c r="E528" s="15"/>
      <c r="F528" s="16">
        <v>0.0</v>
      </c>
      <c r="G528" s="17">
        <v>10.0</v>
      </c>
      <c r="H528" s="17">
        <f t="shared" si="17"/>
        <v>0</v>
      </c>
      <c r="I528" s="18"/>
      <c r="J528" s="18"/>
      <c r="K528" s="13"/>
      <c r="L528" s="13"/>
      <c r="M528" s="19"/>
      <c r="N528" s="13"/>
      <c r="O528" s="13"/>
      <c r="P528" s="13"/>
      <c r="Q528" s="35"/>
      <c r="R528" s="35"/>
      <c r="S528" s="35"/>
      <c r="T528" s="1"/>
      <c r="U528" s="1"/>
      <c r="V528" s="1"/>
    </row>
    <row r="529" ht="15.75" customHeight="1">
      <c r="A529" s="13"/>
      <c r="B529" s="13" t="s">
        <v>239</v>
      </c>
      <c r="C529" s="195" t="s">
        <v>322</v>
      </c>
      <c r="D529" s="14" t="s">
        <v>20</v>
      </c>
      <c r="E529" s="15"/>
      <c r="F529" s="16">
        <v>1.0</v>
      </c>
      <c r="G529" s="34">
        <v>368.0</v>
      </c>
      <c r="H529" s="17">
        <f t="shared" si="17"/>
        <v>368</v>
      </c>
      <c r="I529" s="18"/>
      <c r="J529" s="18"/>
      <c r="K529" s="13"/>
      <c r="L529" s="13"/>
      <c r="M529" s="19"/>
      <c r="N529" s="13"/>
      <c r="O529" s="19"/>
      <c r="P529" s="19"/>
      <c r="Q529" s="35"/>
      <c r="R529" s="35"/>
      <c r="S529" s="35"/>
      <c r="T529" s="1"/>
      <c r="U529" s="1"/>
      <c r="V529" s="1"/>
    </row>
    <row r="530" ht="15.75" customHeight="1">
      <c r="A530" s="13"/>
      <c r="B530" s="43" t="s">
        <v>56</v>
      </c>
      <c r="C530" s="169" t="s">
        <v>323</v>
      </c>
      <c r="D530" s="70" t="s">
        <v>24</v>
      </c>
      <c r="E530" s="15"/>
      <c r="F530" s="16">
        <v>1.0</v>
      </c>
      <c r="G530" s="17">
        <v>80.0</v>
      </c>
      <c r="H530" s="17">
        <f t="shared" si="17"/>
        <v>80</v>
      </c>
      <c r="I530" s="18"/>
      <c r="J530" s="18"/>
      <c r="K530" s="13"/>
      <c r="L530" s="63"/>
      <c r="M530" s="63"/>
      <c r="N530" s="63"/>
      <c r="O530" s="63"/>
      <c r="P530" s="63"/>
      <c r="Q530" s="35"/>
      <c r="R530" s="35"/>
      <c r="S530" s="35"/>
      <c r="T530" s="1"/>
      <c r="U530" s="1"/>
      <c r="V530" s="1"/>
    </row>
    <row r="531" ht="15.75" customHeight="1">
      <c r="A531" s="13"/>
      <c r="B531" s="43" t="s">
        <v>56</v>
      </c>
      <c r="C531" s="169" t="s">
        <v>324</v>
      </c>
      <c r="D531" s="14" t="s">
        <v>20</v>
      </c>
      <c r="E531" s="15"/>
      <c r="F531" s="16">
        <v>1.0</v>
      </c>
      <c r="G531" s="17">
        <v>35.0</v>
      </c>
      <c r="H531" s="17">
        <f t="shared" si="17"/>
        <v>35</v>
      </c>
      <c r="I531" s="18"/>
      <c r="J531" s="18"/>
      <c r="K531" s="13"/>
      <c r="L531" s="13"/>
      <c r="M531" s="19"/>
      <c r="N531" s="13"/>
      <c r="O531" s="19"/>
      <c r="P531" s="19"/>
      <c r="Q531" s="35"/>
      <c r="R531" s="35"/>
      <c r="S531" s="35"/>
      <c r="T531" s="1"/>
      <c r="U531" s="1"/>
      <c r="V531" s="1"/>
    </row>
    <row r="532" ht="15.75" hidden="1" customHeight="1">
      <c r="A532" s="13"/>
      <c r="B532" s="13"/>
      <c r="C532" s="169" t="s">
        <v>258</v>
      </c>
      <c r="D532" s="66" t="s">
        <v>22</v>
      </c>
      <c r="E532" s="15"/>
      <c r="F532" s="16">
        <v>0.0</v>
      </c>
      <c r="G532" s="17">
        <v>150.0</v>
      </c>
      <c r="H532" s="17">
        <f t="shared" si="17"/>
        <v>0</v>
      </c>
      <c r="I532" s="18"/>
      <c r="J532" s="18"/>
      <c r="K532" s="13"/>
      <c r="L532" s="13"/>
      <c r="M532" s="19"/>
      <c r="N532" s="13"/>
      <c r="O532" s="19"/>
      <c r="P532" s="19"/>
      <c r="Q532" s="35"/>
      <c r="R532" s="35"/>
      <c r="S532" s="35"/>
      <c r="T532" s="1"/>
      <c r="U532" s="1"/>
      <c r="V532" s="1"/>
    </row>
    <row r="533" ht="15.75" customHeight="1">
      <c r="A533" s="13"/>
      <c r="B533" s="13" t="s">
        <v>18</v>
      </c>
      <c r="C533" s="196" t="s">
        <v>325</v>
      </c>
      <c r="D533" s="150" t="s">
        <v>22</v>
      </c>
      <c r="E533" s="47" t="s">
        <v>326</v>
      </c>
      <c r="F533" s="48">
        <v>1.0</v>
      </c>
      <c r="G533" s="49">
        <v>46.8</v>
      </c>
      <c r="H533" s="50">
        <f t="shared" si="17"/>
        <v>46.8</v>
      </c>
      <c r="I533" s="18"/>
      <c r="J533" s="18"/>
      <c r="K533" s="13"/>
      <c r="L533" s="13"/>
      <c r="M533" s="13"/>
      <c r="N533" s="13"/>
      <c r="O533" s="19"/>
      <c r="P533" s="19"/>
      <c r="Q533" s="35"/>
      <c r="R533" s="35"/>
      <c r="S533" s="35"/>
      <c r="T533" s="1"/>
      <c r="U533" s="1"/>
      <c r="V533" s="1"/>
    </row>
    <row r="534" ht="15.75" hidden="1" customHeight="1">
      <c r="A534" s="13"/>
      <c r="B534" s="13"/>
      <c r="C534" s="197" t="s">
        <v>327</v>
      </c>
      <c r="D534" s="198" t="s">
        <v>22</v>
      </c>
      <c r="E534" s="54" t="s">
        <v>328</v>
      </c>
      <c r="F534" s="56">
        <v>0.0</v>
      </c>
      <c r="G534" s="57">
        <v>321.3</v>
      </c>
      <c r="H534" s="57">
        <f t="shared" si="17"/>
        <v>0</v>
      </c>
      <c r="I534" s="18"/>
      <c r="J534" s="18"/>
      <c r="K534" s="13"/>
      <c r="L534" s="13"/>
      <c r="M534" s="13"/>
      <c r="N534" s="13"/>
      <c r="O534" s="19"/>
      <c r="P534" s="19"/>
      <c r="Q534" s="35"/>
      <c r="R534" s="35"/>
      <c r="S534" s="35"/>
      <c r="T534" s="1"/>
      <c r="U534" s="1"/>
      <c r="V534" s="1"/>
    </row>
    <row r="535" ht="15.75" customHeight="1">
      <c r="A535" s="15"/>
      <c r="B535" s="52" t="s">
        <v>18</v>
      </c>
      <c r="C535" s="196" t="s">
        <v>329</v>
      </c>
      <c r="D535" s="150" t="s">
        <v>22</v>
      </c>
      <c r="E535" s="199" t="s">
        <v>330</v>
      </c>
      <c r="F535" s="48">
        <v>2.0</v>
      </c>
      <c r="G535" s="49">
        <v>25.2</v>
      </c>
      <c r="H535" s="50">
        <f t="shared" si="17"/>
        <v>50.4</v>
      </c>
      <c r="I535" s="51"/>
      <c r="J535" s="51"/>
      <c r="K535" s="52"/>
      <c r="L535" s="52"/>
      <c r="M535" s="52"/>
      <c r="N535" s="52"/>
      <c r="O535" s="200"/>
      <c r="P535" s="200"/>
      <c r="Q535" s="1"/>
      <c r="R535" s="1"/>
      <c r="S535" s="1"/>
      <c r="T535" s="1"/>
      <c r="U535" s="1"/>
      <c r="V535" s="1"/>
    </row>
    <row r="536" ht="15.75" customHeight="1">
      <c r="A536" s="53"/>
      <c r="B536" s="54" t="s">
        <v>18</v>
      </c>
      <c r="C536" s="197" t="s">
        <v>331</v>
      </c>
      <c r="D536" s="198" t="s">
        <v>22</v>
      </c>
      <c r="E536" s="201" t="s">
        <v>332</v>
      </c>
      <c r="F536" s="56">
        <v>1.0</v>
      </c>
      <c r="G536" s="159">
        <v>48.0</v>
      </c>
      <c r="H536" s="57">
        <f t="shared" si="17"/>
        <v>48</v>
      </c>
      <c r="I536" s="58"/>
      <c r="J536" s="58"/>
      <c r="K536" s="54"/>
      <c r="L536" s="54"/>
      <c r="M536" s="54"/>
      <c r="N536" s="54"/>
      <c r="O536" s="202"/>
      <c r="P536" s="202"/>
      <c r="Q536" s="1"/>
      <c r="R536" s="1"/>
      <c r="S536" s="1"/>
      <c r="T536" s="1"/>
      <c r="U536" s="1"/>
      <c r="V536" s="1"/>
    </row>
    <row r="537" ht="15.75" customHeight="1">
      <c r="A537" s="53"/>
      <c r="B537" s="54" t="s">
        <v>18</v>
      </c>
      <c r="C537" s="203" t="s">
        <v>333</v>
      </c>
      <c r="D537" s="198" t="s">
        <v>22</v>
      </c>
      <c r="E537" s="204" t="s">
        <v>334</v>
      </c>
      <c r="F537" s="56">
        <v>1.0</v>
      </c>
      <c r="G537" s="159">
        <v>46.8</v>
      </c>
      <c r="H537" s="57">
        <f t="shared" si="17"/>
        <v>46.8</v>
      </c>
      <c r="I537" s="58"/>
      <c r="J537" s="58"/>
      <c r="K537" s="54"/>
      <c r="L537" s="54"/>
      <c r="M537" s="54"/>
      <c r="N537" s="54"/>
      <c r="O537" s="202"/>
      <c r="P537" s="202"/>
      <c r="Q537" s="1"/>
      <c r="R537" s="1"/>
      <c r="S537" s="1"/>
      <c r="T537" s="1"/>
      <c r="U537" s="1"/>
      <c r="V537" s="1"/>
    </row>
    <row r="538" ht="15.75" hidden="1" customHeight="1">
      <c r="A538" s="53"/>
      <c r="B538" s="52" t="s">
        <v>18</v>
      </c>
      <c r="C538" s="196" t="s">
        <v>335</v>
      </c>
      <c r="D538" s="150" t="s">
        <v>22</v>
      </c>
      <c r="E538" s="52"/>
      <c r="F538" s="48">
        <v>0.0</v>
      </c>
      <c r="G538" s="50">
        <v>29.69</v>
      </c>
      <c r="H538" s="50">
        <f t="shared" si="17"/>
        <v>0</v>
      </c>
      <c r="I538" s="58"/>
      <c r="J538" s="58"/>
      <c r="K538" s="54"/>
      <c r="L538" s="54"/>
      <c r="M538" s="54"/>
      <c r="N538" s="54"/>
      <c r="O538" s="202"/>
      <c r="P538" s="202"/>
      <c r="Q538" s="1"/>
      <c r="R538" s="1"/>
      <c r="S538" s="1"/>
      <c r="T538" s="1"/>
      <c r="U538" s="1"/>
      <c r="V538" s="1"/>
    </row>
    <row r="539" ht="15.75" hidden="1" customHeight="1">
      <c r="A539" s="53"/>
      <c r="B539" s="54" t="s">
        <v>18</v>
      </c>
      <c r="C539" s="197" t="s">
        <v>336</v>
      </c>
      <c r="D539" s="198" t="s">
        <v>22</v>
      </c>
      <c r="E539" s="54" t="s">
        <v>337</v>
      </c>
      <c r="F539" s="56">
        <v>0.0</v>
      </c>
      <c r="G539" s="57">
        <v>29.99</v>
      </c>
      <c r="H539" s="57">
        <f t="shared" si="17"/>
        <v>0</v>
      </c>
      <c r="I539" s="58"/>
      <c r="J539" s="58"/>
      <c r="K539" s="54"/>
      <c r="L539" s="54"/>
      <c r="M539" s="54"/>
      <c r="N539" s="54"/>
      <c r="O539" s="202"/>
      <c r="P539" s="202"/>
      <c r="Q539" s="1"/>
      <c r="R539" s="1"/>
      <c r="S539" s="1"/>
      <c r="T539" s="1"/>
      <c r="U539" s="1"/>
      <c r="V539" s="1"/>
    </row>
    <row r="540" ht="15.75" hidden="1" customHeight="1">
      <c r="A540" s="15"/>
      <c r="B540" s="54" t="s">
        <v>18</v>
      </c>
      <c r="C540" s="203" t="s">
        <v>338</v>
      </c>
      <c r="D540" s="198" t="s">
        <v>22</v>
      </c>
      <c r="E540" s="54" t="s">
        <v>339</v>
      </c>
      <c r="F540" s="56">
        <v>0.0</v>
      </c>
      <c r="G540" s="57">
        <v>16.69</v>
      </c>
      <c r="H540" s="57">
        <f t="shared" si="17"/>
        <v>0</v>
      </c>
      <c r="I540" s="51"/>
      <c r="J540" s="51"/>
      <c r="K540" s="52"/>
      <c r="L540" s="52"/>
      <c r="M540" s="52"/>
      <c r="N540" s="52"/>
      <c r="O540" s="200"/>
      <c r="P540" s="200"/>
      <c r="Q540" s="1"/>
      <c r="R540" s="1"/>
      <c r="S540" s="1"/>
      <c r="T540" s="1"/>
      <c r="U540" s="1"/>
      <c r="V540" s="1"/>
    </row>
    <row r="541" ht="15.75" hidden="1" customHeight="1">
      <c r="A541" s="53"/>
      <c r="B541" s="52" t="s">
        <v>18</v>
      </c>
      <c r="C541" s="196" t="s">
        <v>340</v>
      </c>
      <c r="D541" s="150" t="s">
        <v>22</v>
      </c>
      <c r="E541" s="52"/>
      <c r="F541" s="48">
        <v>0.0</v>
      </c>
      <c r="G541" s="50">
        <v>29.69</v>
      </c>
      <c r="H541" s="50">
        <f t="shared" si="17"/>
        <v>0</v>
      </c>
      <c r="I541" s="58"/>
      <c r="J541" s="58"/>
      <c r="K541" s="54"/>
      <c r="L541" s="54"/>
      <c r="M541" s="54"/>
      <c r="N541" s="54"/>
      <c r="O541" s="202"/>
      <c r="P541" s="202"/>
      <c r="Q541" s="1"/>
      <c r="R541" s="1"/>
      <c r="S541" s="1"/>
      <c r="T541" s="1"/>
      <c r="U541" s="1"/>
      <c r="V541" s="1"/>
    </row>
    <row r="542" ht="15.75" hidden="1" customHeight="1">
      <c r="A542" s="53"/>
      <c r="B542" s="54" t="s">
        <v>18</v>
      </c>
      <c r="C542" s="197" t="s">
        <v>341</v>
      </c>
      <c r="D542" s="198" t="s">
        <v>22</v>
      </c>
      <c r="E542" s="54" t="s">
        <v>337</v>
      </c>
      <c r="F542" s="56">
        <v>0.0</v>
      </c>
      <c r="G542" s="57">
        <v>29.99</v>
      </c>
      <c r="H542" s="57">
        <f t="shared" si="17"/>
        <v>0</v>
      </c>
      <c r="I542" s="58"/>
      <c r="J542" s="58"/>
      <c r="K542" s="54"/>
      <c r="L542" s="54"/>
      <c r="M542" s="54"/>
      <c r="N542" s="54"/>
      <c r="O542" s="202"/>
      <c r="P542" s="202"/>
      <c r="Q542" s="1"/>
      <c r="R542" s="1"/>
      <c r="S542" s="1"/>
      <c r="T542" s="1"/>
      <c r="U542" s="1"/>
      <c r="V542" s="1"/>
    </row>
    <row r="543" ht="15.75" hidden="1" customHeight="1">
      <c r="A543" s="53"/>
      <c r="B543" s="54" t="s">
        <v>18</v>
      </c>
      <c r="C543" s="197" t="s">
        <v>342</v>
      </c>
      <c r="D543" s="198" t="s">
        <v>22</v>
      </c>
      <c r="E543" s="54" t="s">
        <v>343</v>
      </c>
      <c r="F543" s="56">
        <v>0.0</v>
      </c>
      <c r="G543" s="57">
        <v>17.99</v>
      </c>
      <c r="H543" s="57">
        <f t="shared" si="17"/>
        <v>0</v>
      </c>
      <c r="I543" s="58"/>
      <c r="J543" s="58"/>
      <c r="K543" s="54"/>
      <c r="L543" s="54"/>
      <c r="M543" s="54"/>
      <c r="N543" s="54"/>
      <c r="O543" s="202"/>
      <c r="P543" s="202"/>
      <c r="Q543" s="1"/>
      <c r="R543" s="1"/>
      <c r="S543" s="1"/>
      <c r="T543" s="1"/>
      <c r="U543" s="1"/>
      <c r="V543" s="1"/>
    </row>
    <row r="544" ht="15.75" hidden="1" customHeight="1">
      <c r="A544" s="15"/>
      <c r="B544" s="54" t="s">
        <v>18</v>
      </c>
      <c r="C544" s="197" t="s">
        <v>344</v>
      </c>
      <c r="D544" s="198" t="s">
        <v>22</v>
      </c>
      <c r="E544" s="205" t="s">
        <v>345</v>
      </c>
      <c r="F544" s="158">
        <v>0.0</v>
      </c>
      <c r="G544" s="57">
        <v>19.0</v>
      </c>
      <c r="H544" s="57">
        <f t="shared" si="17"/>
        <v>0</v>
      </c>
      <c r="I544" s="51"/>
      <c r="J544" s="51"/>
      <c r="K544" s="52"/>
      <c r="L544" s="52"/>
      <c r="M544" s="52"/>
      <c r="N544" s="52"/>
      <c r="O544" s="200"/>
      <c r="P544" s="200"/>
      <c r="Q544" s="1"/>
      <c r="R544" s="1"/>
      <c r="S544" s="1"/>
      <c r="T544" s="1"/>
      <c r="U544" s="1"/>
      <c r="V544" s="1"/>
    </row>
    <row r="545" ht="15.75" hidden="1" customHeight="1">
      <c r="A545" s="53"/>
      <c r="B545" s="206" t="s">
        <v>18</v>
      </c>
      <c r="C545" s="197" t="s">
        <v>346</v>
      </c>
      <c r="D545" s="198" t="s">
        <v>22</v>
      </c>
      <c r="E545" s="205" t="s">
        <v>347</v>
      </c>
      <c r="F545" s="158">
        <v>0.0</v>
      </c>
      <c r="G545" s="57">
        <v>35.0</v>
      </c>
      <c r="H545" s="57">
        <f t="shared" si="17"/>
        <v>0</v>
      </c>
      <c r="I545" s="58"/>
      <c r="J545" s="58"/>
      <c r="K545" s="54"/>
      <c r="L545" s="54"/>
      <c r="M545" s="54"/>
      <c r="N545" s="54"/>
      <c r="O545" s="202"/>
      <c r="P545" s="202"/>
      <c r="Q545" s="1"/>
      <c r="R545" s="1"/>
      <c r="S545" s="1"/>
      <c r="T545" s="1"/>
      <c r="U545" s="1"/>
      <c r="V545" s="1"/>
    </row>
    <row r="546" ht="15.75" customHeight="1">
      <c r="A546" s="53"/>
      <c r="B546" s="13" t="s">
        <v>18</v>
      </c>
      <c r="C546" s="196" t="s">
        <v>348</v>
      </c>
      <c r="D546" s="150" t="s">
        <v>22</v>
      </c>
      <c r="E546" s="199" t="s">
        <v>349</v>
      </c>
      <c r="F546" s="48">
        <v>1.0</v>
      </c>
      <c r="G546" s="49">
        <v>24.0</v>
      </c>
      <c r="H546" s="50">
        <f t="shared" si="17"/>
        <v>24</v>
      </c>
      <c r="I546" s="58"/>
      <c r="J546" s="58"/>
      <c r="K546" s="54"/>
      <c r="L546" s="54"/>
      <c r="M546" s="54"/>
      <c r="N546" s="54"/>
      <c r="O546" s="202"/>
      <c r="P546" s="202"/>
      <c r="Q546" s="1"/>
      <c r="R546" s="1"/>
      <c r="S546" s="1"/>
      <c r="T546" s="1"/>
      <c r="U546" s="1"/>
      <c r="V546" s="1"/>
    </row>
    <row r="547" ht="15.75" customHeight="1">
      <c r="A547" s="53"/>
      <c r="B547" s="13" t="s">
        <v>350</v>
      </c>
      <c r="C547" s="196" t="s">
        <v>351</v>
      </c>
      <c r="D547" s="150" t="s">
        <v>22</v>
      </c>
      <c r="E547" s="207" t="s">
        <v>352</v>
      </c>
      <c r="F547" s="48">
        <v>1.0</v>
      </c>
      <c r="G547" s="49">
        <v>420.0</v>
      </c>
      <c r="H547" s="50">
        <f t="shared" si="17"/>
        <v>420</v>
      </c>
      <c r="I547" s="58"/>
      <c r="J547" s="58"/>
      <c r="K547" s="54"/>
      <c r="L547" s="54"/>
      <c r="M547" s="54"/>
      <c r="N547" s="54"/>
      <c r="O547" s="202"/>
      <c r="P547" s="202"/>
      <c r="Q547" s="1"/>
      <c r="R547" s="1"/>
      <c r="S547" s="1"/>
      <c r="T547" s="1"/>
      <c r="U547" s="1"/>
      <c r="V547" s="1"/>
    </row>
    <row r="548" ht="15.75" customHeight="1">
      <c r="A548" s="13"/>
      <c r="B548" s="206" t="s">
        <v>350</v>
      </c>
      <c r="C548" s="197" t="s">
        <v>353</v>
      </c>
      <c r="D548" s="198" t="s">
        <v>22</v>
      </c>
      <c r="E548" s="208" t="s">
        <v>352</v>
      </c>
      <c r="F548" s="56">
        <v>1.0</v>
      </c>
      <c r="G548" s="159">
        <v>172.0</v>
      </c>
      <c r="H548" s="57">
        <f t="shared" si="17"/>
        <v>172</v>
      </c>
      <c r="I548" s="18"/>
      <c r="J548" s="18"/>
      <c r="K548" s="13"/>
      <c r="L548" s="13"/>
      <c r="M548" s="13"/>
      <c r="N548" s="13"/>
      <c r="O548" s="19"/>
      <c r="P548" s="19"/>
      <c r="Q548" s="35"/>
      <c r="R548" s="35"/>
      <c r="S548" s="35"/>
      <c r="T548" s="1"/>
      <c r="U548" s="1"/>
      <c r="V548" s="1"/>
    </row>
    <row r="549" ht="15.75" customHeight="1">
      <c r="A549" s="13"/>
      <c r="B549" s="206"/>
      <c r="C549" s="197" t="s">
        <v>354</v>
      </c>
      <c r="D549" s="198" t="s">
        <v>22</v>
      </c>
      <c r="E549" s="208" t="s">
        <v>352</v>
      </c>
      <c r="F549" s="158">
        <v>1.0</v>
      </c>
      <c r="G549" s="159">
        <v>97.0</v>
      </c>
      <c r="H549" s="57">
        <f t="shared" si="17"/>
        <v>97</v>
      </c>
      <c r="I549" s="18"/>
      <c r="J549" s="18"/>
      <c r="K549" s="13"/>
      <c r="L549" s="13"/>
      <c r="M549" s="13"/>
      <c r="N549" s="13"/>
      <c r="O549" s="13"/>
      <c r="P549" s="13"/>
      <c r="Q549" s="35"/>
      <c r="R549" s="35"/>
      <c r="S549" s="35"/>
      <c r="T549" s="1"/>
      <c r="U549" s="1"/>
      <c r="V549" s="1"/>
    </row>
    <row r="550" ht="15.75" hidden="1" customHeight="1">
      <c r="A550" s="13"/>
      <c r="B550" s="156" t="s">
        <v>350</v>
      </c>
      <c r="C550" s="197" t="s">
        <v>355</v>
      </c>
      <c r="D550" s="198" t="s">
        <v>22</v>
      </c>
      <c r="E550" s="208" t="s">
        <v>356</v>
      </c>
      <c r="F550" s="56">
        <v>0.0</v>
      </c>
      <c r="G550" s="159">
        <v>366.0</v>
      </c>
      <c r="H550" s="57">
        <f t="shared" si="17"/>
        <v>0</v>
      </c>
      <c r="I550" s="18"/>
      <c r="J550" s="18"/>
      <c r="K550" s="13"/>
      <c r="L550" s="13"/>
      <c r="M550" s="13"/>
      <c r="N550" s="13"/>
      <c r="O550" s="13"/>
      <c r="P550" s="13"/>
      <c r="Q550" s="35"/>
      <c r="R550" s="35"/>
      <c r="S550" s="35"/>
      <c r="T550" s="1"/>
      <c r="U550" s="1"/>
      <c r="V550" s="1"/>
    </row>
    <row r="551" ht="15.75" hidden="1" customHeight="1">
      <c r="A551" s="13"/>
      <c r="B551" s="206" t="s">
        <v>350</v>
      </c>
      <c r="C551" s="197" t="s">
        <v>357</v>
      </c>
      <c r="D551" s="198" t="s">
        <v>22</v>
      </c>
      <c r="E551" s="208" t="s">
        <v>356</v>
      </c>
      <c r="F551" s="56">
        <v>0.0</v>
      </c>
      <c r="G551" s="159">
        <v>107.5</v>
      </c>
      <c r="H551" s="57">
        <f t="shared" si="17"/>
        <v>0</v>
      </c>
      <c r="I551" s="18"/>
      <c r="J551" s="18"/>
      <c r="K551" s="13"/>
      <c r="L551" s="13"/>
      <c r="M551" s="19"/>
      <c r="N551" s="13"/>
      <c r="O551" s="19"/>
      <c r="P551" s="19"/>
      <c r="Q551" s="35"/>
      <c r="R551" s="35"/>
      <c r="S551" s="35"/>
      <c r="T551" s="1"/>
      <c r="U551" s="1"/>
      <c r="V551" s="1"/>
    </row>
    <row r="552" ht="15.75" hidden="1" customHeight="1">
      <c r="A552" s="13"/>
      <c r="B552" s="156" t="s">
        <v>350</v>
      </c>
      <c r="C552" s="197" t="s">
        <v>358</v>
      </c>
      <c r="D552" s="198" t="s">
        <v>22</v>
      </c>
      <c r="E552" s="208" t="s">
        <v>356</v>
      </c>
      <c r="F552" s="56">
        <v>0.0</v>
      </c>
      <c r="G552" s="159">
        <v>97.0</v>
      </c>
      <c r="H552" s="57">
        <f t="shared" si="17"/>
        <v>0</v>
      </c>
      <c r="I552" s="18"/>
      <c r="J552" s="18"/>
      <c r="K552" s="13"/>
      <c r="L552" s="27"/>
      <c r="M552" s="28"/>
      <c r="N552" s="27"/>
      <c r="O552" s="28"/>
      <c r="P552" s="27"/>
      <c r="Q552" s="35"/>
      <c r="R552" s="35"/>
      <c r="S552" s="35"/>
      <c r="T552" s="1"/>
      <c r="U552" s="1"/>
      <c r="V552" s="1"/>
    </row>
    <row r="553" ht="15.75" hidden="1" customHeight="1">
      <c r="A553" s="13"/>
      <c r="B553" s="13" t="s">
        <v>18</v>
      </c>
      <c r="C553" s="196" t="s">
        <v>359</v>
      </c>
      <c r="D553" s="150" t="s">
        <v>22</v>
      </c>
      <c r="E553" s="52" t="s">
        <v>360</v>
      </c>
      <c r="F553" s="48">
        <v>0.0</v>
      </c>
      <c r="G553" s="50">
        <v>18.0</v>
      </c>
      <c r="H553" s="50">
        <f t="shared" si="17"/>
        <v>0</v>
      </c>
      <c r="I553" s="18"/>
      <c r="J553" s="18"/>
      <c r="K553" s="13"/>
      <c r="L553" s="27"/>
      <c r="M553" s="28"/>
      <c r="N553" s="27"/>
      <c r="O553" s="28"/>
      <c r="P553" s="27"/>
      <c r="Q553" s="35"/>
      <c r="R553" s="35"/>
      <c r="S553" s="35"/>
      <c r="T553" s="1"/>
      <c r="U553" s="1"/>
      <c r="V553" s="1"/>
    </row>
    <row r="554" ht="15.75" customHeight="1">
      <c r="A554" s="13"/>
      <c r="B554" s="13" t="s">
        <v>361</v>
      </c>
      <c r="C554" s="169" t="s">
        <v>362</v>
      </c>
      <c r="D554" s="66" t="s">
        <v>22</v>
      </c>
      <c r="E554" s="15" t="s">
        <v>363</v>
      </c>
      <c r="F554" s="16">
        <v>4.0</v>
      </c>
      <c r="G554" s="17">
        <v>11.0</v>
      </c>
      <c r="H554" s="17">
        <f t="shared" si="17"/>
        <v>44</v>
      </c>
      <c r="I554" s="18"/>
      <c r="J554" s="18"/>
      <c r="K554" s="13"/>
      <c r="L554" s="27"/>
      <c r="M554" s="28"/>
      <c r="N554" s="27"/>
      <c r="O554" s="28"/>
      <c r="P554" s="27"/>
      <c r="Q554" s="35"/>
      <c r="R554" s="35"/>
      <c r="S554" s="35"/>
      <c r="T554" s="1"/>
      <c r="U554" s="1"/>
      <c r="V554" s="1"/>
    </row>
    <row r="555" ht="15.75" hidden="1" customHeight="1">
      <c r="A555" s="13"/>
      <c r="B555" s="13" t="s">
        <v>361</v>
      </c>
      <c r="C555" s="169" t="s">
        <v>364</v>
      </c>
      <c r="D555" s="66" t="s">
        <v>22</v>
      </c>
      <c r="E555" s="15" t="s">
        <v>365</v>
      </c>
      <c r="F555" s="16">
        <v>0.0</v>
      </c>
      <c r="G555" s="17">
        <v>6.0</v>
      </c>
      <c r="H555" s="17">
        <f t="shared" si="17"/>
        <v>0</v>
      </c>
      <c r="I555" s="18"/>
      <c r="J555" s="18"/>
      <c r="K555" s="13"/>
      <c r="L555" s="27"/>
      <c r="M555" s="28"/>
      <c r="N555" s="27"/>
      <c r="O555" s="28"/>
      <c r="P555" s="27"/>
      <c r="Q555" s="35"/>
      <c r="R555" s="35"/>
      <c r="S555" s="35"/>
      <c r="T555" s="1"/>
      <c r="U555" s="1"/>
      <c r="V555" s="1"/>
    </row>
    <row r="556" ht="15.75" hidden="1" customHeight="1">
      <c r="A556" s="13"/>
      <c r="B556" s="43" t="s">
        <v>64</v>
      </c>
      <c r="C556" s="169" t="s">
        <v>263</v>
      </c>
      <c r="D556" s="66" t="s">
        <v>22</v>
      </c>
      <c r="E556" s="15"/>
      <c r="F556" s="40">
        <v>0.0</v>
      </c>
      <c r="G556" s="17">
        <v>180.0</v>
      </c>
      <c r="H556" s="17">
        <f t="shared" si="17"/>
        <v>0</v>
      </c>
      <c r="I556" s="18"/>
      <c r="J556" s="18"/>
      <c r="K556" s="13"/>
      <c r="L556" s="27"/>
      <c r="M556" s="28"/>
      <c r="N556" s="27"/>
      <c r="O556" s="28"/>
      <c r="P556" s="27"/>
      <c r="Q556" s="35"/>
      <c r="R556" s="35"/>
      <c r="S556" s="35"/>
      <c r="T556" s="1"/>
      <c r="U556" s="1"/>
      <c r="V556" s="1"/>
    </row>
    <row r="557" ht="15.75" hidden="1" customHeight="1">
      <c r="A557" s="13"/>
      <c r="B557" s="13"/>
      <c r="C557" s="13" t="s">
        <v>67</v>
      </c>
      <c r="D557" s="70" t="s">
        <v>24</v>
      </c>
      <c r="E557" s="15"/>
      <c r="F557" s="40">
        <v>0.0</v>
      </c>
      <c r="G557" s="17">
        <v>18.0</v>
      </c>
      <c r="H557" s="17">
        <f t="shared" si="17"/>
        <v>0</v>
      </c>
      <c r="I557" s="18"/>
      <c r="J557" s="18"/>
      <c r="K557" s="13"/>
      <c r="L557" s="95"/>
      <c r="M557" s="96"/>
      <c r="N557" s="95"/>
      <c r="O557" s="95"/>
      <c r="P557" s="95"/>
      <c r="Q557" s="35"/>
      <c r="R557" s="35"/>
      <c r="S557" s="35"/>
      <c r="T557" s="1"/>
      <c r="U557" s="1"/>
      <c r="V557" s="1"/>
    </row>
    <row r="558" ht="15.75" customHeight="1">
      <c r="A558" s="13"/>
      <c r="B558" s="43" t="s">
        <v>88</v>
      </c>
      <c r="C558" s="195" t="s">
        <v>431</v>
      </c>
      <c r="D558" s="14" t="s">
        <v>20</v>
      </c>
      <c r="E558" s="171" t="s">
        <v>412</v>
      </c>
      <c r="F558" s="16">
        <v>1.0</v>
      </c>
      <c r="G558" s="34">
        <v>335.0</v>
      </c>
      <c r="H558" s="17">
        <f t="shared" si="17"/>
        <v>335</v>
      </c>
      <c r="I558" s="18"/>
      <c r="J558" s="18"/>
      <c r="K558" s="13"/>
      <c r="L558" s="95"/>
      <c r="M558" s="96"/>
      <c r="N558" s="95"/>
      <c r="O558" s="95"/>
      <c r="P558" s="95"/>
      <c r="Q558" s="35"/>
      <c r="R558" s="35"/>
      <c r="S558" s="35"/>
      <c r="T558" s="1"/>
      <c r="U558" s="1"/>
      <c r="V558" s="1"/>
    </row>
    <row r="559" ht="15.75" customHeight="1">
      <c r="A559" s="13"/>
      <c r="B559" s="13" t="s">
        <v>18</v>
      </c>
      <c r="C559" s="169" t="s">
        <v>280</v>
      </c>
      <c r="D559" s="14" t="s">
        <v>20</v>
      </c>
      <c r="E559" s="33" t="s">
        <v>368</v>
      </c>
      <c r="F559" s="16">
        <v>1.0</v>
      </c>
      <c r="G559" s="34">
        <v>20.0</v>
      </c>
      <c r="H559" s="17">
        <f t="shared" si="17"/>
        <v>20</v>
      </c>
      <c r="I559" s="18"/>
      <c r="J559" s="18"/>
      <c r="K559" s="13"/>
      <c r="L559" s="13"/>
      <c r="M559" s="19"/>
      <c r="N559" s="13"/>
      <c r="O559" s="19"/>
      <c r="P559" s="19"/>
      <c r="Q559" s="35"/>
      <c r="R559" s="35"/>
      <c r="S559" s="35"/>
      <c r="T559" s="1"/>
      <c r="U559" s="1"/>
      <c r="V559" s="1"/>
    </row>
    <row r="560" ht="15.75" customHeight="1">
      <c r="A560" s="13"/>
      <c r="B560" s="43" t="s">
        <v>56</v>
      </c>
      <c r="C560" s="169" t="s">
        <v>282</v>
      </c>
      <c r="D560" s="70" t="s">
        <v>24</v>
      </c>
      <c r="E560" s="15"/>
      <c r="F560" s="16">
        <v>1.0</v>
      </c>
      <c r="G560" s="17">
        <v>80.0</v>
      </c>
      <c r="H560" s="17">
        <f t="shared" si="17"/>
        <v>80</v>
      </c>
      <c r="I560" s="18"/>
      <c r="J560" s="18"/>
      <c r="K560" s="13"/>
      <c r="L560" s="63"/>
      <c r="M560" s="79"/>
      <c r="N560" s="63"/>
      <c r="O560" s="79"/>
      <c r="P560" s="79"/>
      <c r="Q560" s="35"/>
      <c r="R560" s="35"/>
      <c r="S560" s="35"/>
      <c r="T560" s="1"/>
      <c r="U560" s="1"/>
      <c r="V560" s="1"/>
    </row>
    <row r="561" ht="15.75" hidden="1" customHeight="1">
      <c r="A561" s="13"/>
      <c r="B561" s="13" t="s">
        <v>18</v>
      </c>
      <c r="C561" s="169" t="s">
        <v>283</v>
      </c>
      <c r="D561" s="14" t="s">
        <v>20</v>
      </c>
      <c r="E561" s="15" t="s">
        <v>284</v>
      </c>
      <c r="F561" s="16">
        <v>0.0</v>
      </c>
      <c r="G561" s="17">
        <v>12.0</v>
      </c>
      <c r="H561" s="17">
        <f t="shared" si="17"/>
        <v>0</v>
      </c>
      <c r="I561" s="18"/>
      <c r="J561" s="18"/>
      <c r="K561" s="13"/>
      <c r="L561" s="13"/>
      <c r="M561" s="19"/>
      <c r="N561" s="13"/>
      <c r="O561" s="38"/>
      <c r="P561" s="19"/>
      <c r="Q561" s="35"/>
      <c r="R561" s="35"/>
      <c r="S561" s="35"/>
      <c r="T561" s="1"/>
      <c r="U561" s="1"/>
      <c r="V561" s="1"/>
    </row>
    <row r="562" ht="15.75" customHeight="1">
      <c r="A562" s="13"/>
      <c r="B562" s="13" t="s">
        <v>369</v>
      </c>
      <c r="C562" s="169" t="s">
        <v>370</v>
      </c>
      <c r="D562" s="14" t="s">
        <v>20</v>
      </c>
      <c r="E562" s="15">
        <v>8.49069896E8</v>
      </c>
      <c r="F562" s="16">
        <v>1.0</v>
      </c>
      <c r="G562" s="17">
        <v>5.0</v>
      </c>
      <c r="H562" s="17">
        <f t="shared" si="17"/>
        <v>5</v>
      </c>
      <c r="I562" s="18"/>
      <c r="J562" s="18"/>
      <c r="K562" s="13"/>
      <c r="L562" s="27"/>
      <c r="M562" s="27"/>
      <c r="N562" s="27"/>
      <c r="O562" s="27"/>
      <c r="P562" s="27"/>
      <c r="Q562" s="35"/>
      <c r="R562" s="35"/>
      <c r="S562" s="35"/>
      <c r="T562" s="1"/>
      <c r="U562" s="1"/>
      <c r="V562" s="1"/>
    </row>
    <row r="563" ht="15.75" customHeight="1">
      <c r="A563" s="13"/>
      <c r="B563" s="13" t="s">
        <v>18</v>
      </c>
      <c r="C563" s="169" t="s">
        <v>371</v>
      </c>
      <c r="D563" s="14" t="s">
        <v>20</v>
      </c>
      <c r="E563" s="15" t="s">
        <v>286</v>
      </c>
      <c r="F563" s="16">
        <v>2.0</v>
      </c>
      <c r="G563" s="17">
        <v>3.0</v>
      </c>
      <c r="H563" s="17">
        <f t="shared" si="17"/>
        <v>6</v>
      </c>
      <c r="I563" s="18"/>
      <c r="J563" s="18"/>
      <c r="K563" s="13"/>
      <c r="L563" s="63"/>
      <c r="M563" s="63"/>
      <c r="N563" s="63"/>
      <c r="O563" s="63"/>
      <c r="P563" s="63"/>
      <c r="Q563" s="35"/>
      <c r="R563" s="35"/>
      <c r="S563" s="35"/>
      <c r="T563" s="1"/>
      <c r="U563" s="1"/>
      <c r="V563" s="1"/>
    </row>
    <row r="564" ht="15.75" hidden="1" customHeight="1">
      <c r="A564" s="13"/>
      <c r="B564" s="13" t="s">
        <v>18</v>
      </c>
      <c r="C564" s="195" t="s">
        <v>372</v>
      </c>
      <c r="D564" s="14" t="s">
        <v>20</v>
      </c>
      <c r="E564" s="210"/>
      <c r="F564" s="228">
        <v>0.0</v>
      </c>
      <c r="G564" s="212">
        <v>70.0</v>
      </c>
      <c r="H564" s="17">
        <f t="shared" si="17"/>
        <v>0</v>
      </c>
      <c r="I564" s="18"/>
      <c r="J564" s="18"/>
      <c r="K564" s="13"/>
      <c r="L564" s="27"/>
      <c r="M564" s="28"/>
      <c r="N564" s="27"/>
      <c r="O564" s="28"/>
      <c r="P564" s="28"/>
      <c r="Q564" s="35"/>
      <c r="R564" s="35"/>
      <c r="S564" s="35"/>
      <c r="T564" s="1"/>
      <c r="U564" s="1"/>
      <c r="V564" s="1"/>
    </row>
    <row r="565" ht="15.75" hidden="1" customHeight="1">
      <c r="A565" s="13"/>
      <c r="B565" s="13"/>
      <c r="C565" s="169" t="s">
        <v>70</v>
      </c>
      <c r="D565" s="14" t="s">
        <v>20</v>
      </c>
      <c r="E565" s="15"/>
      <c r="F565" s="40">
        <v>0.0</v>
      </c>
      <c r="G565" s="34">
        <v>60.0</v>
      </c>
      <c r="H565" s="17">
        <f t="shared" si="17"/>
        <v>0</v>
      </c>
      <c r="I565" s="18"/>
      <c r="J565" s="18"/>
      <c r="K565" s="18"/>
      <c r="L565" s="13"/>
      <c r="M565" s="19"/>
      <c r="N565" s="13"/>
      <c r="O565" s="19"/>
      <c r="P565" s="19"/>
      <c r="Q565" s="35"/>
      <c r="R565" s="35"/>
      <c r="S565" s="35"/>
      <c r="T565" s="1"/>
      <c r="U565" s="1"/>
      <c r="V565" s="1"/>
    </row>
    <row r="566" ht="15.75" hidden="1" customHeight="1">
      <c r="A566" s="13"/>
      <c r="B566" s="13" t="s">
        <v>373</v>
      </c>
      <c r="C566" s="169" t="s">
        <v>69</v>
      </c>
      <c r="D566" s="14" t="s">
        <v>20</v>
      </c>
      <c r="E566" s="15"/>
      <c r="F566" s="16">
        <v>0.0</v>
      </c>
      <c r="G566" s="17">
        <v>70.0</v>
      </c>
      <c r="H566" s="17">
        <f t="shared" si="17"/>
        <v>0</v>
      </c>
      <c r="I566" s="18"/>
      <c r="J566" s="18"/>
      <c r="K566" s="13"/>
      <c r="L566" s="27"/>
      <c r="M566" s="28"/>
      <c r="N566" s="27"/>
      <c r="O566" s="28"/>
      <c r="P566" s="28"/>
      <c r="Q566" s="35"/>
      <c r="R566" s="35"/>
      <c r="S566" s="35"/>
      <c r="T566" s="1"/>
      <c r="U566" s="1"/>
      <c r="V566" s="1"/>
    </row>
    <row r="567" ht="15.75" hidden="1" customHeight="1">
      <c r="A567" s="13"/>
      <c r="B567" s="13"/>
      <c r="C567" s="169" t="s">
        <v>374</v>
      </c>
      <c r="D567" s="70" t="s">
        <v>24</v>
      </c>
      <c r="E567" s="15"/>
      <c r="F567" s="16">
        <v>0.0</v>
      </c>
      <c r="G567" s="17">
        <v>207.0</v>
      </c>
      <c r="H567" s="17">
        <f t="shared" si="17"/>
        <v>0</v>
      </c>
      <c r="I567" s="239"/>
      <c r="J567" s="239"/>
      <c r="K567" s="170"/>
      <c r="L567" s="107"/>
      <c r="M567" s="214"/>
      <c r="N567" s="13"/>
      <c r="O567" s="13"/>
      <c r="P567" s="13"/>
      <c r="Q567" s="35"/>
      <c r="R567" s="35"/>
      <c r="S567" s="35"/>
      <c r="T567" s="1"/>
      <c r="U567" s="1"/>
      <c r="V567" s="1"/>
    </row>
    <row r="568" ht="15.75" hidden="1" customHeight="1">
      <c r="A568" s="13"/>
      <c r="B568" s="13"/>
      <c r="C568" s="169" t="s">
        <v>375</v>
      </c>
      <c r="D568" s="70" t="s">
        <v>24</v>
      </c>
      <c r="E568" s="15"/>
      <c r="F568" s="16">
        <v>0.0</v>
      </c>
      <c r="G568" s="17">
        <v>450.0</v>
      </c>
      <c r="H568" s="17">
        <f t="shared" si="17"/>
        <v>0</v>
      </c>
      <c r="I568" s="18"/>
      <c r="J568" s="18"/>
      <c r="K568" s="13"/>
      <c r="L568" s="63"/>
      <c r="M568" s="63"/>
      <c r="N568" s="63"/>
      <c r="O568" s="63"/>
      <c r="P568" s="63"/>
      <c r="Q568" s="35"/>
      <c r="R568" s="35"/>
      <c r="S568" s="35"/>
      <c r="T568" s="1"/>
      <c r="U568" s="1"/>
      <c r="V568" s="1"/>
    </row>
    <row r="569" ht="15.75" hidden="1" customHeight="1">
      <c r="A569" s="13"/>
      <c r="B569" s="13"/>
      <c r="C569" s="13" t="s">
        <v>71</v>
      </c>
      <c r="D569" s="213" t="s">
        <v>24</v>
      </c>
      <c r="E569" s="52"/>
      <c r="F569" s="48">
        <v>0.0</v>
      </c>
      <c r="G569" s="50">
        <v>80.0</v>
      </c>
      <c r="H569" s="50">
        <f t="shared" si="17"/>
        <v>0</v>
      </c>
      <c r="I569" s="18"/>
      <c r="J569" s="18"/>
      <c r="K569" s="13" t="s">
        <v>376</v>
      </c>
      <c r="L569" s="63"/>
      <c r="M569" s="63"/>
      <c r="N569" s="63"/>
      <c r="O569" s="63"/>
      <c r="P569" s="63"/>
      <c r="Q569" s="35"/>
      <c r="R569" s="35"/>
      <c r="S569" s="35"/>
      <c r="T569" s="1"/>
      <c r="U569" s="1"/>
      <c r="V569" s="1"/>
    </row>
    <row r="570" ht="15.75" hidden="1" customHeight="1">
      <c r="A570" s="13"/>
      <c r="B570" s="13" t="s">
        <v>18</v>
      </c>
      <c r="C570" s="13" t="s">
        <v>377</v>
      </c>
      <c r="D570" s="14" t="s">
        <v>20</v>
      </c>
      <c r="E570" s="52" t="s">
        <v>28</v>
      </c>
      <c r="F570" s="48">
        <v>0.0</v>
      </c>
      <c r="G570" s="50">
        <v>70.0</v>
      </c>
      <c r="H570" s="50">
        <f t="shared" si="17"/>
        <v>0</v>
      </c>
      <c r="I570" s="18"/>
      <c r="J570" s="18"/>
      <c r="K570" s="13"/>
      <c r="L570" s="63"/>
      <c r="M570" s="63"/>
      <c r="N570" s="63"/>
      <c r="O570" s="63"/>
      <c r="P570" s="63"/>
      <c r="Q570" s="35"/>
      <c r="R570" s="35"/>
      <c r="S570" s="35"/>
      <c r="T570" s="1"/>
      <c r="U570" s="1"/>
      <c r="V570" s="1"/>
    </row>
    <row r="571" ht="15.75" hidden="1" customHeight="1">
      <c r="A571" s="13"/>
      <c r="B571" s="13"/>
      <c r="C571" s="13" t="s">
        <v>221</v>
      </c>
      <c r="D571" s="213" t="s">
        <v>24</v>
      </c>
      <c r="E571" s="52"/>
      <c r="F571" s="215">
        <v>0.0</v>
      </c>
      <c r="G571" s="50">
        <v>50.0</v>
      </c>
      <c r="H571" s="50">
        <f t="shared" si="17"/>
        <v>0</v>
      </c>
      <c r="I571" s="18"/>
      <c r="J571" s="18"/>
      <c r="K571" s="13"/>
      <c r="L571" s="63"/>
      <c r="M571" s="63"/>
      <c r="N571" s="63"/>
      <c r="O571" s="63"/>
      <c r="P571" s="63"/>
      <c r="Q571" s="35"/>
      <c r="R571" s="35"/>
      <c r="S571" s="35"/>
      <c r="T571" s="1"/>
      <c r="U571" s="1"/>
      <c r="V571" s="1"/>
    </row>
    <row r="572" ht="15.75" hidden="1" customHeight="1">
      <c r="A572" s="13"/>
      <c r="B572" s="13"/>
      <c r="C572" s="206" t="s">
        <v>222</v>
      </c>
      <c r="D572" s="216" t="s">
        <v>24</v>
      </c>
      <c r="E572" s="54"/>
      <c r="F572" s="56">
        <v>0.0</v>
      </c>
      <c r="G572" s="57">
        <v>40.0</v>
      </c>
      <c r="H572" s="57">
        <f t="shared" si="17"/>
        <v>0</v>
      </c>
      <c r="I572" s="18"/>
      <c r="J572" s="18"/>
      <c r="K572" s="13"/>
      <c r="L572" s="63"/>
      <c r="M572" s="63"/>
      <c r="N572" s="63"/>
      <c r="O572" s="63"/>
      <c r="P572" s="63"/>
      <c r="Q572" s="35"/>
      <c r="R572" s="35"/>
      <c r="S572" s="35"/>
      <c r="T572" s="1"/>
      <c r="U572" s="1"/>
      <c r="V572" s="1"/>
    </row>
    <row r="573" ht="30.75" customHeight="1">
      <c r="A573" s="83"/>
      <c r="B573" s="254" t="s">
        <v>537</v>
      </c>
      <c r="C573" s="255">
        <f>SUM(H583:H650)</f>
        <v>13813.8</v>
      </c>
      <c r="D573" s="256"/>
      <c r="E573" s="256"/>
      <c r="F573" s="256"/>
      <c r="G573" s="257"/>
      <c r="H573" s="257"/>
      <c r="I573" s="257"/>
      <c r="J573" s="257"/>
      <c r="K573" s="256"/>
      <c r="L573" s="83"/>
      <c r="M573" s="83"/>
      <c r="N573" s="83"/>
      <c r="O573" s="83"/>
      <c r="P573" s="83"/>
      <c r="Q573" s="35"/>
      <c r="R573" s="35"/>
      <c r="S573" s="35"/>
      <c r="T573" s="1"/>
      <c r="U573" s="1"/>
      <c r="V573" s="1"/>
    </row>
    <row r="574" ht="15.75" hidden="1" customHeight="1">
      <c r="A574" s="13"/>
      <c r="B574" s="13"/>
      <c r="C574" s="169" t="s">
        <v>191</v>
      </c>
      <c r="D574" s="66" t="s">
        <v>22</v>
      </c>
      <c r="E574" s="15"/>
      <c r="F574" s="16">
        <v>0.0</v>
      </c>
      <c r="G574" s="17">
        <v>100.0</v>
      </c>
      <c r="H574" s="17">
        <f t="shared" ref="H574:H591" si="18">SUM(F574*G574)</f>
        <v>0</v>
      </c>
      <c r="I574" s="18"/>
      <c r="J574" s="18"/>
      <c r="K574" s="13"/>
      <c r="L574" s="13"/>
      <c r="M574" s="13"/>
      <c r="N574" s="13"/>
      <c r="O574" s="13"/>
      <c r="P574" s="13"/>
      <c r="Q574" s="35"/>
      <c r="R574" s="35"/>
      <c r="S574" s="35"/>
      <c r="T574" s="1"/>
      <c r="U574" s="1"/>
      <c r="V574" s="1"/>
    </row>
    <row r="575" ht="15.75" hidden="1" customHeight="1">
      <c r="A575" s="13"/>
      <c r="B575" s="13" t="s">
        <v>18</v>
      </c>
      <c r="C575" s="169" t="s">
        <v>433</v>
      </c>
      <c r="D575" s="14" t="s">
        <v>20</v>
      </c>
      <c r="E575" s="15"/>
      <c r="F575" s="16">
        <v>0.0</v>
      </c>
      <c r="G575" s="17">
        <v>5.0</v>
      </c>
      <c r="H575" s="17">
        <f t="shared" si="18"/>
        <v>0</v>
      </c>
      <c r="I575" s="18"/>
      <c r="J575" s="18"/>
      <c r="K575" s="13"/>
      <c r="L575" s="13"/>
      <c r="M575" s="13"/>
      <c r="N575" s="13"/>
      <c r="O575" s="13"/>
      <c r="P575" s="13"/>
      <c r="Q575" s="35"/>
      <c r="R575" s="35"/>
      <c r="S575" s="35"/>
      <c r="T575" s="1"/>
      <c r="U575" s="1"/>
      <c r="V575" s="1"/>
    </row>
    <row r="576" ht="15.75" hidden="1" customHeight="1">
      <c r="A576" s="13"/>
      <c r="B576" s="13" t="s">
        <v>18</v>
      </c>
      <c r="C576" s="169" t="s">
        <v>19</v>
      </c>
      <c r="D576" s="14" t="s">
        <v>20</v>
      </c>
      <c r="E576" s="15"/>
      <c r="F576" s="16">
        <v>0.0</v>
      </c>
      <c r="G576" s="17">
        <v>0.0</v>
      </c>
      <c r="H576" s="17">
        <f t="shared" si="18"/>
        <v>0</v>
      </c>
      <c r="I576" s="18"/>
      <c r="J576" s="17"/>
      <c r="K576" s="13"/>
      <c r="L576" s="13"/>
      <c r="M576" s="19"/>
      <c r="N576" s="19"/>
      <c r="O576" s="38"/>
      <c r="P576" s="19"/>
      <c r="Q576" s="35"/>
      <c r="R576" s="35"/>
      <c r="S576" s="35"/>
      <c r="T576" s="1"/>
      <c r="U576" s="1"/>
      <c r="V576" s="1"/>
    </row>
    <row r="577" ht="15.75" hidden="1" customHeight="1">
      <c r="A577" s="13"/>
      <c r="B577" s="13" t="s">
        <v>18</v>
      </c>
      <c r="C577" s="169" t="s">
        <v>434</v>
      </c>
      <c r="D577" s="14" t="s">
        <v>20</v>
      </c>
      <c r="E577" s="15"/>
      <c r="F577" s="16">
        <v>0.0</v>
      </c>
      <c r="G577" s="17">
        <v>5.0</v>
      </c>
      <c r="H577" s="17">
        <f t="shared" si="18"/>
        <v>0</v>
      </c>
      <c r="I577" s="18"/>
      <c r="J577" s="17"/>
      <c r="K577" s="13"/>
      <c r="L577" s="13"/>
      <c r="M577" s="19"/>
      <c r="N577" s="19"/>
      <c r="O577" s="38"/>
      <c r="P577" s="19"/>
      <c r="Q577" s="35"/>
      <c r="R577" s="35"/>
      <c r="S577" s="35"/>
      <c r="T577" s="1"/>
      <c r="U577" s="1"/>
      <c r="V577" s="1"/>
    </row>
    <row r="578" ht="15.75" hidden="1" customHeight="1">
      <c r="A578" s="13"/>
      <c r="B578" s="13"/>
      <c r="C578" s="169" t="s">
        <v>435</v>
      </c>
      <c r="D578" s="70" t="s">
        <v>24</v>
      </c>
      <c r="E578" s="15"/>
      <c r="F578" s="16">
        <v>0.0</v>
      </c>
      <c r="G578" s="17">
        <v>103.5</v>
      </c>
      <c r="H578" s="17">
        <f t="shared" si="18"/>
        <v>0</v>
      </c>
      <c r="I578" s="18"/>
      <c r="J578" s="17"/>
      <c r="K578" s="13"/>
      <c r="L578" s="13"/>
      <c r="M578" s="19"/>
      <c r="N578" s="19"/>
      <c r="O578" s="38"/>
      <c r="P578" s="19"/>
      <c r="Q578" s="35"/>
      <c r="R578" s="35"/>
      <c r="S578" s="35"/>
      <c r="T578" s="1"/>
      <c r="U578" s="1"/>
      <c r="V578" s="1"/>
    </row>
    <row r="579" ht="15.75" hidden="1" customHeight="1">
      <c r="A579" s="13"/>
      <c r="B579" s="13" t="s">
        <v>18</v>
      </c>
      <c r="C579" s="169" t="s">
        <v>296</v>
      </c>
      <c r="D579" s="14" t="s">
        <v>20</v>
      </c>
      <c r="E579" s="15"/>
      <c r="F579" s="16">
        <v>0.0</v>
      </c>
      <c r="G579" s="17">
        <v>200.0</v>
      </c>
      <c r="H579" s="17">
        <f t="shared" si="18"/>
        <v>0</v>
      </c>
      <c r="I579" s="18"/>
      <c r="J579" s="17"/>
      <c r="K579" s="13"/>
      <c r="L579" s="13"/>
      <c r="M579" s="19"/>
      <c r="N579" s="19"/>
      <c r="O579" s="38"/>
      <c r="P579" s="19"/>
      <c r="Q579" s="35"/>
      <c r="R579" s="35"/>
      <c r="S579" s="35"/>
      <c r="T579" s="1"/>
      <c r="U579" s="1"/>
      <c r="V579" s="1"/>
    </row>
    <row r="580" ht="15.75" hidden="1" customHeight="1">
      <c r="A580" s="13"/>
      <c r="B580" s="13" t="s">
        <v>18</v>
      </c>
      <c r="C580" s="169" t="s">
        <v>300</v>
      </c>
      <c r="D580" s="14" t="s">
        <v>20</v>
      </c>
      <c r="E580" s="15"/>
      <c r="F580" s="16">
        <v>0.0</v>
      </c>
      <c r="G580" s="17">
        <v>5.0</v>
      </c>
      <c r="H580" s="17">
        <f t="shared" si="18"/>
        <v>0</v>
      </c>
      <c r="I580" s="18"/>
      <c r="J580" s="17"/>
      <c r="K580" s="13"/>
      <c r="L580" s="13"/>
      <c r="M580" s="19"/>
      <c r="N580" s="19"/>
      <c r="O580" s="38"/>
      <c r="P580" s="19"/>
      <c r="Q580" s="35"/>
      <c r="R580" s="35"/>
      <c r="S580" s="35"/>
      <c r="T580" s="1"/>
      <c r="U580" s="1"/>
      <c r="V580" s="1"/>
    </row>
    <row r="581" ht="15.75" hidden="1" customHeight="1">
      <c r="A581" s="13"/>
      <c r="B581" s="13"/>
      <c r="C581" s="169" t="s">
        <v>380</v>
      </c>
      <c r="D581" s="70" t="s">
        <v>24</v>
      </c>
      <c r="E581" s="15"/>
      <c r="F581" s="16">
        <v>0.0</v>
      </c>
      <c r="G581" s="17">
        <v>95.0</v>
      </c>
      <c r="H581" s="17">
        <f t="shared" si="18"/>
        <v>0</v>
      </c>
      <c r="I581" s="18"/>
      <c r="J581" s="17"/>
      <c r="K581" s="13"/>
      <c r="L581" s="13"/>
      <c r="M581" s="19"/>
      <c r="N581" s="19"/>
      <c r="O581" s="38"/>
      <c r="P581" s="19"/>
      <c r="Q581" s="35"/>
      <c r="R581" s="35"/>
      <c r="S581" s="35"/>
      <c r="T581" s="1"/>
      <c r="U581" s="1"/>
      <c r="V581" s="1"/>
    </row>
    <row r="582" ht="15.75" hidden="1" customHeight="1">
      <c r="A582" s="13"/>
      <c r="B582" s="13"/>
      <c r="C582" s="169" t="s">
        <v>440</v>
      </c>
      <c r="D582" s="70" t="s">
        <v>24</v>
      </c>
      <c r="E582" s="15"/>
      <c r="F582" s="16">
        <v>0.0</v>
      </c>
      <c r="G582" s="17">
        <v>200.0</v>
      </c>
      <c r="H582" s="17">
        <f t="shared" si="18"/>
        <v>0</v>
      </c>
      <c r="I582" s="18"/>
      <c r="J582" s="17"/>
      <c r="K582" s="13"/>
      <c r="L582" s="13"/>
      <c r="M582" s="19"/>
      <c r="N582" s="19"/>
      <c r="O582" s="38"/>
      <c r="P582" s="19"/>
      <c r="Q582" s="35"/>
      <c r="R582" s="35"/>
      <c r="S582" s="35"/>
      <c r="T582" s="1"/>
      <c r="U582" s="1"/>
      <c r="V582" s="1"/>
    </row>
    <row r="583" ht="15.75" customHeight="1">
      <c r="A583" s="53"/>
      <c r="B583" s="258" t="s">
        <v>383</v>
      </c>
      <c r="C583" s="197" t="s">
        <v>436</v>
      </c>
      <c r="D583" s="259" t="s">
        <v>32</v>
      </c>
      <c r="E583" s="219"/>
      <c r="F583" s="190">
        <v>1.0</v>
      </c>
      <c r="G583" s="191">
        <v>10000.0</v>
      </c>
      <c r="H583" s="192">
        <f t="shared" si="18"/>
        <v>10000</v>
      </c>
      <c r="I583" s="193"/>
      <c r="J583" s="18"/>
      <c r="K583" s="13"/>
      <c r="L583" s="13"/>
      <c r="M583" s="19"/>
      <c r="N583" s="13"/>
      <c r="O583" s="19"/>
      <c r="P583" s="13"/>
      <c r="Q583" s="35"/>
      <c r="R583" s="35"/>
      <c r="S583" s="35"/>
      <c r="T583" s="1"/>
      <c r="U583" s="1"/>
      <c r="V583" s="1"/>
    </row>
    <row r="584" ht="15.75" hidden="1" customHeight="1">
      <c r="A584" s="13"/>
      <c r="B584" s="13"/>
      <c r="C584" s="169" t="s">
        <v>307</v>
      </c>
      <c r="D584" s="101" t="s">
        <v>32</v>
      </c>
      <c r="E584" s="219"/>
      <c r="F584" s="190">
        <v>0.0</v>
      </c>
      <c r="G584" s="192">
        <v>0.0</v>
      </c>
      <c r="H584" s="192">
        <f t="shared" si="18"/>
        <v>0</v>
      </c>
      <c r="I584" s="193"/>
      <c r="J584" s="18"/>
      <c r="K584" s="13"/>
      <c r="L584" s="27"/>
      <c r="M584" s="27"/>
      <c r="N584" s="27"/>
      <c r="O584" s="27"/>
      <c r="P584" s="27"/>
      <c r="Q584" s="35"/>
      <c r="R584" s="35"/>
      <c r="S584" s="35"/>
      <c r="T584" s="1"/>
      <c r="U584" s="1"/>
      <c r="V584" s="1"/>
    </row>
    <row r="585" ht="15.75" hidden="1" customHeight="1">
      <c r="A585" s="53"/>
      <c r="B585" s="258" t="s">
        <v>538</v>
      </c>
      <c r="C585" s="203" t="s">
        <v>258</v>
      </c>
      <c r="D585" s="259" t="s">
        <v>32</v>
      </c>
      <c r="E585" s="258"/>
      <c r="F585" s="158">
        <v>0.0</v>
      </c>
      <c r="G585" s="159">
        <v>240.6</v>
      </c>
      <c r="H585" s="57">
        <f t="shared" si="18"/>
        <v>0</v>
      </c>
      <c r="I585" s="58"/>
      <c r="J585" s="58"/>
      <c r="K585" s="54"/>
      <c r="L585" s="27"/>
      <c r="M585" s="241"/>
      <c r="N585" s="27"/>
      <c r="O585" s="27"/>
      <c r="P585" s="27"/>
      <c r="Q585" s="35"/>
      <c r="R585" s="35"/>
      <c r="S585" s="35"/>
      <c r="T585" s="1"/>
      <c r="U585" s="1"/>
      <c r="V585" s="1"/>
    </row>
    <row r="586" ht="15.75" customHeight="1">
      <c r="A586" s="53"/>
      <c r="B586" s="54" t="s">
        <v>539</v>
      </c>
      <c r="C586" s="203" t="s">
        <v>540</v>
      </c>
      <c r="D586" s="150" t="s">
        <v>22</v>
      </c>
      <c r="E586" s="54"/>
      <c r="F586" s="56">
        <v>1.0</v>
      </c>
      <c r="G586" s="57">
        <v>1500.0</v>
      </c>
      <c r="H586" s="57">
        <f t="shared" si="18"/>
        <v>1500</v>
      </c>
      <c r="I586" s="58"/>
      <c r="J586" s="58"/>
      <c r="K586" s="54"/>
      <c r="L586" s="27"/>
      <c r="M586" s="241"/>
      <c r="N586" s="27"/>
      <c r="O586" s="27"/>
      <c r="P586" s="27"/>
      <c r="Q586" s="35"/>
      <c r="R586" s="35"/>
      <c r="S586" s="35"/>
      <c r="T586" s="1"/>
      <c r="U586" s="1"/>
      <c r="V586" s="1"/>
    </row>
    <row r="587" ht="15.75" hidden="1" customHeight="1">
      <c r="A587" s="13"/>
      <c r="B587" s="13"/>
      <c r="C587" s="169" t="s">
        <v>541</v>
      </c>
      <c r="D587" s="66" t="s">
        <v>22</v>
      </c>
      <c r="E587" s="15"/>
      <c r="F587" s="16">
        <v>0.0</v>
      </c>
      <c r="G587" s="17">
        <v>30.0</v>
      </c>
      <c r="H587" s="17">
        <f t="shared" si="18"/>
        <v>0</v>
      </c>
      <c r="I587" s="18"/>
      <c r="J587" s="18"/>
      <c r="K587" s="13"/>
      <c r="L587" s="13"/>
      <c r="M587" s="13"/>
      <c r="N587" s="13"/>
      <c r="O587" s="13"/>
      <c r="P587" s="13"/>
      <c r="Q587" s="35"/>
      <c r="R587" s="35"/>
      <c r="S587" s="35"/>
      <c r="T587" s="1"/>
      <c r="U587" s="1"/>
      <c r="V587" s="1"/>
    </row>
    <row r="588" ht="15.75" hidden="1" customHeight="1">
      <c r="A588" s="13"/>
      <c r="B588" s="13" t="s">
        <v>454</v>
      </c>
      <c r="C588" s="169" t="s">
        <v>321</v>
      </c>
      <c r="D588" s="66" t="s">
        <v>22</v>
      </c>
      <c r="E588" s="15"/>
      <c r="F588" s="16">
        <v>0.0</v>
      </c>
      <c r="G588" s="17">
        <v>10.0</v>
      </c>
      <c r="H588" s="17">
        <f t="shared" si="18"/>
        <v>0</v>
      </c>
      <c r="I588" s="18"/>
      <c r="J588" s="18"/>
      <c r="K588" s="13"/>
      <c r="L588" s="13"/>
      <c r="M588" s="19"/>
      <c r="N588" s="13"/>
      <c r="O588" s="13"/>
      <c r="P588" s="13"/>
      <c r="Q588" s="35"/>
      <c r="R588" s="35"/>
      <c r="S588" s="35"/>
      <c r="T588" s="1"/>
      <c r="U588" s="1"/>
      <c r="V588" s="1"/>
    </row>
    <row r="589" ht="15.75" customHeight="1">
      <c r="A589" s="206"/>
      <c r="B589" s="13" t="s">
        <v>18</v>
      </c>
      <c r="C589" s="52" t="s">
        <v>542</v>
      </c>
      <c r="D589" s="150" t="s">
        <v>22</v>
      </c>
      <c r="E589" s="260" t="s">
        <v>543</v>
      </c>
      <c r="F589" s="48">
        <v>1.0</v>
      </c>
      <c r="G589" s="49">
        <v>156.0</v>
      </c>
      <c r="H589" s="50">
        <f t="shared" si="18"/>
        <v>156</v>
      </c>
      <c r="I589" s="57"/>
      <c r="J589" s="58"/>
      <c r="K589" s="258"/>
      <c r="L589" s="13"/>
      <c r="M589" s="13"/>
      <c r="N589" s="13"/>
      <c r="O589" s="13"/>
      <c r="P589" s="13"/>
      <c r="Q589" s="35"/>
      <c r="R589" s="35"/>
      <c r="S589" s="35"/>
      <c r="T589" s="1"/>
      <c r="U589" s="1"/>
      <c r="V589" s="1"/>
    </row>
    <row r="590" ht="15.75" hidden="1" customHeight="1">
      <c r="A590" s="13"/>
      <c r="B590" s="13" t="s">
        <v>18</v>
      </c>
      <c r="C590" s="196" t="s">
        <v>544</v>
      </c>
      <c r="D590" s="66" t="s">
        <v>22</v>
      </c>
      <c r="E590" s="246" t="s">
        <v>545</v>
      </c>
      <c r="F590" s="215">
        <v>0.0</v>
      </c>
      <c r="G590" s="50">
        <v>21.0</v>
      </c>
      <c r="H590" s="17">
        <f t="shared" si="18"/>
        <v>0</v>
      </c>
      <c r="I590" s="51"/>
      <c r="J590" s="18"/>
      <c r="K590" s="13"/>
      <c r="L590" s="13"/>
      <c r="M590" s="13"/>
      <c r="N590" s="13"/>
      <c r="O590" s="13"/>
      <c r="P590" s="13"/>
      <c r="Q590" s="35"/>
      <c r="R590" s="35"/>
      <c r="S590" s="35"/>
      <c r="T590" s="1"/>
      <c r="U590" s="1"/>
      <c r="V590" s="1"/>
    </row>
    <row r="591" ht="15.75" customHeight="1">
      <c r="A591" s="206"/>
      <c r="B591" s="156" t="s">
        <v>88</v>
      </c>
      <c r="C591" s="258" t="s">
        <v>546</v>
      </c>
      <c r="D591" s="198" t="s">
        <v>22</v>
      </c>
      <c r="E591" s="261" t="s">
        <v>547</v>
      </c>
      <c r="F591" s="56">
        <v>1.0</v>
      </c>
      <c r="G591" s="159">
        <v>258.0</v>
      </c>
      <c r="H591" s="57">
        <f t="shared" si="18"/>
        <v>258</v>
      </c>
      <c r="I591" s="57"/>
      <c r="J591" s="58"/>
      <c r="K591" s="54"/>
      <c r="L591" s="13"/>
      <c r="M591" s="13"/>
      <c r="N591" s="13"/>
      <c r="O591" s="13"/>
      <c r="P591" s="13"/>
      <c r="Q591" s="35"/>
      <c r="R591" s="35"/>
      <c r="S591" s="35"/>
      <c r="T591" s="1"/>
      <c r="U591" s="1"/>
      <c r="V591" s="1"/>
    </row>
    <row r="592" ht="15.75" hidden="1" customHeight="1">
      <c r="A592" s="13"/>
      <c r="B592" s="13" t="s">
        <v>548</v>
      </c>
      <c r="C592" s="196" t="s">
        <v>549</v>
      </c>
      <c r="D592" s="66" t="s">
        <v>22</v>
      </c>
      <c r="E592" s="207"/>
      <c r="F592" s="215">
        <v>0.0</v>
      </c>
      <c r="G592" s="50"/>
      <c r="H592" s="17"/>
      <c r="I592" s="51"/>
      <c r="J592" s="18"/>
      <c r="K592" s="13"/>
      <c r="L592" s="13"/>
      <c r="M592" s="13"/>
      <c r="N592" s="13"/>
      <c r="O592" s="13"/>
      <c r="P592" s="13"/>
      <c r="Q592" s="35"/>
      <c r="R592" s="35"/>
      <c r="S592" s="35"/>
      <c r="T592" s="1"/>
      <c r="U592" s="1"/>
      <c r="V592" s="1"/>
    </row>
    <row r="593" ht="15.75" hidden="1" customHeight="1">
      <c r="A593" s="170"/>
      <c r="B593" s="13" t="s">
        <v>18</v>
      </c>
      <c r="C593" s="196" t="s">
        <v>550</v>
      </c>
      <c r="D593" s="66" t="s">
        <v>22</v>
      </c>
      <c r="E593" s="262" t="s">
        <v>551</v>
      </c>
      <c r="F593" s="263">
        <v>0.0</v>
      </c>
      <c r="G593" s="264">
        <v>19.0</v>
      </c>
      <c r="H593" s="265">
        <f t="shared" ref="H593:H686" si="19">SUM(F593*G593)</f>
        <v>0</v>
      </c>
      <c r="I593" s="266"/>
      <c r="J593" s="239"/>
      <c r="K593" s="170"/>
      <c r="L593" s="170"/>
      <c r="M593" s="170"/>
      <c r="N593" s="170"/>
      <c r="O593" s="170"/>
      <c r="P593" s="170"/>
      <c r="Q593" s="267"/>
      <c r="R593" s="267"/>
      <c r="S593" s="267"/>
      <c r="T593" s="268"/>
      <c r="U593" s="268"/>
      <c r="V593" s="268"/>
    </row>
    <row r="594" ht="15.75" customHeight="1">
      <c r="A594" s="206"/>
      <c r="B594" s="206" t="s">
        <v>18</v>
      </c>
      <c r="C594" s="258" t="s">
        <v>552</v>
      </c>
      <c r="D594" s="198" t="s">
        <v>22</v>
      </c>
      <c r="E594" s="15"/>
      <c r="F594" s="56">
        <v>1.0</v>
      </c>
      <c r="G594" s="159">
        <v>20.0</v>
      </c>
      <c r="H594" s="57">
        <f t="shared" si="19"/>
        <v>20</v>
      </c>
      <c r="I594" s="57"/>
      <c r="J594" s="58"/>
      <c r="K594" s="54"/>
      <c r="L594" s="13"/>
      <c r="M594" s="13"/>
      <c r="N594" s="13"/>
      <c r="O594" s="13"/>
      <c r="P594" s="13"/>
      <c r="Q594" s="35"/>
      <c r="R594" s="35"/>
      <c r="S594" s="35"/>
      <c r="T594" s="1"/>
      <c r="U594" s="1"/>
      <c r="V594" s="1"/>
    </row>
    <row r="595" ht="15.75" hidden="1" customHeight="1">
      <c r="A595" s="13"/>
      <c r="B595" s="13"/>
      <c r="C595" s="169" t="s">
        <v>401</v>
      </c>
      <c r="D595" s="150" t="s">
        <v>22</v>
      </c>
      <c r="E595" s="52"/>
      <c r="F595" s="48">
        <v>0.0</v>
      </c>
      <c r="G595" s="50">
        <v>25.0</v>
      </c>
      <c r="H595" s="50">
        <f t="shared" si="19"/>
        <v>0</v>
      </c>
      <c r="I595" s="50"/>
      <c r="J595" s="18"/>
      <c r="K595" s="13"/>
      <c r="L595" s="13"/>
      <c r="M595" s="13"/>
      <c r="N595" s="13"/>
      <c r="O595" s="13"/>
      <c r="P595" s="13"/>
      <c r="Q595" s="35"/>
      <c r="R595" s="35"/>
      <c r="S595" s="35"/>
      <c r="T595" s="1"/>
      <c r="U595" s="1"/>
      <c r="V595" s="1"/>
    </row>
    <row r="596" ht="15.75" hidden="1" customHeight="1">
      <c r="A596" s="13"/>
      <c r="B596" s="13"/>
      <c r="C596" s="169" t="s">
        <v>405</v>
      </c>
      <c r="D596" s="150" t="s">
        <v>22</v>
      </c>
      <c r="E596" s="52"/>
      <c r="F596" s="48">
        <v>0.0</v>
      </c>
      <c r="G596" s="50">
        <v>25.0</v>
      </c>
      <c r="H596" s="50">
        <f t="shared" si="19"/>
        <v>0</v>
      </c>
      <c r="I596" s="50"/>
      <c r="J596" s="18"/>
      <c r="K596" s="13"/>
      <c r="L596" s="13"/>
      <c r="M596" s="13"/>
      <c r="N596" s="13"/>
      <c r="O596" s="13"/>
      <c r="P596" s="13"/>
      <c r="Q596" s="35"/>
      <c r="R596" s="35"/>
      <c r="S596" s="35"/>
      <c r="T596" s="1"/>
      <c r="U596" s="1"/>
      <c r="V596" s="1"/>
    </row>
    <row r="597" ht="15.75" hidden="1" customHeight="1">
      <c r="A597" s="13"/>
      <c r="B597" s="13" t="s">
        <v>18</v>
      </c>
      <c r="C597" s="244" t="s">
        <v>442</v>
      </c>
      <c r="D597" s="198" t="s">
        <v>22</v>
      </c>
      <c r="E597" s="54"/>
      <c r="F597" s="56">
        <v>0.0</v>
      </c>
      <c r="G597" s="57">
        <v>30.0</v>
      </c>
      <c r="H597" s="50">
        <f t="shared" si="19"/>
        <v>0</v>
      </c>
      <c r="I597" s="57"/>
      <c r="J597" s="18"/>
      <c r="K597" s="13"/>
      <c r="L597" s="13"/>
      <c r="M597" s="13"/>
      <c r="N597" s="13"/>
      <c r="O597" s="13"/>
      <c r="P597" s="13"/>
      <c r="Q597" s="35"/>
      <c r="R597" s="35"/>
      <c r="S597" s="35"/>
      <c r="T597" s="1"/>
      <c r="U597" s="1"/>
      <c r="V597" s="1"/>
    </row>
    <row r="598" ht="15.75" hidden="1" customHeight="1">
      <c r="A598" s="13"/>
      <c r="B598" s="13" t="s">
        <v>539</v>
      </c>
      <c r="C598" s="244" t="s">
        <v>553</v>
      </c>
      <c r="D598" s="198" t="s">
        <v>22</v>
      </c>
      <c r="E598" s="54" t="s">
        <v>554</v>
      </c>
      <c r="F598" s="158">
        <v>0.0</v>
      </c>
      <c r="G598" s="57">
        <v>0.0</v>
      </c>
      <c r="H598" s="50">
        <f t="shared" si="19"/>
        <v>0</v>
      </c>
      <c r="I598" s="57"/>
      <c r="J598" s="18"/>
      <c r="K598" s="13"/>
      <c r="L598" s="13"/>
      <c r="M598" s="13"/>
      <c r="N598" s="13"/>
      <c r="O598" s="13"/>
      <c r="P598" s="13"/>
      <c r="Q598" s="35"/>
      <c r="R598" s="35"/>
      <c r="S598" s="35"/>
      <c r="T598" s="1"/>
      <c r="U598" s="1"/>
      <c r="V598" s="1"/>
    </row>
    <row r="599" ht="15.75" hidden="1" customHeight="1">
      <c r="A599" s="13"/>
      <c r="B599" s="13" t="s">
        <v>18</v>
      </c>
      <c r="C599" s="244" t="s">
        <v>555</v>
      </c>
      <c r="D599" s="198" t="s">
        <v>22</v>
      </c>
      <c r="E599" s="201" t="s">
        <v>556</v>
      </c>
      <c r="F599" s="158">
        <v>0.0</v>
      </c>
      <c r="G599" s="57">
        <v>13.95</v>
      </c>
      <c r="H599" s="50">
        <f t="shared" si="19"/>
        <v>0</v>
      </c>
      <c r="I599" s="57"/>
      <c r="J599" s="18"/>
      <c r="K599" s="13"/>
      <c r="L599" s="13"/>
      <c r="M599" s="13"/>
      <c r="N599" s="13"/>
      <c r="O599" s="13"/>
      <c r="P599" s="13"/>
      <c r="Q599" s="35"/>
      <c r="R599" s="35"/>
      <c r="S599" s="35"/>
      <c r="T599" s="1"/>
      <c r="U599" s="1"/>
      <c r="V599" s="1"/>
    </row>
    <row r="600" ht="15.75" customHeight="1">
      <c r="A600" s="53"/>
      <c r="B600" s="54" t="s">
        <v>18</v>
      </c>
      <c r="C600" s="197" t="s">
        <v>394</v>
      </c>
      <c r="D600" s="198" t="s">
        <v>22</v>
      </c>
      <c r="E600" s="230" t="s">
        <v>557</v>
      </c>
      <c r="F600" s="158">
        <v>8.0</v>
      </c>
      <c r="G600" s="159">
        <v>67.2</v>
      </c>
      <c r="H600" s="57">
        <f t="shared" si="19"/>
        <v>537.6</v>
      </c>
      <c r="I600" s="58"/>
      <c r="J600" s="58"/>
      <c r="K600" s="54"/>
      <c r="L600" s="13"/>
      <c r="M600" s="13"/>
      <c r="N600" s="13"/>
      <c r="O600" s="13"/>
      <c r="P600" s="13"/>
      <c r="Q600" s="35"/>
      <c r="R600" s="35"/>
      <c r="S600" s="35"/>
      <c r="T600" s="1"/>
      <c r="U600" s="1"/>
      <c r="V600" s="1"/>
    </row>
    <row r="601" ht="15.75" hidden="1" customHeight="1">
      <c r="A601" s="13"/>
      <c r="B601" s="13" t="s">
        <v>18</v>
      </c>
      <c r="C601" s="244" t="s">
        <v>452</v>
      </c>
      <c r="D601" s="198" t="s">
        <v>22</v>
      </c>
      <c r="E601" s="201" t="s">
        <v>558</v>
      </c>
      <c r="F601" s="158">
        <v>0.0</v>
      </c>
      <c r="G601" s="57">
        <v>39.0</v>
      </c>
      <c r="H601" s="50">
        <f t="shared" si="19"/>
        <v>0</v>
      </c>
      <c r="I601" s="57"/>
      <c r="J601" s="18"/>
      <c r="K601" s="13"/>
      <c r="L601" s="13"/>
      <c r="M601" s="13"/>
      <c r="N601" s="13"/>
      <c r="O601" s="13"/>
      <c r="P601" s="13"/>
      <c r="Q601" s="35"/>
      <c r="R601" s="35"/>
      <c r="S601" s="35"/>
      <c r="T601" s="1"/>
      <c r="U601" s="1"/>
      <c r="V601" s="1"/>
    </row>
    <row r="602" ht="15.75" customHeight="1">
      <c r="A602" s="53"/>
      <c r="B602" s="54" t="s">
        <v>399</v>
      </c>
      <c r="C602" s="197" t="s">
        <v>364</v>
      </c>
      <c r="D602" s="198" t="s">
        <v>22</v>
      </c>
      <c r="E602" s="54" t="s">
        <v>365</v>
      </c>
      <c r="F602" s="56">
        <v>8.0</v>
      </c>
      <c r="G602" s="57">
        <v>6.0</v>
      </c>
      <c r="H602" s="57">
        <f t="shared" si="19"/>
        <v>48</v>
      </c>
      <c r="I602" s="58"/>
      <c r="J602" s="58"/>
      <c r="K602" s="54"/>
      <c r="L602" s="13"/>
      <c r="M602" s="13"/>
      <c r="N602" s="13"/>
      <c r="O602" s="13"/>
      <c r="P602" s="13"/>
      <c r="Q602" s="35"/>
      <c r="R602" s="35"/>
      <c r="S602" s="35"/>
      <c r="T602" s="1"/>
      <c r="U602" s="1"/>
      <c r="V602" s="1"/>
    </row>
    <row r="603" ht="15.75" hidden="1" customHeight="1">
      <c r="A603" s="13"/>
      <c r="B603" s="13" t="s">
        <v>539</v>
      </c>
      <c r="C603" s="244" t="s">
        <v>559</v>
      </c>
      <c r="D603" s="198" t="s">
        <v>22</v>
      </c>
      <c r="E603" s="54" t="s">
        <v>560</v>
      </c>
      <c r="F603" s="158">
        <v>0.0</v>
      </c>
      <c r="G603" s="57">
        <v>0.0</v>
      </c>
      <c r="H603" s="50">
        <f t="shared" si="19"/>
        <v>0</v>
      </c>
      <c r="I603" s="57"/>
      <c r="J603" s="18"/>
      <c r="K603" s="13"/>
      <c r="L603" s="13"/>
      <c r="M603" s="13"/>
      <c r="N603" s="13"/>
      <c r="O603" s="13"/>
      <c r="P603" s="13"/>
      <c r="Q603" s="35"/>
      <c r="R603" s="35"/>
      <c r="S603" s="35"/>
      <c r="T603" s="1"/>
      <c r="U603" s="1"/>
      <c r="V603" s="1"/>
    </row>
    <row r="604" ht="15.75" hidden="1" customHeight="1">
      <c r="A604" s="13"/>
      <c r="B604" s="13" t="s">
        <v>18</v>
      </c>
      <c r="C604" s="244" t="s">
        <v>19</v>
      </c>
      <c r="D604" s="198" t="s">
        <v>22</v>
      </c>
      <c r="E604" s="201" t="s">
        <v>561</v>
      </c>
      <c r="F604" s="158">
        <v>0.0</v>
      </c>
      <c r="G604" s="57">
        <v>37.0</v>
      </c>
      <c r="H604" s="50">
        <f t="shared" si="19"/>
        <v>0</v>
      </c>
      <c r="I604" s="57"/>
      <c r="J604" s="18"/>
      <c r="K604" s="13"/>
      <c r="L604" s="13"/>
      <c r="M604" s="13"/>
      <c r="N604" s="13"/>
      <c r="O604" s="13"/>
      <c r="P604" s="13"/>
      <c r="Q604" s="35"/>
      <c r="R604" s="35"/>
      <c r="S604" s="35"/>
      <c r="T604" s="1"/>
      <c r="U604" s="1"/>
      <c r="V604" s="1"/>
    </row>
    <row r="605" ht="15.75" hidden="1" customHeight="1">
      <c r="A605" s="13"/>
      <c r="B605" s="13" t="s">
        <v>18</v>
      </c>
      <c r="C605" s="244" t="s">
        <v>562</v>
      </c>
      <c r="D605" s="198" t="s">
        <v>22</v>
      </c>
      <c r="E605" s="201" t="s">
        <v>563</v>
      </c>
      <c r="F605" s="158">
        <v>0.0</v>
      </c>
      <c r="G605" s="57">
        <v>120.0</v>
      </c>
      <c r="H605" s="50">
        <f t="shared" si="19"/>
        <v>0</v>
      </c>
      <c r="I605" s="57"/>
      <c r="J605" s="18"/>
      <c r="K605" s="13"/>
      <c r="L605" s="13"/>
      <c r="M605" s="13"/>
      <c r="N605" s="13"/>
      <c r="O605" s="13"/>
      <c r="P605" s="13"/>
      <c r="Q605" s="35"/>
      <c r="R605" s="35"/>
      <c r="S605" s="35"/>
      <c r="T605" s="1"/>
      <c r="U605" s="1"/>
      <c r="V605" s="1"/>
    </row>
    <row r="606" ht="15.75" hidden="1" customHeight="1">
      <c r="A606" s="13"/>
      <c r="B606" s="13" t="s">
        <v>18</v>
      </c>
      <c r="C606" s="244" t="s">
        <v>564</v>
      </c>
      <c r="D606" s="198" t="s">
        <v>22</v>
      </c>
      <c r="E606" s="201" t="s">
        <v>565</v>
      </c>
      <c r="F606" s="158">
        <v>0.0</v>
      </c>
      <c r="G606" s="57">
        <v>20.0</v>
      </c>
      <c r="H606" s="50">
        <f t="shared" si="19"/>
        <v>0</v>
      </c>
      <c r="I606" s="57"/>
      <c r="J606" s="18"/>
      <c r="K606" s="13"/>
      <c r="L606" s="13"/>
      <c r="M606" s="13"/>
      <c r="N606" s="13"/>
      <c r="O606" s="13"/>
      <c r="P606" s="13"/>
      <c r="Q606" s="35"/>
      <c r="R606" s="35"/>
      <c r="S606" s="35"/>
      <c r="T606" s="1"/>
      <c r="U606" s="1"/>
      <c r="V606" s="1"/>
    </row>
    <row r="607" ht="15.75" customHeight="1">
      <c r="A607" s="53"/>
      <c r="B607" s="43" t="s">
        <v>39</v>
      </c>
      <c r="C607" s="197" t="s">
        <v>405</v>
      </c>
      <c r="D607" s="198" t="s">
        <v>22</v>
      </c>
      <c r="E607" s="54"/>
      <c r="F607" s="158">
        <v>1.0</v>
      </c>
      <c r="G607" s="159">
        <v>40.6</v>
      </c>
      <c r="H607" s="57">
        <f t="shared" si="19"/>
        <v>40.6</v>
      </c>
      <c r="I607" s="58"/>
      <c r="J607" s="58"/>
      <c r="K607" s="54"/>
      <c r="L607" s="13"/>
      <c r="M607" s="13"/>
      <c r="N607" s="13"/>
      <c r="O607" s="13"/>
      <c r="P607" s="13"/>
      <c r="Q607" s="35"/>
      <c r="R607" s="35"/>
      <c r="S607" s="35"/>
      <c r="T607" s="1"/>
      <c r="U607" s="1"/>
      <c r="V607" s="1"/>
    </row>
    <row r="608" ht="15.75" hidden="1" customHeight="1">
      <c r="A608" s="53"/>
      <c r="B608" s="54" t="s">
        <v>18</v>
      </c>
      <c r="C608" s="197" t="s">
        <v>258</v>
      </c>
      <c r="D608" s="198" t="s">
        <v>22</v>
      </c>
      <c r="E608" s="54"/>
      <c r="F608" s="158">
        <v>0.0</v>
      </c>
      <c r="G608" s="159">
        <v>30.0</v>
      </c>
      <c r="H608" s="57">
        <f t="shared" si="19"/>
        <v>0</v>
      </c>
      <c r="I608" s="58"/>
      <c r="J608" s="58"/>
      <c r="K608" s="54"/>
      <c r="L608" s="13"/>
      <c r="M608" s="13"/>
      <c r="N608" s="13"/>
      <c r="O608" s="13"/>
      <c r="P608" s="13"/>
      <c r="Q608" s="35"/>
      <c r="R608" s="35"/>
      <c r="S608" s="35"/>
      <c r="T608" s="1"/>
      <c r="U608" s="1"/>
      <c r="V608" s="1"/>
    </row>
    <row r="609" ht="15.75" hidden="1" customHeight="1">
      <c r="A609" s="13"/>
      <c r="B609" s="13"/>
      <c r="C609" s="169" t="s">
        <v>323</v>
      </c>
      <c r="D609" s="70" t="s">
        <v>24</v>
      </c>
      <c r="E609" s="15"/>
      <c r="F609" s="16">
        <v>0.0</v>
      </c>
      <c r="G609" s="17">
        <v>80.0</v>
      </c>
      <c r="H609" s="17">
        <f t="shared" si="19"/>
        <v>0</v>
      </c>
      <c r="I609" s="18"/>
      <c r="J609" s="18"/>
      <c r="K609" s="13"/>
      <c r="L609" s="13"/>
      <c r="M609" s="13"/>
      <c r="N609" s="13"/>
      <c r="O609" s="13"/>
      <c r="P609" s="13"/>
      <c r="Q609" s="35"/>
      <c r="R609" s="35"/>
      <c r="S609" s="35"/>
      <c r="T609" s="1"/>
      <c r="U609" s="1"/>
      <c r="V609" s="1"/>
    </row>
    <row r="610" ht="15.75" hidden="1" customHeight="1">
      <c r="A610" s="13"/>
      <c r="B610" s="13"/>
      <c r="C610" s="169" t="s">
        <v>324</v>
      </c>
      <c r="D610" s="14" t="s">
        <v>20</v>
      </c>
      <c r="E610" s="15"/>
      <c r="F610" s="16">
        <v>0.0</v>
      </c>
      <c r="G610" s="17">
        <v>35.0</v>
      </c>
      <c r="H610" s="17">
        <f t="shared" si="19"/>
        <v>0</v>
      </c>
      <c r="I610" s="18"/>
      <c r="J610" s="18"/>
      <c r="K610" s="13"/>
      <c r="L610" s="13"/>
      <c r="M610" s="19"/>
      <c r="N610" s="13"/>
      <c r="O610" s="19"/>
      <c r="P610" s="19"/>
      <c r="Q610" s="35"/>
      <c r="R610" s="35"/>
      <c r="S610" s="35"/>
      <c r="T610" s="1"/>
      <c r="U610" s="1"/>
      <c r="V610" s="1"/>
    </row>
    <row r="611" ht="15.75" hidden="1" customHeight="1">
      <c r="A611" s="13"/>
      <c r="B611" s="13"/>
      <c r="C611" s="169" t="s">
        <v>469</v>
      </c>
      <c r="D611" s="70" t="s">
        <v>24</v>
      </c>
      <c r="E611" s="15"/>
      <c r="F611" s="16">
        <v>0.0</v>
      </c>
      <c r="G611" s="17">
        <v>290.0</v>
      </c>
      <c r="H611" s="17">
        <f t="shared" si="19"/>
        <v>0</v>
      </c>
      <c r="I611" s="18"/>
      <c r="J611" s="18"/>
      <c r="K611" s="13"/>
      <c r="L611" s="63"/>
      <c r="M611" s="63"/>
      <c r="N611" s="63"/>
      <c r="O611" s="63"/>
      <c r="P611" s="63"/>
      <c r="Q611" s="35"/>
      <c r="R611" s="35"/>
      <c r="S611" s="35"/>
      <c r="T611" s="1"/>
      <c r="U611" s="1"/>
      <c r="V611" s="1"/>
    </row>
    <row r="612" ht="15.75" hidden="1" customHeight="1">
      <c r="A612" s="13"/>
      <c r="B612" s="13"/>
      <c r="C612" s="169" t="s">
        <v>470</v>
      </c>
      <c r="D612" s="14" t="s">
        <v>20</v>
      </c>
      <c r="E612" s="15"/>
      <c r="F612" s="16">
        <v>0.0</v>
      </c>
      <c r="G612" s="17">
        <v>150.0</v>
      </c>
      <c r="H612" s="17">
        <f t="shared" si="19"/>
        <v>0</v>
      </c>
      <c r="I612" s="18"/>
      <c r="J612" s="18"/>
      <c r="K612" s="13"/>
      <c r="L612" s="13"/>
      <c r="M612" s="19"/>
      <c r="N612" s="13"/>
      <c r="O612" s="19"/>
      <c r="P612" s="19"/>
      <c r="Q612" s="35"/>
      <c r="R612" s="35"/>
      <c r="S612" s="35"/>
      <c r="T612" s="1"/>
      <c r="U612" s="1"/>
      <c r="V612" s="1"/>
    </row>
    <row r="613" ht="15.75" hidden="1" customHeight="1">
      <c r="A613" s="13"/>
      <c r="B613" s="13"/>
      <c r="C613" s="169" t="s">
        <v>471</v>
      </c>
      <c r="D613" s="70" t="s">
        <v>24</v>
      </c>
      <c r="E613" s="15"/>
      <c r="F613" s="16">
        <v>0.0</v>
      </c>
      <c r="G613" s="17">
        <v>250.0</v>
      </c>
      <c r="H613" s="17">
        <f t="shared" si="19"/>
        <v>0</v>
      </c>
      <c r="I613" s="18"/>
      <c r="J613" s="18"/>
      <c r="K613" s="13"/>
      <c r="L613" s="13"/>
      <c r="M613" s="19"/>
      <c r="N613" s="13"/>
      <c r="O613" s="19"/>
      <c r="P613" s="19"/>
      <c r="Q613" s="35"/>
      <c r="R613" s="35"/>
      <c r="S613" s="35"/>
      <c r="T613" s="1"/>
      <c r="U613" s="1"/>
      <c r="V613" s="1"/>
    </row>
    <row r="614" ht="15.75" hidden="1" customHeight="1">
      <c r="A614" s="13"/>
      <c r="B614" s="13"/>
      <c r="C614" s="247" t="s">
        <v>472</v>
      </c>
      <c r="D614" s="14" t="s">
        <v>20</v>
      </c>
      <c r="E614" s="15"/>
      <c r="F614" s="16">
        <v>0.0</v>
      </c>
      <c r="G614" s="17">
        <v>150.0</v>
      </c>
      <c r="H614" s="17">
        <f t="shared" si="19"/>
        <v>0</v>
      </c>
      <c r="I614" s="18"/>
      <c r="J614" s="18"/>
      <c r="K614" s="13"/>
      <c r="L614" s="13"/>
      <c r="M614" s="19"/>
      <c r="N614" s="13"/>
      <c r="O614" s="19"/>
      <c r="P614" s="19"/>
      <c r="Q614" s="35"/>
      <c r="R614" s="35"/>
      <c r="S614" s="35"/>
      <c r="T614" s="1"/>
      <c r="U614" s="1"/>
      <c r="V614" s="1"/>
    </row>
    <row r="615" ht="15.75" hidden="1" customHeight="1">
      <c r="A615" s="13"/>
      <c r="B615" s="13" t="s">
        <v>18</v>
      </c>
      <c r="C615" s="196" t="s">
        <v>309</v>
      </c>
      <c r="D615" s="46" t="s">
        <v>20</v>
      </c>
      <c r="E615" s="207" t="s">
        <v>473</v>
      </c>
      <c r="F615" s="48">
        <v>0.0</v>
      </c>
      <c r="G615" s="50">
        <v>20.0</v>
      </c>
      <c r="H615" s="50">
        <f t="shared" si="19"/>
        <v>0</v>
      </c>
      <c r="I615" s="18"/>
      <c r="J615" s="18"/>
      <c r="K615" s="13"/>
      <c r="L615" s="13"/>
      <c r="M615" s="19"/>
      <c r="N615" s="13"/>
      <c r="O615" s="19"/>
      <c r="P615" s="19"/>
      <c r="Q615" s="35"/>
      <c r="R615" s="35"/>
      <c r="S615" s="35"/>
      <c r="T615" s="1"/>
      <c r="U615" s="1"/>
      <c r="V615" s="1"/>
    </row>
    <row r="616" ht="15.75" hidden="1" customHeight="1">
      <c r="A616" s="13"/>
      <c r="B616" s="206" t="s">
        <v>18</v>
      </c>
      <c r="C616" s="197" t="s">
        <v>474</v>
      </c>
      <c r="D616" s="55" t="s">
        <v>20</v>
      </c>
      <c r="E616" s="208" t="s">
        <v>475</v>
      </c>
      <c r="F616" s="56">
        <v>0.0</v>
      </c>
      <c r="G616" s="57">
        <v>24.0</v>
      </c>
      <c r="H616" s="57">
        <f t="shared" si="19"/>
        <v>0</v>
      </c>
      <c r="I616" s="18"/>
      <c r="J616" s="18"/>
      <c r="K616" s="13"/>
      <c r="L616" s="13"/>
      <c r="M616" s="19"/>
      <c r="N616" s="13"/>
      <c r="O616" s="19"/>
      <c r="P616" s="19"/>
      <c r="Q616" s="35"/>
      <c r="R616" s="35"/>
      <c r="S616" s="35"/>
      <c r="T616" s="1"/>
      <c r="U616" s="1"/>
      <c r="V616" s="1"/>
    </row>
    <row r="617" ht="15.75" hidden="1" customHeight="1">
      <c r="A617" s="13"/>
      <c r="B617" s="13"/>
      <c r="C617" s="169" t="s">
        <v>258</v>
      </c>
      <c r="D617" s="66" t="s">
        <v>22</v>
      </c>
      <c r="E617" s="15"/>
      <c r="F617" s="16">
        <v>0.0</v>
      </c>
      <c r="G617" s="17">
        <v>150.0</v>
      </c>
      <c r="H617" s="17">
        <f t="shared" si="19"/>
        <v>0</v>
      </c>
      <c r="I617" s="18"/>
      <c r="J617" s="17"/>
      <c r="K617" s="13"/>
      <c r="L617" s="13"/>
      <c r="M617" s="13"/>
      <c r="N617" s="13"/>
      <c r="O617" s="19"/>
      <c r="P617" s="19"/>
      <c r="Q617" s="35"/>
      <c r="R617" s="35"/>
      <c r="S617" s="35"/>
      <c r="T617" s="1"/>
      <c r="U617" s="1"/>
      <c r="V617" s="1"/>
    </row>
    <row r="618" ht="15.75" hidden="1" customHeight="1">
      <c r="A618" s="13"/>
      <c r="B618" s="13" t="s">
        <v>18</v>
      </c>
      <c r="C618" s="169" t="s">
        <v>476</v>
      </c>
      <c r="D618" s="66" t="s">
        <v>22</v>
      </c>
      <c r="E618" s="15" t="s">
        <v>477</v>
      </c>
      <c r="F618" s="16">
        <v>0.0</v>
      </c>
      <c r="G618" s="17">
        <v>15.0</v>
      </c>
      <c r="H618" s="17">
        <f t="shared" si="19"/>
        <v>0</v>
      </c>
      <c r="I618" s="18"/>
      <c r="J618" s="18"/>
      <c r="K618" s="13"/>
      <c r="L618" s="13"/>
      <c r="M618" s="13"/>
      <c r="N618" s="13"/>
      <c r="O618" s="13"/>
      <c r="P618" s="13"/>
      <c r="Q618" s="35"/>
      <c r="R618" s="35"/>
      <c r="S618" s="35"/>
      <c r="T618" s="1"/>
      <c r="U618" s="1"/>
      <c r="V618" s="1"/>
    </row>
    <row r="619" ht="15.75" hidden="1" customHeight="1">
      <c r="A619" s="13"/>
      <c r="B619" s="13"/>
      <c r="C619" s="169" t="s">
        <v>478</v>
      </c>
      <c r="D619" s="14" t="s">
        <v>20</v>
      </c>
      <c r="E619" s="15"/>
      <c r="F619" s="16">
        <v>0.0</v>
      </c>
      <c r="G619" s="17">
        <v>500.0</v>
      </c>
      <c r="H619" s="17">
        <f t="shared" si="19"/>
        <v>0</v>
      </c>
      <c r="I619" s="18"/>
      <c r="J619" s="18"/>
      <c r="K619" s="13"/>
      <c r="L619" s="13"/>
      <c r="M619" s="13"/>
      <c r="N619" s="13"/>
      <c r="O619" s="13"/>
      <c r="P619" s="13"/>
      <c r="Q619" s="35"/>
      <c r="R619" s="35"/>
      <c r="S619" s="35"/>
      <c r="T619" s="1"/>
      <c r="U619" s="1"/>
      <c r="V619" s="1"/>
    </row>
    <row r="620" ht="15.75" hidden="1" customHeight="1">
      <c r="A620" s="13"/>
      <c r="B620" s="13"/>
      <c r="C620" s="13" t="s">
        <v>479</v>
      </c>
      <c r="D620" s="70" t="s">
        <v>24</v>
      </c>
      <c r="E620" s="15"/>
      <c r="F620" s="16">
        <v>0.0</v>
      </c>
      <c r="G620" s="17">
        <v>210.0</v>
      </c>
      <c r="H620" s="17">
        <f t="shared" si="19"/>
        <v>0</v>
      </c>
      <c r="I620" s="18"/>
      <c r="J620" s="18"/>
      <c r="K620" s="13"/>
      <c r="L620" s="63"/>
      <c r="M620" s="63"/>
      <c r="N620" s="63"/>
      <c r="O620" s="63"/>
      <c r="P620" s="63"/>
      <c r="Q620" s="35"/>
      <c r="R620" s="35"/>
      <c r="S620" s="35"/>
      <c r="T620" s="1"/>
      <c r="U620" s="1"/>
      <c r="V620" s="1"/>
    </row>
    <row r="621" ht="15.75" hidden="1" customHeight="1">
      <c r="A621" s="13"/>
      <c r="B621" s="13"/>
      <c r="C621" s="169" t="s">
        <v>480</v>
      </c>
      <c r="D621" s="14" t="s">
        <v>20</v>
      </c>
      <c r="E621" s="15"/>
      <c r="F621" s="16">
        <v>0.0</v>
      </c>
      <c r="G621" s="17">
        <v>155.0</v>
      </c>
      <c r="H621" s="17">
        <f t="shared" si="19"/>
        <v>0</v>
      </c>
      <c r="I621" s="18"/>
      <c r="J621" s="18"/>
      <c r="K621" s="13"/>
      <c r="L621" s="13"/>
      <c r="M621" s="13"/>
      <c r="N621" s="13"/>
      <c r="O621" s="13"/>
      <c r="P621" s="13"/>
      <c r="Q621" s="35"/>
      <c r="R621" s="35"/>
      <c r="S621" s="35"/>
      <c r="T621" s="1"/>
      <c r="U621" s="1"/>
      <c r="V621" s="1"/>
    </row>
    <row r="622" ht="15.75" hidden="1" customHeight="1">
      <c r="A622" s="13"/>
      <c r="B622" s="13"/>
      <c r="C622" s="169" t="s">
        <v>481</v>
      </c>
      <c r="D622" s="70" t="s">
        <v>24</v>
      </c>
      <c r="E622" s="15"/>
      <c r="F622" s="16">
        <v>0.0</v>
      </c>
      <c r="G622" s="17">
        <v>70.0</v>
      </c>
      <c r="H622" s="17">
        <f t="shared" si="19"/>
        <v>0</v>
      </c>
      <c r="I622" s="18"/>
      <c r="J622" s="18"/>
      <c r="K622" s="13"/>
      <c r="L622" s="13"/>
      <c r="M622" s="19"/>
      <c r="N622" s="13"/>
      <c r="O622" s="19"/>
      <c r="P622" s="19"/>
      <c r="Q622" s="35"/>
      <c r="R622" s="35"/>
      <c r="S622" s="35"/>
      <c r="T622" s="1"/>
      <c r="U622" s="1"/>
      <c r="V622" s="1"/>
    </row>
    <row r="623" ht="15.75" hidden="1" customHeight="1">
      <c r="A623" s="13"/>
      <c r="B623" s="13"/>
      <c r="C623" s="169" t="s">
        <v>482</v>
      </c>
      <c r="D623" s="14" t="s">
        <v>20</v>
      </c>
      <c r="E623" s="15"/>
      <c r="F623" s="16">
        <v>0.0</v>
      </c>
      <c r="G623" s="17">
        <v>400.0</v>
      </c>
      <c r="H623" s="17">
        <f t="shared" si="19"/>
        <v>0</v>
      </c>
      <c r="I623" s="18"/>
      <c r="J623" s="17"/>
      <c r="K623" s="13"/>
      <c r="L623" s="13"/>
      <c r="M623" s="19"/>
      <c r="N623" s="13"/>
      <c r="O623" s="19"/>
      <c r="P623" s="19"/>
      <c r="Q623" s="35"/>
      <c r="R623" s="35"/>
      <c r="S623" s="35"/>
      <c r="T623" s="1"/>
      <c r="U623" s="1"/>
      <c r="V623" s="1"/>
    </row>
    <row r="624" ht="15.75" hidden="1" customHeight="1">
      <c r="A624" s="13"/>
      <c r="B624" s="13"/>
      <c r="C624" s="169" t="s">
        <v>483</v>
      </c>
      <c r="D624" s="14" t="s">
        <v>20</v>
      </c>
      <c r="E624" s="15"/>
      <c r="F624" s="16">
        <v>0.0</v>
      </c>
      <c r="G624" s="17">
        <v>440.0</v>
      </c>
      <c r="H624" s="17">
        <f t="shared" si="19"/>
        <v>0</v>
      </c>
      <c r="I624" s="18"/>
      <c r="J624" s="17"/>
      <c r="K624" s="13"/>
      <c r="L624" s="13"/>
      <c r="M624" s="19"/>
      <c r="N624" s="13"/>
      <c r="O624" s="19"/>
      <c r="P624" s="19"/>
      <c r="Q624" s="35"/>
      <c r="R624" s="35"/>
      <c r="S624" s="35"/>
      <c r="T624" s="1"/>
      <c r="U624" s="1"/>
      <c r="V624" s="1"/>
    </row>
    <row r="625" ht="15.75" hidden="1" customHeight="1">
      <c r="A625" s="13"/>
      <c r="B625" s="13"/>
      <c r="C625" s="169" t="s">
        <v>484</v>
      </c>
      <c r="D625" s="70" t="s">
        <v>24</v>
      </c>
      <c r="E625" s="15"/>
      <c r="F625" s="16">
        <v>0.0</v>
      </c>
      <c r="G625" s="17">
        <v>90.0</v>
      </c>
      <c r="H625" s="17">
        <f t="shared" si="19"/>
        <v>0</v>
      </c>
      <c r="I625" s="18"/>
      <c r="J625" s="17"/>
      <c r="K625" s="13"/>
      <c r="L625" s="63"/>
      <c r="M625" s="79"/>
      <c r="N625" s="63"/>
      <c r="O625" s="79"/>
      <c r="P625" s="79"/>
      <c r="Q625" s="35"/>
      <c r="R625" s="35"/>
      <c r="S625" s="35"/>
      <c r="T625" s="1"/>
      <c r="U625" s="1"/>
      <c r="V625" s="1"/>
    </row>
    <row r="626" ht="15.75" hidden="1" customHeight="1">
      <c r="A626" s="13"/>
      <c r="B626" s="13"/>
      <c r="C626" s="169" t="s">
        <v>485</v>
      </c>
      <c r="D626" s="14" t="s">
        <v>20</v>
      </c>
      <c r="E626" s="15"/>
      <c r="F626" s="16">
        <v>0.0</v>
      </c>
      <c r="G626" s="17">
        <v>100.0</v>
      </c>
      <c r="H626" s="17">
        <f t="shared" si="19"/>
        <v>0</v>
      </c>
      <c r="I626" s="18"/>
      <c r="J626" s="17"/>
      <c r="K626" s="13"/>
      <c r="L626" s="63"/>
      <c r="M626" s="79"/>
      <c r="N626" s="63"/>
      <c r="O626" s="79"/>
      <c r="P626" s="79"/>
      <c r="Q626" s="35"/>
      <c r="R626" s="35"/>
      <c r="S626" s="35"/>
      <c r="T626" s="1"/>
      <c r="U626" s="1"/>
      <c r="V626" s="1"/>
    </row>
    <row r="627" ht="15.75" hidden="1" customHeight="1">
      <c r="A627" s="13"/>
      <c r="B627" s="13"/>
      <c r="C627" s="13" t="s">
        <v>486</v>
      </c>
      <c r="D627" s="46" t="s">
        <v>20</v>
      </c>
      <c r="E627" s="52"/>
      <c r="F627" s="48">
        <v>0.0</v>
      </c>
      <c r="G627" s="50">
        <v>30.0</v>
      </c>
      <c r="H627" s="50">
        <f t="shared" si="19"/>
        <v>0</v>
      </c>
      <c r="I627" s="50"/>
      <c r="J627" s="17"/>
      <c r="K627" s="13"/>
      <c r="L627" s="63"/>
      <c r="M627" s="79"/>
      <c r="N627" s="63"/>
      <c r="O627" s="79"/>
      <c r="P627" s="79"/>
      <c r="Q627" s="35"/>
      <c r="R627" s="35"/>
      <c r="S627" s="35"/>
      <c r="T627" s="1"/>
      <c r="U627" s="1"/>
      <c r="V627" s="1"/>
    </row>
    <row r="628" ht="15.75" hidden="1" customHeight="1">
      <c r="A628" s="13"/>
      <c r="B628" s="13"/>
      <c r="C628" s="13" t="s">
        <v>487</v>
      </c>
      <c r="D628" s="46" t="s">
        <v>20</v>
      </c>
      <c r="E628" s="52"/>
      <c r="F628" s="48">
        <v>0.0</v>
      </c>
      <c r="G628" s="50">
        <v>30.0</v>
      </c>
      <c r="H628" s="50">
        <f t="shared" si="19"/>
        <v>0</v>
      </c>
      <c r="I628" s="50"/>
      <c r="J628" s="17"/>
      <c r="K628" s="13"/>
      <c r="L628" s="63"/>
      <c r="M628" s="79"/>
      <c r="N628" s="63"/>
      <c r="O628" s="79"/>
      <c r="P628" s="79"/>
      <c r="Q628" s="35"/>
      <c r="R628" s="35"/>
      <c r="S628" s="35"/>
      <c r="T628" s="1"/>
      <c r="U628" s="1"/>
      <c r="V628" s="1"/>
    </row>
    <row r="629" ht="15.75" hidden="1" customHeight="1">
      <c r="A629" s="13"/>
      <c r="B629" s="13"/>
      <c r="C629" s="13" t="s">
        <v>488</v>
      </c>
      <c r="D629" s="14" t="s">
        <v>20</v>
      </c>
      <c r="E629" s="15"/>
      <c r="F629" s="16">
        <v>0.0</v>
      </c>
      <c r="G629" s="17">
        <v>850.0</v>
      </c>
      <c r="H629" s="17">
        <f t="shared" si="19"/>
        <v>0</v>
      </c>
      <c r="I629" s="18"/>
      <c r="J629" s="17"/>
      <c r="K629" s="13"/>
      <c r="L629" s="63"/>
      <c r="M629" s="79"/>
      <c r="N629" s="63"/>
      <c r="O629" s="79"/>
      <c r="P629" s="79"/>
      <c r="Q629" s="35"/>
      <c r="R629" s="35"/>
      <c r="S629" s="35"/>
      <c r="T629" s="1"/>
      <c r="U629" s="1"/>
      <c r="V629" s="1"/>
    </row>
    <row r="630" ht="15.75" hidden="1" customHeight="1">
      <c r="A630" s="13"/>
      <c r="B630" s="13"/>
      <c r="C630" s="13" t="s">
        <v>489</v>
      </c>
      <c r="D630" s="70" t="s">
        <v>24</v>
      </c>
      <c r="E630" s="15"/>
      <c r="F630" s="16">
        <v>0.0</v>
      </c>
      <c r="G630" s="17">
        <v>460.0</v>
      </c>
      <c r="H630" s="17">
        <f t="shared" si="19"/>
        <v>0</v>
      </c>
      <c r="I630" s="18"/>
      <c r="J630" s="17"/>
      <c r="K630" s="13"/>
      <c r="L630" s="63"/>
      <c r="M630" s="79"/>
      <c r="N630" s="63"/>
      <c r="O630" s="79"/>
      <c r="P630" s="79"/>
      <c r="Q630" s="35"/>
      <c r="R630" s="35"/>
      <c r="S630" s="35"/>
      <c r="T630" s="1"/>
      <c r="U630" s="1"/>
      <c r="V630" s="1"/>
    </row>
    <row r="631" ht="15.75" hidden="1" customHeight="1">
      <c r="A631" s="13"/>
      <c r="B631" s="13"/>
      <c r="C631" s="169" t="s">
        <v>490</v>
      </c>
      <c r="D631" s="66" t="s">
        <v>22</v>
      </c>
      <c r="E631" s="15"/>
      <c r="F631" s="16">
        <v>0.0</v>
      </c>
      <c r="G631" s="17">
        <v>0.0</v>
      </c>
      <c r="H631" s="17">
        <f t="shared" si="19"/>
        <v>0</v>
      </c>
      <c r="I631" s="18"/>
      <c r="J631" s="17"/>
      <c r="K631" s="13"/>
      <c r="L631" s="13"/>
      <c r="M631" s="19"/>
      <c r="N631" s="13"/>
      <c r="O631" s="19"/>
      <c r="P631" s="19"/>
      <c r="Q631" s="35"/>
      <c r="R631" s="35"/>
      <c r="S631" s="35"/>
      <c r="T631" s="1"/>
      <c r="U631" s="1"/>
      <c r="V631" s="1"/>
    </row>
    <row r="632" ht="15.75" hidden="1" customHeight="1">
      <c r="A632" s="13"/>
      <c r="B632" s="13" t="s">
        <v>18</v>
      </c>
      <c r="C632" s="169" t="s">
        <v>491</v>
      </c>
      <c r="D632" s="66" t="s">
        <v>22</v>
      </c>
      <c r="E632" s="33" t="s">
        <v>566</v>
      </c>
      <c r="F632" s="40">
        <v>0.0</v>
      </c>
      <c r="G632" s="248">
        <v>150.0</v>
      </c>
      <c r="H632" s="17">
        <f t="shared" si="19"/>
        <v>0</v>
      </c>
      <c r="I632" s="18"/>
      <c r="J632" s="18"/>
      <c r="K632" s="13"/>
      <c r="L632" s="13"/>
      <c r="M632" s="19"/>
      <c r="N632" s="13"/>
      <c r="O632" s="19"/>
      <c r="P632" s="19"/>
      <c r="Q632" s="35"/>
      <c r="R632" s="35"/>
      <c r="S632" s="35"/>
      <c r="T632" s="1"/>
      <c r="U632" s="1"/>
      <c r="V632" s="1"/>
    </row>
    <row r="633" ht="15.75" hidden="1" customHeight="1">
      <c r="A633" s="13"/>
      <c r="B633" s="43" t="s">
        <v>350</v>
      </c>
      <c r="C633" s="169" t="s">
        <v>493</v>
      </c>
      <c r="D633" s="66" t="s">
        <v>22</v>
      </c>
      <c r="E633" s="154" t="s">
        <v>494</v>
      </c>
      <c r="F633" s="16">
        <v>0.0</v>
      </c>
      <c r="G633" s="227">
        <v>86.0</v>
      </c>
      <c r="H633" s="17">
        <f t="shared" si="19"/>
        <v>0</v>
      </c>
      <c r="I633" s="18"/>
      <c r="J633" s="18"/>
      <c r="K633" s="13"/>
      <c r="L633" s="13"/>
      <c r="M633" s="19"/>
      <c r="N633" s="13"/>
      <c r="O633" s="19"/>
      <c r="P633" s="19"/>
      <c r="Q633" s="35"/>
      <c r="R633" s="35"/>
      <c r="S633" s="35"/>
      <c r="T633" s="1"/>
      <c r="U633" s="1"/>
      <c r="V633" s="1"/>
    </row>
    <row r="634" ht="15.75" hidden="1" customHeight="1">
      <c r="A634" s="13"/>
      <c r="B634" s="13"/>
      <c r="C634" s="169" t="s">
        <v>495</v>
      </c>
      <c r="D634" s="66" t="s">
        <v>22</v>
      </c>
      <c r="E634" s="15"/>
      <c r="F634" s="16">
        <v>0.0</v>
      </c>
      <c r="G634" s="249">
        <v>70.0</v>
      </c>
      <c r="H634" s="17">
        <f t="shared" si="19"/>
        <v>0</v>
      </c>
      <c r="I634" s="18"/>
      <c r="J634" s="18"/>
      <c r="K634" s="13"/>
      <c r="L634" s="13"/>
      <c r="M634" s="19"/>
      <c r="N634" s="13"/>
      <c r="O634" s="19"/>
      <c r="P634" s="19"/>
      <c r="Q634" s="35"/>
      <c r="R634" s="35"/>
      <c r="S634" s="35"/>
      <c r="T634" s="1"/>
      <c r="U634" s="1"/>
      <c r="V634" s="1"/>
    </row>
    <row r="635" ht="15.75" hidden="1" customHeight="1">
      <c r="A635" s="13"/>
      <c r="B635" s="13" t="s">
        <v>18</v>
      </c>
      <c r="C635" s="169" t="s">
        <v>496</v>
      </c>
      <c r="D635" s="66" t="s">
        <v>22</v>
      </c>
      <c r="E635" s="33" t="s">
        <v>567</v>
      </c>
      <c r="F635" s="40">
        <v>0.0</v>
      </c>
      <c r="G635" s="249">
        <v>17.0</v>
      </c>
      <c r="H635" s="17">
        <f t="shared" si="19"/>
        <v>0</v>
      </c>
      <c r="I635" s="18"/>
      <c r="J635" s="18"/>
      <c r="K635" s="13"/>
      <c r="L635" s="27"/>
      <c r="M635" s="28"/>
      <c r="N635" s="27"/>
      <c r="O635" s="28"/>
      <c r="P635" s="27"/>
      <c r="Q635" s="35"/>
      <c r="R635" s="35"/>
      <c r="S635" s="35"/>
      <c r="T635" s="1"/>
      <c r="U635" s="1"/>
      <c r="V635" s="1"/>
    </row>
    <row r="636" ht="15.75" customHeight="1">
      <c r="A636" s="53"/>
      <c r="B636" s="54" t="s">
        <v>239</v>
      </c>
      <c r="C636" s="203" t="s">
        <v>406</v>
      </c>
      <c r="D636" s="55" t="s">
        <v>20</v>
      </c>
      <c r="E636" s="54"/>
      <c r="F636" s="56">
        <v>1.0</v>
      </c>
      <c r="G636" s="159">
        <v>300.0</v>
      </c>
      <c r="H636" s="57">
        <f t="shared" si="19"/>
        <v>300</v>
      </c>
      <c r="I636" s="58"/>
      <c r="J636" s="58"/>
      <c r="K636" s="54"/>
      <c r="L636" s="27"/>
      <c r="M636" s="28"/>
      <c r="N636" s="27"/>
      <c r="O636" s="28"/>
      <c r="P636" s="27"/>
      <c r="Q636" s="35"/>
      <c r="R636" s="35"/>
      <c r="S636" s="35"/>
      <c r="T636" s="1"/>
      <c r="U636" s="1"/>
      <c r="V636" s="1"/>
    </row>
    <row r="637" ht="15.75" hidden="1" customHeight="1">
      <c r="A637" s="13"/>
      <c r="B637" s="231" t="s">
        <v>350</v>
      </c>
      <c r="C637" s="169" t="s">
        <v>427</v>
      </c>
      <c r="D637" s="66" t="s">
        <v>22</v>
      </c>
      <c r="E637" s="231" t="s">
        <v>428</v>
      </c>
      <c r="F637" s="16">
        <v>0.0</v>
      </c>
      <c r="G637" s="235">
        <v>107.5</v>
      </c>
      <c r="H637" s="17">
        <f t="shared" si="19"/>
        <v>0</v>
      </c>
      <c r="I637" s="18"/>
      <c r="J637" s="18"/>
      <c r="K637" s="13"/>
      <c r="L637" s="27"/>
      <c r="M637" s="28"/>
      <c r="N637" s="27"/>
      <c r="O637" s="28"/>
      <c r="P637" s="27"/>
      <c r="Q637" s="35"/>
      <c r="R637" s="35"/>
      <c r="S637" s="35"/>
      <c r="T637" s="1"/>
      <c r="U637" s="1"/>
      <c r="V637" s="1"/>
    </row>
    <row r="638" ht="15.75" hidden="1" customHeight="1">
      <c r="A638" s="13"/>
      <c r="B638" s="231" t="s">
        <v>350</v>
      </c>
      <c r="C638" s="169" t="s">
        <v>429</v>
      </c>
      <c r="D638" s="66" t="s">
        <v>22</v>
      </c>
      <c r="E638" s="15"/>
      <c r="F638" s="16">
        <v>0.0</v>
      </c>
      <c r="G638" s="235">
        <v>97.0</v>
      </c>
      <c r="H638" s="17">
        <f t="shared" si="19"/>
        <v>0</v>
      </c>
      <c r="I638" s="18"/>
      <c r="J638" s="18"/>
      <c r="K638" s="13"/>
      <c r="L638" s="27"/>
      <c r="M638" s="28"/>
      <c r="N638" s="27"/>
      <c r="O638" s="28"/>
      <c r="P638" s="27"/>
      <c r="Q638" s="35"/>
      <c r="R638" s="35"/>
      <c r="S638" s="35"/>
      <c r="T638" s="1"/>
      <c r="U638" s="1"/>
      <c r="V638" s="1"/>
    </row>
    <row r="639" ht="15.75" customHeight="1">
      <c r="A639" s="53"/>
      <c r="B639" s="54" t="s">
        <v>18</v>
      </c>
      <c r="C639" s="203" t="s">
        <v>491</v>
      </c>
      <c r="D639" s="198" t="s">
        <v>22</v>
      </c>
      <c r="E639" s="218" t="s">
        <v>568</v>
      </c>
      <c r="F639" s="40">
        <v>4.0</v>
      </c>
      <c r="G639" s="226">
        <v>128.4</v>
      </c>
      <c r="H639" s="17">
        <f t="shared" si="19"/>
        <v>513.6</v>
      </c>
      <c r="I639" s="58"/>
      <c r="J639" s="58"/>
      <c r="K639" s="54"/>
      <c r="L639" s="27"/>
      <c r="M639" s="28"/>
      <c r="N639" s="27"/>
      <c r="O639" s="28"/>
      <c r="P639" s="27"/>
      <c r="Q639" s="35"/>
      <c r="R639" s="35"/>
      <c r="S639" s="35"/>
      <c r="T639" s="1"/>
      <c r="U639" s="1"/>
      <c r="V639" s="1"/>
    </row>
    <row r="640" ht="15.75" hidden="1" customHeight="1">
      <c r="A640" s="13"/>
      <c r="B640" s="13" t="s">
        <v>18</v>
      </c>
      <c r="C640" s="169" t="s">
        <v>500</v>
      </c>
      <c r="D640" s="14" t="s">
        <v>20</v>
      </c>
      <c r="E640" s="15"/>
      <c r="F640" s="16">
        <v>0.0</v>
      </c>
      <c r="G640" s="17">
        <v>5.0</v>
      </c>
      <c r="H640" s="17">
        <f t="shared" si="19"/>
        <v>0</v>
      </c>
      <c r="I640" s="18"/>
      <c r="J640" s="17"/>
      <c r="K640" s="17"/>
      <c r="L640" s="13"/>
      <c r="M640" s="19"/>
      <c r="N640" s="13"/>
      <c r="O640" s="19"/>
      <c r="P640" s="19"/>
      <c r="Q640" s="35"/>
      <c r="R640" s="35"/>
      <c r="S640" s="35"/>
      <c r="T640" s="1"/>
      <c r="U640" s="1"/>
      <c r="V640" s="1"/>
    </row>
    <row r="641" ht="15.75" hidden="1" customHeight="1">
      <c r="A641" s="13"/>
      <c r="B641" s="13"/>
      <c r="C641" s="169" t="s">
        <v>501</v>
      </c>
      <c r="D641" s="70" t="s">
        <v>24</v>
      </c>
      <c r="E641" s="15"/>
      <c r="F641" s="16">
        <v>0.0</v>
      </c>
      <c r="G641" s="17">
        <v>210.0</v>
      </c>
      <c r="H641" s="17">
        <f t="shared" si="19"/>
        <v>0</v>
      </c>
      <c r="I641" s="18"/>
      <c r="J641" s="17"/>
      <c r="K641" s="13"/>
      <c r="L641" s="63"/>
      <c r="M641" s="79"/>
      <c r="N641" s="63"/>
      <c r="O641" s="79"/>
      <c r="P641" s="79"/>
      <c r="Q641" s="35"/>
      <c r="R641" s="35"/>
      <c r="S641" s="35"/>
      <c r="T641" s="1"/>
      <c r="U641" s="1"/>
      <c r="V641" s="1"/>
    </row>
    <row r="642" ht="15.75" hidden="1" customHeight="1">
      <c r="A642" s="13"/>
      <c r="B642" s="13" t="s">
        <v>18</v>
      </c>
      <c r="C642" s="169" t="s">
        <v>502</v>
      </c>
      <c r="D642" s="66" t="s">
        <v>22</v>
      </c>
      <c r="E642" s="15"/>
      <c r="F642" s="16">
        <v>0.0</v>
      </c>
      <c r="G642" s="17">
        <v>0.0</v>
      </c>
      <c r="H642" s="17">
        <f t="shared" si="19"/>
        <v>0</v>
      </c>
      <c r="I642" s="18"/>
      <c r="J642" s="17"/>
      <c r="K642" s="13"/>
      <c r="L642" s="13"/>
      <c r="M642" s="19"/>
      <c r="N642" s="13"/>
      <c r="O642" s="19"/>
      <c r="P642" s="19"/>
      <c r="Q642" s="35"/>
      <c r="R642" s="35"/>
      <c r="S642" s="35"/>
      <c r="T642" s="1"/>
      <c r="U642" s="1"/>
      <c r="V642" s="1"/>
    </row>
    <row r="643" ht="15.75" customHeight="1">
      <c r="A643" s="53"/>
      <c r="B643" s="54" t="s">
        <v>18</v>
      </c>
      <c r="C643" s="203" t="s">
        <v>496</v>
      </c>
      <c r="D643" s="198" t="s">
        <v>22</v>
      </c>
      <c r="E643" s="218" t="s">
        <v>567</v>
      </c>
      <c r="F643" s="40">
        <v>4.0</v>
      </c>
      <c r="G643" s="227">
        <v>20.0</v>
      </c>
      <c r="H643" s="17">
        <f t="shared" si="19"/>
        <v>80</v>
      </c>
      <c r="I643" s="58"/>
      <c r="J643" s="58"/>
      <c r="K643" s="54"/>
      <c r="L643" s="13"/>
      <c r="M643" s="19"/>
      <c r="N643" s="13"/>
      <c r="O643" s="13"/>
      <c r="P643" s="13"/>
      <c r="Q643" s="35"/>
      <c r="R643" s="35"/>
      <c r="S643" s="35"/>
      <c r="T643" s="1"/>
      <c r="U643" s="1"/>
      <c r="V643" s="1"/>
    </row>
    <row r="644" ht="15.75" customHeight="1">
      <c r="A644" s="53"/>
      <c r="B644" s="43" t="s">
        <v>88</v>
      </c>
      <c r="C644" s="54" t="s">
        <v>411</v>
      </c>
      <c r="D644" s="55" t="s">
        <v>20</v>
      </c>
      <c r="E644" s="171" t="s">
        <v>412</v>
      </c>
      <c r="F644" s="56">
        <v>1.0</v>
      </c>
      <c r="G644" s="34">
        <v>334.0</v>
      </c>
      <c r="H644" s="57">
        <f t="shared" si="19"/>
        <v>334</v>
      </c>
      <c r="I644" s="58"/>
      <c r="J644" s="58"/>
      <c r="K644" s="258"/>
      <c r="L644" s="27"/>
      <c r="M644" s="27"/>
      <c r="N644" s="27"/>
      <c r="O644" s="27"/>
      <c r="P644" s="27"/>
      <c r="Q644" s="35"/>
      <c r="R644" s="35"/>
      <c r="S644" s="35"/>
      <c r="T644" s="1"/>
      <c r="U644" s="1"/>
      <c r="V644" s="1"/>
    </row>
    <row r="645" ht="15.75" hidden="1" customHeight="1">
      <c r="A645" s="13"/>
      <c r="B645" s="13"/>
      <c r="C645" s="169" t="s">
        <v>414</v>
      </c>
      <c r="D645" s="70" t="s">
        <v>24</v>
      </c>
      <c r="E645" s="15"/>
      <c r="F645" s="40">
        <v>0.0</v>
      </c>
      <c r="G645" s="17">
        <v>80.0</v>
      </c>
      <c r="H645" s="17">
        <f t="shared" si="19"/>
        <v>0</v>
      </c>
      <c r="I645" s="18"/>
      <c r="J645" s="18"/>
      <c r="K645" s="13"/>
      <c r="L645" s="63"/>
      <c r="M645" s="63"/>
      <c r="N645" s="63"/>
      <c r="O645" s="63"/>
      <c r="P645" s="63"/>
      <c r="Q645" s="35"/>
      <c r="R645" s="35"/>
      <c r="S645" s="35"/>
      <c r="T645" s="1"/>
      <c r="U645" s="1"/>
      <c r="V645" s="1"/>
    </row>
    <row r="646" ht="15.75" hidden="1" customHeight="1">
      <c r="A646" s="13"/>
      <c r="B646" s="13" t="s">
        <v>18</v>
      </c>
      <c r="C646" s="169" t="s">
        <v>283</v>
      </c>
      <c r="D646" s="14" t="s">
        <v>20</v>
      </c>
      <c r="E646" s="15" t="s">
        <v>284</v>
      </c>
      <c r="F646" s="16">
        <v>0.0</v>
      </c>
      <c r="G646" s="17">
        <v>12.0</v>
      </c>
      <c r="H646" s="17">
        <f t="shared" si="19"/>
        <v>0</v>
      </c>
      <c r="I646" s="18"/>
      <c r="J646" s="18"/>
      <c r="K646" s="13"/>
      <c r="L646" s="63"/>
      <c r="M646" s="63"/>
      <c r="N646" s="63"/>
      <c r="O646" s="63"/>
      <c r="P646" s="63"/>
      <c r="Q646" s="35"/>
      <c r="R646" s="35"/>
      <c r="S646" s="35"/>
      <c r="T646" s="1"/>
      <c r="U646" s="1"/>
      <c r="V646" s="1"/>
    </row>
    <row r="647" ht="15.75" customHeight="1">
      <c r="A647" s="53"/>
      <c r="B647" s="54" t="s">
        <v>18</v>
      </c>
      <c r="C647" s="197" t="s">
        <v>280</v>
      </c>
      <c r="D647" s="55" t="s">
        <v>20</v>
      </c>
      <c r="E647" s="15" t="s">
        <v>569</v>
      </c>
      <c r="F647" s="56">
        <v>1.0</v>
      </c>
      <c r="G647" s="34">
        <v>20.0</v>
      </c>
      <c r="H647" s="57">
        <f t="shared" si="19"/>
        <v>20</v>
      </c>
      <c r="I647" s="58"/>
      <c r="J647" s="58"/>
      <c r="K647" s="54"/>
      <c r="L647" s="63"/>
      <c r="M647" s="63"/>
      <c r="N647" s="63"/>
      <c r="O647" s="63"/>
      <c r="P647" s="63"/>
      <c r="Q647" s="35"/>
      <c r="R647" s="35"/>
      <c r="S647" s="35"/>
      <c r="T647" s="1"/>
      <c r="U647" s="1"/>
      <c r="V647" s="1"/>
    </row>
    <row r="648" ht="15.75" hidden="1" customHeight="1">
      <c r="A648" s="53"/>
      <c r="B648" s="54"/>
      <c r="C648" s="197" t="s">
        <v>414</v>
      </c>
      <c r="D648" s="216" t="s">
        <v>24</v>
      </c>
      <c r="E648" s="54"/>
      <c r="F648" s="158">
        <v>0.0</v>
      </c>
      <c r="G648" s="57">
        <v>80.0</v>
      </c>
      <c r="H648" s="57">
        <f t="shared" si="19"/>
        <v>0</v>
      </c>
      <c r="I648" s="58"/>
      <c r="J648" s="58"/>
      <c r="K648" s="54"/>
      <c r="L648" s="63"/>
      <c r="M648" s="63"/>
      <c r="N648" s="63"/>
      <c r="O648" s="63"/>
      <c r="P648" s="63"/>
      <c r="Q648" s="35"/>
      <c r="R648" s="35"/>
      <c r="S648" s="35"/>
      <c r="T648" s="1"/>
      <c r="U648" s="1"/>
      <c r="V648" s="1"/>
    </row>
    <row r="649" ht="15.75" hidden="1" customHeight="1">
      <c r="A649" s="53"/>
      <c r="B649" s="54" t="s">
        <v>18</v>
      </c>
      <c r="C649" s="197" t="s">
        <v>370</v>
      </c>
      <c r="D649" s="55" t="s">
        <v>20</v>
      </c>
      <c r="E649" s="208">
        <v>8.49069896E8</v>
      </c>
      <c r="F649" s="158">
        <v>0.0</v>
      </c>
      <c r="G649" s="57">
        <v>5.0</v>
      </c>
      <c r="H649" s="57">
        <f t="shared" si="19"/>
        <v>0</v>
      </c>
      <c r="I649" s="58"/>
      <c r="J649" s="58"/>
      <c r="K649" s="54"/>
      <c r="L649" s="63"/>
      <c r="M649" s="63"/>
      <c r="N649" s="63"/>
      <c r="O649" s="63"/>
      <c r="P649" s="63"/>
      <c r="Q649" s="35"/>
      <c r="R649" s="35"/>
      <c r="S649" s="35"/>
      <c r="T649" s="1"/>
      <c r="U649" s="1"/>
      <c r="V649" s="1"/>
    </row>
    <row r="650" ht="15.75" customHeight="1">
      <c r="A650" s="53"/>
      <c r="B650" s="54" t="s">
        <v>18</v>
      </c>
      <c r="C650" s="197" t="s">
        <v>371</v>
      </c>
      <c r="D650" s="55" t="s">
        <v>20</v>
      </c>
      <c r="E650" s="208" t="s">
        <v>286</v>
      </c>
      <c r="F650" s="56">
        <v>2.0</v>
      </c>
      <c r="G650" s="57">
        <v>3.0</v>
      </c>
      <c r="H650" s="57">
        <f t="shared" si="19"/>
        <v>6</v>
      </c>
      <c r="I650" s="58"/>
      <c r="J650" s="58"/>
      <c r="K650" s="13"/>
      <c r="L650" s="63"/>
      <c r="M650" s="63"/>
      <c r="N650" s="63"/>
      <c r="O650" s="63"/>
      <c r="P650" s="63"/>
      <c r="Q650" s="35"/>
      <c r="R650" s="35"/>
      <c r="S650" s="35"/>
      <c r="T650" s="1"/>
      <c r="U650" s="1"/>
      <c r="V650" s="1"/>
    </row>
    <row r="651" ht="15.75" customHeight="1">
      <c r="A651" s="53"/>
      <c r="B651" s="258" t="s">
        <v>570</v>
      </c>
      <c r="C651" s="203" t="s">
        <v>571</v>
      </c>
      <c r="D651" s="55" t="s">
        <v>20</v>
      </c>
      <c r="E651" s="208"/>
      <c r="F651" s="158">
        <v>1.0</v>
      </c>
      <c r="G651" s="159">
        <v>300.0</v>
      </c>
      <c r="H651" s="57">
        <f t="shared" si="19"/>
        <v>300</v>
      </c>
      <c r="I651" s="58"/>
      <c r="J651" s="58"/>
      <c r="K651" s="13"/>
      <c r="L651" s="63"/>
      <c r="M651" s="63"/>
      <c r="N651" s="63"/>
      <c r="O651" s="63"/>
      <c r="P651" s="63"/>
      <c r="Q651" s="35"/>
      <c r="R651" s="35"/>
      <c r="S651" s="35"/>
      <c r="T651" s="1"/>
      <c r="U651" s="1"/>
      <c r="V651" s="1"/>
    </row>
    <row r="652" ht="15.75" customHeight="1">
      <c r="A652" s="53"/>
      <c r="B652" s="258" t="s">
        <v>18</v>
      </c>
      <c r="C652" s="203" t="s">
        <v>572</v>
      </c>
      <c r="D652" s="198" t="s">
        <v>22</v>
      </c>
      <c r="E652" s="261" t="s">
        <v>573</v>
      </c>
      <c r="F652" s="158">
        <v>1.0</v>
      </c>
      <c r="G652" s="159">
        <v>60.0</v>
      </c>
      <c r="H652" s="57">
        <f t="shared" si="19"/>
        <v>60</v>
      </c>
      <c r="I652" s="58"/>
      <c r="J652" s="58"/>
      <c r="K652" s="13"/>
      <c r="L652" s="63"/>
      <c r="M652" s="63"/>
      <c r="N652" s="63"/>
      <c r="O652" s="63"/>
      <c r="P652" s="63"/>
      <c r="Q652" s="35"/>
      <c r="R652" s="35"/>
      <c r="S652" s="35"/>
      <c r="T652" s="1"/>
      <c r="U652" s="1"/>
      <c r="V652" s="1"/>
    </row>
    <row r="653" ht="15.75" customHeight="1">
      <c r="A653" s="53"/>
      <c r="B653" s="258" t="s">
        <v>574</v>
      </c>
      <c r="C653" s="203" t="s">
        <v>308</v>
      </c>
      <c r="D653" s="198" t="s">
        <v>22</v>
      </c>
      <c r="E653" s="261" t="s">
        <v>575</v>
      </c>
      <c r="F653" s="158">
        <v>1.0</v>
      </c>
      <c r="G653" s="159">
        <v>828.0</v>
      </c>
      <c r="H653" s="57">
        <f t="shared" si="19"/>
        <v>828</v>
      </c>
      <c r="I653" s="58"/>
      <c r="J653" s="58"/>
      <c r="K653" s="13"/>
      <c r="L653" s="63"/>
      <c r="M653" s="63"/>
      <c r="N653" s="63"/>
      <c r="O653" s="63"/>
      <c r="P653" s="63"/>
      <c r="Q653" s="35"/>
      <c r="R653" s="35"/>
      <c r="S653" s="35"/>
      <c r="T653" s="1"/>
      <c r="U653" s="1"/>
      <c r="V653" s="1"/>
    </row>
    <row r="654" ht="15.75" hidden="1" customHeight="1">
      <c r="A654" s="13"/>
      <c r="B654" s="13"/>
      <c r="C654" s="13" t="s">
        <v>221</v>
      </c>
      <c r="D654" s="213" t="s">
        <v>24</v>
      </c>
      <c r="E654" s="52"/>
      <c r="F654" s="48">
        <v>0.0</v>
      </c>
      <c r="G654" s="50">
        <v>50.0</v>
      </c>
      <c r="H654" s="50">
        <f t="shared" si="19"/>
        <v>0</v>
      </c>
      <c r="I654" s="18"/>
      <c r="J654" s="18"/>
      <c r="K654" s="13"/>
      <c r="L654" s="63"/>
      <c r="M654" s="63"/>
      <c r="N654" s="63"/>
      <c r="O654" s="63"/>
      <c r="P654" s="63"/>
      <c r="Q654" s="35"/>
      <c r="R654" s="35"/>
      <c r="S654" s="35"/>
      <c r="T654" s="1"/>
      <c r="U654" s="1"/>
      <c r="V654" s="1"/>
    </row>
    <row r="655" ht="15.75" hidden="1" customHeight="1">
      <c r="A655" s="13"/>
      <c r="B655" s="13"/>
      <c r="C655" s="206" t="s">
        <v>222</v>
      </c>
      <c r="D655" s="216" t="s">
        <v>24</v>
      </c>
      <c r="E655" s="54"/>
      <c r="F655" s="56">
        <v>0.0</v>
      </c>
      <c r="G655" s="57">
        <v>40.0</v>
      </c>
      <c r="H655" s="57">
        <f t="shared" si="19"/>
        <v>0</v>
      </c>
      <c r="I655" s="18"/>
      <c r="J655" s="18"/>
      <c r="K655" s="13"/>
      <c r="L655" s="63"/>
      <c r="M655" s="63"/>
      <c r="N655" s="63"/>
      <c r="O655" s="63"/>
      <c r="P655" s="63"/>
      <c r="Q655" s="35"/>
      <c r="R655" s="35"/>
      <c r="S655" s="35"/>
      <c r="T655" s="1"/>
      <c r="U655" s="1"/>
      <c r="V655" s="1"/>
    </row>
    <row r="656" ht="15.75" hidden="1" customHeight="1">
      <c r="A656" s="13"/>
      <c r="B656" s="13"/>
      <c r="C656" s="169" t="s">
        <v>374</v>
      </c>
      <c r="D656" s="70" t="s">
        <v>24</v>
      </c>
      <c r="E656" s="15"/>
      <c r="F656" s="16">
        <v>0.0</v>
      </c>
      <c r="G656" s="17">
        <v>210.0</v>
      </c>
      <c r="H656" s="17">
        <f t="shared" si="19"/>
        <v>0</v>
      </c>
      <c r="I656" s="18"/>
      <c r="J656" s="18"/>
      <c r="K656" s="13"/>
      <c r="L656" s="63"/>
      <c r="M656" s="63"/>
      <c r="N656" s="63"/>
      <c r="O656" s="63"/>
      <c r="P656" s="63"/>
      <c r="Q656" s="35"/>
      <c r="R656" s="35"/>
      <c r="S656" s="35"/>
      <c r="T656" s="1"/>
      <c r="U656" s="1"/>
      <c r="V656" s="1"/>
    </row>
    <row r="657" ht="15.75" hidden="1" customHeight="1">
      <c r="A657" s="13"/>
      <c r="B657" s="13" t="s">
        <v>373</v>
      </c>
      <c r="C657" s="169" t="s">
        <v>372</v>
      </c>
      <c r="D657" s="14" t="s">
        <v>20</v>
      </c>
      <c r="E657" s="15"/>
      <c r="F657" s="16">
        <v>0.0</v>
      </c>
      <c r="G657" s="17">
        <v>70.0</v>
      </c>
      <c r="H657" s="17">
        <f t="shared" si="19"/>
        <v>0</v>
      </c>
      <c r="I657" s="18"/>
      <c r="J657" s="18"/>
      <c r="K657" s="13"/>
      <c r="L657" s="13"/>
      <c r="M657" s="13"/>
      <c r="N657" s="13"/>
      <c r="O657" s="13"/>
      <c r="P657" s="13"/>
      <c r="Q657" s="35"/>
      <c r="R657" s="35"/>
      <c r="S657" s="35"/>
      <c r="T657" s="1"/>
      <c r="U657" s="1"/>
      <c r="V657" s="1"/>
    </row>
    <row r="658" ht="15.75" hidden="1" customHeight="1">
      <c r="A658" s="13"/>
      <c r="B658" s="13" t="s">
        <v>18</v>
      </c>
      <c r="C658" s="169" t="s">
        <v>503</v>
      </c>
      <c r="D658" s="14" t="s">
        <v>20</v>
      </c>
      <c r="E658" s="15"/>
      <c r="F658" s="16">
        <v>0.0</v>
      </c>
      <c r="G658" s="17">
        <v>50.0</v>
      </c>
      <c r="H658" s="17">
        <f t="shared" si="19"/>
        <v>0</v>
      </c>
      <c r="I658" s="18"/>
      <c r="J658" s="17"/>
      <c r="K658" s="13"/>
      <c r="L658" s="13"/>
      <c r="M658" s="13"/>
      <c r="N658" s="13"/>
      <c r="O658" s="13"/>
      <c r="P658" s="13"/>
      <c r="Q658" s="35"/>
      <c r="R658" s="35"/>
      <c r="S658" s="35"/>
      <c r="T658" s="1"/>
      <c r="U658" s="1"/>
      <c r="V658" s="1"/>
    </row>
    <row r="659" ht="15.75" hidden="1" customHeight="1">
      <c r="A659" s="13"/>
      <c r="B659" s="13"/>
      <c r="C659" s="169" t="s">
        <v>504</v>
      </c>
      <c r="D659" s="70" t="s">
        <v>24</v>
      </c>
      <c r="E659" s="15"/>
      <c r="F659" s="16">
        <v>0.0</v>
      </c>
      <c r="G659" s="17">
        <v>50.0</v>
      </c>
      <c r="H659" s="17">
        <f t="shared" si="19"/>
        <v>0</v>
      </c>
      <c r="I659" s="18"/>
      <c r="J659" s="17"/>
      <c r="K659" s="13"/>
      <c r="L659" s="13"/>
      <c r="M659" s="13"/>
      <c r="N659" s="13"/>
      <c r="O659" s="13"/>
      <c r="P659" s="13"/>
      <c r="Q659" s="35"/>
      <c r="R659" s="35"/>
      <c r="S659" s="35"/>
      <c r="T659" s="1"/>
      <c r="U659" s="1"/>
      <c r="V659" s="1"/>
    </row>
    <row r="660" ht="15.75" hidden="1" customHeight="1">
      <c r="A660" s="13"/>
      <c r="B660" s="13"/>
      <c r="C660" s="169" t="s">
        <v>505</v>
      </c>
      <c r="D660" s="70" t="s">
        <v>24</v>
      </c>
      <c r="E660" s="15"/>
      <c r="F660" s="16">
        <v>0.0</v>
      </c>
      <c r="G660" s="17">
        <v>120.0</v>
      </c>
      <c r="H660" s="17">
        <f t="shared" si="19"/>
        <v>0</v>
      </c>
      <c r="I660" s="18"/>
      <c r="J660" s="17"/>
      <c r="K660" s="13"/>
      <c r="L660" s="63"/>
      <c r="M660" s="63"/>
      <c r="N660" s="63"/>
      <c r="O660" s="63"/>
      <c r="P660" s="63"/>
      <c r="Q660" s="35"/>
      <c r="R660" s="35"/>
      <c r="S660" s="35"/>
      <c r="T660" s="1"/>
      <c r="U660" s="1"/>
      <c r="V660" s="1"/>
    </row>
    <row r="661" ht="15.75" hidden="1" customHeight="1">
      <c r="A661" s="13"/>
      <c r="B661" s="13"/>
      <c r="C661" s="169" t="s">
        <v>506</v>
      </c>
      <c r="D661" s="70" t="s">
        <v>24</v>
      </c>
      <c r="E661" s="15"/>
      <c r="F661" s="16">
        <v>0.0</v>
      </c>
      <c r="G661" s="17">
        <v>80.0</v>
      </c>
      <c r="H661" s="17">
        <f t="shared" si="19"/>
        <v>0</v>
      </c>
      <c r="I661" s="18"/>
      <c r="J661" s="17"/>
      <c r="K661" s="13"/>
      <c r="L661" s="63"/>
      <c r="M661" s="63"/>
      <c r="N661" s="63"/>
      <c r="O661" s="63"/>
      <c r="P661" s="63"/>
      <c r="Q661" s="35"/>
      <c r="R661" s="35"/>
      <c r="S661" s="35"/>
      <c r="T661" s="1"/>
      <c r="U661" s="1"/>
      <c r="V661" s="1"/>
    </row>
    <row r="662" ht="15.75" hidden="1" customHeight="1">
      <c r="A662" s="13"/>
      <c r="B662" s="13"/>
      <c r="C662" s="169" t="s">
        <v>507</v>
      </c>
      <c r="D662" s="14" t="s">
        <v>20</v>
      </c>
      <c r="E662" s="15"/>
      <c r="F662" s="16">
        <v>0.0</v>
      </c>
      <c r="G662" s="17">
        <v>300.0</v>
      </c>
      <c r="H662" s="17">
        <f t="shared" si="19"/>
        <v>0</v>
      </c>
      <c r="I662" s="18"/>
      <c r="J662" s="17"/>
      <c r="K662" s="13"/>
      <c r="L662" s="63"/>
      <c r="M662" s="63"/>
      <c r="N662" s="63"/>
      <c r="O662" s="63"/>
      <c r="P662" s="63"/>
      <c r="Q662" s="35"/>
      <c r="R662" s="35"/>
      <c r="S662" s="35"/>
      <c r="T662" s="1"/>
      <c r="U662" s="1"/>
      <c r="V662" s="1"/>
    </row>
    <row r="663" ht="15.75" hidden="1" customHeight="1">
      <c r="A663" s="13"/>
      <c r="B663" s="13"/>
      <c r="C663" s="169" t="s">
        <v>508</v>
      </c>
      <c r="D663" s="70" t="s">
        <v>24</v>
      </c>
      <c r="E663" s="15"/>
      <c r="F663" s="16">
        <v>0.0</v>
      </c>
      <c r="G663" s="17">
        <v>290.0</v>
      </c>
      <c r="H663" s="17">
        <f t="shared" si="19"/>
        <v>0</v>
      </c>
      <c r="I663" s="18"/>
      <c r="J663" s="17"/>
      <c r="K663" s="13"/>
      <c r="L663" s="63"/>
      <c r="M663" s="63"/>
      <c r="N663" s="63"/>
      <c r="O663" s="63"/>
      <c r="P663" s="63"/>
      <c r="Q663" s="35"/>
      <c r="R663" s="35"/>
      <c r="S663" s="35"/>
      <c r="T663" s="1"/>
      <c r="U663" s="1"/>
      <c r="V663" s="1"/>
    </row>
    <row r="664" ht="15.75" hidden="1" customHeight="1">
      <c r="A664" s="13"/>
      <c r="B664" s="13"/>
      <c r="C664" s="13" t="s">
        <v>509</v>
      </c>
      <c r="D664" s="46" t="s">
        <v>20</v>
      </c>
      <c r="E664" s="52"/>
      <c r="F664" s="48">
        <v>0.0</v>
      </c>
      <c r="G664" s="50">
        <v>30.0</v>
      </c>
      <c r="H664" s="50">
        <f t="shared" si="19"/>
        <v>0</v>
      </c>
      <c r="I664" s="50"/>
      <c r="J664" s="17"/>
      <c r="K664" s="13"/>
      <c r="L664" s="63"/>
      <c r="M664" s="63"/>
      <c r="N664" s="63"/>
      <c r="O664" s="63"/>
      <c r="P664" s="63"/>
      <c r="Q664" s="35"/>
      <c r="R664" s="35"/>
      <c r="S664" s="35"/>
      <c r="T664" s="1"/>
      <c r="U664" s="1"/>
      <c r="V664" s="1"/>
    </row>
    <row r="665" ht="15.75" hidden="1" customHeight="1">
      <c r="A665" s="13"/>
      <c r="B665" s="13"/>
      <c r="C665" s="206" t="s">
        <v>510</v>
      </c>
      <c r="D665" s="216" t="s">
        <v>24</v>
      </c>
      <c r="E665" s="54"/>
      <c r="F665" s="56">
        <v>0.0</v>
      </c>
      <c r="G665" s="57">
        <v>70.0</v>
      </c>
      <c r="H665" s="57">
        <f t="shared" si="19"/>
        <v>0</v>
      </c>
      <c r="I665" s="57"/>
      <c r="J665" s="17"/>
      <c r="K665" s="13"/>
      <c r="L665" s="63"/>
      <c r="M665" s="63"/>
      <c r="N665" s="63"/>
      <c r="O665" s="63"/>
      <c r="P665" s="63"/>
      <c r="Q665" s="35"/>
      <c r="R665" s="35"/>
      <c r="S665" s="35"/>
      <c r="T665" s="1"/>
      <c r="U665" s="1"/>
      <c r="V665" s="1"/>
    </row>
    <row r="666" ht="15.75" hidden="1" customHeight="1">
      <c r="A666" s="13"/>
      <c r="B666" s="13"/>
      <c r="C666" s="13" t="s">
        <v>511</v>
      </c>
      <c r="D666" s="46" t="s">
        <v>20</v>
      </c>
      <c r="E666" s="52"/>
      <c r="F666" s="48">
        <v>0.0</v>
      </c>
      <c r="G666" s="50">
        <v>368.0</v>
      </c>
      <c r="H666" s="50">
        <f t="shared" si="19"/>
        <v>0</v>
      </c>
      <c r="I666" s="50"/>
      <c r="J666" s="17"/>
      <c r="K666" s="13"/>
      <c r="L666" s="63"/>
      <c r="M666" s="63"/>
      <c r="N666" s="63"/>
      <c r="O666" s="63"/>
      <c r="P666" s="63"/>
      <c r="Q666" s="35"/>
      <c r="R666" s="35"/>
      <c r="S666" s="35"/>
      <c r="T666" s="1"/>
      <c r="U666" s="1"/>
      <c r="V666" s="1"/>
    </row>
    <row r="667" ht="15.75" hidden="1" customHeight="1">
      <c r="A667" s="13"/>
      <c r="B667" s="13"/>
      <c r="C667" s="206" t="s">
        <v>512</v>
      </c>
      <c r="D667" s="55" t="s">
        <v>20</v>
      </c>
      <c r="E667" s="54"/>
      <c r="F667" s="56">
        <v>0.0</v>
      </c>
      <c r="G667" s="57">
        <v>183.0</v>
      </c>
      <c r="H667" s="57">
        <f t="shared" si="19"/>
        <v>0</v>
      </c>
      <c r="I667" s="57"/>
      <c r="J667" s="17"/>
      <c r="K667" s="13"/>
      <c r="L667" s="63"/>
      <c r="M667" s="63"/>
      <c r="N667" s="63"/>
      <c r="O667" s="63"/>
      <c r="P667" s="63"/>
      <c r="Q667" s="35"/>
      <c r="R667" s="35"/>
      <c r="S667" s="35"/>
      <c r="T667" s="1"/>
      <c r="U667" s="1"/>
      <c r="V667" s="1"/>
    </row>
    <row r="668" ht="15.75" hidden="1" customHeight="1">
      <c r="A668" s="13"/>
      <c r="B668" s="13"/>
      <c r="C668" s="250" t="s">
        <v>513</v>
      </c>
      <c r="D668" s="55" t="s">
        <v>20</v>
      </c>
      <c r="E668" s="54"/>
      <c r="F668" s="56">
        <v>0.0</v>
      </c>
      <c r="G668" s="57">
        <v>45.0</v>
      </c>
      <c r="H668" s="57">
        <f t="shared" si="19"/>
        <v>0</v>
      </c>
      <c r="I668" s="57"/>
      <c r="J668" s="17"/>
      <c r="K668" s="13"/>
      <c r="L668" s="63"/>
      <c r="M668" s="63"/>
      <c r="N668" s="63"/>
      <c r="O668" s="63"/>
      <c r="P668" s="63"/>
      <c r="Q668" s="35"/>
      <c r="R668" s="35"/>
      <c r="S668" s="35"/>
      <c r="T668" s="1"/>
      <c r="U668" s="1"/>
      <c r="V668" s="1"/>
    </row>
    <row r="669" ht="15.75" hidden="1" customHeight="1">
      <c r="A669" s="13"/>
      <c r="B669" s="13"/>
      <c r="C669" s="250" t="s">
        <v>514</v>
      </c>
      <c r="D669" s="55" t="s">
        <v>20</v>
      </c>
      <c r="E669" s="54"/>
      <c r="F669" s="56">
        <v>0.0</v>
      </c>
      <c r="G669" s="57">
        <v>60.0</v>
      </c>
      <c r="H669" s="57">
        <f t="shared" si="19"/>
        <v>0</v>
      </c>
      <c r="I669" s="57"/>
      <c r="J669" s="17"/>
      <c r="K669" s="13"/>
      <c r="L669" s="63"/>
      <c r="M669" s="63"/>
      <c r="N669" s="63"/>
      <c r="O669" s="63"/>
      <c r="P669" s="63"/>
      <c r="Q669" s="35"/>
      <c r="R669" s="35"/>
      <c r="S669" s="35"/>
      <c r="T669" s="1"/>
      <c r="U669" s="1"/>
      <c r="V669" s="1"/>
    </row>
    <row r="670" ht="15.75" hidden="1" customHeight="1">
      <c r="A670" s="13"/>
      <c r="B670" s="13"/>
      <c r="C670" s="251" t="s">
        <v>515</v>
      </c>
      <c r="D670" s="216" t="s">
        <v>24</v>
      </c>
      <c r="E670" s="54"/>
      <c r="F670" s="56">
        <v>0.0</v>
      </c>
      <c r="G670" s="57">
        <v>290.0</v>
      </c>
      <c r="H670" s="57">
        <f t="shared" si="19"/>
        <v>0</v>
      </c>
      <c r="I670" s="57"/>
      <c r="J670" s="17"/>
      <c r="K670" s="13"/>
      <c r="L670" s="63"/>
      <c r="M670" s="63"/>
      <c r="N670" s="63"/>
      <c r="O670" s="63"/>
      <c r="P670" s="63"/>
      <c r="Q670" s="35"/>
      <c r="R670" s="35"/>
      <c r="S670" s="35"/>
      <c r="T670" s="1"/>
      <c r="U670" s="1"/>
      <c r="V670" s="1"/>
    </row>
    <row r="671" ht="15.75" hidden="1" customHeight="1">
      <c r="A671" s="13"/>
      <c r="B671" s="13"/>
      <c r="C671" s="13" t="s">
        <v>71</v>
      </c>
      <c r="D671" s="213" t="s">
        <v>24</v>
      </c>
      <c r="E671" s="52"/>
      <c r="F671" s="56">
        <v>0.0</v>
      </c>
      <c r="G671" s="50">
        <v>80.0</v>
      </c>
      <c r="H671" s="50">
        <f t="shared" si="19"/>
        <v>0</v>
      </c>
      <c r="I671" s="57"/>
      <c r="J671" s="17"/>
      <c r="K671" s="13"/>
      <c r="L671" s="63"/>
      <c r="M671" s="63"/>
      <c r="N671" s="63"/>
      <c r="O671" s="63"/>
      <c r="P671" s="63"/>
      <c r="Q671" s="35"/>
      <c r="R671" s="35"/>
      <c r="S671" s="35"/>
      <c r="T671" s="1"/>
      <c r="U671" s="1"/>
      <c r="V671" s="1"/>
    </row>
    <row r="672" ht="15.75" hidden="1" customHeight="1">
      <c r="A672" s="13"/>
      <c r="B672" s="13"/>
      <c r="C672" s="169" t="s">
        <v>516</v>
      </c>
      <c r="D672" s="46" t="s">
        <v>20</v>
      </c>
      <c r="E672" s="52"/>
      <c r="F672" s="48">
        <v>0.0</v>
      </c>
      <c r="G672" s="50">
        <v>300.0</v>
      </c>
      <c r="H672" s="50">
        <f t="shared" si="19"/>
        <v>0</v>
      </c>
      <c r="I672" s="57"/>
      <c r="J672" s="17"/>
      <c r="K672" s="13"/>
      <c r="L672" s="63"/>
      <c r="M672" s="63"/>
      <c r="N672" s="63"/>
      <c r="O672" s="63"/>
      <c r="P672" s="63"/>
      <c r="Q672" s="35"/>
      <c r="R672" s="35"/>
      <c r="S672" s="35"/>
      <c r="T672" s="1"/>
      <c r="U672" s="1"/>
      <c r="V672" s="1"/>
    </row>
    <row r="673" ht="15.75" hidden="1" customHeight="1">
      <c r="A673" s="13"/>
      <c r="B673" s="13"/>
      <c r="C673" s="244" t="s">
        <v>517</v>
      </c>
      <c r="D673" s="216" t="s">
        <v>24</v>
      </c>
      <c r="E673" s="54"/>
      <c r="F673" s="56">
        <v>0.0</v>
      </c>
      <c r="G673" s="57">
        <v>900.0</v>
      </c>
      <c r="H673" s="50">
        <f t="shared" si="19"/>
        <v>0</v>
      </c>
      <c r="I673" s="57"/>
      <c r="J673" s="17"/>
      <c r="K673" s="13"/>
      <c r="L673" s="63"/>
      <c r="M673" s="63"/>
      <c r="N673" s="63"/>
      <c r="O673" s="63"/>
      <c r="P673" s="63"/>
      <c r="Q673" s="35"/>
      <c r="R673" s="35"/>
      <c r="S673" s="35"/>
      <c r="T673" s="1"/>
      <c r="U673" s="1"/>
      <c r="V673" s="1"/>
    </row>
    <row r="674" ht="15.75" hidden="1" customHeight="1">
      <c r="A674" s="13"/>
      <c r="B674" s="13"/>
      <c r="C674" s="169" t="s">
        <v>518</v>
      </c>
      <c r="D674" s="213" t="s">
        <v>24</v>
      </c>
      <c r="E674" s="52"/>
      <c r="F674" s="48">
        <v>0.0</v>
      </c>
      <c r="G674" s="50">
        <v>150.0</v>
      </c>
      <c r="H674" s="50">
        <f t="shared" si="19"/>
        <v>0</v>
      </c>
      <c r="I674" s="57"/>
      <c r="J674" s="17"/>
      <c r="K674" s="13"/>
      <c r="L674" s="63"/>
      <c r="M674" s="63"/>
      <c r="N674" s="63"/>
      <c r="O674" s="63"/>
      <c r="P674" s="63"/>
      <c r="Q674" s="35"/>
      <c r="R674" s="35"/>
      <c r="S674" s="35"/>
      <c r="T674" s="1"/>
      <c r="U674" s="1"/>
      <c r="V674" s="1"/>
    </row>
    <row r="675" ht="15.75" hidden="1" customHeight="1">
      <c r="A675" s="13"/>
      <c r="B675" s="13"/>
      <c r="C675" s="244" t="s">
        <v>519</v>
      </c>
      <c r="D675" s="55" t="s">
        <v>20</v>
      </c>
      <c r="E675" s="54"/>
      <c r="F675" s="56">
        <v>0.0</v>
      </c>
      <c r="G675" s="57">
        <v>60.0</v>
      </c>
      <c r="H675" s="57">
        <f t="shared" si="19"/>
        <v>0</v>
      </c>
      <c r="I675" s="57"/>
      <c r="J675" s="17"/>
      <c r="K675" s="13"/>
      <c r="L675" s="63"/>
      <c r="M675" s="63"/>
      <c r="N675" s="63"/>
      <c r="O675" s="63"/>
      <c r="P675" s="63"/>
      <c r="Q675" s="35"/>
      <c r="R675" s="35"/>
      <c r="S675" s="35"/>
      <c r="T675" s="1"/>
      <c r="U675" s="1"/>
      <c r="V675" s="1"/>
    </row>
    <row r="676" ht="15.75" hidden="1" customHeight="1">
      <c r="A676" s="13"/>
      <c r="B676" s="13"/>
      <c r="C676" s="244" t="s">
        <v>520</v>
      </c>
      <c r="D676" s="213" t="s">
        <v>24</v>
      </c>
      <c r="E676" s="54"/>
      <c r="F676" s="56">
        <v>0.0</v>
      </c>
      <c r="G676" s="57">
        <v>500.0</v>
      </c>
      <c r="H676" s="57">
        <f t="shared" si="19"/>
        <v>0</v>
      </c>
      <c r="I676" s="57"/>
      <c r="J676" s="17"/>
      <c r="K676" s="13"/>
      <c r="L676" s="63"/>
      <c r="M676" s="63"/>
      <c r="N676" s="63"/>
      <c r="O676" s="63"/>
      <c r="P676" s="63"/>
      <c r="Q676" s="35"/>
      <c r="R676" s="35"/>
      <c r="S676" s="35"/>
      <c r="T676" s="1"/>
      <c r="U676" s="1"/>
      <c r="V676" s="1"/>
    </row>
    <row r="677" ht="15.75" hidden="1" customHeight="1">
      <c r="A677" s="13"/>
      <c r="B677" s="13"/>
      <c r="C677" s="244" t="s">
        <v>521</v>
      </c>
      <c r="D677" s="55" t="s">
        <v>20</v>
      </c>
      <c r="E677" s="54"/>
      <c r="F677" s="56">
        <v>0.0</v>
      </c>
      <c r="G677" s="57">
        <v>130.0</v>
      </c>
      <c r="H677" s="57">
        <f t="shared" si="19"/>
        <v>0</v>
      </c>
      <c r="I677" s="57"/>
      <c r="J677" s="17"/>
      <c r="K677" s="13"/>
      <c r="L677" s="63"/>
      <c r="M677" s="63"/>
      <c r="N677" s="63"/>
      <c r="O677" s="63"/>
      <c r="P677" s="63"/>
      <c r="Q677" s="35"/>
      <c r="R677" s="35"/>
      <c r="S677" s="35"/>
      <c r="T677" s="1"/>
      <c r="U677" s="1"/>
      <c r="V677" s="1"/>
    </row>
    <row r="678" ht="15.75" hidden="1" customHeight="1">
      <c r="A678" s="15"/>
      <c r="B678" s="52"/>
      <c r="C678" s="196" t="s">
        <v>522</v>
      </c>
      <c r="D678" s="46" t="s">
        <v>20</v>
      </c>
      <c r="E678" s="52"/>
      <c r="F678" s="48">
        <v>0.0</v>
      </c>
      <c r="G678" s="50">
        <v>30.0</v>
      </c>
      <c r="H678" s="50">
        <f t="shared" si="19"/>
        <v>0</v>
      </c>
      <c r="I678" s="51"/>
      <c r="J678" s="51"/>
      <c r="K678" s="52"/>
      <c r="L678" s="52"/>
      <c r="M678" s="52"/>
      <c r="N678" s="52"/>
      <c r="O678" s="52"/>
      <c r="P678" s="52"/>
      <c r="Q678" s="1"/>
      <c r="R678" s="1"/>
      <c r="S678" s="1"/>
      <c r="T678" s="1"/>
      <c r="U678" s="1"/>
      <c r="V678" s="1"/>
    </row>
    <row r="679" ht="15.75" hidden="1" customHeight="1">
      <c r="A679" s="53"/>
      <c r="B679" s="54"/>
      <c r="C679" s="197" t="s">
        <v>523</v>
      </c>
      <c r="D679" s="216" t="s">
        <v>24</v>
      </c>
      <c r="E679" s="54"/>
      <c r="F679" s="56">
        <v>0.0</v>
      </c>
      <c r="G679" s="57">
        <v>25.0</v>
      </c>
      <c r="H679" s="57">
        <f t="shared" si="19"/>
        <v>0</v>
      </c>
      <c r="I679" s="58"/>
      <c r="J679" s="58"/>
      <c r="K679" s="54"/>
      <c r="L679" s="252"/>
      <c r="M679" s="252"/>
      <c r="N679" s="252"/>
      <c r="O679" s="252"/>
      <c r="P679" s="252"/>
      <c r="Q679" s="1"/>
      <c r="R679" s="1"/>
      <c r="S679" s="1"/>
      <c r="T679" s="1"/>
      <c r="U679" s="1"/>
      <c r="V679" s="1"/>
    </row>
    <row r="680" ht="15.75" hidden="1" customHeight="1">
      <c r="A680" s="53"/>
      <c r="B680" s="54"/>
      <c r="C680" s="197" t="s">
        <v>524</v>
      </c>
      <c r="D680" s="55" t="s">
        <v>20</v>
      </c>
      <c r="E680" s="54"/>
      <c r="F680" s="56">
        <v>0.0</v>
      </c>
      <c r="G680" s="57">
        <v>15.0</v>
      </c>
      <c r="H680" s="57">
        <f t="shared" si="19"/>
        <v>0</v>
      </c>
      <c r="I680" s="58"/>
      <c r="J680" s="58"/>
      <c r="K680" s="54"/>
      <c r="L680" s="54"/>
      <c r="M680" s="54"/>
      <c r="N680" s="54"/>
      <c r="O680" s="54"/>
      <c r="P680" s="54"/>
      <c r="Q680" s="1"/>
      <c r="R680" s="1"/>
      <c r="S680" s="1"/>
      <c r="T680" s="1"/>
      <c r="U680" s="1"/>
      <c r="V680" s="1"/>
    </row>
    <row r="681" ht="15.75" hidden="1" customHeight="1">
      <c r="A681" s="13"/>
      <c r="B681" s="13"/>
      <c r="C681" s="244" t="s">
        <v>525</v>
      </c>
      <c r="D681" s="213" t="s">
        <v>24</v>
      </c>
      <c r="E681" s="54"/>
      <c r="F681" s="56">
        <v>0.0</v>
      </c>
      <c r="G681" s="57">
        <v>60.0</v>
      </c>
      <c r="H681" s="57">
        <f t="shared" si="19"/>
        <v>0</v>
      </c>
      <c r="I681" s="57"/>
      <c r="J681" s="17"/>
      <c r="K681" s="13"/>
      <c r="L681" s="63"/>
      <c r="M681" s="63"/>
      <c r="N681" s="63"/>
      <c r="O681" s="63"/>
      <c r="P681" s="63"/>
      <c r="Q681" s="35"/>
      <c r="R681" s="35"/>
      <c r="S681" s="35"/>
      <c r="T681" s="1"/>
      <c r="U681" s="1"/>
      <c r="V681" s="1"/>
    </row>
    <row r="682" ht="15.75" hidden="1" customHeight="1">
      <c r="A682" s="13"/>
      <c r="B682" s="13"/>
      <c r="C682" s="244" t="s">
        <v>526</v>
      </c>
      <c r="D682" s="213" t="s">
        <v>24</v>
      </c>
      <c r="E682" s="54"/>
      <c r="F682" s="56">
        <v>0.0</v>
      </c>
      <c r="G682" s="57">
        <v>80.0</v>
      </c>
      <c r="H682" s="57">
        <f t="shared" si="19"/>
        <v>0</v>
      </c>
      <c r="I682" s="57"/>
      <c r="J682" s="17"/>
      <c r="K682" s="13"/>
      <c r="L682" s="63"/>
      <c r="M682" s="63"/>
      <c r="N682" s="63"/>
      <c r="O682" s="63"/>
      <c r="P682" s="63"/>
      <c r="Q682" s="35"/>
      <c r="R682" s="35"/>
      <c r="S682" s="35"/>
      <c r="T682" s="1"/>
      <c r="U682" s="1"/>
      <c r="V682" s="1"/>
    </row>
    <row r="683" ht="15.75" hidden="1" customHeight="1">
      <c r="A683" s="13"/>
      <c r="B683" s="13"/>
      <c r="C683" s="244" t="s">
        <v>527</v>
      </c>
      <c r="D683" s="46" t="s">
        <v>20</v>
      </c>
      <c r="E683" s="54"/>
      <c r="F683" s="56">
        <v>0.0</v>
      </c>
      <c r="G683" s="57">
        <v>5000.0</v>
      </c>
      <c r="H683" s="50">
        <f t="shared" si="19"/>
        <v>0</v>
      </c>
      <c r="I683" s="57"/>
      <c r="J683" s="17"/>
      <c r="K683" s="13"/>
      <c r="L683" s="63"/>
      <c r="M683" s="63"/>
      <c r="N683" s="63"/>
      <c r="O683" s="63"/>
      <c r="P683" s="63"/>
      <c r="Q683" s="35"/>
      <c r="R683" s="35"/>
      <c r="S683" s="35"/>
      <c r="T683" s="1"/>
      <c r="U683" s="1"/>
      <c r="V683" s="1"/>
    </row>
    <row r="684" ht="15.75" hidden="1" customHeight="1">
      <c r="A684" s="13"/>
      <c r="B684" s="13"/>
      <c r="C684" s="169" t="s">
        <v>528</v>
      </c>
      <c r="D684" s="213" t="s">
        <v>24</v>
      </c>
      <c r="E684" s="52" t="s">
        <v>529</v>
      </c>
      <c r="F684" s="48">
        <v>0.0</v>
      </c>
      <c r="G684" s="50">
        <v>2800.0</v>
      </c>
      <c r="H684" s="50">
        <f t="shared" si="19"/>
        <v>0</v>
      </c>
      <c r="I684" s="57"/>
      <c r="J684" s="17"/>
      <c r="K684" s="13"/>
      <c r="L684" s="63"/>
      <c r="M684" s="63"/>
      <c r="N684" s="63"/>
      <c r="O684" s="63"/>
      <c r="P684" s="63"/>
      <c r="Q684" s="35"/>
      <c r="R684" s="35"/>
      <c r="S684" s="35"/>
      <c r="T684" s="1"/>
      <c r="U684" s="1"/>
      <c r="V684" s="1"/>
    </row>
    <row r="685" ht="15.75" hidden="1" customHeight="1">
      <c r="A685" s="13"/>
      <c r="B685" s="13"/>
      <c r="C685" s="244" t="s">
        <v>530</v>
      </c>
      <c r="D685" s="216" t="s">
        <v>24</v>
      </c>
      <c r="E685" s="54"/>
      <c r="F685" s="56">
        <v>0.0</v>
      </c>
      <c r="G685" s="57">
        <v>2000.0</v>
      </c>
      <c r="H685" s="57">
        <f t="shared" si="19"/>
        <v>0</v>
      </c>
      <c r="I685" s="57"/>
      <c r="J685" s="17"/>
      <c r="K685" s="13"/>
      <c r="L685" s="63"/>
      <c r="M685" s="63"/>
      <c r="N685" s="63"/>
      <c r="O685" s="63"/>
      <c r="P685" s="63"/>
      <c r="Q685" s="35"/>
      <c r="R685" s="35"/>
      <c r="S685" s="35"/>
      <c r="T685" s="1"/>
      <c r="U685" s="1"/>
      <c r="V685" s="1"/>
    </row>
    <row r="686" ht="15.75" hidden="1" customHeight="1">
      <c r="A686" s="13"/>
      <c r="B686" s="13"/>
      <c r="C686" s="244" t="s">
        <v>531</v>
      </c>
      <c r="D686" s="216" t="s">
        <v>24</v>
      </c>
      <c r="E686" s="54"/>
      <c r="F686" s="56">
        <v>0.0</v>
      </c>
      <c r="G686" s="57">
        <v>2200.0</v>
      </c>
      <c r="H686" s="57">
        <f t="shared" si="19"/>
        <v>0</v>
      </c>
      <c r="I686" s="57"/>
      <c r="J686" s="17"/>
      <c r="K686" s="13"/>
      <c r="L686" s="63"/>
      <c r="M686" s="63"/>
      <c r="N686" s="63"/>
      <c r="O686" s="63"/>
      <c r="P686" s="63"/>
      <c r="Q686" s="35"/>
      <c r="R686" s="35"/>
      <c r="S686" s="35"/>
      <c r="T686" s="1"/>
      <c r="U686" s="1"/>
      <c r="V686" s="1"/>
    </row>
    <row r="687" ht="28.5" customHeight="1">
      <c r="A687" s="6"/>
      <c r="B687" s="6" t="s">
        <v>576</v>
      </c>
      <c r="C687" s="7">
        <f>SUM(H688:H747)</f>
        <v>3807.65</v>
      </c>
      <c r="D687" s="148"/>
      <c r="E687" s="148"/>
      <c r="F687" s="83"/>
      <c r="G687" s="82"/>
      <c r="H687" s="82"/>
      <c r="I687" s="82"/>
      <c r="J687" s="82"/>
      <c r="K687" s="83"/>
      <c r="L687" s="83"/>
      <c r="M687" s="83"/>
      <c r="N687" s="83"/>
      <c r="O687" s="83"/>
      <c r="P687" s="83"/>
      <c r="Q687" s="35"/>
      <c r="R687" s="35"/>
      <c r="S687" s="35"/>
      <c r="T687" s="1"/>
      <c r="U687" s="1"/>
      <c r="V687" s="1"/>
    </row>
    <row r="688" ht="15.75" customHeight="1">
      <c r="A688" s="13"/>
      <c r="B688" s="43" t="s">
        <v>39</v>
      </c>
      <c r="C688" s="169" t="s">
        <v>191</v>
      </c>
      <c r="D688" s="66" t="s">
        <v>22</v>
      </c>
      <c r="E688" s="15"/>
      <c r="F688" s="16">
        <v>2.0</v>
      </c>
      <c r="G688" s="34">
        <v>100.0</v>
      </c>
      <c r="H688" s="17">
        <f t="shared" ref="H688:H752" si="20">SUM(F688*G688)</f>
        <v>200</v>
      </c>
      <c r="I688" s="18"/>
      <c r="J688" s="18"/>
      <c r="K688" s="13"/>
      <c r="L688" s="13"/>
      <c r="M688" s="13"/>
      <c r="N688" s="13"/>
      <c r="O688" s="13"/>
      <c r="P688" s="13"/>
      <c r="Q688" s="35"/>
      <c r="R688" s="35"/>
      <c r="S688" s="35"/>
      <c r="T688" s="1"/>
      <c r="U688" s="1"/>
      <c r="V688" s="1"/>
    </row>
    <row r="689" ht="15.75" customHeight="1">
      <c r="A689" s="13"/>
      <c r="B689" s="13" t="s">
        <v>18</v>
      </c>
      <c r="C689" s="169" t="s">
        <v>577</v>
      </c>
      <c r="D689" s="14" t="s">
        <v>20</v>
      </c>
      <c r="E689" s="15"/>
      <c r="F689" s="16">
        <v>2.0</v>
      </c>
      <c r="G689" s="17">
        <v>5.0</v>
      </c>
      <c r="H689" s="17">
        <f t="shared" si="20"/>
        <v>10</v>
      </c>
      <c r="I689" s="18"/>
      <c r="J689" s="18"/>
      <c r="K689" s="13"/>
      <c r="L689" s="13"/>
      <c r="M689" s="19"/>
      <c r="N689" s="19"/>
      <c r="O689" s="38"/>
      <c r="P689" s="19"/>
      <c r="Q689" s="35"/>
      <c r="R689" s="35"/>
      <c r="S689" s="35"/>
      <c r="T689" s="1"/>
      <c r="U689" s="1"/>
      <c r="V689" s="1"/>
    </row>
    <row r="690" ht="15.75" customHeight="1">
      <c r="A690" s="13"/>
      <c r="B690" s="13" t="s">
        <v>18</v>
      </c>
      <c r="C690" s="169" t="s">
        <v>296</v>
      </c>
      <c r="D690" s="14" t="s">
        <v>20</v>
      </c>
      <c r="E690" s="194" t="s">
        <v>578</v>
      </c>
      <c r="F690" s="16">
        <v>1.0</v>
      </c>
      <c r="G690" s="34">
        <v>39.6</v>
      </c>
      <c r="H690" s="17">
        <f t="shared" si="20"/>
        <v>39.6</v>
      </c>
      <c r="I690" s="18"/>
      <c r="J690" s="18"/>
      <c r="K690" s="13"/>
      <c r="L690" s="27"/>
      <c r="M690" s="28"/>
      <c r="N690" s="27"/>
      <c r="O690" s="28"/>
      <c r="P690" s="27"/>
      <c r="Q690" s="35"/>
      <c r="R690" s="35"/>
      <c r="S690" s="35"/>
      <c r="T690" s="1"/>
      <c r="U690" s="1"/>
      <c r="V690" s="1"/>
    </row>
    <row r="691" ht="15.75" customHeight="1">
      <c r="A691" s="13"/>
      <c r="B691" s="43" t="s">
        <v>56</v>
      </c>
      <c r="C691" s="169" t="s">
        <v>298</v>
      </c>
      <c r="D691" s="70" t="s">
        <v>24</v>
      </c>
      <c r="E691" s="15"/>
      <c r="F691" s="16">
        <v>1.0</v>
      </c>
      <c r="G691" s="17">
        <v>95.0</v>
      </c>
      <c r="H691" s="17">
        <f t="shared" si="20"/>
        <v>95</v>
      </c>
      <c r="I691" s="18"/>
      <c r="J691" s="18"/>
      <c r="K691" s="13"/>
      <c r="L691" s="63"/>
      <c r="M691" s="63"/>
      <c r="N691" s="63"/>
      <c r="O691" s="63"/>
      <c r="P691" s="63"/>
      <c r="Q691" s="35"/>
      <c r="R691" s="35"/>
      <c r="S691" s="35"/>
      <c r="T691" s="1"/>
      <c r="U691" s="1"/>
      <c r="V691" s="1"/>
    </row>
    <row r="692" ht="15.75" hidden="1" customHeight="1">
      <c r="A692" s="13"/>
      <c r="B692" s="13"/>
      <c r="C692" s="169" t="s">
        <v>299</v>
      </c>
      <c r="D692" s="70" t="s">
        <v>24</v>
      </c>
      <c r="E692" s="15"/>
      <c r="F692" s="16">
        <v>0.0</v>
      </c>
      <c r="G692" s="17">
        <v>120.0</v>
      </c>
      <c r="H692" s="17">
        <f t="shared" si="20"/>
        <v>0</v>
      </c>
      <c r="I692" s="18"/>
      <c r="J692" s="18"/>
      <c r="K692" s="13"/>
      <c r="L692" s="63"/>
      <c r="M692" s="63"/>
      <c r="N692" s="63"/>
      <c r="O692" s="63"/>
      <c r="P692" s="63"/>
      <c r="Q692" s="35"/>
      <c r="R692" s="35"/>
      <c r="S692" s="35"/>
      <c r="T692" s="1"/>
      <c r="U692" s="1"/>
      <c r="V692" s="1"/>
    </row>
    <row r="693" ht="15.75" customHeight="1">
      <c r="A693" s="13"/>
      <c r="B693" s="13" t="s">
        <v>18</v>
      </c>
      <c r="C693" s="169" t="s">
        <v>300</v>
      </c>
      <c r="D693" s="14" t="s">
        <v>20</v>
      </c>
      <c r="E693" s="15"/>
      <c r="F693" s="40">
        <v>6.0</v>
      </c>
      <c r="G693" s="17">
        <v>5.0</v>
      </c>
      <c r="H693" s="17">
        <f t="shared" si="20"/>
        <v>30</v>
      </c>
      <c r="I693" s="18"/>
      <c r="J693" s="18"/>
      <c r="K693" s="13"/>
      <c r="L693" s="27"/>
      <c r="M693" s="27"/>
      <c r="N693" s="27"/>
      <c r="O693" s="27"/>
      <c r="P693" s="27"/>
      <c r="Q693" s="35"/>
      <c r="R693" s="35"/>
      <c r="S693" s="35"/>
      <c r="T693" s="1"/>
      <c r="U693" s="1"/>
      <c r="V693" s="1"/>
    </row>
    <row r="694" ht="15.75" hidden="1" customHeight="1">
      <c r="A694" s="13"/>
      <c r="B694" s="13" t="s">
        <v>18</v>
      </c>
      <c r="C694" s="169" t="s">
        <v>301</v>
      </c>
      <c r="D694" s="14" t="s">
        <v>20</v>
      </c>
      <c r="E694" s="15" t="s">
        <v>302</v>
      </c>
      <c r="F694" s="16">
        <v>0.0</v>
      </c>
      <c r="G694" s="17">
        <v>6.2</v>
      </c>
      <c r="H694" s="17">
        <f t="shared" si="20"/>
        <v>0</v>
      </c>
      <c r="I694" s="18"/>
      <c r="J694" s="18"/>
      <c r="K694" s="13"/>
      <c r="L694" s="27"/>
      <c r="M694" s="27"/>
      <c r="N694" s="27"/>
      <c r="O694" s="27"/>
      <c r="P694" s="27"/>
      <c r="Q694" s="35"/>
      <c r="R694" s="35"/>
      <c r="S694" s="35"/>
      <c r="T694" s="1"/>
      <c r="U694" s="1"/>
      <c r="V694" s="1"/>
    </row>
    <row r="695" ht="15.75" hidden="1" customHeight="1">
      <c r="A695" s="13"/>
      <c r="B695" s="13"/>
      <c r="C695" s="169" t="s">
        <v>303</v>
      </c>
      <c r="D695" s="70" t="s">
        <v>24</v>
      </c>
      <c r="E695" s="15"/>
      <c r="F695" s="16">
        <v>0.0</v>
      </c>
      <c r="G695" s="17">
        <v>40.0</v>
      </c>
      <c r="H695" s="17">
        <f t="shared" si="20"/>
        <v>0</v>
      </c>
      <c r="I695" s="18"/>
      <c r="J695" s="18"/>
      <c r="K695" s="13"/>
      <c r="L695" s="27"/>
      <c r="M695" s="27"/>
      <c r="N695" s="27"/>
      <c r="O695" s="27"/>
      <c r="P695" s="27"/>
      <c r="Q695" s="35"/>
      <c r="R695" s="35"/>
      <c r="S695" s="35"/>
      <c r="T695" s="1"/>
      <c r="U695" s="1"/>
      <c r="V695" s="1"/>
    </row>
    <row r="696" ht="15.75" hidden="1" customHeight="1">
      <c r="A696" s="13"/>
      <c r="B696" s="13" t="s">
        <v>18</v>
      </c>
      <c r="C696" s="169" t="s">
        <v>47</v>
      </c>
      <c r="D696" s="14" t="s">
        <v>20</v>
      </c>
      <c r="E696" s="15" t="s">
        <v>579</v>
      </c>
      <c r="F696" s="16">
        <v>0.0</v>
      </c>
      <c r="G696" s="17">
        <v>70.0</v>
      </c>
      <c r="H696" s="17">
        <f t="shared" si="20"/>
        <v>0</v>
      </c>
      <c r="I696" s="18"/>
      <c r="J696" s="18"/>
      <c r="K696" s="13"/>
      <c r="L696" s="27"/>
      <c r="M696" s="27"/>
      <c r="N696" s="27"/>
      <c r="O696" s="27"/>
      <c r="P696" s="27"/>
      <c r="Q696" s="35"/>
      <c r="R696" s="35"/>
      <c r="S696" s="35"/>
      <c r="T696" s="1"/>
      <c r="U696" s="1"/>
      <c r="V696" s="1"/>
    </row>
    <row r="697" ht="15.75" hidden="1" customHeight="1">
      <c r="A697" s="13"/>
      <c r="B697" s="13"/>
      <c r="C697" s="169" t="s">
        <v>304</v>
      </c>
      <c r="D697" s="70" t="s">
        <v>24</v>
      </c>
      <c r="E697" s="15"/>
      <c r="F697" s="16">
        <v>0.0</v>
      </c>
      <c r="G697" s="17">
        <v>120.0</v>
      </c>
      <c r="H697" s="17">
        <f t="shared" si="20"/>
        <v>0</v>
      </c>
      <c r="I697" s="18"/>
      <c r="J697" s="18"/>
      <c r="K697" s="13"/>
      <c r="L697" s="27"/>
      <c r="M697" s="27"/>
      <c r="N697" s="27"/>
      <c r="O697" s="27"/>
      <c r="P697" s="27"/>
      <c r="Q697" s="35"/>
      <c r="R697" s="35"/>
      <c r="S697" s="35"/>
      <c r="T697" s="1"/>
      <c r="U697" s="1"/>
      <c r="V697" s="1"/>
    </row>
    <row r="698" ht="15.75" customHeight="1">
      <c r="A698" s="13"/>
      <c r="B698" s="13" t="s">
        <v>58</v>
      </c>
      <c r="C698" s="169" t="s">
        <v>305</v>
      </c>
      <c r="D698" s="101" t="s">
        <v>32</v>
      </c>
      <c r="E698" s="15" t="s">
        <v>60</v>
      </c>
      <c r="F698" s="16">
        <v>1.0</v>
      </c>
      <c r="G698" s="17">
        <v>0.0</v>
      </c>
      <c r="H698" s="17">
        <f t="shared" si="20"/>
        <v>0</v>
      </c>
      <c r="I698" s="18"/>
      <c r="J698" s="18"/>
      <c r="K698" s="13"/>
      <c r="L698" s="13"/>
      <c r="M698" s="13"/>
      <c r="N698" s="13"/>
      <c r="O698" s="13"/>
      <c r="P698" s="13"/>
      <c r="Q698" s="35"/>
      <c r="R698" s="35"/>
      <c r="S698" s="35"/>
      <c r="T698" s="1"/>
      <c r="U698" s="1"/>
      <c r="V698" s="1"/>
    </row>
    <row r="699" ht="15.75" customHeight="1">
      <c r="A699" s="13"/>
      <c r="B699" s="43" t="s">
        <v>217</v>
      </c>
      <c r="C699" s="169" t="s">
        <v>307</v>
      </c>
      <c r="D699" s="101" t="s">
        <v>32</v>
      </c>
      <c r="E699" s="154">
        <v>80175.0</v>
      </c>
      <c r="F699" s="40">
        <v>2.0</v>
      </c>
      <c r="G699" s="34">
        <v>239.54</v>
      </c>
      <c r="H699" s="17">
        <f t="shared" si="20"/>
        <v>479.08</v>
      </c>
      <c r="I699" s="18"/>
      <c r="J699" s="18"/>
      <c r="K699" s="43">
        <v>239.54</v>
      </c>
      <c r="L699" s="27"/>
      <c r="M699" s="28"/>
      <c r="N699" s="27"/>
      <c r="O699" s="27"/>
      <c r="P699" s="27"/>
      <c r="Q699" s="35"/>
      <c r="R699" s="35"/>
      <c r="S699" s="35"/>
      <c r="T699" s="1"/>
      <c r="U699" s="1"/>
      <c r="V699" s="1"/>
    </row>
    <row r="700" ht="15.75" customHeight="1">
      <c r="A700" s="13"/>
      <c r="B700" s="43" t="s">
        <v>217</v>
      </c>
      <c r="C700" s="169" t="s">
        <v>308</v>
      </c>
      <c r="D700" s="101" t="s">
        <v>32</v>
      </c>
      <c r="E700" s="154">
        <v>80176.0</v>
      </c>
      <c r="F700" s="16">
        <v>1.0</v>
      </c>
      <c r="G700" s="34">
        <v>817.27</v>
      </c>
      <c r="H700" s="17">
        <f t="shared" si="20"/>
        <v>817.27</v>
      </c>
      <c r="I700" s="18"/>
      <c r="J700" s="18"/>
      <c r="K700" s="43">
        <v>817.27</v>
      </c>
      <c r="L700" s="27"/>
      <c r="M700" s="28"/>
      <c r="N700" s="27"/>
      <c r="O700" s="28"/>
      <c r="P700" s="28"/>
      <c r="Q700" s="35"/>
      <c r="R700" s="35"/>
      <c r="S700" s="35"/>
      <c r="T700" s="1"/>
      <c r="U700" s="1"/>
      <c r="V700" s="1"/>
    </row>
    <row r="701" ht="15.75" hidden="1" customHeight="1">
      <c r="A701" s="130"/>
      <c r="B701" s="130" t="s">
        <v>18</v>
      </c>
      <c r="C701" s="175" t="s">
        <v>309</v>
      </c>
      <c r="D701" s="176" t="s">
        <v>20</v>
      </c>
      <c r="E701" s="177" t="s">
        <v>310</v>
      </c>
      <c r="F701" s="178">
        <v>0.0</v>
      </c>
      <c r="G701" s="179">
        <v>15.0</v>
      </c>
      <c r="H701" s="179">
        <f t="shared" si="20"/>
        <v>0</v>
      </c>
      <c r="I701" s="180"/>
      <c r="J701" s="180"/>
      <c r="K701" s="130"/>
      <c r="L701" s="130"/>
      <c r="M701" s="181"/>
      <c r="N701" s="130"/>
      <c r="O701" s="181"/>
      <c r="P701" s="181"/>
      <c r="Q701" s="182"/>
      <c r="R701" s="182"/>
      <c r="S701" s="182"/>
      <c r="T701" s="182"/>
      <c r="U701" s="182"/>
      <c r="V701" s="182"/>
    </row>
    <row r="702" ht="15.75" hidden="1" customHeight="1">
      <c r="A702" s="130"/>
      <c r="B702" s="130" t="s">
        <v>18</v>
      </c>
      <c r="C702" s="175" t="s">
        <v>311</v>
      </c>
      <c r="D702" s="176" t="s">
        <v>20</v>
      </c>
      <c r="E702" s="177" t="s">
        <v>312</v>
      </c>
      <c r="F702" s="178">
        <v>0.0</v>
      </c>
      <c r="G702" s="179">
        <v>15.0</v>
      </c>
      <c r="H702" s="179">
        <f t="shared" si="20"/>
        <v>0</v>
      </c>
      <c r="I702" s="180"/>
      <c r="J702" s="180"/>
      <c r="K702" s="130"/>
      <c r="L702" s="130"/>
      <c r="M702" s="181"/>
      <c r="N702" s="130"/>
      <c r="O702" s="181"/>
      <c r="P702" s="181"/>
      <c r="Q702" s="182"/>
      <c r="R702" s="182"/>
      <c r="S702" s="182"/>
      <c r="T702" s="182"/>
      <c r="U702" s="182"/>
      <c r="V702" s="182"/>
    </row>
    <row r="703" ht="15.75" hidden="1" customHeight="1">
      <c r="A703" s="130"/>
      <c r="B703" s="130" t="s">
        <v>18</v>
      </c>
      <c r="C703" s="175" t="s">
        <v>313</v>
      </c>
      <c r="D703" s="176" t="s">
        <v>20</v>
      </c>
      <c r="E703" s="177" t="s">
        <v>314</v>
      </c>
      <c r="F703" s="178">
        <v>0.0</v>
      </c>
      <c r="G703" s="179">
        <v>1.6</v>
      </c>
      <c r="H703" s="179">
        <f t="shared" si="20"/>
        <v>0</v>
      </c>
      <c r="I703" s="180"/>
      <c r="J703" s="180"/>
      <c r="K703" s="130"/>
      <c r="L703" s="130"/>
      <c r="M703" s="181"/>
      <c r="N703" s="130"/>
      <c r="O703" s="181"/>
      <c r="P703" s="181"/>
      <c r="Q703" s="182"/>
      <c r="R703" s="182"/>
      <c r="S703" s="182"/>
      <c r="T703" s="182"/>
      <c r="U703" s="182"/>
      <c r="V703" s="182"/>
    </row>
    <row r="704" ht="15.75" hidden="1" customHeight="1">
      <c r="A704" s="13"/>
      <c r="B704" s="18" t="s">
        <v>18</v>
      </c>
      <c r="C704" s="169" t="s">
        <v>315</v>
      </c>
      <c r="D704" s="14" t="s">
        <v>20</v>
      </c>
      <c r="E704" s="33" t="s">
        <v>580</v>
      </c>
      <c r="F704" s="40">
        <v>0.0</v>
      </c>
      <c r="G704" s="17">
        <v>28.0</v>
      </c>
      <c r="H704" s="17">
        <f t="shared" si="20"/>
        <v>0</v>
      </c>
      <c r="I704" s="18"/>
      <c r="J704" s="18"/>
      <c r="K704" s="13"/>
      <c r="L704" s="27"/>
      <c r="M704" s="28"/>
      <c r="N704" s="27"/>
      <c r="O704" s="28"/>
      <c r="P704" s="28"/>
      <c r="Q704" s="35"/>
      <c r="R704" s="35"/>
      <c r="S704" s="35"/>
      <c r="T704" s="1"/>
      <c r="U704" s="1"/>
      <c r="V704" s="1"/>
    </row>
    <row r="705" ht="15.75" hidden="1" customHeight="1">
      <c r="A705" s="13"/>
      <c r="B705" s="166"/>
      <c r="C705" s="188" t="s">
        <v>259</v>
      </c>
      <c r="D705" s="167" t="s">
        <v>32</v>
      </c>
      <c r="E705" s="219"/>
      <c r="F705" s="190">
        <v>0.0</v>
      </c>
      <c r="G705" s="192">
        <v>0.0</v>
      </c>
      <c r="H705" s="192">
        <f t="shared" si="20"/>
        <v>0</v>
      </c>
      <c r="I705" s="193"/>
      <c r="J705" s="18"/>
      <c r="K705" s="13"/>
      <c r="L705" s="27"/>
      <c r="M705" s="28"/>
      <c r="N705" s="27"/>
      <c r="O705" s="27"/>
      <c r="P705" s="27"/>
      <c r="Q705" s="35"/>
      <c r="R705" s="35"/>
      <c r="S705" s="35"/>
      <c r="T705" s="1"/>
      <c r="U705" s="1"/>
      <c r="V705" s="1"/>
    </row>
    <row r="706" ht="15.75" hidden="1" customHeight="1">
      <c r="A706" s="13"/>
      <c r="B706" s="166" t="s">
        <v>397</v>
      </c>
      <c r="C706" s="188" t="s">
        <v>318</v>
      </c>
      <c r="D706" s="167" t="s">
        <v>32</v>
      </c>
      <c r="E706" s="219" t="s">
        <v>398</v>
      </c>
      <c r="F706" s="190">
        <v>0.0</v>
      </c>
      <c r="G706" s="192">
        <v>354.0</v>
      </c>
      <c r="H706" s="192">
        <f t="shared" si="20"/>
        <v>0</v>
      </c>
      <c r="I706" s="193"/>
      <c r="J706" s="18"/>
      <c r="K706" s="13"/>
      <c r="L706" s="13"/>
      <c r="M706" s="13"/>
      <c r="N706" s="13"/>
      <c r="O706" s="13"/>
      <c r="P706" s="13"/>
      <c r="Q706" s="35"/>
      <c r="R706" s="35"/>
      <c r="S706" s="35"/>
      <c r="T706" s="1"/>
      <c r="U706" s="1"/>
      <c r="V706" s="1"/>
    </row>
    <row r="707" ht="15.75" hidden="1" customHeight="1">
      <c r="A707" s="13"/>
      <c r="B707" s="13" t="s">
        <v>320</v>
      </c>
      <c r="C707" s="169" t="s">
        <v>321</v>
      </c>
      <c r="D707" s="66" t="s">
        <v>22</v>
      </c>
      <c r="E707" s="15"/>
      <c r="F707" s="16">
        <v>0.0</v>
      </c>
      <c r="G707" s="17">
        <v>10.0</v>
      </c>
      <c r="H707" s="17">
        <f t="shared" si="20"/>
        <v>0</v>
      </c>
      <c r="I707" s="18"/>
      <c r="J707" s="18"/>
      <c r="K707" s="13"/>
      <c r="L707" s="13"/>
      <c r="M707" s="19"/>
      <c r="N707" s="13"/>
      <c r="O707" s="13"/>
      <c r="P707" s="13"/>
      <c r="Q707" s="35"/>
      <c r="R707" s="35"/>
      <c r="S707" s="35"/>
      <c r="T707" s="1"/>
      <c r="U707" s="1"/>
      <c r="V707" s="1"/>
    </row>
    <row r="708" ht="15.75" customHeight="1">
      <c r="A708" s="13"/>
      <c r="B708" s="13" t="s">
        <v>239</v>
      </c>
      <c r="C708" s="195" t="s">
        <v>322</v>
      </c>
      <c r="D708" s="14" t="s">
        <v>20</v>
      </c>
      <c r="E708" s="15"/>
      <c r="F708" s="16">
        <v>1.0</v>
      </c>
      <c r="G708" s="34">
        <v>366.0</v>
      </c>
      <c r="H708" s="17">
        <f t="shared" si="20"/>
        <v>366</v>
      </c>
      <c r="I708" s="18"/>
      <c r="J708" s="18"/>
      <c r="K708" s="13"/>
      <c r="L708" s="13"/>
      <c r="M708" s="19"/>
      <c r="N708" s="13"/>
      <c r="O708" s="19"/>
      <c r="P708" s="19"/>
      <c r="Q708" s="35"/>
      <c r="R708" s="35"/>
      <c r="S708" s="35"/>
      <c r="T708" s="1"/>
      <c r="U708" s="1"/>
      <c r="V708" s="1"/>
    </row>
    <row r="709" ht="15.75" customHeight="1">
      <c r="A709" s="13"/>
      <c r="B709" s="43" t="s">
        <v>56</v>
      </c>
      <c r="C709" s="169" t="s">
        <v>323</v>
      </c>
      <c r="D709" s="70" t="s">
        <v>24</v>
      </c>
      <c r="E709" s="15"/>
      <c r="F709" s="16">
        <v>1.0</v>
      </c>
      <c r="G709" s="17">
        <v>80.0</v>
      </c>
      <c r="H709" s="17">
        <f t="shared" si="20"/>
        <v>80</v>
      </c>
      <c r="I709" s="18"/>
      <c r="J709" s="18"/>
      <c r="K709" s="13"/>
      <c r="L709" s="63"/>
      <c r="M709" s="63"/>
      <c r="N709" s="63"/>
      <c r="O709" s="63"/>
      <c r="P709" s="63"/>
      <c r="Q709" s="35"/>
      <c r="R709" s="35"/>
      <c r="S709" s="35"/>
      <c r="T709" s="1"/>
      <c r="U709" s="1"/>
      <c r="V709" s="1"/>
    </row>
    <row r="710" ht="15.75" customHeight="1">
      <c r="A710" s="13"/>
      <c r="B710" s="43" t="s">
        <v>56</v>
      </c>
      <c r="C710" s="169" t="s">
        <v>324</v>
      </c>
      <c r="D710" s="14" t="s">
        <v>20</v>
      </c>
      <c r="E710" s="15"/>
      <c r="F710" s="16">
        <v>1.0</v>
      </c>
      <c r="G710" s="17">
        <v>35.0</v>
      </c>
      <c r="H710" s="17">
        <f t="shared" si="20"/>
        <v>35</v>
      </c>
      <c r="I710" s="18"/>
      <c r="J710" s="18"/>
      <c r="K710" s="13"/>
      <c r="L710" s="13"/>
      <c r="M710" s="19"/>
      <c r="N710" s="13"/>
      <c r="O710" s="19"/>
      <c r="P710" s="19"/>
      <c r="Q710" s="35"/>
      <c r="R710" s="35"/>
      <c r="S710" s="35"/>
      <c r="T710" s="1"/>
      <c r="U710" s="1"/>
      <c r="V710" s="1"/>
    </row>
    <row r="711" ht="15.75" hidden="1" customHeight="1">
      <c r="A711" s="13"/>
      <c r="B711" s="13"/>
      <c r="C711" s="169" t="s">
        <v>258</v>
      </c>
      <c r="D711" s="66" t="s">
        <v>22</v>
      </c>
      <c r="E711" s="15"/>
      <c r="F711" s="16">
        <v>0.0</v>
      </c>
      <c r="G711" s="17">
        <v>150.0</v>
      </c>
      <c r="H711" s="17">
        <f t="shared" si="20"/>
        <v>0</v>
      </c>
      <c r="I711" s="18"/>
      <c r="J711" s="18"/>
      <c r="K711" s="13"/>
      <c r="L711" s="13"/>
      <c r="M711" s="19"/>
      <c r="N711" s="13"/>
      <c r="O711" s="19"/>
      <c r="P711" s="19"/>
      <c r="Q711" s="35"/>
      <c r="R711" s="35"/>
      <c r="S711" s="35"/>
      <c r="T711" s="1"/>
      <c r="U711" s="1"/>
      <c r="V711" s="1"/>
    </row>
    <row r="712" ht="15.75" hidden="1" customHeight="1">
      <c r="A712" s="13"/>
      <c r="B712" s="13"/>
      <c r="C712" s="196" t="s">
        <v>421</v>
      </c>
      <c r="D712" s="150" t="s">
        <v>22</v>
      </c>
      <c r="E712" s="52" t="s">
        <v>581</v>
      </c>
      <c r="F712" s="48">
        <v>0.0</v>
      </c>
      <c r="G712" s="50">
        <v>413.4</v>
      </c>
      <c r="H712" s="50">
        <f t="shared" si="20"/>
        <v>0</v>
      </c>
      <c r="I712" s="18"/>
      <c r="J712" s="18"/>
      <c r="K712" s="13"/>
      <c r="L712" s="13"/>
      <c r="M712" s="13"/>
      <c r="N712" s="13"/>
      <c r="O712" s="19"/>
      <c r="P712" s="19"/>
      <c r="Q712" s="35"/>
      <c r="R712" s="35"/>
      <c r="S712" s="35"/>
      <c r="T712" s="1"/>
      <c r="U712" s="1"/>
      <c r="V712" s="1"/>
    </row>
    <row r="713" ht="15.75" customHeight="1">
      <c r="A713" s="13"/>
      <c r="B713" s="13" t="s">
        <v>18</v>
      </c>
      <c r="C713" s="196" t="s">
        <v>325</v>
      </c>
      <c r="D713" s="150" t="s">
        <v>22</v>
      </c>
      <c r="E713" s="229" t="s">
        <v>582</v>
      </c>
      <c r="F713" s="48">
        <v>1.0</v>
      </c>
      <c r="G713" s="49">
        <v>78.0</v>
      </c>
      <c r="H713" s="50">
        <f t="shared" si="20"/>
        <v>78</v>
      </c>
      <c r="I713" s="18"/>
      <c r="J713" s="18"/>
      <c r="K713" s="13"/>
      <c r="L713" s="13"/>
      <c r="M713" s="13"/>
      <c r="N713" s="13"/>
      <c r="O713" s="19"/>
      <c r="P713" s="19"/>
      <c r="Q713" s="35"/>
      <c r="R713" s="35"/>
      <c r="S713" s="35"/>
      <c r="T713" s="1"/>
      <c r="U713" s="1"/>
      <c r="V713" s="1"/>
    </row>
    <row r="714" ht="15.75" hidden="1" customHeight="1">
      <c r="A714" s="15"/>
      <c r="B714" s="52" t="s">
        <v>18</v>
      </c>
      <c r="C714" s="196" t="s">
        <v>329</v>
      </c>
      <c r="D714" s="150" t="s">
        <v>22</v>
      </c>
      <c r="E714" s="52"/>
      <c r="F714" s="48">
        <v>0.0</v>
      </c>
      <c r="G714" s="50">
        <v>35.0</v>
      </c>
      <c r="H714" s="50">
        <f t="shared" si="20"/>
        <v>0</v>
      </c>
      <c r="I714" s="51"/>
      <c r="J714" s="51"/>
      <c r="K714" s="52"/>
      <c r="L714" s="52"/>
      <c r="M714" s="52"/>
      <c r="N714" s="52"/>
      <c r="O714" s="200"/>
      <c r="P714" s="200"/>
      <c r="Q714" s="1"/>
      <c r="R714" s="1"/>
      <c r="S714" s="1"/>
      <c r="T714" s="1"/>
      <c r="U714" s="1"/>
      <c r="V714" s="1"/>
    </row>
    <row r="715" ht="15.75" hidden="1" customHeight="1">
      <c r="A715" s="53"/>
      <c r="B715" s="54" t="s">
        <v>18</v>
      </c>
      <c r="C715" s="197" t="s">
        <v>331</v>
      </c>
      <c r="D715" s="198" t="s">
        <v>22</v>
      </c>
      <c r="E715" s="54" t="s">
        <v>583</v>
      </c>
      <c r="F715" s="56">
        <v>0.0</v>
      </c>
      <c r="G715" s="57">
        <v>40.0</v>
      </c>
      <c r="H715" s="57">
        <f t="shared" si="20"/>
        <v>0</v>
      </c>
      <c r="I715" s="58"/>
      <c r="J715" s="58"/>
      <c r="K715" s="54"/>
      <c r="L715" s="54"/>
      <c r="M715" s="54"/>
      <c r="N715" s="54"/>
      <c r="O715" s="202"/>
      <c r="P715" s="202"/>
      <c r="Q715" s="1"/>
      <c r="R715" s="1"/>
      <c r="S715" s="1"/>
      <c r="T715" s="1"/>
      <c r="U715" s="1"/>
      <c r="V715" s="1"/>
    </row>
    <row r="716" ht="15.75" hidden="1" customHeight="1">
      <c r="A716" s="53"/>
      <c r="B716" s="54" t="s">
        <v>18</v>
      </c>
      <c r="C716" s="197" t="s">
        <v>584</v>
      </c>
      <c r="D716" s="198" t="s">
        <v>22</v>
      </c>
      <c r="E716" s="54" t="s">
        <v>585</v>
      </c>
      <c r="F716" s="56">
        <v>0.0</v>
      </c>
      <c r="G716" s="57">
        <v>25.0</v>
      </c>
      <c r="H716" s="57">
        <f t="shared" si="20"/>
        <v>0</v>
      </c>
      <c r="I716" s="58"/>
      <c r="J716" s="58"/>
      <c r="K716" s="54"/>
      <c r="L716" s="54"/>
      <c r="M716" s="54"/>
      <c r="N716" s="54"/>
      <c r="O716" s="202"/>
      <c r="P716" s="202"/>
      <c r="Q716" s="1"/>
      <c r="R716" s="1"/>
      <c r="S716" s="1"/>
      <c r="T716" s="1"/>
      <c r="U716" s="1"/>
      <c r="V716" s="1"/>
    </row>
    <row r="717" ht="15.75" hidden="1" customHeight="1">
      <c r="A717" s="53"/>
      <c r="B717" s="54" t="s">
        <v>18</v>
      </c>
      <c r="C717" s="197" t="s">
        <v>586</v>
      </c>
      <c r="D717" s="198" t="s">
        <v>22</v>
      </c>
      <c r="E717" s="54" t="s">
        <v>587</v>
      </c>
      <c r="F717" s="56">
        <v>0.0</v>
      </c>
      <c r="G717" s="57">
        <v>19.54</v>
      </c>
      <c r="H717" s="57">
        <f t="shared" si="20"/>
        <v>0</v>
      </c>
      <c r="I717" s="58"/>
      <c r="J717" s="58"/>
      <c r="K717" s="54"/>
      <c r="L717" s="54"/>
      <c r="M717" s="54"/>
      <c r="N717" s="54"/>
      <c r="O717" s="202"/>
      <c r="P717" s="202"/>
      <c r="Q717" s="1"/>
      <c r="R717" s="1"/>
      <c r="S717" s="1"/>
      <c r="T717" s="1"/>
      <c r="U717" s="1"/>
      <c r="V717" s="1"/>
    </row>
    <row r="718" ht="15.75" customHeight="1">
      <c r="A718" s="15"/>
      <c r="B718" s="52" t="s">
        <v>18</v>
      </c>
      <c r="C718" s="196" t="s">
        <v>335</v>
      </c>
      <c r="D718" s="150" t="s">
        <v>22</v>
      </c>
      <c r="E718" s="199" t="s">
        <v>588</v>
      </c>
      <c r="F718" s="48">
        <v>2.0</v>
      </c>
      <c r="G718" s="49">
        <v>24.0</v>
      </c>
      <c r="H718" s="50">
        <f t="shared" si="20"/>
        <v>48</v>
      </c>
      <c r="I718" s="51"/>
      <c r="J718" s="51"/>
      <c r="K718" s="13"/>
      <c r="L718" s="52"/>
      <c r="M718" s="52"/>
      <c r="N718" s="52"/>
      <c r="O718" s="200"/>
      <c r="P718" s="200"/>
      <c r="Q718" s="1"/>
      <c r="R718" s="1"/>
      <c r="S718" s="1"/>
      <c r="T718" s="1"/>
      <c r="U718" s="1"/>
      <c r="V718" s="1"/>
    </row>
    <row r="719" ht="15.75" customHeight="1">
      <c r="A719" s="53"/>
      <c r="B719" s="54" t="s">
        <v>18</v>
      </c>
      <c r="C719" s="197" t="s">
        <v>336</v>
      </c>
      <c r="D719" s="198" t="s">
        <v>22</v>
      </c>
      <c r="E719" s="201" t="s">
        <v>424</v>
      </c>
      <c r="F719" s="56">
        <v>1.0</v>
      </c>
      <c r="G719" s="159">
        <v>34.2</v>
      </c>
      <c r="H719" s="57">
        <f t="shared" si="20"/>
        <v>34.2</v>
      </c>
      <c r="I719" s="58"/>
      <c r="J719" s="58"/>
      <c r="K719" s="13"/>
      <c r="L719" s="54"/>
      <c r="M719" s="54"/>
      <c r="N719" s="54"/>
      <c r="O719" s="202"/>
      <c r="P719" s="202"/>
      <c r="Q719" s="1"/>
      <c r="R719" s="1"/>
      <c r="S719" s="1"/>
      <c r="T719" s="1"/>
      <c r="U719" s="1"/>
      <c r="V719" s="1"/>
    </row>
    <row r="720" ht="15.75" customHeight="1">
      <c r="A720" s="53"/>
      <c r="B720" s="54" t="s">
        <v>18</v>
      </c>
      <c r="C720" s="197" t="s">
        <v>589</v>
      </c>
      <c r="D720" s="198" t="s">
        <v>22</v>
      </c>
      <c r="E720" s="204" t="s">
        <v>590</v>
      </c>
      <c r="F720" s="56">
        <v>1.0</v>
      </c>
      <c r="G720" s="159">
        <v>38.4</v>
      </c>
      <c r="H720" s="57">
        <f t="shared" si="20"/>
        <v>38.4</v>
      </c>
      <c r="I720" s="58"/>
      <c r="J720" s="58"/>
      <c r="K720" s="54"/>
      <c r="L720" s="54"/>
      <c r="M720" s="54"/>
      <c r="N720" s="54"/>
      <c r="O720" s="202"/>
      <c r="P720" s="202"/>
      <c r="Q720" s="1"/>
      <c r="R720" s="1"/>
      <c r="S720" s="1"/>
      <c r="T720" s="1"/>
      <c r="U720" s="1"/>
      <c r="V720" s="1"/>
    </row>
    <row r="721" ht="15.75" hidden="1" customHeight="1">
      <c r="A721" s="53"/>
      <c r="B721" s="54" t="s">
        <v>18</v>
      </c>
      <c r="C721" s="197" t="s">
        <v>344</v>
      </c>
      <c r="D721" s="198" t="s">
        <v>22</v>
      </c>
      <c r="E721" s="205" t="s">
        <v>345</v>
      </c>
      <c r="F721" s="158">
        <v>0.0</v>
      </c>
      <c r="G721" s="57">
        <v>19.0</v>
      </c>
      <c r="H721" s="57">
        <f t="shared" si="20"/>
        <v>0</v>
      </c>
      <c r="I721" s="58"/>
      <c r="J721" s="58"/>
      <c r="K721" s="54"/>
      <c r="L721" s="54"/>
      <c r="M721" s="54"/>
      <c r="N721" s="54"/>
      <c r="O721" s="202"/>
      <c r="P721" s="202"/>
      <c r="Q721" s="1"/>
      <c r="R721" s="1"/>
      <c r="S721" s="1"/>
      <c r="T721" s="1"/>
      <c r="U721" s="1"/>
      <c r="V721" s="1"/>
    </row>
    <row r="722" ht="15.75" hidden="1" customHeight="1">
      <c r="A722" s="53"/>
      <c r="B722" s="54" t="s">
        <v>18</v>
      </c>
      <c r="C722" s="197" t="s">
        <v>591</v>
      </c>
      <c r="D722" s="198" t="s">
        <v>22</v>
      </c>
      <c r="E722" s="54" t="s">
        <v>592</v>
      </c>
      <c r="F722" s="56">
        <v>0.0</v>
      </c>
      <c r="G722" s="57">
        <v>17.99</v>
      </c>
      <c r="H722" s="57">
        <f t="shared" si="20"/>
        <v>0</v>
      </c>
      <c r="I722" s="58"/>
      <c r="J722" s="58"/>
      <c r="K722" s="54"/>
      <c r="L722" s="54"/>
      <c r="M722" s="54"/>
      <c r="N722" s="54"/>
      <c r="O722" s="202"/>
      <c r="P722" s="202"/>
      <c r="Q722" s="1"/>
      <c r="R722" s="1"/>
      <c r="S722" s="1"/>
      <c r="T722" s="1"/>
      <c r="U722" s="1"/>
      <c r="V722" s="1"/>
    </row>
    <row r="723" ht="15.75" hidden="1" customHeight="1">
      <c r="A723" s="15"/>
      <c r="B723" s="52" t="s">
        <v>18</v>
      </c>
      <c r="C723" s="196" t="s">
        <v>340</v>
      </c>
      <c r="D723" s="150" t="s">
        <v>22</v>
      </c>
      <c r="E723" s="52"/>
      <c r="F723" s="48">
        <v>0.0</v>
      </c>
      <c r="G723" s="50">
        <v>29.69</v>
      </c>
      <c r="H723" s="50">
        <f t="shared" si="20"/>
        <v>0</v>
      </c>
      <c r="I723" s="51"/>
      <c r="J723" s="51"/>
      <c r="K723" s="52"/>
      <c r="L723" s="52"/>
      <c r="M723" s="52"/>
      <c r="N723" s="52"/>
      <c r="O723" s="200"/>
      <c r="P723" s="200"/>
      <c r="Q723" s="1"/>
      <c r="R723" s="1"/>
      <c r="S723" s="1"/>
      <c r="T723" s="1"/>
      <c r="U723" s="1"/>
      <c r="V723" s="1"/>
    </row>
    <row r="724" ht="15.75" hidden="1" customHeight="1">
      <c r="A724" s="53"/>
      <c r="B724" s="54" t="s">
        <v>18</v>
      </c>
      <c r="C724" s="197" t="s">
        <v>341</v>
      </c>
      <c r="D724" s="198" t="s">
        <v>22</v>
      </c>
      <c r="E724" s="54" t="s">
        <v>337</v>
      </c>
      <c r="F724" s="56">
        <v>0.0</v>
      </c>
      <c r="G724" s="57">
        <v>29.99</v>
      </c>
      <c r="H724" s="57">
        <f t="shared" si="20"/>
        <v>0</v>
      </c>
      <c r="I724" s="58"/>
      <c r="J724" s="58"/>
      <c r="K724" s="54"/>
      <c r="L724" s="54"/>
      <c r="M724" s="54"/>
      <c r="N724" s="54"/>
      <c r="O724" s="202"/>
      <c r="P724" s="202"/>
      <c r="Q724" s="1"/>
      <c r="R724" s="1"/>
      <c r="S724" s="1"/>
      <c r="T724" s="1"/>
      <c r="U724" s="1"/>
      <c r="V724" s="1"/>
    </row>
    <row r="725" ht="15.75" hidden="1" customHeight="1">
      <c r="A725" s="53"/>
      <c r="B725" s="54" t="s">
        <v>18</v>
      </c>
      <c r="C725" s="197" t="s">
        <v>342</v>
      </c>
      <c r="D725" s="198" t="s">
        <v>22</v>
      </c>
      <c r="E725" s="54" t="s">
        <v>343</v>
      </c>
      <c r="F725" s="56">
        <v>0.0</v>
      </c>
      <c r="G725" s="57">
        <v>17.99</v>
      </c>
      <c r="H725" s="57">
        <f t="shared" si="20"/>
        <v>0</v>
      </c>
      <c r="I725" s="58"/>
      <c r="J725" s="58"/>
      <c r="K725" s="54"/>
      <c r="L725" s="54"/>
      <c r="M725" s="54"/>
      <c r="N725" s="54"/>
      <c r="O725" s="202"/>
      <c r="P725" s="202"/>
      <c r="Q725" s="1"/>
      <c r="R725" s="1"/>
      <c r="S725" s="1"/>
      <c r="T725" s="1"/>
      <c r="U725" s="1"/>
      <c r="V725" s="1"/>
    </row>
    <row r="726" ht="15.75" hidden="1" customHeight="1">
      <c r="A726" s="53"/>
      <c r="B726" s="54" t="s">
        <v>18</v>
      </c>
      <c r="C726" s="197" t="s">
        <v>593</v>
      </c>
      <c r="D726" s="198" t="s">
        <v>22</v>
      </c>
      <c r="E726" s="54" t="s">
        <v>594</v>
      </c>
      <c r="F726" s="56">
        <v>0.0</v>
      </c>
      <c r="G726" s="57">
        <v>16.99</v>
      </c>
      <c r="H726" s="57">
        <f t="shared" si="20"/>
        <v>0</v>
      </c>
      <c r="I726" s="58"/>
      <c r="J726" s="58"/>
      <c r="K726" s="54"/>
      <c r="L726" s="54"/>
      <c r="M726" s="54"/>
      <c r="N726" s="54"/>
      <c r="O726" s="202"/>
      <c r="P726" s="202"/>
      <c r="Q726" s="1"/>
      <c r="R726" s="1"/>
      <c r="S726" s="1"/>
      <c r="T726" s="1"/>
      <c r="U726" s="1"/>
      <c r="V726" s="1"/>
    </row>
    <row r="727" ht="15.75" hidden="1" customHeight="1">
      <c r="A727" s="13"/>
      <c r="B727" s="206" t="s">
        <v>18</v>
      </c>
      <c r="C727" s="197" t="s">
        <v>346</v>
      </c>
      <c r="D727" s="198" t="s">
        <v>22</v>
      </c>
      <c r="E727" s="205" t="s">
        <v>347</v>
      </c>
      <c r="F727" s="158">
        <v>0.0</v>
      </c>
      <c r="G727" s="57">
        <v>35.0</v>
      </c>
      <c r="H727" s="57">
        <f t="shared" si="20"/>
        <v>0</v>
      </c>
      <c r="I727" s="18"/>
      <c r="J727" s="18"/>
      <c r="K727" s="13"/>
      <c r="L727" s="13"/>
      <c r="M727" s="13"/>
      <c r="N727" s="13"/>
      <c r="O727" s="19"/>
      <c r="P727" s="19"/>
      <c r="Q727" s="35"/>
      <c r="R727" s="35"/>
      <c r="S727" s="35"/>
      <c r="T727" s="1"/>
      <c r="U727" s="1"/>
      <c r="V727" s="1"/>
    </row>
    <row r="728" ht="15.75" hidden="1" customHeight="1">
      <c r="A728" s="13"/>
      <c r="B728" s="13" t="s">
        <v>18</v>
      </c>
      <c r="C728" s="196" t="s">
        <v>348</v>
      </c>
      <c r="D728" s="150" t="s">
        <v>22</v>
      </c>
      <c r="E728" s="52" t="s">
        <v>595</v>
      </c>
      <c r="F728" s="48">
        <v>0.0</v>
      </c>
      <c r="G728" s="50">
        <v>20.0</v>
      </c>
      <c r="H728" s="50">
        <f t="shared" si="20"/>
        <v>0</v>
      </c>
      <c r="I728" s="18"/>
      <c r="J728" s="18"/>
      <c r="K728" s="13"/>
      <c r="L728" s="13"/>
      <c r="M728" s="13"/>
      <c r="N728" s="13"/>
      <c r="O728" s="13"/>
      <c r="P728" s="13"/>
      <c r="Q728" s="35"/>
      <c r="R728" s="35"/>
      <c r="S728" s="35"/>
      <c r="T728" s="1"/>
      <c r="U728" s="1"/>
      <c r="V728" s="1"/>
    </row>
    <row r="729" ht="15.75" hidden="1" customHeight="1">
      <c r="A729" s="13"/>
      <c r="B729" s="13" t="s">
        <v>350</v>
      </c>
      <c r="C729" s="196" t="s">
        <v>351</v>
      </c>
      <c r="D729" s="150" t="s">
        <v>22</v>
      </c>
      <c r="E729" s="207" t="s">
        <v>352</v>
      </c>
      <c r="F729" s="48">
        <v>0.0</v>
      </c>
      <c r="G729" s="49">
        <v>420.0</v>
      </c>
      <c r="H729" s="50">
        <f t="shared" si="20"/>
        <v>0</v>
      </c>
      <c r="I729" s="18"/>
      <c r="J729" s="18"/>
      <c r="K729" s="13"/>
      <c r="L729" s="13"/>
      <c r="M729" s="13"/>
      <c r="N729" s="13"/>
      <c r="O729" s="13"/>
      <c r="P729" s="13"/>
      <c r="Q729" s="35"/>
      <c r="R729" s="35"/>
      <c r="S729" s="35"/>
      <c r="T729" s="1"/>
      <c r="U729" s="1"/>
      <c r="V729" s="1"/>
    </row>
    <row r="730" ht="15.75" hidden="1" customHeight="1">
      <c r="A730" s="13"/>
      <c r="B730" s="206" t="s">
        <v>350</v>
      </c>
      <c r="C730" s="197" t="s">
        <v>353</v>
      </c>
      <c r="D730" s="198" t="s">
        <v>22</v>
      </c>
      <c r="E730" s="208" t="s">
        <v>352</v>
      </c>
      <c r="F730" s="56">
        <v>0.0</v>
      </c>
      <c r="G730" s="159">
        <v>172.0</v>
      </c>
      <c r="H730" s="57">
        <f t="shared" si="20"/>
        <v>0</v>
      </c>
      <c r="I730" s="18"/>
      <c r="J730" s="18"/>
      <c r="K730" s="13"/>
      <c r="L730" s="13"/>
      <c r="M730" s="19"/>
      <c r="N730" s="13"/>
      <c r="O730" s="19"/>
      <c r="P730" s="19"/>
      <c r="Q730" s="35"/>
      <c r="R730" s="35"/>
      <c r="S730" s="35"/>
      <c r="T730" s="1"/>
      <c r="U730" s="1"/>
      <c r="V730" s="1"/>
    </row>
    <row r="731" ht="15.75" hidden="1" customHeight="1">
      <c r="A731" s="13"/>
      <c r="B731" s="206"/>
      <c r="C731" s="197" t="s">
        <v>354</v>
      </c>
      <c r="D731" s="198" t="s">
        <v>22</v>
      </c>
      <c r="E731" s="208" t="s">
        <v>352</v>
      </c>
      <c r="F731" s="56">
        <v>0.0</v>
      </c>
      <c r="G731" s="159">
        <v>97.0</v>
      </c>
      <c r="H731" s="57">
        <f t="shared" si="20"/>
        <v>0</v>
      </c>
      <c r="I731" s="18"/>
      <c r="J731" s="18"/>
      <c r="K731" s="13"/>
      <c r="L731" s="27"/>
      <c r="M731" s="28"/>
      <c r="N731" s="27"/>
      <c r="O731" s="28"/>
      <c r="P731" s="27"/>
      <c r="Q731" s="35"/>
      <c r="R731" s="35"/>
      <c r="S731" s="35"/>
      <c r="T731" s="1"/>
      <c r="U731" s="1"/>
      <c r="V731" s="1"/>
    </row>
    <row r="732" ht="15.75" customHeight="1">
      <c r="A732" s="13"/>
      <c r="B732" s="13" t="s">
        <v>18</v>
      </c>
      <c r="C732" s="196" t="s">
        <v>359</v>
      </c>
      <c r="D732" s="150" t="s">
        <v>22</v>
      </c>
      <c r="E732" s="199" t="s">
        <v>596</v>
      </c>
      <c r="F732" s="48">
        <v>1.0</v>
      </c>
      <c r="G732" s="49">
        <v>21.6</v>
      </c>
      <c r="H732" s="50">
        <f t="shared" si="20"/>
        <v>21.6</v>
      </c>
      <c r="I732" s="18"/>
      <c r="J732" s="18"/>
      <c r="K732" s="13"/>
      <c r="L732" s="13"/>
      <c r="M732" s="13"/>
      <c r="N732" s="13"/>
      <c r="O732" s="13"/>
      <c r="P732" s="13"/>
      <c r="Q732" s="35"/>
      <c r="R732" s="35"/>
      <c r="S732" s="35"/>
      <c r="T732" s="1"/>
      <c r="U732" s="1"/>
      <c r="V732" s="1"/>
    </row>
    <row r="733" ht="15.75" customHeight="1">
      <c r="A733" s="13"/>
      <c r="B733" s="156" t="s">
        <v>350</v>
      </c>
      <c r="C733" s="197" t="s">
        <v>355</v>
      </c>
      <c r="D733" s="198" t="s">
        <v>22</v>
      </c>
      <c r="E733" s="208" t="s">
        <v>356</v>
      </c>
      <c r="F733" s="56">
        <v>1.0</v>
      </c>
      <c r="G733" s="159">
        <v>366.0</v>
      </c>
      <c r="H733" s="57">
        <f t="shared" si="20"/>
        <v>366</v>
      </c>
      <c r="I733" s="18"/>
      <c r="J733" s="18"/>
      <c r="K733" s="13"/>
      <c r="L733" s="27"/>
      <c r="M733" s="28"/>
      <c r="N733" s="27"/>
      <c r="O733" s="28"/>
      <c r="P733" s="27"/>
      <c r="Q733" s="35"/>
      <c r="R733" s="35"/>
      <c r="S733" s="35"/>
      <c r="T733" s="1"/>
      <c r="U733" s="1"/>
      <c r="V733" s="1"/>
    </row>
    <row r="734" ht="15.75" customHeight="1">
      <c r="A734" s="13"/>
      <c r="B734" s="206" t="s">
        <v>350</v>
      </c>
      <c r="C734" s="197" t="s">
        <v>357</v>
      </c>
      <c r="D734" s="198" t="s">
        <v>22</v>
      </c>
      <c r="E734" s="208" t="s">
        <v>356</v>
      </c>
      <c r="F734" s="56">
        <v>1.0</v>
      </c>
      <c r="G734" s="159">
        <v>107.5</v>
      </c>
      <c r="H734" s="57">
        <f t="shared" si="20"/>
        <v>107.5</v>
      </c>
      <c r="I734" s="18"/>
      <c r="J734" s="18"/>
      <c r="K734" s="13"/>
      <c r="L734" s="27"/>
      <c r="M734" s="28"/>
      <c r="N734" s="27"/>
      <c r="O734" s="28"/>
      <c r="P734" s="27"/>
      <c r="Q734" s="35"/>
      <c r="R734" s="35"/>
      <c r="S734" s="35"/>
      <c r="T734" s="1"/>
      <c r="U734" s="1"/>
      <c r="V734" s="1"/>
    </row>
    <row r="735" ht="15.75" customHeight="1">
      <c r="A735" s="13"/>
      <c r="B735" s="156" t="s">
        <v>350</v>
      </c>
      <c r="C735" s="197" t="s">
        <v>358</v>
      </c>
      <c r="D735" s="198" t="s">
        <v>22</v>
      </c>
      <c r="E735" s="208" t="s">
        <v>356</v>
      </c>
      <c r="F735" s="56">
        <v>1.0</v>
      </c>
      <c r="G735" s="159">
        <v>97.0</v>
      </c>
      <c r="H735" s="57">
        <f t="shared" si="20"/>
        <v>97</v>
      </c>
      <c r="I735" s="18"/>
      <c r="J735" s="18"/>
      <c r="K735" s="13"/>
      <c r="L735" s="27"/>
      <c r="M735" s="28"/>
      <c r="N735" s="27"/>
      <c r="O735" s="28"/>
      <c r="P735" s="27"/>
      <c r="Q735" s="35"/>
      <c r="R735" s="35"/>
      <c r="S735" s="35"/>
      <c r="T735" s="1"/>
      <c r="U735" s="1"/>
      <c r="V735" s="1"/>
    </row>
    <row r="736" ht="15.75" hidden="1" customHeight="1">
      <c r="A736" s="13"/>
      <c r="B736" s="13" t="s">
        <v>361</v>
      </c>
      <c r="C736" s="169" t="s">
        <v>362</v>
      </c>
      <c r="D736" s="66" t="s">
        <v>22</v>
      </c>
      <c r="E736" s="15" t="s">
        <v>363</v>
      </c>
      <c r="F736" s="16">
        <v>0.0</v>
      </c>
      <c r="G736" s="17">
        <v>11.0</v>
      </c>
      <c r="H736" s="17">
        <f t="shared" si="20"/>
        <v>0</v>
      </c>
      <c r="I736" s="18"/>
      <c r="J736" s="18"/>
      <c r="K736" s="13"/>
      <c r="L736" s="95"/>
      <c r="M736" s="96"/>
      <c r="N736" s="95"/>
      <c r="O736" s="95"/>
      <c r="P736" s="95"/>
      <c r="Q736" s="35"/>
      <c r="R736" s="35"/>
      <c r="S736" s="35"/>
      <c r="T736" s="1"/>
      <c r="U736" s="1"/>
      <c r="V736" s="1"/>
    </row>
    <row r="737" ht="15.75" customHeight="1">
      <c r="A737" s="13"/>
      <c r="B737" s="13" t="s">
        <v>361</v>
      </c>
      <c r="C737" s="169" t="s">
        <v>364</v>
      </c>
      <c r="D737" s="66" t="s">
        <v>22</v>
      </c>
      <c r="E737" s="15" t="s">
        <v>365</v>
      </c>
      <c r="F737" s="16">
        <v>4.0</v>
      </c>
      <c r="G737" s="17">
        <v>6.0</v>
      </c>
      <c r="H737" s="17">
        <f t="shared" si="20"/>
        <v>24</v>
      </c>
      <c r="I737" s="18"/>
      <c r="J737" s="18"/>
      <c r="K737" s="13"/>
      <c r="L737" s="95"/>
      <c r="M737" s="96"/>
      <c r="N737" s="95"/>
      <c r="O737" s="95"/>
      <c r="P737" s="95"/>
      <c r="Q737" s="35"/>
      <c r="R737" s="35"/>
      <c r="S737" s="35"/>
      <c r="T737" s="1"/>
      <c r="U737" s="1"/>
      <c r="V737" s="1"/>
    </row>
    <row r="738" ht="15.75" customHeight="1">
      <c r="A738" s="13"/>
      <c r="B738" s="43" t="s">
        <v>39</v>
      </c>
      <c r="C738" s="169" t="s">
        <v>263</v>
      </c>
      <c r="D738" s="66" t="s">
        <v>22</v>
      </c>
      <c r="E738" s="15"/>
      <c r="F738" s="16">
        <v>2.0</v>
      </c>
      <c r="G738" s="17">
        <v>180.0</v>
      </c>
      <c r="H738" s="17">
        <f t="shared" si="20"/>
        <v>360</v>
      </c>
      <c r="I738" s="18"/>
      <c r="J738" s="18"/>
      <c r="K738" s="13"/>
      <c r="L738" s="13"/>
      <c r="M738" s="19"/>
      <c r="N738" s="13"/>
      <c r="O738" s="19"/>
      <c r="P738" s="19"/>
      <c r="Q738" s="35"/>
      <c r="R738" s="35"/>
      <c r="S738" s="35"/>
      <c r="T738" s="1"/>
      <c r="U738" s="1"/>
      <c r="V738" s="1"/>
    </row>
    <row r="739" ht="15.75" customHeight="1">
      <c r="A739" s="13"/>
      <c r="B739" s="43" t="s">
        <v>56</v>
      </c>
      <c r="C739" s="13" t="s">
        <v>67</v>
      </c>
      <c r="D739" s="70" t="s">
        <v>24</v>
      </c>
      <c r="E739" s="15"/>
      <c r="F739" s="16">
        <v>2.0</v>
      </c>
      <c r="G739" s="17">
        <v>18.0</v>
      </c>
      <c r="H739" s="17">
        <f t="shared" si="20"/>
        <v>36</v>
      </c>
      <c r="I739" s="18"/>
      <c r="J739" s="18"/>
      <c r="K739" s="13"/>
      <c r="L739" s="63"/>
      <c r="M739" s="79"/>
      <c r="N739" s="63"/>
      <c r="O739" s="79"/>
      <c r="P739" s="79"/>
      <c r="Q739" s="35"/>
      <c r="R739" s="35"/>
      <c r="S739" s="35"/>
      <c r="T739" s="1"/>
      <c r="U739" s="1"/>
      <c r="V739" s="1"/>
    </row>
    <row r="740" ht="15.75" customHeight="1">
      <c r="A740" s="13"/>
      <c r="B740" s="43" t="s">
        <v>88</v>
      </c>
      <c r="C740" s="54" t="s">
        <v>411</v>
      </c>
      <c r="D740" s="14" t="s">
        <v>20</v>
      </c>
      <c r="E740" s="171" t="s">
        <v>412</v>
      </c>
      <c r="F740" s="16">
        <v>1.0</v>
      </c>
      <c r="G740" s="34">
        <v>334.0</v>
      </c>
      <c r="H740" s="17">
        <f t="shared" si="20"/>
        <v>334</v>
      </c>
      <c r="I740" s="18"/>
      <c r="J740" s="18"/>
      <c r="K740" s="13"/>
      <c r="L740" s="13"/>
      <c r="M740" s="19"/>
      <c r="N740" s="13"/>
      <c r="O740" s="38"/>
      <c r="P740" s="19"/>
      <c r="Q740" s="35"/>
      <c r="R740" s="35"/>
      <c r="S740" s="35"/>
      <c r="T740" s="1"/>
      <c r="U740" s="1"/>
      <c r="V740" s="1"/>
    </row>
    <row r="741" ht="15.75" customHeight="1">
      <c r="A741" s="13"/>
      <c r="B741" s="13" t="s">
        <v>18</v>
      </c>
      <c r="C741" s="169" t="s">
        <v>280</v>
      </c>
      <c r="D741" s="14" t="s">
        <v>20</v>
      </c>
      <c r="E741" s="15" t="s">
        <v>597</v>
      </c>
      <c r="F741" s="16">
        <v>1.0</v>
      </c>
      <c r="G741" s="34">
        <v>20.0</v>
      </c>
      <c r="H741" s="17">
        <f t="shared" si="20"/>
        <v>20</v>
      </c>
      <c r="I741" s="18"/>
      <c r="J741" s="18"/>
      <c r="K741" s="13"/>
      <c r="L741" s="27"/>
      <c r="M741" s="27"/>
      <c r="N741" s="27"/>
      <c r="O741" s="27"/>
      <c r="P741" s="27"/>
      <c r="Q741" s="35"/>
      <c r="R741" s="35"/>
      <c r="S741" s="35"/>
      <c r="T741" s="1"/>
      <c r="U741" s="1"/>
      <c r="V741" s="1"/>
    </row>
    <row r="742" ht="15.75" customHeight="1">
      <c r="A742" s="13"/>
      <c r="B742" s="43" t="s">
        <v>56</v>
      </c>
      <c r="C742" s="169" t="s">
        <v>282</v>
      </c>
      <c r="D742" s="70" t="s">
        <v>24</v>
      </c>
      <c r="E742" s="15"/>
      <c r="F742" s="16">
        <v>1.0</v>
      </c>
      <c r="G742" s="17">
        <v>80.0</v>
      </c>
      <c r="H742" s="17">
        <f t="shared" si="20"/>
        <v>80</v>
      </c>
      <c r="I742" s="18"/>
      <c r="J742" s="18"/>
      <c r="K742" s="13"/>
      <c r="L742" s="63"/>
      <c r="M742" s="63"/>
      <c r="N742" s="63"/>
      <c r="O742" s="63"/>
      <c r="P742" s="63"/>
      <c r="Q742" s="35"/>
      <c r="R742" s="35"/>
      <c r="S742" s="35"/>
      <c r="T742" s="1"/>
      <c r="U742" s="1"/>
      <c r="V742" s="1"/>
    </row>
    <row r="743" ht="15.75" hidden="1" customHeight="1">
      <c r="A743" s="13"/>
      <c r="B743" s="13" t="s">
        <v>18</v>
      </c>
      <c r="C743" s="169" t="s">
        <v>283</v>
      </c>
      <c r="D743" s="14" t="s">
        <v>20</v>
      </c>
      <c r="E743" s="15" t="s">
        <v>284</v>
      </c>
      <c r="F743" s="16">
        <v>0.0</v>
      </c>
      <c r="G743" s="17">
        <v>12.0</v>
      </c>
      <c r="H743" s="17">
        <f t="shared" si="20"/>
        <v>0</v>
      </c>
      <c r="I743" s="18"/>
      <c r="J743" s="18"/>
      <c r="K743" s="13"/>
      <c r="L743" s="27"/>
      <c r="M743" s="28"/>
      <c r="N743" s="27"/>
      <c r="O743" s="28"/>
      <c r="P743" s="28"/>
      <c r="Q743" s="35"/>
      <c r="R743" s="35"/>
      <c r="S743" s="35"/>
      <c r="T743" s="1"/>
      <c r="U743" s="1"/>
      <c r="V743" s="1"/>
    </row>
    <row r="744" ht="15.75" customHeight="1">
      <c r="A744" s="13"/>
      <c r="B744" s="13" t="s">
        <v>369</v>
      </c>
      <c r="C744" s="169" t="s">
        <v>370</v>
      </c>
      <c r="D744" s="14" t="s">
        <v>20</v>
      </c>
      <c r="E744" s="15">
        <v>8.49069896E8</v>
      </c>
      <c r="F744" s="16">
        <v>1.0</v>
      </c>
      <c r="G744" s="17">
        <v>5.0</v>
      </c>
      <c r="H744" s="17">
        <f t="shared" si="20"/>
        <v>5</v>
      </c>
      <c r="I744" s="18"/>
      <c r="J744" s="18"/>
      <c r="K744" s="18"/>
      <c r="L744" s="13"/>
      <c r="M744" s="19"/>
      <c r="N744" s="13"/>
      <c r="O744" s="19"/>
      <c r="P744" s="19"/>
      <c r="Q744" s="35"/>
      <c r="R744" s="35"/>
      <c r="S744" s="35"/>
      <c r="T744" s="1"/>
      <c r="U744" s="1"/>
      <c r="V744" s="1"/>
    </row>
    <row r="745" ht="15.75" customHeight="1">
      <c r="A745" s="13"/>
      <c r="B745" s="13" t="s">
        <v>18</v>
      </c>
      <c r="C745" s="169" t="s">
        <v>371</v>
      </c>
      <c r="D745" s="14" t="s">
        <v>20</v>
      </c>
      <c r="E745" s="15" t="s">
        <v>286</v>
      </c>
      <c r="F745" s="16">
        <v>2.0</v>
      </c>
      <c r="G745" s="17">
        <v>3.0</v>
      </c>
      <c r="H745" s="17">
        <f t="shared" si="20"/>
        <v>6</v>
      </c>
      <c r="I745" s="18"/>
      <c r="J745" s="18"/>
      <c r="K745" s="13"/>
      <c r="L745" s="27"/>
      <c r="M745" s="28"/>
      <c r="N745" s="27"/>
      <c r="O745" s="28"/>
      <c r="P745" s="28"/>
      <c r="Q745" s="35"/>
      <c r="R745" s="35"/>
      <c r="S745" s="35"/>
      <c r="T745" s="1"/>
      <c r="U745" s="1"/>
      <c r="V745" s="1"/>
    </row>
    <row r="746" ht="15.75" hidden="1" customHeight="1">
      <c r="A746" s="13"/>
      <c r="B746" s="13" t="s">
        <v>373</v>
      </c>
      <c r="C746" s="169" t="s">
        <v>69</v>
      </c>
      <c r="D746" s="14" t="s">
        <v>20</v>
      </c>
      <c r="E746" s="15"/>
      <c r="F746" s="16">
        <v>0.0</v>
      </c>
      <c r="G746" s="17">
        <v>70.0</v>
      </c>
      <c r="H746" s="17">
        <f t="shared" si="20"/>
        <v>0</v>
      </c>
      <c r="I746" s="18"/>
      <c r="J746" s="18"/>
      <c r="K746" s="13"/>
      <c r="L746" s="107"/>
      <c r="M746" s="214"/>
      <c r="N746" s="13"/>
      <c r="O746" s="13"/>
      <c r="P746" s="13"/>
      <c r="Q746" s="35"/>
      <c r="R746" s="35"/>
      <c r="S746" s="35"/>
      <c r="T746" s="1"/>
      <c r="U746" s="1"/>
      <c r="V746" s="1"/>
    </row>
    <row r="747" ht="15.75" hidden="1" customHeight="1">
      <c r="A747" s="13"/>
      <c r="B747" s="13"/>
      <c r="C747" s="169" t="s">
        <v>374</v>
      </c>
      <c r="D747" s="70" t="s">
        <v>24</v>
      </c>
      <c r="E747" s="15"/>
      <c r="F747" s="16">
        <v>0.0</v>
      </c>
      <c r="G747" s="17">
        <v>70.0</v>
      </c>
      <c r="H747" s="17">
        <f t="shared" si="20"/>
        <v>0</v>
      </c>
      <c r="I747" s="18"/>
      <c r="J747" s="18"/>
      <c r="K747" s="13"/>
      <c r="L747" s="63"/>
      <c r="M747" s="63"/>
      <c r="N747" s="63"/>
      <c r="O747" s="63"/>
      <c r="P747" s="63"/>
      <c r="Q747" s="35"/>
      <c r="R747" s="35"/>
      <c r="S747" s="35"/>
      <c r="T747" s="1"/>
      <c r="U747" s="1"/>
      <c r="V747" s="1"/>
    </row>
    <row r="748" ht="15.75" hidden="1" customHeight="1">
      <c r="A748" s="13"/>
      <c r="B748" s="13"/>
      <c r="C748" s="169" t="s">
        <v>375</v>
      </c>
      <c r="D748" s="70" t="s">
        <v>24</v>
      </c>
      <c r="E748" s="15"/>
      <c r="F748" s="16">
        <v>0.0</v>
      </c>
      <c r="G748" s="17">
        <v>450.0</v>
      </c>
      <c r="H748" s="17">
        <f t="shared" si="20"/>
        <v>0</v>
      </c>
      <c r="I748" s="18"/>
      <c r="J748" s="18"/>
      <c r="K748" s="13" t="s">
        <v>376</v>
      </c>
      <c r="L748" s="63"/>
      <c r="M748" s="63"/>
      <c r="N748" s="63"/>
      <c r="O748" s="63"/>
      <c r="P748" s="63"/>
      <c r="Q748" s="35"/>
      <c r="R748" s="35"/>
      <c r="S748" s="35"/>
      <c r="T748" s="1"/>
      <c r="U748" s="1"/>
      <c r="V748" s="1"/>
    </row>
    <row r="749" ht="15.75" hidden="1" customHeight="1">
      <c r="A749" s="13"/>
      <c r="B749" s="13"/>
      <c r="C749" s="13" t="s">
        <v>71</v>
      </c>
      <c r="D749" s="213" t="s">
        <v>24</v>
      </c>
      <c r="E749" s="52"/>
      <c r="F749" s="48">
        <v>0.0</v>
      </c>
      <c r="G749" s="50">
        <v>80.0</v>
      </c>
      <c r="H749" s="50">
        <f t="shared" si="20"/>
        <v>0</v>
      </c>
      <c r="I749" s="18"/>
      <c r="J749" s="18"/>
      <c r="K749" s="13"/>
      <c r="L749" s="63"/>
      <c r="M749" s="63"/>
      <c r="N749" s="63"/>
      <c r="O749" s="63"/>
      <c r="P749" s="63"/>
      <c r="Q749" s="35"/>
      <c r="R749" s="35"/>
      <c r="S749" s="35"/>
      <c r="T749" s="1"/>
      <c r="U749" s="1"/>
      <c r="V749" s="1"/>
    </row>
    <row r="750" ht="15.75" hidden="1" customHeight="1">
      <c r="A750" s="13"/>
      <c r="B750" s="13" t="s">
        <v>18</v>
      </c>
      <c r="C750" s="13" t="s">
        <v>377</v>
      </c>
      <c r="D750" s="14" t="s">
        <v>20</v>
      </c>
      <c r="E750" s="52" t="s">
        <v>28</v>
      </c>
      <c r="F750" s="48">
        <v>0.0</v>
      </c>
      <c r="G750" s="50">
        <v>70.0</v>
      </c>
      <c r="H750" s="50">
        <f t="shared" si="20"/>
        <v>0</v>
      </c>
      <c r="I750" s="18"/>
      <c r="J750" s="18"/>
      <c r="K750" s="13"/>
      <c r="L750" s="63"/>
      <c r="M750" s="63"/>
      <c r="N750" s="63"/>
      <c r="O750" s="63"/>
      <c r="P750" s="63"/>
      <c r="Q750" s="35"/>
      <c r="R750" s="35"/>
      <c r="S750" s="35"/>
      <c r="T750" s="1"/>
      <c r="U750" s="1"/>
      <c r="V750" s="1"/>
    </row>
    <row r="751" ht="15.75" hidden="1" customHeight="1">
      <c r="A751" s="13"/>
      <c r="B751" s="13"/>
      <c r="C751" s="13" t="s">
        <v>221</v>
      </c>
      <c r="D751" s="213" t="s">
        <v>24</v>
      </c>
      <c r="E751" s="52"/>
      <c r="F751" s="48">
        <v>0.0</v>
      </c>
      <c r="G751" s="50">
        <v>50.0</v>
      </c>
      <c r="H751" s="50">
        <f t="shared" si="20"/>
        <v>0</v>
      </c>
      <c r="I751" s="18"/>
      <c r="J751" s="18"/>
      <c r="K751" s="13"/>
      <c r="L751" s="63"/>
      <c r="M751" s="63"/>
      <c r="N751" s="63"/>
      <c r="O751" s="63"/>
      <c r="P751" s="63"/>
      <c r="Q751" s="35"/>
      <c r="R751" s="35"/>
      <c r="S751" s="35"/>
      <c r="T751" s="1"/>
      <c r="U751" s="1"/>
      <c r="V751" s="1"/>
    </row>
    <row r="752" ht="15.75" hidden="1" customHeight="1">
      <c r="A752" s="13"/>
      <c r="B752" s="13"/>
      <c r="C752" s="206" t="s">
        <v>222</v>
      </c>
      <c r="D752" s="216" t="s">
        <v>24</v>
      </c>
      <c r="E752" s="54"/>
      <c r="F752" s="56">
        <v>0.0</v>
      </c>
      <c r="G752" s="57">
        <v>40.0</v>
      </c>
      <c r="H752" s="57">
        <f t="shared" si="20"/>
        <v>0</v>
      </c>
      <c r="I752" s="18"/>
      <c r="J752" s="18"/>
      <c r="K752" s="13"/>
      <c r="L752" s="63"/>
      <c r="M752" s="63"/>
      <c r="N752" s="63"/>
      <c r="O752" s="63"/>
      <c r="P752" s="63"/>
      <c r="Q752" s="35"/>
      <c r="R752" s="35"/>
      <c r="S752" s="35"/>
      <c r="T752" s="1"/>
      <c r="U752" s="1"/>
      <c r="V752" s="1"/>
    </row>
    <row r="753" ht="28.5" customHeight="1">
      <c r="A753" s="6"/>
      <c r="B753" s="172" t="s">
        <v>598</v>
      </c>
      <c r="C753" s="7">
        <f>SUM(H754:H816)</f>
        <v>4328.47</v>
      </c>
      <c r="D753" s="148"/>
      <c r="E753" s="148"/>
      <c r="F753" s="83"/>
      <c r="G753" s="82"/>
      <c r="H753" s="82"/>
      <c r="I753" s="82"/>
      <c r="J753" s="82"/>
      <c r="K753" s="83"/>
      <c r="L753" s="83"/>
      <c r="M753" s="83"/>
      <c r="N753" s="83"/>
      <c r="O753" s="83"/>
      <c r="P753" s="83"/>
      <c r="Q753" s="35"/>
      <c r="R753" s="35"/>
      <c r="S753" s="35"/>
      <c r="T753" s="1"/>
      <c r="U753" s="1"/>
      <c r="V753" s="1"/>
    </row>
    <row r="754" ht="15.75" customHeight="1">
      <c r="A754" s="13"/>
      <c r="B754" s="43" t="s">
        <v>39</v>
      </c>
      <c r="C754" s="169" t="s">
        <v>191</v>
      </c>
      <c r="D754" s="66" t="s">
        <v>22</v>
      </c>
      <c r="E754" s="15" t="s">
        <v>599</v>
      </c>
      <c r="F754" s="16">
        <v>2.0</v>
      </c>
      <c r="G754" s="34">
        <v>100.0</v>
      </c>
      <c r="H754" s="17">
        <f t="shared" ref="H754:H816" si="21">SUM(F754*G754)</f>
        <v>200</v>
      </c>
      <c r="I754" s="18"/>
      <c r="J754" s="18"/>
      <c r="K754" s="13"/>
      <c r="L754" s="13"/>
      <c r="M754" s="13"/>
      <c r="N754" s="13"/>
      <c r="O754" s="13"/>
      <c r="P754" s="13"/>
      <c r="Q754" s="35"/>
      <c r="R754" s="35"/>
      <c r="S754" s="35"/>
      <c r="T754" s="1"/>
      <c r="U754" s="1"/>
      <c r="V754" s="1"/>
    </row>
    <row r="755" ht="15.75" customHeight="1">
      <c r="A755" s="13"/>
      <c r="B755" s="13" t="s">
        <v>18</v>
      </c>
      <c r="C755" s="169" t="s">
        <v>600</v>
      </c>
      <c r="D755" s="14" t="s">
        <v>20</v>
      </c>
      <c r="E755" s="15"/>
      <c r="F755" s="16">
        <v>2.0</v>
      </c>
      <c r="G755" s="17">
        <v>5.0</v>
      </c>
      <c r="H755" s="17">
        <f t="shared" si="21"/>
        <v>10</v>
      </c>
      <c r="I755" s="18"/>
      <c r="J755" s="18"/>
      <c r="K755" s="13"/>
      <c r="L755" s="13"/>
      <c r="M755" s="19"/>
      <c r="N755" s="19"/>
      <c r="O755" s="38"/>
      <c r="P755" s="19"/>
      <c r="Q755" s="35"/>
      <c r="R755" s="35"/>
      <c r="S755" s="35"/>
      <c r="T755" s="1"/>
      <c r="U755" s="1"/>
      <c r="V755" s="1"/>
    </row>
    <row r="756" ht="15.75" customHeight="1">
      <c r="A756" s="13"/>
      <c r="B756" s="13" t="s">
        <v>18</v>
      </c>
      <c r="C756" s="169" t="s">
        <v>296</v>
      </c>
      <c r="D756" s="14" t="s">
        <v>20</v>
      </c>
      <c r="E756" s="171" t="s">
        <v>601</v>
      </c>
      <c r="F756" s="16">
        <v>1.0</v>
      </c>
      <c r="G756" s="34">
        <v>132.0</v>
      </c>
      <c r="H756" s="17">
        <f t="shared" si="21"/>
        <v>132</v>
      </c>
      <c r="I756" s="18"/>
      <c r="J756" s="18"/>
      <c r="K756" s="13"/>
      <c r="L756" s="27"/>
      <c r="M756" s="28"/>
      <c r="N756" s="27"/>
      <c r="O756" s="28"/>
      <c r="P756" s="27"/>
      <c r="Q756" s="35"/>
      <c r="R756" s="35"/>
      <c r="S756" s="35"/>
      <c r="T756" s="1"/>
      <c r="U756" s="1"/>
      <c r="V756" s="1"/>
    </row>
    <row r="757" ht="15.75" customHeight="1">
      <c r="A757" s="13"/>
      <c r="B757" s="43" t="s">
        <v>56</v>
      </c>
      <c r="C757" s="169" t="s">
        <v>298</v>
      </c>
      <c r="D757" s="70" t="s">
        <v>24</v>
      </c>
      <c r="E757" s="15"/>
      <c r="F757" s="16">
        <v>1.0</v>
      </c>
      <c r="G757" s="17">
        <v>95.0</v>
      </c>
      <c r="H757" s="17">
        <f t="shared" si="21"/>
        <v>95</v>
      </c>
      <c r="I757" s="18"/>
      <c r="J757" s="18"/>
      <c r="K757" s="13"/>
      <c r="L757" s="63"/>
      <c r="M757" s="63"/>
      <c r="N757" s="63"/>
      <c r="O757" s="63"/>
      <c r="P757" s="63"/>
      <c r="Q757" s="35"/>
      <c r="R757" s="35"/>
      <c r="S757" s="35"/>
      <c r="T757" s="1"/>
      <c r="U757" s="1"/>
      <c r="V757" s="1"/>
    </row>
    <row r="758" ht="15.75" hidden="1" customHeight="1">
      <c r="A758" s="13"/>
      <c r="B758" s="13"/>
      <c r="C758" s="169" t="s">
        <v>299</v>
      </c>
      <c r="D758" s="70" t="s">
        <v>24</v>
      </c>
      <c r="E758" s="15"/>
      <c r="F758" s="16">
        <v>0.0</v>
      </c>
      <c r="G758" s="17">
        <v>120.0</v>
      </c>
      <c r="H758" s="17">
        <f t="shared" si="21"/>
        <v>0</v>
      </c>
      <c r="I758" s="18"/>
      <c r="J758" s="18"/>
      <c r="K758" s="13"/>
      <c r="L758" s="63"/>
      <c r="M758" s="63"/>
      <c r="N758" s="63"/>
      <c r="O758" s="63"/>
      <c r="P758" s="63"/>
      <c r="Q758" s="35"/>
      <c r="R758" s="35"/>
      <c r="S758" s="35"/>
      <c r="T758" s="1"/>
      <c r="U758" s="1"/>
      <c r="V758" s="1"/>
    </row>
    <row r="759" ht="15.75" customHeight="1">
      <c r="A759" s="13"/>
      <c r="B759" s="13" t="s">
        <v>18</v>
      </c>
      <c r="C759" s="169" t="s">
        <v>300</v>
      </c>
      <c r="D759" s="14" t="s">
        <v>20</v>
      </c>
      <c r="E759" s="15"/>
      <c r="F759" s="40">
        <v>8.0</v>
      </c>
      <c r="G759" s="17">
        <v>5.0</v>
      </c>
      <c r="H759" s="17">
        <f t="shared" si="21"/>
        <v>40</v>
      </c>
      <c r="I759" s="18"/>
      <c r="J759" s="18"/>
      <c r="K759" s="13"/>
      <c r="L759" s="27"/>
      <c r="M759" s="27"/>
      <c r="N759" s="27"/>
      <c r="O759" s="27"/>
      <c r="P759" s="27"/>
      <c r="Q759" s="35"/>
      <c r="R759" s="35"/>
      <c r="S759" s="35"/>
      <c r="T759" s="1"/>
      <c r="U759" s="1"/>
      <c r="V759" s="1"/>
    </row>
    <row r="760" ht="15.75" hidden="1" customHeight="1">
      <c r="A760" s="13"/>
      <c r="B760" s="13" t="s">
        <v>18</v>
      </c>
      <c r="C760" s="169" t="s">
        <v>47</v>
      </c>
      <c r="D760" s="14" t="s">
        <v>20</v>
      </c>
      <c r="E760" s="15" t="s">
        <v>602</v>
      </c>
      <c r="F760" s="16">
        <v>0.0</v>
      </c>
      <c r="G760" s="17">
        <v>60.0</v>
      </c>
      <c r="H760" s="17">
        <f t="shared" si="21"/>
        <v>0</v>
      </c>
      <c r="I760" s="18"/>
      <c r="J760" s="18"/>
      <c r="K760" s="13"/>
      <c r="L760" s="27"/>
      <c r="M760" s="27"/>
      <c r="N760" s="27"/>
      <c r="O760" s="27"/>
      <c r="P760" s="27"/>
      <c r="Q760" s="35"/>
      <c r="R760" s="35"/>
      <c r="S760" s="35"/>
      <c r="T760" s="1"/>
      <c r="U760" s="1"/>
      <c r="V760" s="1"/>
    </row>
    <row r="761" ht="15.75" hidden="1" customHeight="1">
      <c r="A761" s="13"/>
      <c r="B761" s="13"/>
      <c r="C761" s="169" t="s">
        <v>295</v>
      </c>
      <c r="D761" s="70" t="s">
        <v>24</v>
      </c>
      <c r="E761" s="15"/>
      <c r="F761" s="16">
        <v>0.0</v>
      </c>
      <c r="G761" s="17">
        <v>120.0</v>
      </c>
      <c r="H761" s="17">
        <f t="shared" si="21"/>
        <v>0</v>
      </c>
      <c r="I761" s="18"/>
      <c r="J761" s="18"/>
      <c r="K761" s="13"/>
      <c r="L761" s="27"/>
      <c r="M761" s="27"/>
      <c r="N761" s="27"/>
      <c r="O761" s="27"/>
      <c r="P761" s="27"/>
      <c r="Q761" s="35"/>
      <c r="R761" s="35"/>
      <c r="S761" s="35"/>
      <c r="T761" s="1"/>
      <c r="U761" s="1"/>
      <c r="V761" s="1"/>
    </row>
    <row r="762" ht="15.75" hidden="1" customHeight="1">
      <c r="A762" s="13"/>
      <c r="B762" s="13" t="s">
        <v>18</v>
      </c>
      <c r="C762" s="169" t="s">
        <v>301</v>
      </c>
      <c r="D762" s="14" t="s">
        <v>20</v>
      </c>
      <c r="E762" s="15" t="s">
        <v>302</v>
      </c>
      <c r="F762" s="16">
        <v>0.0</v>
      </c>
      <c r="G762" s="17">
        <v>6.2</v>
      </c>
      <c r="H762" s="17">
        <f t="shared" si="21"/>
        <v>0</v>
      </c>
      <c r="I762" s="18"/>
      <c r="J762" s="18"/>
      <c r="K762" s="13"/>
      <c r="L762" s="27"/>
      <c r="M762" s="27"/>
      <c r="N762" s="27"/>
      <c r="O762" s="27"/>
      <c r="P762" s="27"/>
      <c r="Q762" s="35"/>
      <c r="R762" s="35"/>
      <c r="S762" s="35"/>
      <c r="T762" s="1"/>
      <c r="U762" s="1"/>
      <c r="V762" s="1"/>
    </row>
    <row r="763" ht="15.75" hidden="1" customHeight="1">
      <c r="A763" s="13"/>
      <c r="B763" s="13"/>
      <c r="C763" s="169" t="s">
        <v>303</v>
      </c>
      <c r="D763" s="70" t="s">
        <v>24</v>
      </c>
      <c r="E763" s="15"/>
      <c r="F763" s="16">
        <v>0.0</v>
      </c>
      <c r="G763" s="17">
        <v>40.0</v>
      </c>
      <c r="H763" s="17">
        <f t="shared" si="21"/>
        <v>0</v>
      </c>
      <c r="I763" s="18"/>
      <c r="J763" s="18"/>
      <c r="K763" s="13"/>
      <c r="L763" s="27"/>
      <c r="M763" s="27"/>
      <c r="N763" s="27"/>
      <c r="O763" s="27"/>
      <c r="P763" s="27"/>
      <c r="Q763" s="35"/>
      <c r="R763" s="35"/>
      <c r="S763" s="35"/>
      <c r="T763" s="1"/>
      <c r="U763" s="1"/>
      <c r="V763" s="1"/>
    </row>
    <row r="764" ht="15.75" hidden="1" customHeight="1">
      <c r="A764" s="13"/>
      <c r="B764" s="13" t="s">
        <v>18</v>
      </c>
      <c r="C764" s="169" t="s">
        <v>47</v>
      </c>
      <c r="D764" s="14" t="s">
        <v>20</v>
      </c>
      <c r="E764" s="15"/>
      <c r="F764" s="16">
        <v>0.0</v>
      </c>
      <c r="G764" s="17">
        <v>0.0</v>
      </c>
      <c r="H764" s="17">
        <f t="shared" si="21"/>
        <v>0</v>
      </c>
      <c r="I764" s="18"/>
      <c r="J764" s="18"/>
      <c r="K764" s="13"/>
      <c r="L764" s="27"/>
      <c r="M764" s="27"/>
      <c r="N764" s="27"/>
      <c r="O764" s="27"/>
      <c r="P764" s="27"/>
      <c r="Q764" s="35"/>
      <c r="R764" s="35"/>
      <c r="S764" s="35"/>
      <c r="T764" s="1"/>
      <c r="U764" s="1"/>
      <c r="V764" s="1"/>
    </row>
    <row r="765" ht="15.75" hidden="1" customHeight="1">
      <c r="A765" s="13"/>
      <c r="B765" s="13"/>
      <c r="C765" s="169" t="s">
        <v>304</v>
      </c>
      <c r="D765" s="70" t="s">
        <v>24</v>
      </c>
      <c r="E765" s="15"/>
      <c r="F765" s="16">
        <v>0.0</v>
      </c>
      <c r="G765" s="17">
        <v>120.0</v>
      </c>
      <c r="H765" s="17">
        <f t="shared" si="21"/>
        <v>0</v>
      </c>
      <c r="I765" s="18"/>
      <c r="J765" s="18"/>
      <c r="K765" s="13"/>
      <c r="L765" s="27"/>
      <c r="M765" s="27"/>
      <c r="N765" s="27"/>
      <c r="O765" s="27"/>
      <c r="P765" s="27"/>
      <c r="Q765" s="35"/>
      <c r="R765" s="35"/>
      <c r="S765" s="35"/>
      <c r="T765" s="1"/>
      <c r="U765" s="1"/>
      <c r="V765" s="1"/>
    </row>
    <row r="766" ht="15.75" customHeight="1">
      <c r="A766" s="13"/>
      <c r="B766" s="13" t="s">
        <v>58</v>
      </c>
      <c r="C766" s="169" t="s">
        <v>305</v>
      </c>
      <c r="D766" s="101" t="s">
        <v>32</v>
      </c>
      <c r="E766" s="15" t="s">
        <v>60</v>
      </c>
      <c r="F766" s="16">
        <v>1.0</v>
      </c>
      <c r="G766" s="17">
        <v>0.0</v>
      </c>
      <c r="H766" s="17">
        <f t="shared" si="21"/>
        <v>0</v>
      </c>
      <c r="I766" s="18"/>
      <c r="J766" s="18"/>
      <c r="K766" s="13"/>
      <c r="L766" s="13"/>
      <c r="M766" s="13"/>
      <c r="N766" s="13"/>
      <c r="O766" s="13"/>
      <c r="P766" s="13"/>
      <c r="Q766" s="35"/>
      <c r="R766" s="35"/>
      <c r="S766" s="35"/>
      <c r="T766" s="1"/>
      <c r="U766" s="1"/>
      <c r="V766" s="1"/>
    </row>
    <row r="767" ht="15.75" customHeight="1">
      <c r="A767" s="13"/>
      <c r="B767" s="43" t="s">
        <v>217</v>
      </c>
      <c r="C767" s="169" t="s">
        <v>307</v>
      </c>
      <c r="D767" s="101" t="s">
        <v>32</v>
      </c>
      <c r="E767" s="154">
        <v>83035.0</v>
      </c>
      <c r="F767" s="40">
        <v>2.0</v>
      </c>
      <c r="G767" s="34">
        <v>303.29</v>
      </c>
      <c r="H767" s="17">
        <f t="shared" si="21"/>
        <v>606.58</v>
      </c>
      <c r="I767" s="18"/>
      <c r="J767" s="18"/>
      <c r="K767" s="43">
        <v>303.29</v>
      </c>
      <c r="L767" s="27"/>
      <c r="M767" s="28"/>
      <c r="N767" s="27"/>
      <c r="O767" s="27"/>
      <c r="P767" s="27"/>
      <c r="Q767" s="35"/>
      <c r="R767" s="35"/>
      <c r="S767" s="35"/>
      <c r="T767" s="1"/>
      <c r="U767" s="1"/>
      <c r="V767" s="1"/>
    </row>
    <row r="768" ht="15.75" customHeight="1">
      <c r="A768" s="13"/>
      <c r="B768" s="43" t="s">
        <v>217</v>
      </c>
      <c r="C768" s="169" t="s">
        <v>308</v>
      </c>
      <c r="D768" s="101" t="s">
        <v>32</v>
      </c>
      <c r="E768" s="154">
        <v>83036.0</v>
      </c>
      <c r="F768" s="16">
        <v>1.0</v>
      </c>
      <c r="G768" s="34">
        <v>789.09</v>
      </c>
      <c r="H768" s="17">
        <f t="shared" si="21"/>
        <v>789.09</v>
      </c>
      <c r="I768" s="18"/>
      <c r="J768" s="18"/>
      <c r="K768" s="43">
        <v>789.09</v>
      </c>
      <c r="L768" s="27"/>
      <c r="M768" s="28"/>
      <c r="N768" s="27"/>
      <c r="O768" s="28"/>
      <c r="P768" s="28"/>
      <c r="Q768" s="35"/>
      <c r="R768" s="35"/>
      <c r="S768" s="35"/>
      <c r="T768" s="1"/>
      <c r="U768" s="1"/>
      <c r="V768" s="1"/>
    </row>
    <row r="769" ht="15.75" hidden="1" customHeight="1">
      <c r="A769" s="130"/>
      <c r="B769" s="130" t="s">
        <v>18</v>
      </c>
      <c r="C769" s="175" t="s">
        <v>309</v>
      </c>
      <c r="D769" s="176" t="s">
        <v>20</v>
      </c>
      <c r="E769" s="177" t="s">
        <v>310</v>
      </c>
      <c r="F769" s="178">
        <v>0.0</v>
      </c>
      <c r="G769" s="179">
        <v>15.0</v>
      </c>
      <c r="H769" s="179">
        <f t="shared" si="21"/>
        <v>0</v>
      </c>
      <c r="I769" s="180"/>
      <c r="J769" s="180"/>
      <c r="K769" s="130"/>
      <c r="L769" s="130"/>
      <c r="M769" s="181"/>
      <c r="N769" s="130"/>
      <c r="O769" s="181"/>
      <c r="P769" s="181"/>
      <c r="Q769" s="182"/>
      <c r="R769" s="182"/>
      <c r="S769" s="182"/>
      <c r="T769" s="182"/>
      <c r="U769" s="182"/>
      <c r="V769" s="182"/>
    </row>
    <row r="770" ht="15.75" hidden="1" customHeight="1">
      <c r="A770" s="130"/>
      <c r="B770" s="130" t="s">
        <v>18</v>
      </c>
      <c r="C770" s="175" t="s">
        <v>311</v>
      </c>
      <c r="D770" s="176" t="s">
        <v>20</v>
      </c>
      <c r="E770" s="177" t="s">
        <v>312</v>
      </c>
      <c r="F770" s="178">
        <v>0.0</v>
      </c>
      <c r="G770" s="179">
        <v>15.0</v>
      </c>
      <c r="H770" s="179">
        <f t="shared" si="21"/>
        <v>0</v>
      </c>
      <c r="I770" s="180"/>
      <c r="J770" s="180"/>
      <c r="K770" s="130"/>
      <c r="L770" s="130"/>
      <c r="M770" s="181"/>
      <c r="N770" s="130"/>
      <c r="O770" s="181"/>
      <c r="P770" s="181"/>
      <c r="Q770" s="182"/>
      <c r="R770" s="182"/>
      <c r="S770" s="182"/>
      <c r="T770" s="182"/>
      <c r="U770" s="182"/>
      <c r="V770" s="182"/>
    </row>
    <row r="771" ht="15.75" hidden="1" customHeight="1">
      <c r="A771" s="130"/>
      <c r="B771" s="130" t="s">
        <v>18</v>
      </c>
      <c r="C771" s="175" t="s">
        <v>313</v>
      </c>
      <c r="D771" s="176" t="s">
        <v>20</v>
      </c>
      <c r="E771" s="177" t="s">
        <v>314</v>
      </c>
      <c r="F771" s="178">
        <v>0.0</v>
      </c>
      <c r="G771" s="179">
        <v>1.6</v>
      </c>
      <c r="H771" s="179">
        <f t="shared" si="21"/>
        <v>0</v>
      </c>
      <c r="I771" s="180"/>
      <c r="J771" s="180"/>
      <c r="K771" s="130"/>
      <c r="L771" s="130"/>
      <c r="M771" s="181"/>
      <c r="N771" s="130"/>
      <c r="O771" s="181"/>
      <c r="P771" s="181"/>
      <c r="Q771" s="182"/>
      <c r="R771" s="182"/>
      <c r="S771" s="182"/>
      <c r="T771" s="182"/>
      <c r="U771" s="182"/>
      <c r="V771" s="182"/>
    </row>
    <row r="772" ht="15.75" hidden="1" customHeight="1">
      <c r="A772" s="13"/>
      <c r="B772" s="18" t="s">
        <v>18</v>
      </c>
      <c r="C772" s="169" t="s">
        <v>315</v>
      </c>
      <c r="D772" s="14" t="s">
        <v>20</v>
      </c>
      <c r="E772" s="33" t="s">
        <v>603</v>
      </c>
      <c r="F772" s="40">
        <v>0.0</v>
      </c>
      <c r="G772" s="17">
        <v>30.0</v>
      </c>
      <c r="H772" s="17">
        <f t="shared" si="21"/>
        <v>0</v>
      </c>
      <c r="I772" s="18"/>
      <c r="J772" s="18"/>
      <c r="K772" s="54"/>
      <c r="L772" s="27"/>
      <c r="M772" s="28"/>
      <c r="N772" s="27"/>
      <c r="O772" s="28"/>
      <c r="P772" s="28"/>
      <c r="Q772" s="35"/>
      <c r="R772" s="35"/>
      <c r="S772" s="35"/>
      <c r="T772" s="1"/>
      <c r="U772" s="1"/>
      <c r="V772" s="1"/>
    </row>
    <row r="773" ht="15.75" hidden="1" customHeight="1">
      <c r="A773" s="13"/>
      <c r="B773" s="166"/>
      <c r="C773" s="188" t="s">
        <v>259</v>
      </c>
      <c r="D773" s="167" t="s">
        <v>32</v>
      </c>
      <c r="E773" s="219"/>
      <c r="F773" s="190">
        <v>0.0</v>
      </c>
      <c r="G773" s="192">
        <v>0.0</v>
      </c>
      <c r="H773" s="192">
        <f t="shared" si="21"/>
        <v>0</v>
      </c>
      <c r="I773" s="193"/>
      <c r="J773" s="18"/>
      <c r="K773" s="13"/>
      <c r="L773" s="27"/>
      <c r="M773" s="28"/>
      <c r="N773" s="27"/>
      <c r="O773" s="27"/>
      <c r="P773" s="27"/>
      <c r="Q773" s="35"/>
      <c r="R773" s="35"/>
      <c r="S773" s="35"/>
      <c r="T773" s="1"/>
      <c r="U773" s="1"/>
      <c r="V773" s="1"/>
    </row>
    <row r="774" ht="15.75" hidden="1" customHeight="1">
      <c r="A774" s="13"/>
      <c r="B774" s="166" t="s">
        <v>397</v>
      </c>
      <c r="C774" s="188" t="s">
        <v>318</v>
      </c>
      <c r="D774" s="167" t="s">
        <v>32</v>
      </c>
      <c r="E774" s="219" t="s">
        <v>398</v>
      </c>
      <c r="F774" s="190">
        <v>0.0</v>
      </c>
      <c r="G774" s="192">
        <v>354.0</v>
      </c>
      <c r="H774" s="192">
        <f t="shared" si="21"/>
        <v>0</v>
      </c>
      <c r="I774" s="193"/>
      <c r="J774" s="18"/>
      <c r="K774" s="13"/>
      <c r="L774" s="13"/>
      <c r="M774" s="13"/>
      <c r="N774" s="13"/>
      <c r="O774" s="13"/>
      <c r="P774" s="13"/>
      <c r="Q774" s="35"/>
      <c r="R774" s="35"/>
      <c r="S774" s="35"/>
      <c r="T774" s="1"/>
      <c r="U774" s="1"/>
      <c r="V774" s="1"/>
    </row>
    <row r="775" ht="15.75" hidden="1" customHeight="1">
      <c r="A775" s="13"/>
      <c r="B775" s="13" t="s">
        <v>320</v>
      </c>
      <c r="C775" s="169" t="s">
        <v>321</v>
      </c>
      <c r="D775" s="66" t="s">
        <v>22</v>
      </c>
      <c r="E775" s="15"/>
      <c r="F775" s="16">
        <v>0.0</v>
      </c>
      <c r="G775" s="17">
        <v>10.0</v>
      </c>
      <c r="H775" s="17">
        <f t="shared" si="21"/>
        <v>0</v>
      </c>
      <c r="I775" s="18"/>
      <c r="J775" s="18"/>
      <c r="K775" s="13"/>
      <c r="L775" s="13"/>
      <c r="M775" s="19"/>
      <c r="N775" s="13"/>
      <c r="O775" s="13"/>
      <c r="P775" s="13"/>
      <c r="Q775" s="35"/>
      <c r="R775" s="35"/>
      <c r="S775" s="35"/>
      <c r="T775" s="1"/>
      <c r="U775" s="1"/>
      <c r="V775" s="1"/>
    </row>
    <row r="776" ht="15.75" customHeight="1">
      <c r="A776" s="13"/>
      <c r="B776" s="13" t="s">
        <v>239</v>
      </c>
      <c r="C776" s="195" t="s">
        <v>322</v>
      </c>
      <c r="D776" s="14" t="s">
        <v>20</v>
      </c>
      <c r="E776" s="15"/>
      <c r="F776" s="16">
        <v>1.0</v>
      </c>
      <c r="G776" s="34">
        <v>366.0</v>
      </c>
      <c r="H776" s="17">
        <f t="shared" si="21"/>
        <v>366</v>
      </c>
      <c r="I776" s="18"/>
      <c r="J776" s="18"/>
      <c r="K776" s="13"/>
      <c r="L776" s="13"/>
      <c r="M776" s="19"/>
      <c r="N776" s="13"/>
      <c r="O776" s="19"/>
      <c r="P776" s="19"/>
      <c r="Q776" s="35"/>
      <c r="R776" s="35"/>
      <c r="S776" s="35"/>
      <c r="T776" s="1"/>
      <c r="U776" s="1"/>
      <c r="V776" s="1"/>
    </row>
    <row r="777" ht="15.75" customHeight="1">
      <c r="A777" s="13"/>
      <c r="B777" s="43" t="s">
        <v>56</v>
      </c>
      <c r="C777" s="169" t="s">
        <v>323</v>
      </c>
      <c r="D777" s="70" t="s">
        <v>24</v>
      </c>
      <c r="E777" s="15"/>
      <c r="F777" s="16">
        <v>1.0</v>
      </c>
      <c r="G777" s="17">
        <v>80.0</v>
      </c>
      <c r="H777" s="17">
        <f t="shared" si="21"/>
        <v>80</v>
      </c>
      <c r="I777" s="18"/>
      <c r="J777" s="18"/>
      <c r="K777" s="13"/>
      <c r="L777" s="63"/>
      <c r="M777" s="63"/>
      <c r="N777" s="63"/>
      <c r="O777" s="63"/>
      <c r="P777" s="63"/>
      <c r="Q777" s="35"/>
      <c r="R777" s="35"/>
      <c r="S777" s="35"/>
      <c r="T777" s="1"/>
      <c r="U777" s="1"/>
      <c r="V777" s="1"/>
    </row>
    <row r="778" ht="15.75" customHeight="1">
      <c r="A778" s="13"/>
      <c r="B778" s="43" t="s">
        <v>56</v>
      </c>
      <c r="C778" s="169" t="s">
        <v>324</v>
      </c>
      <c r="D778" s="14" t="s">
        <v>20</v>
      </c>
      <c r="E778" s="15"/>
      <c r="F778" s="16">
        <v>1.0</v>
      </c>
      <c r="G778" s="17">
        <v>35.0</v>
      </c>
      <c r="H778" s="17">
        <f t="shared" si="21"/>
        <v>35</v>
      </c>
      <c r="I778" s="18"/>
      <c r="J778" s="18"/>
      <c r="K778" s="13"/>
      <c r="L778" s="13"/>
      <c r="M778" s="19"/>
      <c r="N778" s="13"/>
      <c r="O778" s="19"/>
      <c r="P778" s="19"/>
      <c r="Q778" s="35"/>
      <c r="R778" s="35"/>
      <c r="S778" s="35"/>
      <c r="T778" s="1"/>
      <c r="U778" s="1"/>
      <c r="V778" s="1"/>
    </row>
    <row r="779" ht="15.75" hidden="1" customHeight="1">
      <c r="A779" s="13"/>
      <c r="B779" s="13"/>
      <c r="C779" s="169" t="s">
        <v>258</v>
      </c>
      <c r="D779" s="66" t="s">
        <v>22</v>
      </c>
      <c r="E779" s="15"/>
      <c r="F779" s="16">
        <v>0.0</v>
      </c>
      <c r="G779" s="17">
        <v>150.0</v>
      </c>
      <c r="H779" s="17">
        <f t="shared" si="21"/>
        <v>0</v>
      </c>
      <c r="I779" s="18"/>
      <c r="J779" s="18"/>
      <c r="K779" s="13"/>
      <c r="L779" s="13"/>
      <c r="M779" s="19"/>
      <c r="N779" s="13"/>
      <c r="O779" s="19"/>
      <c r="P779" s="19"/>
      <c r="Q779" s="35"/>
      <c r="R779" s="35"/>
      <c r="S779" s="35"/>
      <c r="T779" s="1"/>
      <c r="U779" s="1"/>
      <c r="V779" s="1"/>
    </row>
    <row r="780" ht="15.75" customHeight="1">
      <c r="A780" s="13"/>
      <c r="B780" s="13" t="s">
        <v>18</v>
      </c>
      <c r="C780" s="196" t="s">
        <v>325</v>
      </c>
      <c r="D780" s="150" t="s">
        <v>22</v>
      </c>
      <c r="E780" s="47" t="s">
        <v>604</v>
      </c>
      <c r="F780" s="48">
        <v>1.0</v>
      </c>
      <c r="G780" s="49">
        <v>78.0</v>
      </c>
      <c r="H780" s="50">
        <f t="shared" si="21"/>
        <v>78</v>
      </c>
      <c r="I780" s="18"/>
      <c r="J780" s="18"/>
      <c r="K780" s="13"/>
      <c r="L780" s="13"/>
      <c r="M780" s="13"/>
      <c r="N780" s="13"/>
      <c r="O780" s="19"/>
      <c r="P780" s="19"/>
      <c r="Q780" s="35"/>
      <c r="R780" s="35"/>
      <c r="S780" s="35"/>
      <c r="T780" s="1"/>
      <c r="U780" s="1"/>
      <c r="V780" s="1"/>
    </row>
    <row r="781" ht="15.75" hidden="1" customHeight="1">
      <c r="A781" s="13"/>
      <c r="B781" s="13"/>
      <c r="C781" s="197" t="s">
        <v>327</v>
      </c>
      <c r="D781" s="198" t="s">
        <v>22</v>
      </c>
      <c r="E781" s="54" t="s">
        <v>328</v>
      </c>
      <c r="F781" s="56">
        <v>0.0</v>
      </c>
      <c r="G781" s="57">
        <v>321.3</v>
      </c>
      <c r="H781" s="57">
        <f t="shared" si="21"/>
        <v>0</v>
      </c>
      <c r="I781" s="18"/>
      <c r="J781" s="18"/>
      <c r="K781" s="13"/>
      <c r="L781" s="13"/>
      <c r="M781" s="13"/>
      <c r="N781" s="13"/>
      <c r="O781" s="19"/>
      <c r="P781" s="19"/>
      <c r="Q781" s="35"/>
      <c r="R781" s="35"/>
      <c r="S781" s="35"/>
      <c r="T781" s="1"/>
      <c r="U781" s="1"/>
      <c r="V781" s="1"/>
    </row>
    <row r="782" ht="15.75" customHeight="1">
      <c r="A782" s="15"/>
      <c r="B782" s="52" t="s">
        <v>18</v>
      </c>
      <c r="C782" s="196" t="s">
        <v>329</v>
      </c>
      <c r="D782" s="150" t="s">
        <v>22</v>
      </c>
      <c r="E782" s="199" t="s">
        <v>330</v>
      </c>
      <c r="F782" s="48">
        <v>2.0</v>
      </c>
      <c r="G782" s="49">
        <v>25.2</v>
      </c>
      <c r="H782" s="50">
        <f t="shared" si="21"/>
        <v>50.4</v>
      </c>
      <c r="I782" s="51"/>
      <c r="J782" s="51"/>
      <c r="K782" s="52"/>
      <c r="L782" s="52"/>
      <c r="M782" s="52"/>
      <c r="N782" s="52"/>
      <c r="O782" s="200"/>
      <c r="P782" s="200"/>
      <c r="Q782" s="1"/>
      <c r="R782" s="1"/>
      <c r="S782" s="1"/>
      <c r="T782" s="1"/>
      <c r="U782" s="1"/>
      <c r="V782" s="1"/>
    </row>
    <row r="783" ht="15.75" customHeight="1">
      <c r="A783" s="53"/>
      <c r="B783" s="54" t="s">
        <v>18</v>
      </c>
      <c r="C783" s="197" t="s">
        <v>331</v>
      </c>
      <c r="D783" s="198" t="s">
        <v>22</v>
      </c>
      <c r="E783" s="201" t="s">
        <v>332</v>
      </c>
      <c r="F783" s="56">
        <v>1.0</v>
      </c>
      <c r="G783" s="159">
        <v>48.0</v>
      </c>
      <c r="H783" s="57">
        <f t="shared" si="21"/>
        <v>48</v>
      </c>
      <c r="I783" s="58"/>
      <c r="J783" s="58"/>
      <c r="K783" s="54"/>
      <c r="L783" s="54"/>
      <c r="M783" s="54"/>
      <c r="N783" s="54"/>
      <c r="O783" s="202"/>
      <c r="P783" s="202"/>
      <c r="Q783" s="1"/>
      <c r="R783" s="1"/>
      <c r="S783" s="1"/>
      <c r="T783" s="1"/>
      <c r="U783" s="1"/>
      <c r="V783" s="1"/>
    </row>
    <row r="784" ht="15.75" customHeight="1">
      <c r="A784" s="53"/>
      <c r="B784" s="54" t="s">
        <v>18</v>
      </c>
      <c r="C784" s="203" t="s">
        <v>333</v>
      </c>
      <c r="D784" s="198" t="s">
        <v>22</v>
      </c>
      <c r="E784" s="204" t="s">
        <v>590</v>
      </c>
      <c r="F784" s="56">
        <v>1.0</v>
      </c>
      <c r="G784" s="159">
        <v>38.4</v>
      </c>
      <c r="H784" s="57">
        <f t="shared" si="21"/>
        <v>38.4</v>
      </c>
      <c r="I784" s="58"/>
      <c r="J784" s="58"/>
      <c r="K784" s="54"/>
      <c r="L784" s="54"/>
      <c r="M784" s="54"/>
      <c r="N784" s="54"/>
      <c r="O784" s="202"/>
      <c r="P784" s="202"/>
      <c r="Q784" s="1"/>
      <c r="R784" s="1"/>
      <c r="S784" s="1"/>
      <c r="T784" s="1"/>
      <c r="U784" s="1"/>
      <c r="V784" s="1"/>
    </row>
    <row r="785" ht="15.75" hidden="1" customHeight="1">
      <c r="A785" s="15"/>
      <c r="B785" s="52" t="s">
        <v>18</v>
      </c>
      <c r="C785" s="196" t="s">
        <v>335</v>
      </c>
      <c r="D785" s="150" t="s">
        <v>22</v>
      </c>
      <c r="E785" s="52"/>
      <c r="F785" s="48">
        <v>0.0</v>
      </c>
      <c r="G785" s="50">
        <v>29.69</v>
      </c>
      <c r="H785" s="50">
        <f t="shared" si="21"/>
        <v>0</v>
      </c>
      <c r="I785" s="51"/>
      <c r="J785" s="51"/>
      <c r="K785" s="52"/>
      <c r="L785" s="52"/>
      <c r="M785" s="52"/>
      <c r="N785" s="52"/>
      <c r="O785" s="200"/>
      <c r="P785" s="200"/>
      <c r="Q785" s="1"/>
      <c r="R785" s="1"/>
      <c r="S785" s="1"/>
      <c r="T785" s="1"/>
      <c r="U785" s="1"/>
      <c r="V785" s="1"/>
    </row>
    <row r="786" ht="15.75" hidden="1" customHeight="1">
      <c r="A786" s="53"/>
      <c r="B786" s="54" t="s">
        <v>18</v>
      </c>
      <c r="C786" s="197" t="s">
        <v>336</v>
      </c>
      <c r="D786" s="198" t="s">
        <v>22</v>
      </c>
      <c r="E786" s="54" t="s">
        <v>337</v>
      </c>
      <c r="F786" s="56">
        <v>0.0</v>
      </c>
      <c r="G786" s="57">
        <v>29.99</v>
      </c>
      <c r="H786" s="57">
        <f t="shared" si="21"/>
        <v>0</v>
      </c>
      <c r="I786" s="58"/>
      <c r="J786" s="58"/>
      <c r="K786" s="54"/>
      <c r="L786" s="54"/>
      <c r="M786" s="54"/>
      <c r="N786" s="54"/>
      <c r="O786" s="202"/>
      <c r="P786" s="202"/>
      <c r="Q786" s="1"/>
      <c r="R786" s="1"/>
      <c r="S786" s="1"/>
      <c r="T786" s="1"/>
      <c r="U786" s="1"/>
      <c r="V786" s="1"/>
    </row>
    <row r="787" ht="15.75" hidden="1" customHeight="1">
      <c r="A787" s="53"/>
      <c r="B787" s="54" t="s">
        <v>18</v>
      </c>
      <c r="C787" s="197" t="s">
        <v>605</v>
      </c>
      <c r="D787" s="198" t="s">
        <v>22</v>
      </c>
      <c r="E787" s="54" t="s">
        <v>339</v>
      </c>
      <c r="F787" s="56">
        <v>0.0</v>
      </c>
      <c r="G787" s="57">
        <v>16.69</v>
      </c>
      <c r="H787" s="57">
        <f t="shared" si="21"/>
        <v>0</v>
      </c>
      <c r="I787" s="58"/>
      <c r="J787" s="58"/>
      <c r="K787" s="54"/>
      <c r="L787" s="54"/>
      <c r="M787" s="54"/>
      <c r="N787" s="54"/>
      <c r="O787" s="202"/>
      <c r="P787" s="202"/>
      <c r="Q787" s="1"/>
      <c r="R787" s="1"/>
      <c r="S787" s="1"/>
      <c r="T787" s="1"/>
      <c r="U787" s="1"/>
      <c r="V787" s="1"/>
    </row>
    <row r="788" ht="15.75" hidden="1" customHeight="1">
      <c r="A788" s="53"/>
      <c r="B788" s="54" t="s">
        <v>18</v>
      </c>
      <c r="C788" s="197" t="s">
        <v>591</v>
      </c>
      <c r="D788" s="198" t="s">
        <v>22</v>
      </c>
      <c r="E788" s="54" t="s">
        <v>592</v>
      </c>
      <c r="F788" s="56">
        <v>0.0</v>
      </c>
      <c r="G788" s="57">
        <v>17.99</v>
      </c>
      <c r="H788" s="57">
        <f t="shared" si="21"/>
        <v>0</v>
      </c>
      <c r="I788" s="58"/>
      <c r="J788" s="58"/>
      <c r="K788" s="54"/>
      <c r="L788" s="54"/>
      <c r="M788" s="54"/>
      <c r="N788" s="54"/>
      <c r="O788" s="202"/>
      <c r="P788" s="202"/>
      <c r="Q788" s="1"/>
      <c r="R788" s="1"/>
      <c r="S788" s="1"/>
      <c r="T788" s="1"/>
      <c r="U788" s="1"/>
      <c r="V788" s="1"/>
    </row>
    <row r="789" ht="15.75" hidden="1" customHeight="1">
      <c r="A789" s="15"/>
      <c r="B789" s="52" t="s">
        <v>18</v>
      </c>
      <c r="C789" s="196" t="s">
        <v>340</v>
      </c>
      <c r="D789" s="150" t="s">
        <v>22</v>
      </c>
      <c r="E789" s="52"/>
      <c r="F789" s="48">
        <v>0.0</v>
      </c>
      <c r="G789" s="50">
        <v>29.69</v>
      </c>
      <c r="H789" s="50">
        <f t="shared" si="21"/>
        <v>0</v>
      </c>
      <c r="I789" s="51"/>
      <c r="J789" s="51"/>
      <c r="K789" s="52"/>
      <c r="L789" s="52"/>
      <c r="M789" s="52"/>
      <c r="N789" s="52"/>
      <c r="O789" s="200"/>
      <c r="P789" s="200"/>
      <c r="Q789" s="1"/>
      <c r="R789" s="1"/>
      <c r="S789" s="1"/>
      <c r="T789" s="1"/>
      <c r="U789" s="1"/>
      <c r="V789" s="1"/>
    </row>
    <row r="790" ht="15.75" hidden="1" customHeight="1">
      <c r="A790" s="53"/>
      <c r="B790" s="54" t="s">
        <v>18</v>
      </c>
      <c r="C790" s="197" t="s">
        <v>341</v>
      </c>
      <c r="D790" s="198" t="s">
        <v>22</v>
      </c>
      <c r="E790" s="54" t="s">
        <v>337</v>
      </c>
      <c r="F790" s="56">
        <v>0.0</v>
      </c>
      <c r="G790" s="57">
        <v>29.99</v>
      </c>
      <c r="H790" s="57">
        <f t="shared" si="21"/>
        <v>0</v>
      </c>
      <c r="I790" s="58"/>
      <c r="J790" s="58"/>
      <c r="K790" s="54"/>
      <c r="L790" s="54"/>
      <c r="M790" s="54"/>
      <c r="N790" s="54"/>
      <c r="O790" s="202"/>
      <c r="P790" s="202"/>
      <c r="Q790" s="1"/>
      <c r="R790" s="1"/>
      <c r="S790" s="1"/>
      <c r="T790" s="1"/>
      <c r="U790" s="1"/>
      <c r="V790" s="1"/>
    </row>
    <row r="791" ht="15.75" hidden="1" customHeight="1">
      <c r="A791" s="53"/>
      <c r="B791" s="54" t="s">
        <v>18</v>
      </c>
      <c r="C791" s="197" t="s">
        <v>342</v>
      </c>
      <c r="D791" s="198" t="s">
        <v>22</v>
      </c>
      <c r="E791" s="54" t="s">
        <v>343</v>
      </c>
      <c r="F791" s="56">
        <v>0.0</v>
      </c>
      <c r="G791" s="57">
        <v>17.99</v>
      </c>
      <c r="H791" s="57">
        <f t="shared" si="21"/>
        <v>0</v>
      </c>
      <c r="I791" s="58"/>
      <c r="J791" s="58"/>
      <c r="K791" s="54"/>
      <c r="L791" s="54"/>
      <c r="M791" s="54"/>
      <c r="N791" s="54"/>
      <c r="O791" s="202"/>
      <c r="P791" s="202"/>
      <c r="Q791" s="1"/>
      <c r="R791" s="1"/>
      <c r="S791" s="1"/>
      <c r="T791" s="1"/>
      <c r="U791" s="1"/>
      <c r="V791" s="1"/>
    </row>
    <row r="792" ht="15.75" hidden="1" customHeight="1">
      <c r="A792" s="53"/>
      <c r="B792" s="54" t="s">
        <v>18</v>
      </c>
      <c r="C792" s="197" t="s">
        <v>593</v>
      </c>
      <c r="D792" s="198" t="s">
        <v>22</v>
      </c>
      <c r="E792" s="54" t="s">
        <v>594</v>
      </c>
      <c r="F792" s="56">
        <v>0.0</v>
      </c>
      <c r="G792" s="57">
        <v>16.99</v>
      </c>
      <c r="H792" s="57">
        <f t="shared" si="21"/>
        <v>0</v>
      </c>
      <c r="I792" s="58"/>
      <c r="J792" s="58"/>
      <c r="K792" s="54"/>
      <c r="L792" s="54"/>
      <c r="M792" s="54"/>
      <c r="N792" s="54"/>
      <c r="O792" s="202"/>
      <c r="P792" s="202"/>
      <c r="Q792" s="1"/>
      <c r="R792" s="1"/>
      <c r="S792" s="1"/>
      <c r="T792" s="1"/>
      <c r="U792" s="1"/>
      <c r="V792" s="1"/>
    </row>
    <row r="793" ht="15.75" hidden="1" customHeight="1">
      <c r="A793" s="53"/>
      <c r="B793" s="54" t="s">
        <v>18</v>
      </c>
      <c r="C793" s="197" t="s">
        <v>344</v>
      </c>
      <c r="D793" s="198" t="s">
        <v>22</v>
      </c>
      <c r="E793" s="205" t="s">
        <v>345</v>
      </c>
      <c r="F793" s="158">
        <v>0.0</v>
      </c>
      <c r="G793" s="57">
        <v>19.0</v>
      </c>
      <c r="H793" s="57">
        <f t="shared" si="21"/>
        <v>0</v>
      </c>
      <c r="I793" s="58"/>
      <c r="J793" s="58"/>
      <c r="K793" s="54"/>
      <c r="L793" s="54"/>
      <c r="M793" s="54"/>
      <c r="N793" s="54"/>
      <c r="O793" s="202"/>
      <c r="P793" s="202"/>
      <c r="Q793" s="1"/>
      <c r="R793" s="1"/>
      <c r="S793" s="1"/>
      <c r="T793" s="1"/>
      <c r="U793" s="1"/>
      <c r="V793" s="1"/>
    </row>
    <row r="794" ht="15.75" hidden="1" customHeight="1">
      <c r="A794" s="13"/>
      <c r="B794" s="206" t="s">
        <v>18</v>
      </c>
      <c r="C794" s="197" t="s">
        <v>346</v>
      </c>
      <c r="D794" s="198" t="s">
        <v>22</v>
      </c>
      <c r="E794" s="205" t="s">
        <v>347</v>
      </c>
      <c r="F794" s="158">
        <v>0.0</v>
      </c>
      <c r="G794" s="57">
        <v>35.0</v>
      </c>
      <c r="H794" s="57">
        <f t="shared" si="21"/>
        <v>0</v>
      </c>
      <c r="I794" s="18"/>
      <c r="J794" s="18"/>
      <c r="K794" s="13"/>
      <c r="L794" s="13"/>
      <c r="M794" s="13"/>
      <c r="N794" s="13"/>
      <c r="O794" s="19"/>
      <c r="P794" s="19"/>
      <c r="Q794" s="35"/>
      <c r="R794" s="35"/>
      <c r="S794" s="35"/>
      <c r="T794" s="1"/>
      <c r="U794" s="1"/>
      <c r="V794" s="1"/>
    </row>
    <row r="795" ht="15.75" customHeight="1">
      <c r="A795" s="13"/>
      <c r="B795" s="13" t="s">
        <v>18</v>
      </c>
      <c r="C795" s="196" t="s">
        <v>348</v>
      </c>
      <c r="D795" s="150" t="s">
        <v>22</v>
      </c>
      <c r="E795" s="199" t="s">
        <v>349</v>
      </c>
      <c r="F795" s="48">
        <v>1.0</v>
      </c>
      <c r="G795" s="49">
        <v>24.0</v>
      </c>
      <c r="H795" s="50">
        <f t="shared" si="21"/>
        <v>24</v>
      </c>
      <c r="I795" s="18"/>
      <c r="J795" s="18"/>
      <c r="K795" s="13"/>
      <c r="L795" s="13"/>
      <c r="M795" s="13"/>
      <c r="N795" s="13"/>
      <c r="O795" s="13"/>
      <c r="P795" s="13"/>
      <c r="Q795" s="35"/>
      <c r="R795" s="35"/>
      <c r="S795" s="35"/>
      <c r="T795" s="1"/>
      <c r="U795" s="1"/>
      <c r="V795" s="1"/>
    </row>
    <row r="796" ht="15.75" customHeight="1">
      <c r="A796" s="13"/>
      <c r="B796" s="13" t="s">
        <v>350</v>
      </c>
      <c r="C796" s="196" t="s">
        <v>351</v>
      </c>
      <c r="D796" s="150" t="s">
        <v>22</v>
      </c>
      <c r="E796" s="207" t="s">
        <v>352</v>
      </c>
      <c r="F796" s="48">
        <v>1.0</v>
      </c>
      <c r="G796" s="49">
        <v>420.0</v>
      </c>
      <c r="H796" s="50">
        <f t="shared" si="21"/>
        <v>420</v>
      </c>
      <c r="I796" s="18"/>
      <c r="J796" s="18"/>
      <c r="K796" s="13"/>
      <c r="L796" s="13"/>
      <c r="M796" s="13"/>
      <c r="N796" s="13"/>
      <c r="O796" s="13"/>
      <c r="P796" s="13"/>
      <c r="Q796" s="35"/>
      <c r="R796" s="35"/>
      <c r="S796" s="35"/>
      <c r="T796" s="1"/>
      <c r="U796" s="1"/>
      <c r="V796" s="1"/>
    </row>
    <row r="797" ht="15.75" customHeight="1">
      <c r="A797" s="13"/>
      <c r="B797" s="13" t="s">
        <v>350</v>
      </c>
      <c r="C797" s="197" t="s">
        <v>353</v>
      </c>
      <c r="D797" s="198" t="s">
        <v>22</v>
      </c>
      <c r="E797" s="208" t="s">
        <v>352</v>
      </c>
      <c r="F797" s="56">
        <v>1.0</v>
      </c>
      <c r="G797" s="159">
        <v>172.0</v>
      </c>
      <c r="H797" s="57">
        <f t="shared" si="21"/>
        <v>172</v>
      </c>
      <c r="I797" s="18"/>
      <c r="J797" s="18"/>
      <c r="K797" s="13"/>
      <c r="L797" s="13"/>
      <c r="M797" s="19"/>
      <c r="N797" s="13"/>
      <c r="O797" s="19"/>
      <c r="P797" s="19"/>
      <c r="Q797" s="35"/>
      <c r="R797" s="35"/>
      <c r="S797" s="35"/>
      <c r="T797" s="1"/>
      <c r="U797" s="1"/>
      <c r="V797" s="1"/>
    </row>
    <row r="798" ht="15.75" customHeight="1">
      <c r="A798" s="13"/>
      <c r="B798" s="13" t="s">
        <v>350</v>
      </c>
      <c r="C798" s="197" t="s">
        <v>354</v>
      </c>
      <c r="D798" s="198" t="s">
        <v>22</v>
      </c>
      <c r="E798" s="208" t="s">
        <v>352</v>
      </c>
      <c r="F798" s="56">
        <v>1.0</v>
      </c>
      <c r="G798" s="159">
        <v>97.0</v>
      </c>
      <c r="H798" s="57">
        <f t="shared" si="21"/>
        <v>97</v>
      </c>
      <c r="I798" s="18"/>
      <c r="J798" s="18"/>
      <c r="K798" s="13"/>
      <c r="L798" s="27"/>
      <c r="M798" s="28"/>
      <c r="N798" s="27"/>
      <c r="O798" s="28"/>
      <c r="P798" s="27"/>
      <c r="Q798" s="35"/>
      <c r="R798" s="35"/>
      <c r="S798" s="35"/>
      <c r="T798" s="1"/>
      <c r="U798" s="1"/>
      <c r="V798" s="1"/>
    </row>
    <row r="799" ht="15.75" hidden="1" customHeight="1">
      <c r="A799" s="13"/>
      <c r="B799" s="156" t="s">
        <v>350</v>
      </c>
      <c r="C799" s="197" t="s">
        <v>355</v>
      </c>
      <c r="D799" s="198" t="s">
        <v>22</v>
      </c>
      <c r="E799" s="208" t="s">
        <v>356</v>
      </c>
      <c r="F799" s="56">
        <v>0.0</v>
      </c>
      <c r="G799" s="159">
        <v>366.0</v>
      </c>
      <c r="H799" s="57">
        <f t="shared" si="21"/>
        <v>0</v>
      </c>
      <c r="I799" s="18"/>
      <c r="J799" s="18"/>
      <c r="K799" s="13"/>
      <c r="L799" s="27"/>
      <c r="M799" s="28"/>
      <c r="N799" s="27"/>
      <c r="O799" s="28"/>
      <c r="P799" s="27"/>
      <c r="Q799" s="35"/>
      <c r="R799" s="35"/>
      <c r="S799" s="35"/>
      <c r="T799" s="1"/>
      <c r="U799" s="1"/>
      <c r="V799" s="1"/>
    </row>
    <row r="800" ht="15.75" hidden="1" customHeight="1">
      <c r="A800" s="13"/>
      <c r="B800" s="206" t="s">
        <v>350</v>
      </c>
      <c r="C800" s="197" t="s">
        <v>357</v>
      </c>
      <c r="D800" s="198" t="s">
        <v>22</v>
      </c>
      <c r="E800" s="208" t="s">
        <v>356</v>
      </c>
      <c r="F800" s="56">
        <v>0.0</v>
      </c>
      <c r="G800" s="159">
        <v>107.5</v>
      </c>
      <c r="H800" s="57">
        <f t="shared" si="21"/>
        <v>0</v>
      </c>
      <c r="I800" s="18"/>
      <c r="J800" s="18"/>
      <c r="K800" s="13"/>
      <c r="L800" s="27"/>
      <c r="M800" s="28"/>
      <c r="N800" s="27"/>
      <c r="O800" s="28"/>
      <c r="P800" s="27"/>
      <c r="Q800" s="35"/>
      <c r="R800" s="35"/>
      <c r="S800" s="35"/>
      <c r="T800" s="1"/>
      <c r="U800" s="1"/>
      <c r="V800" s="1"/>
    </row>
    <row r="801" ht="15.75" hidden="1" customHeight="1">
      <c r="A801" s="13"/>
      <c r="B801" s="156" t="s">
        <v>350</v>
      </c>
      <c r="C801" s="197" t="s">
        <v>358</v>
      </c>
      <c r="D801" s="198" t="s">
        <v>22</v>
      </c>
      <c r="E801" s="208" t="s">
        <v>356</v>
      </c>
      <c r="F801" s="56">
        <v>0.0</v>
      </c>
      <c r="G801" s="159">
        <v>97.0</v>
      </c>
      <c r="H801" s="57">
        <f t="shared" si="21"/>
        <v>0</v>
      </c>
      <c r="I801" s="18"/>
      <c r="J801" s="18"/>
      <c r="K801" s="13"/>
      <c r="L801" s="27"/>
      <c r="M801" s="28"/>
      <c r="N801" s="27"/>
      <c r="O801" s="28"/>
      <c r="P801" s="27"/>
      <c r="Q801" s="35"/>
      <c r="R801" s="35"/>
      <c r="S801" s="35"/>
      <c r="T801" s="1"/>
      <c r="U801" s="1"/>
      <c r="V801" s="1"/>
    </row>
    <row r="802" ht="15.75" hidden="1" customHeight="1">
      <c r="A802" s="13"/>
      <c r="B802" s="13" t="s">
        <v>18</v>
      </c>
      <c r="C802" s="196" t="s">
        <v>359</v>
      </c>
      <c r="D802" s="150" t="s">
        <v>22</v>
      </c>
      <c r="E802" s="52" t="s">
        <v>360</v>
      </c>
      <c r="F802" s="48">
        <v>0.0</v>
      </c>
      <c r="G802" s="50">
        <v>18.0</v>
      </c>
      <c r="H802" s="50">
        <f t="shared" si="21"/>
        <v>0</v>
      </c>
      <c r="I802" s="18"/>
      <c r="J802" s="18"/>
      <c r="K802" s="13"/>
      <c r="L802" s="27"/>
      <c r="M802" s="28"/>
      <c r="N802" s="27"/>
      <c r="O802" s="28"/>
      <c r="P802" s="27"/>
      <c r="Q802" s="35"/>
      <c r="R802" s="35"/>
      <c r="S802" s="35"/>
      <c r="T802" s="1"/>
      <c r="U802" s="1"/>
      <c r="V802" s="1"/>
    </row>
    <row r="803" ht="15.75" customHeight="1">
      <c r="A803" s="13"/>
      <c r="B803" s="13" t="s">
        <v>361</v>
      </c>
      <c r="C803" s="169" t="s">
        <v>362</v>
      </c>
      <c r="D803" s="66" t="s">
        <v>22</v>
      </c>
      <c r="E803" s="15" t="s">
        <v>363</v>
      </c>
      <c r="F803" s="16">
        <v>4.0</v>
      </c>
      <c r="G803" s="17">
        <v>11.0</v>
      </c>
      <c r="H803" s="17">
        <f t="shared" si="21"/>
        <v>44</v>
      </c>
      <c r="I803" s="18"/>
      <c r="J803" s="18"/>
      <c r="K803" s="13"/>
      <c r="L803" s="95"/>
      <c r="M803" s="96"/>
      <c r="N803" s="95"/>
      <c r="O803" s="95"/>
      <c r="P803" s="95"/>
      <c r="Q803" s="35"/>
      <c r="R803" s="35"/>
      <c r="S803" s="35"/>
      <c r="T803" s="1"/>
      <c r="U803" s="1"/>
      <c r="V803" s="1"/>
    </row>
    <row r="804" ht="15.75" hidden="1" customHeight="1">
      <c r="A804" s="13"/>
      <c r="B804" s="13" t="s">
        <v>361</v>
      </c>
      <c r="C804" s="169" t="s">
        <v>364</v>
      </c>
      <c r="D804" s="66" t="s">
        <v>22</v>
      </c>
      <c r="E804" s="15" t="s">
        <v>365</v>
      </c>
      <c r="F804" s="16">
        <v>0.0</v>
      </c>
      <c r="G804" s="17">
        <v>6.0</v>
      </c>
      <c r="H804" s="17">
        <f t="shared" si="21"/>
        <v>0</v>
      </c>
      <c r="I804" s="18"/>
      <c r="J804" s="18"/>
      <c r="K804" s="13"/>
      <c r="L804" s="95"/>
      <c r="M804" s="96"/>
      <c r="N804" s="95"/>
      <c r="O804" s="95"/>
      <c r="P804" s="95"/>
      <c r="Q804" s="35"/>
      <c r="R804" s="35"/>
      <c r="S804" s="35"/>
      <c r="T804" s="1"/>
      <c r="U804" s="1"/>
      <c r="V804" s="1"/>
    </row>
    <row r="805" ht="15.75" customHeight="1">
      <c r="A805" s="13"/>
      <c r="B805" s="43" t="s">
        <v>39</v>
      </c>
      <c r="C805" s="169" t="s">
        <v>263</v>
      </c>
      <c r="D805" s="66" t="s">
        <v>22</v>
      </c>
      <c r="E805" s="15"/>
      <c r="F805" s="16">
        <v>1.0</v>
      </c>
      <c r="G805" s="17">
        <v>180.0</v>
      </c>
      <c r="H805" s="17">
        <f t="shared" si="21"/>
        <v>180</v>
      </c>
      <c r="I805" s="18"/>
      <c r="J805" s="18"/>
      <c r="K805" s="13"/>
      <c r="L805" s="13"/>
      <c r="M805" s="19"/>
      <c r="N805" s="13"/>
      <c r="O805" s="19"/>
      <c r="P805" s="19"/>
      <c r="Q805" s="35"/>
      <c r="R805" s="35"/>
      <c r="S805" s="35"/>
      <c r="T805" s="1"/>
      <c r="U805" s="1"/>
      <c r="V805" s="1"/>
    </row>
    <row r="806" ht="15.75" customHeight="1">
      <c r="A806" s="13"/>
      <c r="B806" s="43" t="s">
        <v>56</v>
      </c>
      <c r="C806" s="13" t="s">
        <v>67</v>
      </c>
      <c r="D806" s="70" t="s">
        <v>24</v>
      </c>
      <c r="E806" s="15"/>
      <c r="F806" s="16">
        <v>1.0</v>
      </c>
      <c r="G806" s="17">
        <v>18.0</v>
      </c>
      <c r="H806" s="17">
        <f t="shared" si="21"/>
        <v>18</v>
      </c>
      <c r="I806" s="18"/>
      <c r="J806" s="18"/>
      <c r="K806" s="13"/>
      <c r="L806" s="63"/>
      <c r="M806" s="79"/>
      <c r="N806" s="63"/>
      <c r="O806" s="79"/>
      <c r="P806" s="79"/>
      <c r="Q806" s="35"/>
      <c r="R806" s="35"/>
      <c r="S806" s="35"/>
      <c r="T806" s="1"/>
      <c r="U806" s="1"/>
      <c r="V806" s="1"/>
    </row>
    <row r="807" ht="15.75" customHeight="1">
      <c r="A807" s="13"/>
      <c r="B807" s="43" t="s">
        <v>88</v>
      </c>
      <c r="C807" s="54" t="s">
        <v>411</v>
      </c>
      <c r="D807" s="14" t="s">
        <v>20</v>
      </c>
      <c r="E807" s="171" t="s">
        <v>412</v>
      </c>
      <c r="F807" s="16">
        <v>1.0</v>
      </c>
      <c r="G807" s="34">
        <v>334.0</v>
      </c>
      <c r="H807" s="17">
        <f t="shared" si="21"/>
        <v>334</v>
      </c>
      <c r="I807" s="18"/>
      <c r="J807" s="18"/>
      <c r="K807" s="13"/>
      <c r="L807" s="13"/>
      <c r="M807" s="19"/>
      <c r="N807" s="13"/>
      <c r="O807" s="38"/>
      <c r="P807" s="19"/>
      <c r="Q807" s="35"/>
      <c r="R807" s="35"/>
      <c r="S807" s="35"/>
      <c r="T807" s="1"/>
      <c r="U807" s="1"/>
      <c r="V807" s="1"/>
    </row>
    <row r="808" ht="15.75" customHeight="1">
      <c r="A808" s="13"/>
      <c r="B808" s="13" t="s">
        <v>18</v>
      </c>
      <c r="C808" s="169" t="s">
        <v>280</v>
      </c>
      <c r="D808" s="14" t="s">
        <v>20</v>
      </c>
      <c r="E808" s="15" t="s">
        <v>606</v>
      </c>
      <c r="F808" s="16">
        <v>1.0</v>
      </c>
      <c r="G808" s="34">
        <v>20.0</v>
      </c>
      <c r="H808" s="17">
        <f t="shared" si="21"/>
        <v>20</v>
      </c>
      <c r="I808" s="18"/>
      <c r="J808" s="18"/>
      <c r="K808" s="13"/>
      <c r="L808" s="27"/>
      <c r="M808" s="27"/>
      <c r="N808" s="27"/>
      <c r="O808" s="27"/>
      <c r="P808" s="27"/>
      <c r="Q808" s="35"/>
      <c r="R808" s="35"/>
      <c r="S808" s="35"/>
      <c r="T808" s="1"/>
      <c r="U808" s="1"/>
      <c r="V808" s="1"/>
    </row>
    <row r="809" ht="15.75" customHeight="1">
      <c r="A809" s="13"/>
      <c r="B809" s="43" t="s">
        <v>56</v>
      </c>
      <c r="C809" s="169" t="s">
        <v>282</v>
      </c>
      <c r="D809" s="70" t="s">
        <v>24</v>
      </c>
      <c r="E809" s="15"/>
      <c r="F809" s="16">
        <v>1.0</v>
      </c>
      <c r="G809" s="17">
        <v>80.0</v>
      </c>
      <c r="H809" s="17">
        <f t="shared" si="21"/>
        <v>80</v>
      </c>
      <c r="I809" s="18"/>
      <c r="J809" s="18"/>
      <c r="K809" s="13"/>
      <c r="L809" s="63"/>
      <c r="M809" s="63"/>
      <c r="N809" s="63"/>
      <c r="O809" s="63"/>
      <c r="P809" s="63"/>
      <c r="Q809" s="35"/>
      <c r="R809" s="35"/>
      <c r="S809" s="35"/>
      <c r="T809" s="1"/>
      <c r="U809" s="1"/>
      <c r="V809" s="1"/>
    </row>
    <row r="810" ht="15.75" hidden="1" customHeight="1">
      <c r="A810" s="13"/>
      <c r="B810" s="13" t="s">
        <v>18</v>
      </c>
      <c r="C810" s="169" t="s">
        <v>283</v>
      </c>
      <c r="D810" s="14" t="s">
        <v>20</v>
      </c>
      <c r="E810" s="15" t="s">
        <v>284</v>
      </c>
      <c r="F810" s="16">
        <v>0.0</v>
      </c>
      <c r="G810" s="17">
        <v>12.0</v>
      </c>
      <c r="H810" s="17">
        <f t="shared" si="21"/>
        <v>0</v>
      </c>
      <c r="I810" s="18"/>
      <c r="J810" s="18"/>
      <c r="K810" s="13"/>
      <c r="L810" s="27"/>
      <c r="M810" s="28"/>
      <c r="N810" s="27"/>
      <c r="O810" s="28"/>
      <c r="P810" s="28"/>
      <c r="Q810" s="35"/>
      <c r="R810" s="35"/>
      <c r="S810" s="35"/>
      <c r="T810" s="1"/>
      <c r="U810" s="1"/>
      <c r="V810" s="1"/>
    </row>
    <row r="811" ht="15.75" customHeight="1">
      <c r="A811" s="13"/>
      <c r="B811" s="13" t="s">
        <v>369</v>
      </c>
      <c r="C811" s="169" t="s">
        <v>370</v>
      </c>
      <c r="D811" s="14" t="s">
        <v>20</v>
      </c>
      <c r="E811" s="15">
        <v>8.49069896E8</v>
      </c>
      <c r="F811" s="16">
        <v>1.0</v>
      </c>
      <c r="G811" s="17">
        <v>5.0</v>
      </c>
      <c r="H811" s="17">
        <f t="shared" si="21"/>
        <v>5</v>
      </c>
      <c r="I811" s="18"/>
      <c r="J811" s="18"/>
      <c r="K811" s="18"/>
      <c r="L811" s="13"/>
      <c r="M811" s="19"/>
      <c r="N811" s="13"/>
      <c r="O811" s="19"/>
      <c r="P811" s="19"/>
      <c r="Q811" s="35"/>
      <c r="R811" s="35"/>
      <c r="S811" s="35"/>
      <c r="T811" s="1"/>
      <c r="U811" s="1"/>
      <c r="V811" s="1"/>
    </row>
    <row r="812" ht="15.75" customHeight="1">
      <c r="A812" s="13"/>
      <c r="B812" s="13" t="s">
        <v>18</v>
      </c>
      <c r="C812" s="169" t="s">
        <v>371</v>
      </c>
      <c r="D812" s="14" t="s">
        <v>20</v>
      </c>
      <c r="E812" s="15" t="s">
        <v>286</v>
      </c>
      <c r="F812" s="16">
        <v>2.0</v>
      </c>
      <c r="G812" s="17">
        <v>3.0</v>
      </c>
      <c r="H812" s="17">
        <f t="shared" si="21"/>
        <v>6</v>
      </c>
      <c r="I812" s="18"/>
      <c r="J812" s="18"/>
      <c r="K812" s="13"/>
      <c r="L812" s="27"/>
      <c r="M812" s="28"/>
      <c r="N812" s="27"/>
      <c r="O812" s="28"/>
      <c r="P812" s="28"/>
      <c r="Q812" s="35"/>
      <c r="R812" s="35"/>
      <c r="S812" s="35"/>
      <c r="T812" s="1"/>
      <c r="U812" s="1"/>
      <c r="V812" s="1"/>
    </row>
    <row r="813" ht="15.75" customHeight="1">
      <c r="A813" s="13"/>
      <c r="B813" s="237" t="s">
        <v>18</v>
      </c>
      <c r="C813" s="269" t="s">
        <v>69</v>
      </c>
      <c r="D813" s="14" t="s">
        <v>20</v>
      </c>
      <c r="E813" s="210"/>
      <c r="F813" s="228">
        <v>1.0</v>
      </c>
      <c r="G813" s="265">
        <v>70.0</v>
      </c>
      <c r="H813" s="265">
        <f t="shared" si="21"/>
        <v>70</v>
      </c>
      <c r="I813" s="239"/>
      <c r="J813" s="239"/>
      <c r="K813" s="54"/>
      <c r="L813" s="107"/>
      <c r="M813" s="214"/>
      <c r="N813" s="13"/>
      <c r="O813" s="13"/>
      <c r="P813" s="13"/>
      <c r="Q813" s="35"/>
      <c r="R813" s="35"/>
      <c r="S813" s="35"/>
      <c r="T813" s="1"/>
      <c r="U813" s="1"/>
      <c r="V813" s="1"/>
    </row>
    <row r="814" ht="15.75" customHeight="1">
      <c r="A814" s="13"/>
      <c r="B814" s="43" t="s">
        <v>56</v>
      </c>
      <c r="C814" s="169" t="s">
        <v>374</v>
      </c>
      <c r="D814" s="70" t="s">
        <v>24</v>
      </c>
      <c r="E814" s="15"/>
      <c r="F814" s="40">
        <v>1.0</v>
      </c>
      <c r="G814" s="17">
        <v>70.0</v>
      </c>
      <c r="H814" s="17">
        <f t="shared" si="21"/>
        <v>70</v>
      </c>
      <c r="I814" s="18"/>
      <c r="J814" s="18"/>
      <c r="K814" s="13"/>
      <c r="L814" s="63"/>
      <c r="M814" s="63"/>
      <c r="N814" s="63"/>
      <c r="O814" s="63"/>
      <c r="P814" s="63"/>
      <c r="Q814" s="35"/>
      <c r="R814" s="35"/>
      <c r="S814" s="35"/>
      <c r="T814" s="1"/>
      <c r="U814" s="1"/>
      <c r="V814" s="1"/>
    </row>
    <row r="815" ht="15.75" customHeight="1">
      <c r="A815" s="13"/>
      <c r="B815" s="43" t="s">
        <v>18</v>
      </c>
      <c r="C815" s="156" t="s">
        <v>230</v>
      </c>
      <c r="D815" s="14" t="s">
        <v>20</v>
      </c>
      <c r="E815" s="157" t="s">
        <v>231</v>
      </c>
      <c r="F815" s="158">
        <v>2.0</v>
      </c>
      <c r="G815" s="159">
        <v>35.0</v>
      </c>
      <c r="H815" s="50">
        <f t="shared" si="21"/>
        <v>70</v>
      </c>
      <c r="I815" s="18"/>
      <c r="J815" s="18"/>
      <c r="K815" s="13"/>
      <c r="L815" s="63"/>
      <c r="M815" s="63"/>
      <c r="N815" s="63"/>
      <c r="O815" s="63"/>
      <c r="P815" s="63"/>
      <c r="Q815" s="35"/>
      <c r="R815" s="35"/>
      <c r="S815" s="35"/>
      <c r="T815" s="1"/>
      <c r="U815" s="1"/>
      <c r="V815" s="1"/>
    </row>
    <row r="816" ht="15.75" customHeight="1">
      <c r="A816" s="13"/>
      <c r="B816" s="43" t="s">
        <v>56</v>
      </c>
      <c r="C816" s="156" t="s">
        <v>232</v>
      </c>
      <c r="D816" s="70" t="s">
        <v>24</v>
      </c>
      <c r="E816" s="160"/>
      <c r="F816" s="158">
        <v>1.0</v>
      </c>
      <c r="G816" s="159">
        <v>150.0</v>
      </c>
      <c r="H816" s="50">
        <f t="shared" si="21"/>
        <v>150</v>
      </c>
      <c r="I816" s="18"/>
      <c r="J816" s="18"/>
      <c r="K816" s="13"/>
      <c r="L816" s="63"/>
      <c r="M816" s="63"/>
      <c r="N816" s="63"/>
      <c r="O816" s="63"/>
      <c r="P816" s="63"/>
      <c r="Q816" s="35"/>
      <c r="R816" s="35"/>
      <c r="S816" s="35"/>
      <c r="T816" s="1"/>
      <c r="U816" s="1"/>
      <c r="V816" s="1"/>
    </row>
    <row r="817" ht="28.5" customHeight="1">
      <c r="A817" s="6"/>
      <c r="B817" s="172" t="s">
        <v>607</v>
      </c>
      <c r="C817" s="7">
        <f>SUM(H818:H843)</f>
        <v>4359.07</v>
      </c>
      <c r="D817" s="148"/>
      <c r="E817" s="148"/>
      <c r="F817" s="83"/>
      <c r="G817" s="82"/>
      <c r="H817" s="82"/>
      <c r="I817" s="82"/>
      <c r="J817" s="82"/>
      <c r="K817" s="83"/>
      <c r="L817" s="83"/>
      <c r="M817" s="83"/>
      <c r="N817" s="83"/>
      <c r="O817" s="83"/>
      <c r="P817" s="83"/>
      <c r="Q817" s="35"/>
      <c r="R817" s="35"/>
      <c r="S817" s="35"/>
      <c r="T817" s="1"/>
      <c r="U817" s="1"/>
      <c r="V817" s="1"/>
    </row>
    <row r="818" ht="15.75" customHeight="1">
      <c r="A818" s="13"/>
      <c r="B818" s="43" t="s">
        <v>39</v>
      </c>
      <c r="C818" s="169" t="s">
        <v>191</v>
      </c>
      <c r="D818" s="66" t="s">
        <v>22</v>
      </c>
      <c r="E818" s="15"/>
      <c r="F818" s="40">
        <v>2.0</v>
      </c>
      <c r="G818" s="34">
        <v>100.0</v>
      </c>
      <c r="H818" s="17">
        <f t="shared" ref="H818:H930" si="22">SUM(F818*G818)</f>
        <v>200</v>
      </c>
      <c r="I818" s="18"/>
      <c r="J818" s="18"/>
      <c r="K818" s="13"/>
      <c r="L818" s="13"/>
      <c r="M818" s="13"/>
      <c r="N818" s="13"/>
      <c r="O818" s="13"/>
      <c r="P818" s="13"/>
      <c r="Q818" s="35"/>
      <c r="R818" s="35"/>
      <c r="S818" s="35"/>
      <c r="T818" s="1"/>
      <c r="U818" s="1"/>
      <c r="V818" s="1"/>
    </row>
    <row r="819" ht="15.75" customHeight="1">
      <c r="A819" s="13"/>
      <c r="B819" s="13" t="s">
        <v>18</v>
      </c>
      <c r="C819" s="169" t="s">
        <v>294</v>
      </c>
      <c r="D819" s="14" t="s">
        <v>20</v>
      </c>
      <c r="E819" s="15"/>
      <c r="F819" s="40">
        <v>2.0</v>
      </c>
      <c r="G819" s="17">
        <v>5.0</v>
      </c>
      <c r="H819" s="17">
        <f t="shared" si="22"/>
        <v>10</v>
      </c>
      <c r="I819" s="18"/>
      <c r="J819" s="18"/>
      <c r="K819" s="13"/>
      <c r="L819" s="13"/>
      <c r="M819" s="19"/>
      <c r="N819" s="19"/>
      <c r="O819" s="38"/>
      <c r="P819" s="19"/>
      <c r="Q819" s="35"/>
      <c r="R819" s="35"/>
      <c r="S819" s="35"/>
      <c r="T819" s="1"/>
      <c r="U819" s="1"/>
      <c r="V819" s="1"/>
    </row>
    <row r="820" ht="15.75" customHeight="1">
      <c r="A820" s="13"/>
      <c r="B820" s="13" t="s">
        <v>18</v>
      </c>
      <c r="C820" s="169" t="s">
        <v>296</v>
      </c>
      <c r="D820" s="14" t="s">
        <v>20</v>
      </c>
      <c r="E820" s="155" t="s">
        <v>608</v>
      </c>
      <c r="F820" s="16">
        <v>1.0</v>
      </c>
      <c r="G820" s="34">
        <v>75.6</v>
      </c>
      <c r="H820" s="17">
        <f t="shared" si="22"/>
        <v>75.6</v>
      </c>
      <c r="I820" s="18"/>
      <c r="J820" s="18"/>
      <c r="K820" s="13"/>
      <c r="L820" s="27"/>
      <c r="M820" s="28"/>
      <c r="N820" s="27"/>
      <c r="O820" s="28"/>
      <c r="P820" s="27"/>
      <c r="Q820" s="35"/>
      <c r="R820" s="35"/>
      <c r="S820" s="35"/>
      <c r="T820" s="1"/>
      <c r="U820" s="1"/>
      <c r="V820" s="1"/>
    </row>
    <row r="821" ht="15.75" customHeight="1">
      <c r="A821" s="13"/>
      <c r="B821" s="43" t="s">
        <v>56</v>
      </c>
      <c r="C821" s="169" t="s">
        <v>298</v>
      </c>
      <c r="D821" s="70" t="s">
        <v>24</v>
      </c>
      <c r="E821" s="15"/>
      <c r="F821" s="16">
        <v>1.0</v>
      </c>
      <c r="G821" s="17">
        <v>95.0</v>
      </c>
      <c r="H821" s="17">
        <f t="shared" si="22"/>
        <v>95</v>
      </c>
      <c r="I821" s="18"/>
      <c r="J821" s="18"/>
      <c r="K821" s="13"/>
      <c r="L821" s="63"/>
      <c r="M821" s="63"/>
      <c r="N821" s="63"/>
      <c r="O821" s="63"/>
      <c r="P821" s="63"/>
      <c r="Q821" s="35"/>
      <c r="R821" s="35"/>
      <c r="S821" s="35"/>
      <c r="T821" s="1"/>
      <c r="U821" s="1"/>
      <c r="V821" s="1"/>
    </row>
    <row r="822" ht="15.75" customHeight="1">
      <c r="A822" s="13"/>
      <c r="B822" s="13" t="s">
        <v>18</v>
      </c>
      <c r="C822" s="169" t="s">
        <v>300</v>
      </c>
      <c r="D822" s="14" t="s">
        <v>20</v>
      </c>
      <c r="E822" s="15" t="s">
        <v>609</v>
      </c>
      <c r="F822" s="16">
        <v>6.0</v>
      </c>
      <c r="G822" s="17">
        <v>5.0</v>
      </c>
      <c r="H822" s="17">
        <f t="shared" si="22"/>
        <v>30</v>
      </c>
      <c r="I822" s="18"/>
      <c r="J822" s="18"/>
      <c r="K822" s="13"/>
      <c r="L822" s="27"/>
      <c r="M822" s="27"/>
      <c r="N822" s="27"/>
      <c r="O822" s="27"/>
      <c r="P822" s="27"/>
      <c r="Q822" s="35"/>
      <c r="R822" s="35"/>
      <c r="S822" s="35"/>
      <c r="T822" s="1"/>
      <c r="U822" s="1"/>
      <c r="V822" s="1"/>
    </row>
    <row r="823" ht="15.75" customHeight="1">
      <c r="A823" s="13"/>
      <c r="B823" s="43" t="s">
        <v>610</v>
      </c>
      <c r="C823" s="169" t="s">
        <v>305</v>
      </c>
      <c r="D823" s="101" t="s">
        <v>32</v>
      </c>
      <c r="E823" s="154" t="s">
        <v>611</v>
      </c>
      <c r="F823" s="16">
        <v>1.0</v>
      </c>
      <c r="G823" s="34">
        <v>713.7</v>
      </c>
      <c r="H823" s="17">
        <f t="shared" si="22"/>
        <v>713.7</v>
      </c>
      <c r="I823" s="18"/>
      <c r="J823" s="18"/>
      <c r="K823" s="13"/>
      <c r="L823" s="13"/>
      <c r="M823" s="13"/>
      <c r="N823" s="13"/>
      <c r="O823" s="13"/>
      <c r="P823" s="13"/>
      <c r="Q823" s="35"/>
      <c r="R823" s="35"/>
      <c r="S823" s="35"/>
      <c r="T823" s="1"/>
      <c r="U823" s="1"/>
      <c r="V823" s="1"/>
    </row>
    <row r="824" ht="15.75" customHeight="1">
      <c r="A824" s="13"/>
      <c r="B824" s="43" t="s">
        <v>217</v>
      </c>
      <c r="C824" s="169" t="s">
        <v>307</v>
      </c>
      <c r="D824" s="101" t="s">
        <v>32</v>
      </c>
      <c r="E824" s="154">
        <v>82499.0</v>
      </c>
      <c r="F824" s="40">
        <v>2.0</v>
      </c>
      <c r="G824" s="34">
        <v>256.74</v>
      </c>
      <c r="H824" s="17">
        <f t="shared" si="22"/>
        <v>513.48</v>
      </c>
      <c r="I824" s="18"/>
      <c r="J824" s="18"/>
      <c r="K824" s="13"/>
      <c r="L824" s="27"/>
      <c r="M824" s="28"/>
      <c r="N824" s="27"/>
      <c r="O824" s="27"/>
      <c r="P824" s="27"/>
      <c r="Q824" s="35"/>
      <c r="R824" s="35"/>
      <c r="S824" s="35"/>
      <c r="T824" s="1"/>
      <c r="U824" s="1"/>
      <c r="V824" s="1"/>
    </row>
    <row r="825" ht="15.75" customHeight="1">
      <c r="A825" s="13"/>
      <c r="B825" s="43" t="s">
        <v>217</v>
      </c>
      <c r="C825" s="169" t="s">
        <v>308</v>
      </c>
      <c r="D825" s="101" t="s">
        <v>32</v>
      </c>
      <c r="E825" s="154">
        <v>82500.0</v>
      </c>
      <c r="F825" s="16">
        <v>1.0</v>
      </c>
      <c r="G825" s="34">
        <v>613.29</v>
      </c>
      <c r="H825" s="17">
        <f t="shared" si="22"/>
        <v>613.29</v>
      </c>
      <c r="I825" s="18"/>
      <c r="J825" s="18"/>
      <c r="K825" s="13"/>
      <c r="L825" s="27"/>
      <c r="M825" s="28"/>
      <c r="N825" s="27"/>
      <c r="O825" s="28"/>
      <c r="P825" s="28"/>
      <c r="Q825" s="35"/>
      <c r="R825" s="35"/>
      <c r="S825" s="35"/>
      <c r="T825" s="1"/>
      <c r="U825" s="1"/>
      <c r="V825" s="1"/>
    </row>
    <row r="826" ht="15.75" customHeight="1">
      <c r="A826" s="13"/>
      <c r="B826" s="13" t="s">
        <v>239</v>
      </c>
      <c r="C826" s="195" t="s">
        <v>322</v>
      </c>
      <c r="D826" s="14" t="s">
        <v>20</v>
      </c>
      <c r="E826" s="15"/>
      <c r="F826" s="16">
        <v>1.0</v>
      </c>
      <c r="G826" s="34">
        <v>300.0</v>
      </c>
      <c r="H826" s="17">
        <f t="shared" si="22"/>
        <v>300</v>
      </c>
      <c r="I826" s="18"/>
      <c r="J826" s="18"/>
      <c r="K826" s="13"/>
      <c r="L826" s="13"/>
      <c r="M826" s="19"/>
      <c r="N826" s="13"/>
      <c r="O826" s="19"/>
      <c r="P826" s="19"/>
      <c r="Q826" s="35"/>
      <c r="R826" s="35"/>
      <c r="S826" s="35"/>
      <c r="T826" s="1"/>
      <c r="U826" s="1"/>
      <c r="V826" s="1"/>
    </row>
    <row r="827" ht="15.75" customHeight="1">
      <c r="A827" s="13"/>
      <c r="B827" s="43" t="s">
        <v>56</v>
      </c>
      <c r="C827" s="169" t="s">
        <v>323</v>
      </c>
      <c r="D827" s="70" t="s">
        <v>24</v>
      </c>
      <c r="E827" s="15"/>
      <c r="F827" s="16">
        <v>1.0</v>
      </c>
      <c r="G827" s="34">
        <v>80.0</v>
      </c>
      <c r="H827" s="17">
        <f t="shared" si="22"/>
        <v>80</v>
      </c>
      <c r="I827" s="18"/>
      <c r="J827" s="18"/>
      <c r="K827" s="13"/>
      <c r="L827" s="63"/>
      <c r="M827" s="63"/>
      <c r="N827" s="63"/>
      <c r="O827" s="63"/>
      <c r="P827" s="63"/>
      <c r="Q827" s="35"/>
      <c r="R827" s="35"/>
      <c r="S827" s="35"/>
      <c r="T827" s="1"/>
      <c r="U827" s="1"/>
      <c r="V827" s="1"/>
    </row>
    <row r="828" ht="15.75" customHeight="1">
      <c r="A828" s="13"/>
      <c r="B828" s="43" t="s">
        <v>56</v>
      </c>
      <c r="C828" s="169" t="s">
        <v>324</v>
      </c>
      <c r="D828" s="14" t="s">
        <v>20</v>
      </c>
      <c r="E828" s="15"/>
      <c r="F828" s="16">
        <v>1.0</v>
      </c>
      <c r="G828" s="17">
        <v>35.0</v>
      </c>
      <c r="H828" s="17">
        <f t="shared" si="22"/>
        <v>35</v>
      </c>
      <c r="I828" s="18"/>
      <c r="J828" s="18"/>
      <c r="K828" s="13"/>
      <c r="L828" s="13"/>
      <c r="M828" s="19"/>
      <c r="N828" s="13"/>
      <c r="O828" s="19"/>
      <c r="P828" s="19"/>
      <c r="Q828" s="35"/>
      <c r="R828" s="35"/>
      <c r="S828" s="35"/>
      <c r="T828" s="1"/>
      <c r="U828" s="1"/>
      <c r="V828" s="1"/>
    </row>
    <row r="829" ht="15.75" customHeight="1">
      <c r="A829" s="13"/>
      <c r="B829" s="13" t="s">
        <v>18</v>
      </c>
      <c r="C829" s="196" t="s">
        <v>325</v>
      </c>
      <c r="D829" s="150" t="s">
        <v>22</v>
      </c>
      <c r="E829" s="47" t="s">
        <v>326</v>
      </c>
      <c r="F829" s="48">
        <v>1.0</v>
      </c>
      <c r="G829" s="49">
        <v>46.8</v>
      </c>
      <c r="H829" s="50">
        <f t="shared" si="22"/>
        <v>46.8</v>
      </c>
      <c r="I829" s="18"/>
      <c r="J829" s="18"/>
      <c r="K829" s="13"/>
      <c r="L829" s="13"/>
      <c r="M829" s="13"/>
      <c r="N829" s="13"/>
      <c r="O829" s="19"/>
      <c r="P829" s="19"/>
      <c r="Q829" s="35"/>
      <c r="R829" s="35"/>
      <c r="S829" s="35"/>
      <c r="T829" s="1"/>
      <c r="U829" s="1"/>
      <c r="V829" s="1"/>
    </row>
    <row r="830" ht="15.75" customHeight="1">
      <c r="A830" s="15"/>
      <c r="B830" s="52" t="s">
        <v>18</v>
      </c>
      <c r="C830" s="196" t="s">
        <v>329</v>
      </c>
      <c r="D830" s="150" t="s">
        <v>22</v>
      </c>
      <c r="E830" s="199" t="s">
        <v>330</v>
      </c>
      <c r="F830" s="48">
        <v>2.0</v>
      </c>
      <c r="G830" s="49">
        <v>25.2</v>
      </c>
      <c r="H830" s="50">
        <f t="shared" si="22"/>
        <v>50.4</v>
      </c>
      <c r="I830" s="51"/>
      <c r="J830" s="51"/>
      <c r="K830" s="52"/>
      <c r="L830" s="52"/>
      <c r="M830" s="52"/>
      <c r="N830" s="52"/>
      <c r="O830" s="200"/>
      <c r="P830" s="200"/>
      <c r="Q830" s="1"/>
      <c r="R830" s="1"/>
      <c r="S830" s="1"/>
      <c r="T830" s="1"/>
      <c r="U830" s="1"/>
      <c r="V830" s="1"/>
    </row>
    <row r="831" ht="15.75" customHeight="1">
      <c r="A831" s="53"/>
      <c r="B831" s="54" t="s">
        <v>18</v>
      </c>
      <c r="C831" s="197" t="s">
        <v>331</v>
      </c>
      <c r="D831" s="198" t="s">
        <v>22</v>
      </c>
      <c r="E831" s="201" t="s">
        <v>332</v>
      </c>
      <c r="F831" s="56">
        <v>1.0</v>
      </c>
      <c r="G831" s="159">
        <v>48.0</v>
      </c>
      <c r="H831" s="57">
        <f t="shared" si="22"/>
        <v>48</v>
      </c>
      <c r="I831" s="58"/>
      <c r="J831" s="58"/>
      <c r="K831" s="54"/>
      <c r="L831" s="54"/>
      <c r="M831" s="54"/>
      <c r="N831" s="54"/>
      <c r="O831" s="202"/>
      <c r="P831" s="202"/>
      <c r="Q831" s="1"/>
      <c r="R831" s="1"/>
      <c r="S831" s="1"/>
      <c r="T831" s="1"/>
      <c r="U831" s="1"/>
      <c r="V831" s="1"/>
    </row>
    <row r="832" ht="15.75" customHeight="1">
      <c r="A832" s="53"/>
      <c r="B832" s="54" t="s">
        <v>18</v>
      </c>
      <c r="C832" s="203" t="s">
        <v>333</v>
      </c>
      <c r="D832" s="198" t="s">
        <v>22</v>
      </c>
      <c r="E832" s="204" t="s">
        <v>334</v>
      </c>
      <c r="F832" s="56">
        <v>1.0</v>
      </c>
      <c r="G832" s="159">
        <v>46.8</v>
      </c>
      <c r="H832" s="57">
        <f t="shared" si="22"/>
        <v>46.8</v>
      </c>
      <c r="I832" s="58"/>
      <c r="J832" s="58"/>
      <c r="K832" s="54"/>
      <c r="L832" s="54"/>
      <c r="M832" s="54"/>
      <c r="N832" s="54"/>
      <c r="O832" s="202"/>
      <c r="P832" s="202"/>
      <c r="Q832" s="1"/>
      <c r="R832" s="1"/>
      <c r="S832" s="1"/>
      <c r="T832" s="1"/>
      <c r="U832" s="1"/>
      <c r="V832" s="1"/>
    </row>
    <row r="833" ht="15.75" customHeight="1">
      <c r="A833" s="53"/>
      <c r="B833" s="13" t="s">
        <v>18</v>
      </c>
      <c r="C833" s="196" t="s">
        <v>348</v>
      </c>
      <c r="D833" s="150" t="s">
        <v>22</v>
      </c>
      <c r="E833" s="199" t="s">
        <v>349</v>
      </c>
      <c r="F833" s="48">
        <v>1.0</v>
      </c>
      <c r="G833" s="49">
        <v>24.0</v>
      </c>
      <c r="H833" s="50">
        <f t="shared" si="22"/>
        <v>24</v>
      </c>
      <c r="I833" s="58"/>
      <c r="J833" s="58"/>
      <c r="K833" s="54"/>
      <c r="L833" s="54"/>
      <c r="M833" s="54"/>
      <c r="N833" s="54"/>
      <c r="O833" s="202"/>
      <c r="P833" s="202"/>
      <c r="Q833" s="1"/>
      <c r="R833" s="1"/>
      <c r="S833" s="1"/>
      <c r="T833" s="1"/>
      <c r="U833" s="1"/>
      <c r="V833" s="1"/>
    </row>
    <row r="834" ht="15.75" customHeight="1">
      <c r="A834" s="53"/>
      <c r="B834" s="13" t="s">
        <v>350</v>
      </c>
      <c r="C834" s="196" t="s">
        <v>351</v>
      </c>
      <c r="D834" s="150" t="s">
        <v>22</v>
      </c>
      <c r="E834" s="207" t="s">
        <v>352</v>
      </c>
      <c r="F834" s="48">
        <v>1.0</v>
      </c>
      <c r="G834" s="49">
        <v>420.0</v>
      </c>
      <c r="H834" s="50">
        <f t="shared" si="22"/>
        <v>420</v>
      </c>
      <c r="I834" s="58"/>
      <c r="J834" s="58"/>
      <c r="K834" s="54"/>
      <c r="L834" s="54"/>
      <c r="M834" s="54"/>
      <c r="N834" s="54"/>
      <c r="O834" s="202"/>
      <c r="P834" s="202"/>
      <c r="Q834" s="1"/>
      <c r="R834" s="1"/>
      <c r="S834" s="1"/>
      <c r="T834" s="1"/>
      <c r="U834" s="1"/>
      <c r="V834" s="1"/>
    </row>
    <row r="835" ht="15.75" customHeight="1">
      <c r="A835" s="13"/>
      <c r="B835" s="206" t="s">
        <v>350</v>
      </c>
      <c r="C835" s="197" t="s">
        <v>353</v>
      </c>
      <c r="D835" s="198" t="s">
        <v>22</v>
      </c>
      <c r="E835" s="208" t="s">
        <v>352</v>
      </c>
      <c r="F835" s="56">
        <v>1.0</v>
      </c>
      <c r="G835" s="159">
        <v>172.0</v>
      </c>
      <c r="H835" s="57">
        <f t="shared" si="22"/>
        <v>172</v>
      </c>
      <c r="I835" s="18"/>
      <c r="J835" s="18"/>
      <c r="K835" s="13"/>
      <c r="L835" s="13"/>
      <c r="M835" s="13"/>
      <c r="N835" s="13"/>
      <c r="O835" s="19"/>
      <c r="P835" s="19"/>
      <c r="Q835" s="35"/>
      <c r="R835" s="35"/>
      <c r="S835" s="35"/>
      <c r="T835" s="1"/>
      <c r="U835" s="1"/>
      <c r="V835" s="1"/>
    </row>
    <row r="836" ht="15.75" customHeight="1">
      <c r="A836" s="13"/>
      <c r="B836" s="13" t="s">
        <v>361</v>
      </c>
      <c r="C836" s="169" t="s">
        <v>362</v>
      </c>
      <c r="D836" s="66" t="s">
        <v>22</v>
      </c>
      <c r="E836" s="15" t="s">
        <v>363</v>
      </c>
      <c r="F836" s="16">
        <v>4.0</v>
      </c>
      <c r="G836" s="17">
        <v>11.0</v>
      </c>
      <c r="H836" s="17">
        <f t="shared" si="22"/>
        <v>44</v>
      </c>
      <c r="I836" s="18"/>
      <c r="J836" s="18"/>
      <c r="K836" s="13"/>
      <c r="L836" s="27"/>
      <c r="M836" s="28"/>
      <c r="N836" s="27"/>
      <c r="O836" s="28"/>
      <c r="P836" s="27"/>
      <c r="Q836" s="35"/>
      <c r="R836" s="35"/>
      <c r="S836" s="35"/>
      <c r="T836" s="1"/>
      <c r="U836" s="1"/>
      <c r="V836" s="1"/>
    </row>
    <row r="837" ht="15.75" customHeight="1">
      <c r="A837" s="13"/>
      <c r="B837" s="43" t="s">
        <v>39</v>
      </c>
      <c r="C837" s="169" t="s">
        <v>263</v>
      </c>
      <c r="D837" s="66" t="s">
        <v>22</v>
      </c>
      <c r="E837" s="15" t="s">
        <v>612</v>
      </c>
      <c r="F837" s="16">
        <v>2.0</v>
      </c>
      <c r="G837" s="17">
        <v>180.0</v>
      </c>
      <c r="H837" s="17">
        <f t="shared" si="22"/>
        <v>360</v>
      </c>
      <c r="I837" s="18"/>
      <c r="J837" s="18"/>
      <c r="K837" s="13"/>
      <c r="L837" s="27"/>
      <c r="M837" s="28"/>
      <c r="N837" s="27"/>
      <c r="O837" s="28"/>
      <c r="P837" s="27"/>
      <c r="Q837" s="35"/>
      <c r="R837" s="35"/>
      <c r="S837" s="35"/>
      <c r="T837" s="1"/>
      <c r="U837" s="1"/>
      <c r="V837" s="1"/>
    </row>
    <row r="838" ht="15.75" customHeight="1">
      <c r="A838" s="13"/>
      <c r="B838" s="43" t="s">
        <v>56</v>
      </c>
      <c r="C838" s="13" t="s">
        <v>67</v>
      </c>
      <c r="D838" s="70" t="s">
        <v>24</v>
      </c>
      <c r="E838" s="15"/>
      <c r="F838" s="16">
        <v>2.0</v>
      </c>
      <c r="G838" s="17">
        <v>18.0</v>
      </c>
      <c r="H838" s="17">
        <f t="shared" si="22"/>
        <v>36</v>
      </c>
      <c r="I838" s="18"/>
      <c r="J838" s="18"/>
      <c r="K838" s="13"/>
      <c r="L838" s="95"/>
      <c r="M838" s="96"/>
      <c r="N838" s="95"/>
      <c r="O838" s="95"/>
      <c r="P838" s="95"/>
      <c r="Q838" s="35"/>
      <c r="R838" s="35"/>
      <c r="S838" s="35"/>
      <c r="T838" s="1"/>
      <c r="U838" s="1"/>
      <c r="V838" s="1"/>
    </row>
    <row r="839" ht="15.75" customHeight="1">
      <c r="A839" s="13"/>
      <c r="B839" s="43" t="s">
        <v>88</v>
      </c>
      <c r="C839" s="195" t="s">
        <v>431</v>
      </c>
      <c r="D839" s="14" t="s">
        <v>20</v>
      </c>
      <c r="E839" s="171" t="s">
        <v>412</v>
      </c>
      <c r="F839" s="16">
        <v>1.0</v>
      </c>
      <c r="G839" s="34">
        <v>334.0</v>
      </c>
      <c r="H839" s="17">
        <f t="shared" si="22"/>
        <v>334</v>
      </c>
      <c r="I839" s="18"/>
      <c r="J839" s="18"/>
      <c r="K839" s="13"/>
      <c r="L839" s="95"/>
      <c r="M839" s="96"/>
      <c r="N839" s="95"/>
      <c r="O839" s="95"/>
      <c r="P839" s="95"/>
      <c r="Q839" s="35"/>
      <c r="R839" s="35"/>
      <c r="S839" s="35"/>
      <c r="T839" s="1"/>
      <c r="U839" s="1"/>
      <c r="V839" s="1"/>
    </row>
    <row r="840" ht="15.75" customHeight="1">
      <c r="A840" s="13"/>
      <c r="B840" s="13" t="s">
        <v>18</v>
      </c>
      <c r="C840" s="169" t="s">
        <v>280</v>
      </c>
      <c r="D840" s="14" t="s">
        <v>20</v>
      </c>
      <c r="E840" s="33" t="s">
        <v>368</v>
      </c>
      <c r="F840" s="16">
        <v>1.0</v>
      </c>
      <c r="G840" s="34">
        <v>20.0</v>
      </c>
      <c r="H840" s="17">
        <f t="shared" si="22"/>
        <v>20</v>
      </c>
      <c r="I840" s="18"/>
      <c r="J840" s="18"/>
      <c r="K840" s="13"/>
      <c r="L840" s="13"/>
      <c r="M840" s="19"/>
      <c r="N840" s="13"/>
      <c r="O840" s="19"/>
      <c r="P840" s="19"/>
      <c r="Q840" s="35"/>
      <c r="R840" s="35"/>
      <c r="S840" s="35"/>
      <c r="T840" s="1"/>
      <c r="U840" s="1"/>
      <c r="V840" s="1"/>
    </row>
    <row r="841" ht="15.75" customHeight="1">
      <c r="A841" s="13"/>
      <c r="B841" s="43" t="s">
        <v>56</v>
      </c>
      <c r="C841" s="169" t="s">
        <v>282</v>
      </c>
      <c r="D841" s="70" t="s">
        <v>24</v>
      </c>
      <c r="E841" s="15"/>
      <c r="F841" s="16">
        <v>1.0</v>
      </c>
      <c r="G841" s="17">
        <v>80.0</v>
      </c>
      <c r="H841" s="17">
        <f t="shared" si="22"/>
        <v>80</v>
      </c>
      <c r="I841" s="18"/>
      <c r="J841" s="18"/>
      <c r="K841" s="13"/>
      <c r="L841" s="63"/>
      <c r="M841" s="79"/>
      <c r="N841" s="63"/>
      <c r="O841" s="79"/>
      <c r="P841" s="79"/>
      <c r="Q841" s="35"/>
      <c r="R841" s="35"/>
      <c r="S841" s="35"/>
      <c r="T841" s="1"/>
      <c r="U841" s="1"/>
      <c r="V841" s="1"/>
    </row>
    <row r="842" ht="15.75" customHeight="1">
      <c r="A842" s="13"/>
      <c r="B842" s="13" t="s">
        <v>369</v>
      </c>
      <c r="C842" s="169" t="s">
        <v>370</v>
      </c>
      <c r="D842" s="14" t="s">
        <v>20</v>
      </c>
      <c r="E842" s="15">
        <v>8.49069896E8</v>
      </c>
      <c r="F842" s="16">
        <v>1.0</v>
      </c>
      <c r="G842" s="17">
        <v>5.0</v>
      </c>
      <c r="H842" s="17">
        <f t="shared" si="22"/>
        <v>5</v>
      </c>
      <c r="I842" s="18"/>
      <c r="J842" s="18"/>
      <c r="K842" s="13"/>
      <c r="L842" s="27"/>
      <c r="M842" s="27"/>
      <c r="N842" s="27"/>
      <c r="O842" s="27"/>
      <c r="P842" s="27"/>
      <c r="Q842" s="35"/>
      <c r="R842" s="35"/>
      <c r="S842" s="35"/>
      <c r="T842" s="1"/>
      <c r="U842" s="1"/>
      <c r="V842" s="1"/>
    </row>
    <row r="843" ht="15.75" customHeight="1">
      <c r="A843" s="13"/>
      <c r="B843" s="13" t="s">
        <v>18</v>
      </c>
      <c r="C843" s="169" t="s">
        <v>371</v>
      </c>
      <c r="D843" s="14" t="s">
        <v>20</v>
      </c>
      <c r="E843" s="15" t="s">
        <v>286</v>
      </c>
      <c r="F843" s="16">
        <v>2.0</v>
      </c>
      <c r="G843" s="17">
        <v>3.0</v>
      </c>
      <c r="H843" s="17">
        <f t="shared" si="22"/>
        <v>6</v>
      </c>
      <c r="I843" s="18"/>
      <c r="J843" s="18"/>
      <c r="K843" s="13"/>
      <c r="L843" s="63"/>
      <c r="M843" s="63"/>
      <c r="N843" s="63"/>
      <c r="O843" s="63"/>
      <c r="P843" s="63"/>
      <c r="Q843" s="35"/>
      <c r="R843" s="35"/>
      <c r="S843" s="35"/>
      <c r="T843" s="1"/>
      <c r="U843" s="1"/>
      <c r="V843" s="1"/>
    </row>
    <row r="844" ht="15.75" hidden="1" customHeight="1">
      <c r="A844" s="13"/>
      <c r="B844" s="13"/>
      <c r="C844" s="169" t="s">
        <v>375</v>
      </c>
      <c r="D844" s="70" t="s">
        <v>24</v>
      </c>
      <c r="E844" s="15"/>
      <c r="F844" s="16">
        <v>0.0</v>
      </c>
      <c r="G844" s="17">
        <v>450.0</v>
      </c>
      <c r="H844" s="17">
        <f t="shared" si="22"/>
        <v>0</v>
      </c>
      <c r="I844" s="18"/>
      <c r="J844" s="18"/>
      <c r="K844" s="13" t="s">
        <v>376</v>
      </c>
      <c r="L844" s="63"/>
      <c r="M844" s="63"/>
      <c r="N844" s="63"/>
      <c r="O844" s="63"/>
      <c r="P844" s="63"/>
      <c r="Q844" s="35"/>
      <c r="R844" s="35"/>
      <c r="S844" s="35"/>
      <c r="T844" s="1"/>
      <c r="U844" s="1"/>
      <c r="V844" s="1"/>
    </row>
    <row r="845" ht="15.75" hidden="1" customHeight="1">
      <c r="A845" s="13"/>
      <c r="B845" s="13"/>
      <c r="C845" s="13" t="s">
        <v>71</v>
      </c>
      <c r="D845" s="213" t="s">
        <v>24</v>
      </c>
      <c r="E845" s="52"/>
      <c r="F845" s="48">
        <v>0.0</v>
      </c>
      <c r="G845" s="50">
        <v>80.0</v>
      </c>
      <c r="H845" s="50">
        <f t="shared" si="22"/>
        <v>0</v>
      </c>
      <c r="I845" s="18"/>
      <c r="J845" s="18"/>
      <c r="K845" s="13"/>
      <c r="L845" s="63"/>
      <c r="M845" s="63"/>
      <c r="N845" s="63"/>
      <c r="O845" s="63"/>
      <c r="P845" s="63"/>
      <c r="Q845" s="35"/>
      <c r="R845" s="35"/>
      <c r="S845" s="35"/>
      <c r="T845" s="1"/>
      <c r="U845" s="1"/>
      <c r="V845" s="1"/>
    </row>
    <row r="846" ht="15.75" hidden="1" customHeight="1">
      <c r="A846" s="13"/>
      <c r="B846" s="13" t="s">
        <v>18</v>
      </c>
      <c r="C846" s="13" t="s">
        <v>377</v>
      </c>
      <c r="D846" s="14" t="s">
        <v>20</v>
      </c>
      <c r="E846" s="52" t="s">
        <v>28</v>
      </c>
      <c r="F846" s="48">
        <v>0.0</v>
      </c>
      <c r="G846" s="50">
        <v>70.0</v>
      </c>
      <c r="H846" s="50">
        <f t="shared" si="22"/>
        <v>0</v>
      </c>
      <c r="I846" s="18"/>
      <c r="J846" s="18"/>
      <c r="K846" s="13"/>
      <c r="L846" s="63"/>
      <c r="M846" s="63"/>
      <c r="N846" s="63"/>
      <c r="O846" s="63"/>
      <c r="P846" s="63"/>
      <c r="Q846" s="35"/>
      <c r="R846" s="35"/>
      <c r="S846" s="35"/>
      <c r="T846" s="1"/>
      <c r="U846" s="1"/>
      <c r="V846" s="1"/>
    </row>
    <row r="847" ht="15.75" hidden="1" customHeight="1">
      <c r="A847" s="13"/>
      <c r="B847" s="13"/>
      <c r="C847" s="13" t="s">
        <v>221</v>
      </c>
      <c r="D847" s="213" t="s">
        <v>24</v>
      </c>
      <c r="E847" s="52"/>
      <c r="F847" s="48">
        <v>0.0</v>
      </c>
      <c r="G847" s="50">
        <v>50.0</v>
      </c>
      <c r="H847" s="50">
        <f t="shared" si="22"/>
        <v>0</v>
      </c>
      <c r="I847" s="18"/>
      <c r="J847" s="18"/>
      <c r="K847" s="13"/>
      <c r="L847" s="63"/>
      <c r="M847" s="63"/>
      <c r="N847" s="63"/>
      <c r="O847" s="63"/>
      <c r="P847" s="63"/>
      <c r="Q847" s="35"/>
      <c r="R847" s="35"/>
      <c r="S847" s="35"/>
      <c r="T847" s="1"/>
      <c r="U847" s="1"/>
      <c r="V847" s="1"/>
    </row>
    <row r="848" ht="15.75" hidden="1" customHeight="1">
      <c r="A848" s="13"/>
      <c r="B848" s="13"/>
      <c r="C848" s="206" t="s">
        <v>222</v>
      </c>
      <c r="D848" s="216" t="s">
        <v>24</v>
      </c>
      <c r="E848" s="54"/>
      <c r="F848" s="56">
        <v>0.0</v>
      </c>
      <c r="G848" s="57">
        <v>40.0</v>
      </c>
      <c r="H848" s="57">
        <f t="shared" si="22"/>
        <v>0</v>
      </c>
      <c r="I848" s="18"/>
      <c r="J848" s="18"/>
      <c r="K848" s="13"/>
      <c r="L848" s="63"/>
      <c r="M848" s="63"/>
      <c r="N848" s="63"/>
      <c r="O848" s="63"/>
      <c r="P848" s="63"/>
      <c r="Q848" s="35"/>
      <c r="R848" s="35"/>
      <c r="S848" s="35"/>
      <c r="T848" s="1"/>
      <c r="U848" s="1"/>
      <c r="V848" s="1"/>
    </row>
    <row r="849" ht="15.75" hidden="1" customHeight="1">
      <c r="A849" s="53"/>
      <c r="B849" s="54"/>
      <c r="C849" s="197" t="s">
        <v>191</v>
      </c>
      <c r="D849" s="198" t="s">
        <v>22</v>
      </c>
      <c r="E849" s="54"/>
      <c r="F849" s="56">
        <v>0.0</v>
      </c>
      <c r="G849" s="57">
        <v>100.0</v>
      </c>
      <c r="H849" s="57">
        <f t="shared" si="22"/>
        <v>0</v>
      </c>
      <c r="I849" s="58"/>
      <c r="J849" s="58"/>
      <c r="K849" s="54"/>
      <c r="L849" s="54"/>
      <c r="M849" s="54"/>
      <c r="N849" s="54"/>
      <c r="O849" s="54"/>
      <c r="P849" s="54"/>
      <c r="Q849" s="1"/>
      <c r="R849" s="1"/>
      <c r="S849" s="1"/>
      <c r="T849" s="1"/>
      <c r="U849" s="1"/>
      <c r="V849" s="1"/>
    </row>
    <row r="850" ht="15.75" hidden="1" customHeight="1">
      <c r="A850" s="53"/>
      <c r="B850" s="54" t="s">
        <v>18</v>
      </c>
      <c r="C850" s="197" t="s">
        <v>433</v>
      </c>
      <c r="D850" s="55" t="s">
        <v>20</v>
      </c>
      <c r="E850" s="54"/>
      <c r="F850" s="56">
        <v>0.0</v>
      </c>
      <c r="G850" s="57">
        <v>5.0</v>
      </c>
      <c r="H850" s="57">
        <f t="shared" si="22"/>
        <v>0</v>
      </c>
      <c r="I850" s="58"/>
      <c r="J850" s="58"/>
      <c r="K850" s="54"/>
      <c r="L850" s="54"/>
      <c r="M850" s="54"/>
      <c r="N850" s="54"/>
      <c r="O850" s="54"/>
      <c r="P850" s="54"/>
      <c r="Q850" s="1"/>
      <c r="R850" s="1"/>
      <c r="S850" s="1"/>
      <c r="T850" s="1"/>
      <c r="U850" s="1"/>
      <c r="V850" s="1"/>
    </row>
    <row r="851" ht="15.75" hidden="1" customHeight="1">
      <c r="A851" s="53"/>
      <c r="B851" s="54" t="s">
        <v>18</v>
      </c>
      <c r="C851" s="197" t="s">
        <v>19</v>
      </c>
      <c r="D851" s="55" t="s">
        <v>20</v>
      </c>
      <c r="E851" s="54"/>
      <c r="F851" s="56">
        <v>0.0</v>
      </c>
      <c r="G851" s="57">
        <v>0.0</v>
      </c>
      <c r="H851" s="57">
        <f t="shared" si="22"/>
        <v>0</v>
      </c>
      <c r="I851" s="58"/>
      <c r="J851" s="58"/>
      <c r="K851" s="54"/>
      <c r="L851" s="54"/>
      <c r="M851" s="202"/>
      <c r="N851" s="202"/>
      <c r="O851" s="270"/>
      <c r="P851" s="202"/>
      <c r="Q851" s="1"/>
      <c r="R851" s="1"/>
      <c r="S851" s="1"/>
      <c r="T851" s="1"/>
      <c r="U851" s="1"/>
      <c r="V851" s="1"/>
    </row>
    <row r="852" ht="15.75" hidden="1" customHeight="1">
      <c r="A852" s="53"/>
      <c r="B852" s="54" t="s">
        <v>18</v>
      </c>
      <c r="C852" s="197" t="s">
        <v>434</v>
      </c>
      <c r="D852" s="55" t="s">
        <v>20</v>
      </c>
      <c r="E852" s="54"/>
      <c r="F852" s="56">
        <v>0.0</v>
      </c>
      <c r="G852" s="57">
        <v>5.0</v>
      </c>
      <c r="H852" s="57">
        <f t="shared" si="22"/>
        <v>0</v>
      </c>
      <c r="I852" s="58"/>
      <c r="J852" s="58"/>
      <c r="K852" s="54"/>
      <c r="L852" s="54"/>
      <c r="M852" s="202"/>
      <c r="N852" s="202"/>
      <c r="O852" s="270"/>
      <c r="P852" s="202"/>
      <c r="Q852" s="1"/>
      <c r="R852" s="1"/>
      <c r="S852" s="1"/>
      <c r="T852" s="1"/>
      <c r="U852" s="1"/>
      <c r="V852" s="1"/>
    </row>
    <row r="853" ht="15.75" hidden="1" customHeight="1">
      <c r="A853" s="53"/>
      <c r="B853" s="54"/>
      <c r="C853" s="197" t="s">
        <v>435</v>
      </c>
      <c r="D853" s="216" t="s">
        <v>24</v>
      </c>
      <c r="E853" s="54"/>
      <c r="F853" s="56">
        <v>0.0</v>
      </c>
      <c r="G853" s="57">
        <v>103.5</v>
      </c>
      <c r="H853" s="57">
        <f t="shared" si="22"/>
        <v>0</v>
      </c>
      <c r="I853" s="58"/>
      <c r="J853" s="58"/>
      <c r="K853" s="54"/>
      <c r="L853" s="54"/>
      <c r="M853" s="202"/>
      <c r="N853" s="202"/>
      <c r="O853" s="270"/>
      <c r="P853" s="202"/>
      <c r="Q853" s="1"/>
      <c r="R853" s="1"/>
      <c r="S853" s="1"/>
      <c r="T853" s="1"/>
      <c r="U853" s="1"/>
      <c r="V853" s="1"/>
    </row>
    <row r="854" ht="15.75" hidden="1" customHeight="1">
      <c r="A854" s="53"/>
      <c r="B854" s="54" t="s">
        <v>18</v>
      </c>
      <c r="C854" s="197" t="s">
        <v>258</v>
      </c>
      <c r="D854" s="55" t="s">
        <v>20</v>
      </c>
      <c r="E854" s="54"/>
      <c r="F854" s="56">
        <v>0.0</v>
      </c>
      <c r="G854" s="57">
        <v>123.0</v>
      </c>
      <c r="H854" s="57">
        <f t="shared" si="22"/>
        <v>0</v>
      </c>
      <c r="I854" s="58"/>
      <c r="J854" s="58"/>
      <c r="K854" s="54"/>
      <c r="L854" s="54"/>
      <c r="M854" s="202"/>
      <c r="N854" s="202"/>
      <c r="O854" s="270"/>
      <c r="P854" s="202"/>
      <c r="Q854" s="1"/>
      <c r="R854" s="1"/>
      <c r="S854" s="1"/>
      <c r="T854" s="1"/>
      <c r="U854" s="1"/>
      <c r="V854" s="1"/>
    </row>
    <row r="855" ht="15.75" hidden="1" customHeight="1">
      <c r="A855" s="53"/>
      <c r="B855" s="54" t="s">
        <v>18</v>
      </c>
      <c r="C855" s="197" t="s">
        <v>300</v>
      </c>
      <c r="D855" s="55" t="s">
        <v>20</v>
      </c>
      <c r="E855" s="54"/>
      <c r="F855" s="56">
        <v>0.0</v>
      </c>
      <c r="G855" s="57">
        <v>5.0</v>
      </c>
      <c r="H855" s="57">
        <f t="shared" si="22"/>
        <v>0</v>
      </c>
      <c r="I855" s="58"/>
      <c r="J855" s="58"/>
      <c r="K855" s="54"/>
      <c r="L855" s="54"/>
      <c r="M855" s="202"/>
      <c r="N855" s="202"/>
      <c r="O855" s="270"/>
      <c r="P855" s="202"/>
      <c r="Q855" s="1"/>
      <c r="R855" s="1"/>
      <c r="S855" s="1"/>
      <c r="T855" s="1"/>
      <c r="U855" s="1"/>
      <c r="V855" s="1"/>
    </row>
    <row r="856" ht="15.75" hidden="1" customHeight="1">
      <c r="A856" s="53"/>
      <c r="B856" s="54"/>
      <c r="C856" s="197" t="s">
        <v>380</v>
      </c>
      <c r="D856" s="216" t="s">
        <v>24</v>
      </c>
      <c r="E856" s="54"/>
      <c r="F856" s="56">
        <v>0.0</v>
      </c>
      <c r="G856" s="57">
        <v>95.0</v>
      </c>
      <c r="H856" s="57">
        <f t="shared" si="22"/>
        <v>0</v>
      </c>
      <c r="I856" s="58"/>
      <c r="J856" s="58"/>
      <c r="K856" s="54"/>
      <c r="L856" s="54"/>
      <c r="M856" s="202"/>
      <c r="N856" s="202"/>
      <c r="O856" s="270"/>
      <c r="P856" s="202"/>
      <c r="Q856" s="1"/>
      <c r="R856" s="1"/>
      <c r="S856" s="1"/>
      <c r="T856" s="1"/>
      <c r="U856" s="1"/>
      <c r="V856" s="1"/>
    </row>
    <row r="857" ht="15.75" hidden="1" customHeight="1">
      <c r="A857" s="53"/>
      <c r="B857" s="54"/>
      <c r="C857" s="197" t="s">
        <v>440</v>
      </c>
      <c r="D857" s="216" t="s">
        <v>24</v>
      </c>
      <c r="E857" s="54"/>
      <c r="F857" s="56">
        <v>0.0</v>
      </c>
      <c r="G857" s="57">
        <v>200.0</v>
      </c>
      <c r="H857" s="57">
        <f t="shared" si="22"/>
        <v>0</v>
      </c>
      <c r="I857" s="58"/>
      <c r="J857" s="58"/>
      <c r="K857" s="54"/>
      <c r="L857" s="54"/>
      <c r="M857" s="202"/>
      <c r="N857" s="202"/>
      <c r="O857" s="270"/>
      <c r="P857" s="202"/>
      <c r="Q857" s="1"/>
      <c r="R857" s="1"/>
      <c r="S857" s="1"/>
      <c r="T857" s="1"/>
      <c r="U857" s="1"/>
      <c r="V857" s="1"/>
    </row>
    <row r="858" ht="15.75" hidden="1" customHeight="1">
      <c r="A858" s="53"/>
      <c r="B858" s="54"/>
      <c r="C858" s="197" t="s">
        <v>307</v>
      </c>
      <c r="D858" s="259" t="s">
        <v>32</v>
      </c>
      <c r="E858" s="54"/>
      <c r="F858" s="56">
        <v>0.0</v>
      </c>
      <c r="G858" s="57">
        <v>0.0</v>
      </c>
      <c r="H858" s="57">
        <f t="shared" si="22"/>
        <v>0</v>
      </c>
      <c r="I858" s="58"/>
      <c r="J858" s="58"/>
      <c r="K858" s="54"/>
      <c r="L858" s="271"/>
      <c r="M858" s="271"/>
      <c r="N858" s="271"/>
      <c r="O858" s="271"/>
      <c r="P858" s="271"/>
      <c r="Q858" s="1"/>
      <c r="R858" s="1"/>
      <c r="S858" s="1"/>
      <c r="T858" s="1"/>
      <c r="U858" s="1"/>
      <c r="V858" s="1"/>
    </row>
    <row r="859" ht="15.75" hidden="1" customHeight="1">
      <c r="A859" s="53"/>
      <c r="B859" s="54" t="s">
        <v>18</v>
      </c>
      <c r="C859" s="197" t="s">
        <v>613</v>
      </c>
      <c r="D859" s="55" t="s">
        <v>20</v>
      </c>
      <c r="E859" s="205" t="s">
        <v>614</v>
      </c>
      <c r="F859" s="158">
        <v>0.0</v>
      </c>
      <c r="G859" s="57">
        <v>17.0</v>
      </c>
      <c r="H859" s="57">
        <f t="shared" si="22"/>
        <v>0</v>
      </c>
      <c r="I859" s="58"/>
      <c r="J859" s="58"/>
      <c r="K859" s="54"/>
      <c r="L859" s="272"/>
      <c r="M859" s="273"/>
      <c r="N859" s="272"/>
      <c r="O859" s="272"/>
      <c r="P859" s="272"/>
      <c r="Q859" s="1"/>
      <c r="R859" s="1"/>
      <c r="S859" s="1"/>
      <c r="T859" s="1"/>
      <c r="U859" s="1"/>
      <c r="V859" s="1"/>
    </row>
    <row r="860" ht="15.75" hidden="1" customHeight="1">
      <c r="A860" s="13"/>
      <c r="B860" s="18" t="s">
        <v>18</v>
      </c>
      <c r="C860" s="169" t="s">
        <v>447</v>
      </c>
      <c r="D860" s="46" t="s">
        <v>20</v>
      </c>
      <c r="E860" s="207" t="s">
        <v>448</v>
      </c>
      <c r="F860" s="242">
        <v>0.0</v>
      </c>
      <c r="G860" s="243">
        <v>19.0</v>
      </c>
      <c r="H860" s="192">
        <f t="shared" si="22"/>
        <v>0</v>
      </c>
      <c r="I860" s="193"/>
      <c r="J860" s="18"/>
      <c r="K860" s="13"/>
      <c r="L860" s="27"/>
      <c r="M860" s="241"/>
      <c r="N860" s="27"/>
      <c r="O860" s="27"/>
      <c r="P860" s="27"/>
      <c r="Q860" s="35"/>
      <c r="R860" s="35"/>
      <c r="S860" s="35"/>
      <c r="T860" s="1"/>
      <c r="U860" s="1"/>
      <c r="V860" s="1"/>
    </row>
    <row r="861" ht="15.75" hidden="1" customHeight="1">
      <c r="A861" s="13"/>
      <c r="B861" s="18" t="s">
        <v>18</v>
      </c>
      <c r="C861" s="169" t="s">
        <v>450</v>
      </c>
      <c r="D861" s="46" t="s">
        <v>20</v>
      </c>
      <c r="E861" s="52" t="s">
        <v>451</v>
      </c>
      <c r="F861" s="48">
        <v>0.0</v>
      </c>
      <c r="G861" s="50">
        <v>19.99</v>
      </c>
      <c r="H861" s="50">
        <f t="shared" si="22"/>
        <v>0</v>
      </c>
      <c r="I861" s="193"/>
      <c r="J861" s="18"/>
      <c r="K861" s="13"/>
      <c r="L861" s="27"/>
      <c r="M861" s="241"/>
      <c r="N861" s="27"/>
      <c r="O861" s="27"/>
      <c r="P861" s="27"/>
      <c r="Q861" s="35"/>
      <c r="R861" s="35"/>
      <c r="S861" s="35"/>
      <c r="T861" s="1"/>
      <c r="U861" s="1"/>
      <c r="V861" s="1"/>
    </row>
    <row r="862" ht="15.75" hidden="1" customHeight="1">
      <c r="A862" s="53"/>
      <c r="B862" s="54"/>
      <c r="C862" s="197" t="s">
        <v>541</v>
      </c>
      <c r="D862" s="198" t="s">
        <v>22</v>
      </c>
      <c r="E862" s="54"/>
      <c r="F862" s="56">
        <v>0.0</v>
      </c>
      <c r="G862" s="57">
        <v>30.0</v>
      </c>
      <c r="H862" s="57">
        <f t="shared" si="22"/>
        <v>0</v>
      </c>
      <c r="I862" s="58"/>
      <c r="J862" s="58"/>
      <c r="K862" s="54"/>
      <c r="L862" s="54"/>
      <c r="M862" s="54"/>
      <c r="N862" s="54"/>
      <c r="O862" s="54"/>
      <c r="P862" s="54"/>
      <c r="Q862" s="1"/>
      <c r="R862" s="1"/>
      <c r="S862" s="1"/>
      <c r="T862" s="1"/>
      <c r="U862" s="1"/>
      <c r="V862" s="1"/>
    </row>
    <row r="863" ht="15.75" hidden="1" customHeight="1">
      <c r="A863" s="53"/>
      <c r="B863" s="54" t="s">
        <v>454</v>
      </c>
      <c r="C863" s="197" t="s">
        <v>321</v>
      </c>
      <c r="D863" s="198" t="s">
        <v>22</v>
      </c>
      <c r="E863" s="54"/>
      <c r="F863" s="56">
        <v>0.0</v>
      </c>
      <c r="G863" s="57">
        <v>10.0</v>
      </c>
      <c r="H863" s="57">
        <f t="shared" si="22"/>
        <v>0</v>
      </c>
      <c r="I863" s="58"/>
      <c r="J863" s="58"/>
      <c r="K863" s="54"/>
      <c r="L863" s="54"/>
      <c r="M863" s="202"/>
      <c r="N863" s="54"/>
      <c r="O863" s="54"/>
      <c r="P863" s="54"/>
      <c r="Q863" s="1"/>
      <c r="R863" s="1"/>
      <c r="S863" s="1"/>
      <c r="T863" s="1"/>
      <c r="U863" s="1"/>
      <c r="V863" s="1"/>
    </row>
    <row r="864" ht="15.75" hidden="1" customHeight="1">
      <c r="A864" s="53"/>
      <c r="B864" s="54"/>
      <c r="C864" s="197" t="s">
        <v>401</v>
      </c>
      <c r="D864" s="198" t="s">
        <v>22</v>
      </c>
      <c r="E864" s="54"/>
      <c r="F864" s="56">
        <v>0.0</v>
      </c>
      <c r="G864" s="57">
        <v>25.0</v>
      </c>
      <c r="H864" s="57">
        <f t="shared" si="22"/>
        <v>0</v>
      </c>
      <c r="I864" s="58"/>
      <c r="J864" s="58"/>
      <c r="K864" s="54"/>
      <c r="L864" s="54"/>
      <c r="M864" s="54"/>
      <c r="N864" s="54"/>
      <c r="O864" s="54"/>
      <c r="P864" s="54"/>
      <c r="Q864" s="1"/>
      <c r="R864" s="1"/>
      <c r="S864" s="1"/>
      <c r="T864" s="1"/>
      <c r="U864" s="1"/>
      <c r="V864" s="1"/>
    </row>
    <row r="865" ht="15.75" hidden="1" customHeight="1">
      <c r="A865" s="53"/>
      <c r="B865" s="54"/>
      <c r="C865" s="169" t="s">
        <v>323</v>
      </c>
      <c r="D865" s="216" t="s">
        <v>24</v>
      </c>
      <c r="E865" s="54"/>
      <c r="F865" s="56">
        <v>0.0</v>
      </c>
      <c r="G865" s="57">
        <v>80.0</v>
      </c>
      <c r="H865" s="57">
        <f t="shared" si="22"/>
        <v>0</v>
      </c>
      <c r="I865" s="58"/>
      <c r="J865" s="58"/>
      <c r="K865" s="54"/>
      <c r="L865" s="54"/>
      <c r="M865" s="54"/>
      <c r="N865" s="54"/>
      <c r="O865" s="54"/>
      <c r="P865" s="54"/>
      <c r="Q865" s="1"/>
      <c r="R865" s="1"/>
      <c r="S865" s="1"/>
      <c r="T865" s="1"/>
      <c r="U865" s="1"/>
      <c r="V865" s="1"/>
    </row>
    <row r="866" ht="15.75" hidden="1" customHeight="1">
      <c r="A866" s="53"/>
      <c r="B866" s="54"/>
      <c r="C866" s="197" t="s">
        <v>324</v>
      </c>
      <c r="D866" s="55" t="s">
        <v>20</v>
      </c>
      <c r="E866" s="54"/>
      <c r="F866" s="56">
        <v>0.0</v>
      </c>
      <c r="G866" s="57">
        <v>35.0</v>
      </c>
      <c r="H866" s="57">
        <f t="shared" si="22"/>
        <v>0</v>
      </c>
      <c r="I866" s="58"/>
      <c r="J866" s="58"/>
      <c r="K866" s="54"/>
      <c r="L866" s="54"/>
      <c r="M866" s="202"/>
      <c r="N866" s="54"/>
      <c r="O866" s="202"/>
      <c r="P866" s="202"/>
      <c r="Q866" s="1"/>
      <c r="R866" s="1"/>
      <c r="S866" s="1"/>
      <c r="T866" s="1"/>
      <c r="U866" s="1"/>
      <c r="V866" s="1"/>
    </row>
    <row r="867" ht="15.75" hidden="1" customHeight="1">
      <c r="A867" s="53"/>
      <c r="B867" s="54"/>
      <c r="C867" s="197" t="s">
        <v>469</v>
      </c>
      <c r="D867" s="216" t="s">
        <v>24</v>
      </c>
      <c r="E867" s="54"/>
      <c r="F867" s="56">
        <v>0.0</v>
      </c>
      <c r="G867" s="57">
        <v>290.0</v>
      </c>
      <c r="H867" s="57">
        <f t="shared" si="22"/>
        <v>0</v>
      </c>
      <c r="I867" s="58"/>
      <c r="J867" s="58"/>
      <c r="K867" s="54"/>
      <c r="L867" s="252"/>
      <c r="M867" s="252"/>
      <c r="N867" s="252"/>
      <c r="O867" s="252"/>
      <c r="P867" s="252"/>
      <c r="Q867" s="1"/>
      <c r="R867" s="1"/>
      <c r="S867" s="1"/>
      <c r="T867" s="1"/>
      <c r="U867" s="1"/>
      <c r="V867" s="1"/>
    </row>
    <row r="868" ht="15.75" hidden="1" customHeight="1">
      <c r="A868" s="53"/>
      <c r="B868" s="54"/>
      <c r="C868" s="197" t="s">
        <v>470</v>
      </c>
      <c r="D868" s="55" t="s">
        <v>20</v>
      </c>
      <c r="E868" s="54"/>
      <c r="F868" s="56">
        <v>0.0</v>
      </c>
      <c r="G868" s="57">
        <v>150.0</v>
      </c>
      <c r="H868" s="57">
        <f t="shared" si="22"/>
        <v>0</v>
      </c>
      <c r="I868" s="58"/>
      <c r="J868" s="58"/>
      <c r="K868" s="54"/>
      <c r="L868" s="54"/>
      <c r="M868" s="202"/>
      <c r="N868" s="54"/>
      <c r="O868" s="202"/>
      <c r="P868" s="202"/>
      <c r="Q868" s="1"/>
      <c r="R868" s="1"/>
      <c r="S868" s="1"/>
      <c r="T868" s="1"/>
      <c r="U868" s="1"/>
      <c r="V868" s="1"/>
    </row>
    <row r="869" ht="15.75" hidden="1" customHeight="1">
      <c r="A869" s="53"/>
      <c r="B869" s="54"/>
      <c r="C869" s="197" t="s">
        <v>471</v>
      </c>
      <c r="D869" s="216" t="s">
        <v>24</v>
      </c>
      <c r="E869" s="54"/>
      <c r="F869" s="56">
        <v>0.0</v>
      </c>
      <c r="G869" s="57">
        <v>250.0</v>
      </c>
      <c r="H869" s="57">
        <f t="shared" si="22"/>
        <v>0</v>
      </c>
      <c r="I869" s="58"/>
      <c r="J869" s="58"/>
      <c r="K869" s="54"/>
      <c r="L869" s="54"/>
      <c r="M869" s="202"/>
      <c r="N869" s="54"/>
      <c r="O869" s="202"/>
      <c r="P869" s="202"/>
      <c r="Q869" s="1"/>
      <c r="R869" s="1"/>
      <c r="S869" s="1"/>
      <c r="T869" s="1"/>
      <c r="U869" s="1"/>
      <c r="V869" s="1"/>
    </row>
    <row r="870" ht="15.75" hidden="1" customHeight="1">
      <c r="A870" s="53"/>
      <c r="B870" s="54"/>
      <c r="C870" s="274" t="s">
        <v>472</v>
      </c>
      <c r="D870" s="55" t="s">
        <v>20</v>
      </c>
      <c r="E870" s="54"/>
      <c r="F870" s="56">
        <v>0.0</v>
      </c>
      <c r="G870" s="57">
        <v>150.0</v>
      </c>
      <c r="H870" s="57">
        <f t="shared" si="22"/>
        <v>0</v>
      </c>
      <c r="I870" s="58"/>
      <c r="J870" s="58"/>
      <c r="K870" s="54"/>
      <c r="L870" s="54"/>
      <c r="M870" s="202"/>
      <c r="N870" s="54"/>
      <c r="O870" s="202"/>
      <c r="P870" s="202"/>
      <c r="Q870" s="1"/>
      <c r="R870" s="1"/>
      <c r="S870" s="1"/>
      <c r="T870" s="1"/>
      <c r="U870" s="1"/>
      <c r="V870" s="1"/>
    </row>
    <row r="871" ht="15.75" hidden="1" customHeight="1">
      <c r="A871" s="53"/>
      <c r="B871" s="54" t="s">
        <v>18</v>
      </c>
      <c r="C871" s="197" t="s">
        <v>309</v>
      </c>
      <c r="D871" s="55" t="s">
        <v>20</v>
      </c>
      <c r="E871" s="208" t="s">
        <v>473</v>
      </c>
      <c r="F871" s="56">
        <v>0.0</v>
      </c>
      <c r="G871" s="57">
        <v>20.0</v>
      </c>
      <c r="H871" s="57">
        <f t="shared" si="22"/>
        <v>0</v>
      </c>
      <c r="I871" s="58"/>
      <c r="J871" s="58"/>
      <c r="K871" s="54"/>
      <c r="L871" s="54"/>
      <c r="M871" s="202"/>
      <c r="N871" s="54"/>
      <c r="O871" s="202"/>
      <c r="P871" s="202"/>
      <c r="Q871" s="1"/>
      <c r="R871" s="1"/>
      <c r="S871" s="1"/>
      <c r="T871" s="1"/>
      <c r="U871" s="1"/>
      <c r="V871" s="1"/>
    </row>
    <row r="872" ht="15.75" hidden="1" customHeight="1">
      <c r="A872" s="53"/>
      <c r="B872" s="54" t="s">
        <v>18</v>
      </c>
      <c r="C872" s="197" t="s">
        <v>474</v>
      </c>
      <c r="D872" s="55" t="s">
        <v>20</v>
      </c>
      <c r="E872" s="208" t="s">
        <v>475</v>
      </c>
      <c r="F872" s="56">
        <v>0.0</v>
      </c>
      <c r="G872" s="57">
        <v>24.0</v>
      </c>
      <c r="H872" s="57">
        <f t="shared" si="22"/>
        <v>0</v>
      </c>
      <c r="I872" s="58"/>
      <c r="J872" s="58"/>
      <c r="K872" s="54"/>
      <c r="L872" s="54"/>
      <c r="M872" s="202"/>
      <c r="N872" s="54"/>
      <c r="O872" s="202"/>
      <c r="P872" s="202"/>
      <c r="Q872" s="1"/>
      <c r="R872" s="1"/>
      <c r="S872" s="1"/>
      <c r="T872" s="1"/>
      <c r="U872" s="1"/>
      <c r="V872" s="1"/>
    </row>
    <row r="873" ht="15.75" hidden="1" customHeight="1">
      <c r="A873" s="53"/>
      <c r="B873" s="54"/>
      <c r="C873" s="197" t="s">
        <v>258</v>
      </c>
      <c r="D873" s="198" t="s">
        <v>22</v>
      </c>
      <c r="E873" s="54"/>
      <c r="F873" s="56">
        <v>0.0</v>
      </c>
      <c r="G873" s="57">
        <v>150.0</v>
      </c>
      <c r="H873" s="57">
        <f t="shared" si="22"/>
        <v>0</v>
      </c>
      <c r="I873" s="58"/>
      <c r="J873" s="58"/>
      <c r="K873" s="54"/>
      <c r="L873" s="54"/>
      <c r="M873" s="54"/>
      <c r="N873" s="54"/>
      <c r="O873" s="202"/>
      <c r="P873" s="202"/>
      <c r="Q873" s="1"/>
      <c r="R873" s="1"/>
      <c r="S873" s="1"/>
      <c r="T873" s="1"/>
      <c r="U873" s="1"/>
      <c r="V873" s="1"/>
    </row>
    <row r="874" ht="15.75" hidden="1" customHeight="1">
      <c r="A874" s="53"/>
      <c r="B874" s="54" t="s">
        <v>18</v>
      </c>
      <c r="C874" s="197" t="s">
        <v>476</v>
      </c>
      <c r="D874" s="198" t="s">
        <v>22</v>
      </c>
      <c r="E874" s="208" t="s">
        <v>477</v>
      </c>
      <c r="F874" s="56">
        <v>0.0</v>
      </c>
      <c r="G874" s="57">
        <v>15.0</v>
      </c>
      <c r="H874" s="57">
        <f t="shared" si="22"/>
        <v>0</v>
      </c>
      <c r="I874" s="58"/>
      <c r="J874" s="58"/>
      <c r="K874" s="54"/>
      <c r="L874" s="54"/>
      <c r="M874" s="54"/>
      <c r="N874" s="54"/>
      <c r="O874" s="54"/>
      <c r="P874" s="54"/>
      <c r="Q874" s="1"/>
      <c r="R874" s="1"/>
      <c r="S874" s="1"/>
      <c r="T874" s="1"/>
      <c r="U874" s="1"/>
      <c r="V874" s="1"/>
    </row>
    <row r="875" ht="15.75" hidden="1" customHeight="1">
      <c r="A875" s="53"/>
      <c r="B875" s="54"/>
      <c r="C875" s="197" t="s">
        <v>478</v>
      </c>
      <c r="D875" s="55" t="s">
        <v>20</v>
      </c>
      <c r="E875" s="54"/>
      <c r="F875" s="56">
        <v>0.0</v>
      </c>
      <c r="G875" s="57">
        <v>500.0</v>
      </c>
      <c r="H875" s="57">
        <f t="shared" si="22"/>
        <v>0</v>
      </c>
      <c r="I875" s="58"/>
      <c r="J875" s="58"/>
      <c r="K875" s="54"/>
      <c r="L875" s="54"/>
      <c r="M875" s="54"/>
      <c r="N875" s="54"/>
      <c r="O875" s="54"/>
      <c r="P875" s="54"/>
      <c r="Q875" s="1"/>
      <c r="R875" s="1"/>
      <c r="S875" s="1"/>
      <c r="T875" s="1"/>
      <c r="U875" s="1"/>
      <c r="V875" s="1"/>
    </row>
    <row r="876" ht="15.75" hidden="1" customHeight="1">
      <c r="A876" s="53"/>
      <c r="B876" s="54"/>
      <c r="C876" s="54" t="s">
        <v>479</v>
      </c>
      <c r="D876" s="216" t="s">
        <v>24</v>
      </c>
      <c r="E876" s="54"/>
      <c r="F876" s="56">
        <v>0.0</v>
      </c>
      <c r="G876" s="57">
        <v>210.0</v>
      </c>
      <c r="H876" s="57">
        <f t="shared" si="22"/>
        <v>0</v>
      </c>
      <c r="I876" s="58"/>
      <c r="J876" s="58"/>
      <c r="K876" s="54"/>
      <c r="L876" s="252"/>
      <c r="M876" s="252"/>
      <c r="N876" s="252"/>
      <c r="O876" s="252"/>
      <c r="P876" s="252"/>
      <c r="Q876" s="1"/>
      <c r="R876" s="1"/>
      <c r="S876" s="1"/>
      <c r="T876" s="1"/>
      <c r="U876" s="1"/>
      <c r="V876" s="1"/>
    </row>
    <row r="877" ht="15.75" hidden="1" customHeight="1">
      <c r="A877" s="53"/>
      <c r="B877" s="54"/>
      <c r="C877" s="197" t="s">
        <v>480</v>
      </c>
      <c r="D877" s="55" t="s">
        <v>20</v>
      </c>
      <c r="E877" s="54"/>
      <c r="F877" s="56">
        <v>0.0</v>
      </c>
      <c r="G877" s="57">
        <v>155.0</v>
      </c>
      <c r="H877" s="57">
        <f t="shared" si="22"/>
        <v>0</v>
      </c>
      <c r="I877" s="58"/>
      <c r="J877" s="58"/>
      <c r="K877" s="54"/>
      <c r="L877" s="54"/>
      <c r="M877" s="54"/>
      <c r="N877" s="54"/>
      <c r="O877" s="54"/>
      <c r="P877" s="54"/>
      <c r="Q877" s="1"/>
      <c r="R877" s="1"/>
      <c r="S877" s="1"/>
      <c r="T877" s="1"/>
      <c r="U877" s="1"/>
      <c r="V877" s="1"/>
    </row>
    <row r="878" ht="15.75" hidden="1" customHeight="1">
      <c r="A878" s="53"/>
      <c r="B878" s="54"/>
      <c r="C878" s="197" t="s">
        <v>481</v>
      </c>
      <c r="D878" s="216" t="s">
        <v>24</v>
      </c>
      <c r="E878" s="54"/>
      <c r="F878" s="56">
        <v>0.0</v>
      </c>
      <c r="G878" s="57">
        <v>70.0</v>
      </c>
      <c r="H878" s="57">
        <f t="shared" si="22"/>
        <v>0</v>
      </c>
      <c r="I878" s="58"/>
      <c r="J878" s="58"/>
      <c r="K878" s="54"/>
      <c r="L878" s="54"/>
      <c r="M878" s="202"/>
      <c r="N878" s="54"/>
      <c r="O878" s="202"/>
      <c r="P878" s="202"/>
      <c r="Q878" s="1"/>
      <c r="R878" s="1"/>
      <c r="S878" s="1"/>
      <c r="T878" s="1"/>
      <c r="U878" s="1"/>
      <c r="V878" s="1"/>
    </row>
    <row r="879" ht="15.75" hidden="1" customHeight="1">
      <c r="A879" s="53"/>
      <c r="B879" s="54"/>
      <c r="C879" s="197" t="s">
        <v>482</v>
      </c>
      <c r="D879" s="55" t="s">
        <v>20</v>
      </c>
      <c r="E879" s="54"/>
      <c r="F879" s="56">
        <v>0.0</v>
      </c>
      <c r="G879" s="57">
        <v>400.0</v>
      </c>
      <c r="H879" s="57">
        <f t="shared" si="22"/>
        <v>0</v>
      </c>
      <c r="I879" s="58"/>
      <c r="J879" s="58"/>
      <c r="K879" s="54"/>
      <c r="L879" s="54"/>
      <c r="M879" s="202"/>
      <c r="N879" s="54"/>
      <c r="O879" s="202"/>
      <c r="P879" s="202"/>
      <c r="Q879" s="1"/>
      <c r="R879" s="1"/>
      <c r="S879" s="1"/>
      <c r="T879" s="1"/>
      <c r="U879" s="1"/>
      <c r="V879" s="1"/>
    </row>
    <row r="880" ht="15.75" hidden="1" customHeight="1">
      <c r="A880" s="53"/>
      <c r="B880" s="54"/>
      <c r="C880" s="197" t="s">
        <v>483</v>
      </c>
      <c r="D880" s="55" t="s">
        <v>20</v>
      </c>
      <c r="E880" s="54"/>
      <c r="F880" s="56">
        <v>0.0</v>
      </c>
      <c r="G880" s="57">
        <v>440.0</v>
      </c>
      <c r="H880" s="57">
        <f t="shared" si="22"/>
        <v>0</v>
      </c>
      <c r="I880" s="58"/>
      <c r="J880" s="58"/>
      <c r="K880" s="54"/>
      <c r="L880" s="54"/>
      <c r="M880" s="202"/>
      <c r="N880" s="54"/>
      <c r="O880" s="202"/>
      <c r="P880" s="202"/>
      <c r="Q880" s="1"/>
      <c r="R880" s="1"/>
      <c r="S880" s="1"/>
      <c r="T880" s="1"/>
      <c r="U880" s="1"/>
      <c r="V880" s="1"/>
    </row>
    <row r="881" ht="15.75" hidden="1" customHeight="1">
      <c r="A881" s="53"/>
      <c r="B881" s="54"/>
      <c r="C881" s="197" t="s">
        <v>484</v>
      </c>
      <c r="D881" s="216" t="s">
        <v>24</v>
      </c>
      <c r="E881" s="54"/>
      <c r="F881" s="56">
        <v>0.0</v>
      </c>
      <c r="G881" s="57">
        <v>90.0</v>
      </c>
      <c r="H881" s="57">
        <f t="shared" si="22"/>
        <v>0</v>
      </c>
      <c r="I881" s="58"/>
      <c r="J881" s="58"/>
      <c r="K881" s="54"/>
      <c r="L881" s="252"/>
      <c r="M881" s="275"/>
      <c r="N881" s="252"/>
      <c r="O881" s="275"/>
      <c r="P881" s="275"/>
      <c r="Q881" s="1"/>
      <c r="R881" s="1"/>
      <c r="S881" s="1"/>
      <c r="T881" s="1"/>
      <c r="U881" s="1"/>
      <c r="V881" s="1"/>
    </row>
    <row r="882" ht="15.75" hidden="1" customHeight="1">
      <c r="A882" s="53"/>
      <c r="B882" s="54"/>
      <c r="C882" s="197" t="s">
        <v>485</v>
      </c>
      <c r="D882" s="55" t="s">
        <v>20</v>
      </c>
      <c r="E882" s="54"/>
      <c r="F882" s="56">
        <v>0.0</v>
      </c>
      <c r="G882" s="57">
        <v>100.0</v>
      </c>
      <c r="H882" s="57">
        <f t="shared" si="22"/>
        <v>0</v>
      </c>
      <c r="I882" s="58"/>
      <c r="J882" s="58"/>
      <c r="K882" s="54"/>
      <c r="L882" s="252"/>
      <c r="M882" s="275"/>
      <c r="N882" s="252"/>
      <c r="O882" s="275"/>
      <c r="P882" s="275"/>
      <c r="Q882" s="1"/>
      <c r="R882" s="1"/>
      <c r="S882" s="1"/>
      <c r="T882" s="1"/>
      <c r="U882" s="1"/>
      <c r="V882" s="1"/>
    </row>
    <row r="883" ht="15.75" hidden="1" customHeight="1">
      <c r="A883" s="53"/>
      <c r="B883" s="54"/>
      <c r="C883" s="54" t="s">
        <v>486</v>
      </c>
      <c r="D883" s="55" t="s">
        <v>20</v>
      </c>
      <c r="E883" s="54"/>
      <c r="F883" s="56">
        <v>0.0</v>
      </c>
      <c r="G883" s="57">
        <v>30.0</v>
      </c>
      <c r="H883" s="57">
        <f t="shared" si="22"/>
        <v>0</v>
      </c>
      <c r="I883" s="58"/>
      <c r="J883" s="58"/>
      <c r="K883" s="54"/>
      <c r="L883" s="252"/>
      <c r="M883" s="275"/>
      <c r="N883" s="252"/>
      <c r="O883" s="275"/>
      <c r="P883" s="275"/>
      <c r="Q883" s="1"/>
      <c r="R883" s="1"/>
      <c r="S883" s="1"/>
      <c r="T883" s="1"/>
      <c r="U883" s="1"/>
      <c r="V883" s="1"/>
    </row>
    <row r="884" ht="15.75" hidden="1" customHeight="1">
      <c r="A884" s="53"/>
      <c r="B884" s="54"/>
      <c r="C884" s="54" t="s">
        <v>487</v>
      </c>
      <c r="D884" s="55" t="s">
        <v>20</v>
      </c>
      <c r="E884" s="54"/>
      <c r="F884" s="56">
        <v>0.0</v>
      </c>
      <c r="G884" s="57">
        <v>30.0</v>
      </c>
      <c r="H884" s="57">
        <f t="shared" si="22"/>
        <v>0</v>
      </c>
      <c r="I884" s="58"/>
      <c r="J884" s="58"/>
      <c r="K884" s="54"/>
      <c r="L884" s="252"/>
      <c r="M884" s="275"/>
      <c r="N884" s="252"/>
      <c r="O884" s="275"/>
      <c r="P884" s="275"/>
      <c r="Q884" s="1"/>
      <c r="R884" s="1"/>
      <c r="S884" s="1"/>
      <c r="T884" s="1"/>
      <c r="U884" s="1"/>
      <c r="V884" s="1"/>
    </row>
    <row r="885" ht="15.75" hidden="1" customHeight="1">
      <c r="A885" s="53"/>
      <c r="B885" s="54"/>
      <c r="C885" s="54" t="s">
        <v>488</v>
      </c>
      <c r="D885" s="55" t="s">
        <v>20</v>
      </c>
      <c r="E885" s="54"/>
      <c r="F885" s="56">
        <v>0.0</v>
      </c>
      <c r="G885" s="57">
        <v>850.0</v>
      </c>
      <c r="H885" s="57">
        <f t="shared" si="22"/>
        <v>0</v>
      </c>
      <c r="I885" s="58"/>
      <c r="J885" s="58"/>
      <c r="K885" s="54"/>
      <c r="L885" s="252"/>
      <c r="M885" s="275"/>
      <c r="N885" s="252"/>
      <c r="O885" s="275"/>
      <c r="P885" s="275"/>
      <c r="Q885" s="1"/>
      <c r="R885" s="1"/>
      <c r="S885" s="1"/>
      <c r="T885" s="1"/>
      <c r="U885" s="1"/>
      <c r="V885" s="1"/>
    </row>
    <row r="886" ht="15.75" hidden="1" customHeight="1">
      <c r="A886" s="53"/>
      <c r="B886" s="54"/>
      <c r="C886" s="54" t="s">
        <v>489</v>
      </c>
      <c r="D886" s="216" t="s">
        <v>24</v>
      </c>
      <c r="E886" s="54"/>
      <c r="F886" s="56">
        <v>0.0</v>
      </c>
      <c r="G886" s="57">
        <v>460.0</v>
      </c>
      <c r="H886" s="57">
        <f t="shared" si="22"/>
        <v>0</v>
      </c>
      <c r="I886" s="58"/>
      <c r="J886" s="58"/>
      <c r="K886" s="54"/>
      <c r="L886" s="252"/>
      <c r="M886" s="275"/>
      <c r="N886" s="252"/>
      <c r="O886" s="275"/>
      <c r="P886" s="275"/>
      <c r="Q886" s="1"/>
      <c r="R886" s="1"/>
      <c r="S886" s="1"/>
      <c r="T886" s="1"/>
      <c r="U886" s="1"/>
      <c r="V886" s="1"/>
    </row>
    <row r="887" ht="15.75" hidden="1" customHeight="1">
      <c r="A887" s="53"/>
      <c r="B887" s="54"/>
      <c r="C887" s="197" t="s">
        <v>490</v>
      </c>
      <c r="D887" s="198" t="s">
        <v>22</v>
      </c>
      <c r="E887" s="54"/>
      <c r="F887" s="56">
        <v>0.0</v>
      </c>
      <c r="G887" s="57">
        <v>0.0</v>
      </c>
      <c r="H887" s="57">
        <f t="shared" si="22"/>
        <v>0</v>
      </c>
      <c r="I887" s="58"/>
      <c r="J887" s="58"/>
      <c r="K887" s="54"/>
      <c r="L887" s="54"/>
      <c r="M887" s="202"/>
      <c r="N887" s="54"/>
      <c r="O887" s="202"/>
      <c r="P887" s="202"/>
      <c r="Q887" s="1"/>
      <c r="R887" s="1"/>
      <c r="S887" s="1"/>
      <c r="T887" s="1"/>
      <c r="U887" s="1"/>
      <c r="V887" s="1"/>
    </row>
    <row r="888" ht="15.75" hidden="1" customHeight="1">
      <c r="A888" s="53"/>
      <c r="B888" s="43" t="s">
        <v>350</v>
      </c>
      <c r="C888" s="197" t="s">
        <v>493</v>
      </c>
      <c r="D888" s="198" t="s">
        <v>22</v>
      </c>
      <c r="E888" s="154" t="s">
        <v>494</v>
      </c>
      <c r="F888" s="16">
        <v>0.0</v>
      </c>
      <c r="G888" s="227">
        <v>86.0</v>
      </c>
      <c r="H888" s="17">
        <f t="shared" si="22"/>
        <v>0</v>
      </c>
      <c r="I888" s="58"/>
      <c r="J888" s="58"/>
      <c r="K888" s="54"/>
      <c r="L888" s="54"/>
      <c r="M888" s="202"/>
      <c r="N888" s="54"/>
      <c r="O888" s="202"/>
      <c r="P888" s="202"/>
      <c r="Q888" s="1"/>
      <c r="R888" s="1"/>
      <c r="S888" s="1"/>
      <c r="T888" s="1"/>
      <c r="U888" s="1"/>
      <c r="V888" s="1"/>
    </row>
    <row r="889" ht="15.75" hidden="1" customHeight="1">
      <c r="A889" s="53"/>
      <c r="B889" s="54"/>
      <c r="C889" s="197" t="s">
        <v>495</v>
      </c>
      <c r="D889" s="198" t="s">
        <v>22</v>
      </c>
      <c r="E889" s="15"/>
      <c r="F889" s="16">
        <v>0.0</v>
      </c>
      <c r="G889" s="249">
        <v>70.0</v>
      </c>
      <c r="H889" s="17">
        <f t="shared" si="22"/>
        <v>0</v>
      </c>
      <c r="I889" s="58"/>
      <c r="J889" s="58"/>
      <c r="K889" s="54"/>
      <c r="L889" s="54"/>
      <c r="M889" s="202"/>
      <c r="N889" s="54"/>
      <c r="O889" s="202"/>
      <c r="P889" s="202"/>
      <c r="Q889" s="1"/>
      <c r="R889" s="1"/>
      <c r="S889" s="1"/>
      <c r="T889" s="1"/>
      <c r="U889" s="1"/>
      <c r="V889" s="1"/>
    </row>
    <row r="890" ht="15.75" hidden="1" customHeight="1">
      <c r="A890" s="53"/>
      <c r="B890" s="54"/>
      <c r="C890" s="197" t="s">
        <v>407</v>
      </c>
      <c r="D890" s="198" t="s">
        <v>22</v>
      </c>
      <c r="E890" s="54" t="s">
        <v>615</v>
      </c>
      <c r="F890" s="56">
        <v>0.0</v>
      </c>
      <c r="G890" s="248">
        <v>135.4</v>
      </c>
      <c r="H890" s="57">
        <f t="shared" si="22"/>
        <v>0</v>
      </c>
      <c r="I890" s="58"/>
      <c r="J890" s="58"/>
      <c r="K890" s="54"/>
      <c r="L890" s="271"/>
      <c r="M890" s="276"/>
      <c r="N890" s="271"/>
      <c r="O890" s="276"/>
      <c r="P890" s="271"/>
      <c r="Q890" s="1"/>
      <c r="R890" s="1"/>
      <c r="S890" s="1"/>
      <c r="T890" s="1"/>
      <c r="U890" s="1"/>
      <c r="V890" s="1"/>
    </row>
    <row r="891" ht="15.75" hidden="1" customHeight="1">
      <c r="A891" s="53"/>
      <c r="B891" s="231" t="s">
        <v>350</v>
      </c>
      <c r="C891" s="197" t="s">
        <v>427</v>
      </c>
      <c r="D891" s="198" t="s">
        <v>22</v>
      </c>
      <c r="E891" s="231" t="s">
        <v>428</v>
      </c>
      <c r="F891" s="56">
        <v>0.0</v>
      </c>
      <c r="G891" s="235">
        <v>107.5</v>
      </c>
      <c r="H891" s="57">
        <f t="shared" si="22"/>
        <v>0</v>
      </c>
      <c r="I891" s="58"/>
      <c r="J891" s="58"/>
      <c r="K891" s="54"/>
      <c r="L891" s="271"/>
      <c r="M891" s="276"/>
      <c r="N891" s="271"/>
      <c r="O891" s="276"/>
      <c r="P891" s="271"/>
      <c r="Q891" s="1"/>
      <c r="R891" s="1"/>
      <c r="S891" s="1"/>
      <c r="T891" s="1"/>
      <c r="U891" s="1"/>
      <c r="V891" s="1"/>
    </row>
    <row r="892" ht="15.75" hidden="1" customHeight="1">
      <c r="A892" s="53"/>
      <c r="B892" s="258" t="s">
        <v>350</v>
      </c>
      <c r="C892" s="197" t="s">
        <v>429</v>
      </c>
      <c r="D892" s="198" t="s">
        <v>22</v>
      </c>
      <c r="E892" s="54"/>
      <c r="F892" s="56">
        <v>0.0</v>
      </c>
      <c r="G892" s="277">
        <v>97.0</v>
      </c>
      <c r="H892" s="57">
        <f t="shared" si="22"/>
        <v>0</v>
      </c>
      <c r="I892" s="58"/>
      <c r="J892" s="58"/>
      <c r="K892" s="54"/>
      <c r="L892" s="271"/>
      <c r="M892" s="276"/>
      <c r="N892" s="271"/>
      <c r="O892" s="276"/>
      <c r="P892" s="271"/>
      <c r="Q892" s="1"/>
      <c r="R892" s="1"/>
      <c r="S892" s="1"/>
      <c r="T892" s="1"/>
      <c r="U892" s="1"/>
      <c r="V892" s="1"/>
    </row>
    <row r="893" ht="15.75" hidden="1" customHeight="1">
      <c r="A893" s="53"/>
      <c r="B893" s="54" t="s">
        <v>18</v>
      </c>
      <c r="C893" s="197" t="s">
        <v>409</v>
      </c>
      <c r="D893" s="198" t="s">
        <v>22</v>
      </c>
      <c r="E893" s="54" t="s">
        <v>616</v>
      </c>
      <c r="F893" s="56">
        <v>0.0</v>
      </c>
      <c r="G893" s="57">
        <v>19.99</v>
      </c>
      <c r="H893" s="57">
        <f t="shared" si="22"/>
        <v>0</v>
      </c>
      <c r="I893" s="58"/>
      <c r="J893" s="58"/>
      <c r="K893" s="54"/>
      <c r="L893" s="271"/>
      <c r="M893" s="276"/>
      <c r="N893" s="271"/>
      <c r="O893" s="276"/>
      <c r="P893" s="271"/>
      <c r="Q893" s="1"/>
      <c r="R893" s="1"/>
      <c r="S893" s="1"/>
      <c r="T893" s="1"/>
      <c r="U893" s="1"/>
      <c r="V893" s="1"/>
    </row>
    <row r="894" ht="15.75" hidden="1" customHeight="1">
      <c r="A894" s="53"/>
      <c r="B894" s="54" t="s">
        <v>18</v>
      </c>
      <c r="C894" s="197" t="s">
        <v>500</v>
      </c>
      <c r="D894" s="55" t="s">
        <v>20</v>
      </c>
      <c r="E894" s="54"/>
      <c r="F894" s="56">
        <v>0.0</v>
      </c>
      <c r="G894" s="57">
        <v>5.0</v>
      </c>
      <c r="H894" s="57">
        <f t="shared" si="22"/>
        <v>0</v>
      </c>
      <c r="I894" s="58"/>
      <c r="J894" s="58"/>
      <c r="K894" s="58"/>
      <c r="L894" s="54"/>
      <c r="M894" s="202"/>
      <c r="N894" s="54"/>
      <c r="O894" s="202"/>
      <c r="P894" s="202"/>
      <c r="Q894" s="1"/>
      <c r="R894" s="1"/>
      <c r="S894" s="1"/>
      <c r="T894" s="1"/>
      <c r="U894" s="1"/>
      <c r="V894" s="1"/>
    </row>
    <row r="895" ht="15.75" hidden="1" customHeight="1">
      <c r="A895" s="53"/>
      <c r="B895" s="54"/>
      <c r="C895" s="197" t="s">
        <v>501</v>
      </c>
      <c r="D895" s="216" t="s">
        <v>24</v>
      </c>
      <c r="E895" s="54"/>
      <c r="F895" s="56">
        <v>0.0</v>
      </c>
      <c r="G895" s="57">
        <v>210.0</v>
      </c>
      <c r="H895" s="57">
        <f t="shared" si="22"/>
        <v>0</v>
      </c>
      <c r="I895" s="58"/>
      <c r="J895" s="58"/>
      <c r="K895" s="54"/>
      <c r="L895" s="252"/>
      <c r="M895" s="275"/>
      <c r="N895" s="252"/>
      <c r="O895" s="275"/>
      <c r="P895" s="275"/>
      <c r="Q895" s="1"/>
      <c r="R895" s="1"/>
      <c r="S895" s="1"/>
      <c r="T895" s="1"/>
      <c r="U895" s="1"/>
      <c r="V895" s="1"/>
    </row>
    <row r="896" ht="15.75" hidden="1" customHeight="1">
      <c r="A896" s="53"/>
      <c r="B896" s="54" t="s">
        <v>18</v>
      </c>
      <c r="C896" s="197" t="s">
        <v>502</v>
      </c>
      <c r="D896" s="198" t="s">
        <v>22</v>
      </c>
      <c r="E896" s="54"/>
      <c r="F896" s="56">
        <v>0.0</v>
      </c>
      <c r="G896" s="57">
        <v>0.0</v>
      </c>
      <c r="H896" s="57">
        <f t="shared" si="22"/>
        <v>0</v>
      </c>
      <c r="I896" s="58"/>
      <c r="J896" s="58"/>
      <c r="K896" s="54"/>
      <c r="L896" s="54"/>
      <c r="M896" s="202"/>
      <c r="N896" s="54"/>
      <c r="O896" s="202"/>
      <c r="P896" s="202"/>
      <c r="Q896" s="1"/>
      <c r="R896" s="1"/>
      <c r="S896" s="1"/>
      <c r="T896" s="1"/>
      <c r="U896" s="1"/>
      <c r="V896" s="1"/>
    </row>
    <row r="897" ht="15.75" hidden="1" customHeight="1">
      <c r="A897" s="53"/>
      <c r="B897" s="54" t="s">
        <v>18</v>
      </c>
      <c r="C897" s="197" t="s">
        <v>283</v>
      </c>
      <c r="D897" s="55" t="s">
        <v>20</v>
      </c>
      <c r="E897" s="208" t="s">
        <v>284</v>
      </c>
      <c r="F897" s="56">
        <v>0.0</v>
      </c>
      <c r="G897" s="57">
        <v>12.0</v>
      </c>
      <c r="H897" s="57">
        <f t="shared" si="22"/>
        <v>0</v>
      </c>
      <c r="I897" s="58"/>
      <c r="J897" s="58"/>
      <c r="K897" s="54"/>
      <c r="L897" s="252"/>
      <c r="M897" s="252"/>
      <c r="N897" s="252"/>
      <c r="O897" s="252"/>
      <c r="P897" s="252"/>
      <c r="Q897" s="1"/>
      <c r="R897" s="1"/>
      <c r="S897" s="1"/>
      <c r="T897" s="1"/>
      <c r="U897" s="1"/>
      <c r="V897" s="1"/>
    </row>
    <row r="898" ht="15.75" hidden="1" customHeight="1">
      <c r="A898" s="53"/>
      <c r="B898" s="54"/>
      <c r="C898" s="54" t="s">
        <v>221</v>
      </c>
      <c r="D898" s="216" t="s">
        <v>24</v>
      </c>
      <c r="E898" s="54"/>
      <c r="F898" s="56">
        <v>0.0</v>
      </c>
      <c r="G898" s="57">
        <v>50.0</v>
      </c>
      <c r="H898" s="57">
        <f t="shared" si="22"/>
        <v>0</v>
      </c>
      <c r="I898" s="58"/>
      <c r="J898" s="58"/>
      <c r="K898" s="54"/>
      <c r="L898" s="252"/>
      <c r="M898" s="252"/>
      <c r="N898" s="252"/>
      <c r="O898" s="252"/>
      <c r="P898" s="252"/>
      <c r="Q898" s="1"/>
      <c r="R898" s="1"/>
      <c r="S898" s="1"/>
      <c r="T898" s="1"/>
      <c r="U898" s="1"/>
      <c r="V898" s="1"/>
    </row>
    <row r="899" ht="15.75" hidden="1" customHeight="1">
      <c r="A899" s="53"/>
      <c r="B899" s="54"/>
      <c r="C899" s="54" t="s">
        <v>222</v>
      </c>
      <c r="D899" s="216" t="s">
        <v>24</v>
      </c>
      <c r="E899" s="54"/>
      <c r="F899" s="56">
        <v>0.0</v>
      </c>
      <c r="G899" s="57">
        <v>40.0</v>
      </c>
      <c r="H899" s="57">
        <f t="shared" si="22"/>
        <v>0</v>
      </c>
      <c r="I899" s="58"/>
      <c r="J899" s="58"/>
      <c r="K899" s="54"/>
      <c r="L899" s="252"/>
      <c r="M899" s="252"/>
      <c r="N899" s="252"/>
      <c r="O899" s="252"/>
      <c r="P899" s="252"/>
      <c r="Q899" s="1"/>
      <c r="R899" s="1"/>
      <c r="S899" s="1"/>
      <c r="T899" s="1"/>
      <c r="U899" s="1"/>
      <c r="V899" s="1"/>
    </row>
    <row r="900" ht="15.75" hidden="1" customHeight="1">
      <c r="A900" s="53"/>
      <c r="B900" s="54"/>
      <c r="C900" s="197" t="s">
        <v>374</v>
      </c>
      <c r="D900" s="216" t="s">
        <v>24</v>
      </c>
      <c r="E900" s="54"/>
      <c r="F900" s="56">
        <v>0.0</v>
      </c>
      <c r="G900" s="57">
        <v>210.0</v>
      </c>
      <c r="H900" s="57">
        <f t="shared" si="22"/>
        <v>0</v>
      </c>
      <c r="I900" s="58"/>
      <c r="J900" s="58"/>
      <c r="K900" s="54"/>
      <c r="L900" s="252"/>
      <c r="M900" s="252"/>
      <c r="N900" s="252"/>
      <c r="O900" s="252"/>
      <c r="P900" s="252"/>
      <c r="Q900" s="1"/>
      <c r="R900" s="1"/>
      <c r="S900" s="1"/>
      <c r="T900" s="1"/>
      <c r="U900" s="1"/>
      <c r="V900" s="1"/>
    </row>
    <row r="901" ht="15.75" hidden="1" customHeight="1">
      <c r="A901" s="53"/>
      <c r="B901" s="54" t="s">
        <v>373</v>
      </c>
      <c r="C901" s="197" t="s">
        <v>372</v>
      </c>
      <c r="D901" s="55" t="s">
        <v>20</v>
      </c>
      <c r="E901" s="54"/>
      <c r="F901" s="56">
        <v>0.0</v>
      </c>
      <c r="G901" s="57">
        <v>70.0</v>
      </c>
      <c r="H901" s="57">
        <f t="shared" si="22"/>
        <v>0</v>
      </c>
      <c r="I901" s="58"/>
      <c r="J901" s="58"/>
      <c r="K901" s="54"/>
      <c r="L901" s="54"/>
      <c r="M901" s="54"/>
      <c r="N901" s="54"/>
      <c r="O901" s="54"/>
      <c r="P901" s="54"/>
      <c r="Q901" s="1"/>
      <c r="R901" s="1"/>
      <c r="S901" s="1"/>
      <c r="T901" s="1"/>
      <c r="U901" s="1"/>
      <c r="V901" s="1"/>
    </row>
    <row r="902" ht="15.75" hidden="1" customHeight="1">
      <c r="A902" s="53"/>
      <c r="B902" s="54" t="s">
        <v>18</v>
      </c>
      <c r="C902" s="197" t="s">
        <v>503</v>
      </c>
      <c r="D902" s="55" t="s">
        <v>20</v>
      </c>
      <c r="E902" s="54"/>
      <c r="F902" s="56">
        <v>0.0</v>
      </c>
      <c r="G902" s="57">
        <v>50.0</v>
      </c>
      <c r="H902" s="57">
        <f t="shared" si="22"/>
        <v>0</v>
      </c>
      <c r="I902" s="58"/>
      <c r="J902" s="58"/>
      <c r="K902" s="54"/>
      <c r="L902" s="54"/>
      <c r="M902" s="54"/>
      <c r="N902" s="54"/>
      <c r="O902" s="54"/>
      <c r="P902" s="54"/>
      <c r="Q902" s="1"/>
      <c r="R902" s="1"/>
      <c r="S902" s="1"/>
      <c r="T902" s="1"/>
      <c r="U902" s="1"/>
      <c r="V902" s="1"/>
    </row>
    <row r="903" ht="15.75" hidden="1" customHeight="1">
      <c r="A903" s="53"/>
      <c r="B903" s="54"/>
      <c r="C903" s="197" t="s">
        <v>504</v>
      </c>
      <c r="D903" s="216" t="s">
        <v>24</v>
      </c>
      <c r="E903" s="54"/>
      <c r="F903" s="56">
        <v>0.0</v>
      </c>
      <c r="G903" s="57">
        <v>50.0</v>
      </c>
      <c r="H903" s="57">
        <f t="shared" si="22"/>
        <v>0</v>
      </c>
      <c r="I903" s="58"/>
      <c r="J903" s="58"/>
      <c r="K903" s="54"/>
      <c r="L903" s="54"/>
      <c r="M903" s="54"/>
      <c r="N903" s="54"/>
      <c r="O903" s="54"/>
      <c r="P903" s="54"/>
      <c r="Q903" s="1"/>
      <c r="R903" s="1"/>
      <c r="S903" s="1"/>
      <c r="T903" s="1"/>
      <c r="U903" s="1"/>
      <c r="V903" s="1"/>
    </row>
    <row r="904" ht="15.75" hidden="1" customHeight="1">
      <c r="A904" s="53"/>
      <c r="B904" s="54"/>
      <c r="C904" s="197" t="s">
        <v>505</v>
      </c>
      <c r="D904" s="216" t="s">
        <v>24</v>
      </c>
      <c r="E904" s="54"/>
      <c r="F904" s="56">
        <v>0.0</v>
      </c>
      <c r="G904" s="57">
        <v>120.0</v>
      </c>
      <c r="H904" s="57">
        <f t="shared" si="22"/>
        <v>0</v>
      </c>
      <c r="I904" s="58"/>
      <c r="J904" s="58"/>
      <c r="K904" s="54"/>
      <c r="L904" s="252"/>
      <c r="M904" s="252"/>
      <c r="N904" s="252"/>
      <c r="O904" s="252"/>
      <c r="P904" s="252"/>
      <c r="Q904" s="1"/>
      <c r="R904" s="1"/>
      <c r="S904" s="1"/>
      <c r="T904" s="1"/>
      <c r="U904" s="1"/>
      <c r="V904" s="1"/>
    </row>
    <row r="905" ht="15.75" hidden="1" customHeight="1">
      <c r="A905" s="53"/>
      <c r="B905" s="54"/>
      <c r="C905" s="197" t="s">
        <v>506</v>
      </c>
      <c r="D905" s="216" t="s">
        <v>24</v>
      </c>
      <c r="E905" s="54"/>
      <c r="F905" s="56">
        <v>0.0</v>
      </c>
      <c r="G905" s="57">
        <v>80.0</v>
      </c>
      <c r="H905" s="57">
        <f t="shared" si="22"/>
        <v>0</v>
      </c>
      <c r="I905" s="58"/>
      <c r="J905" s="58"/>
      <c r="K905" s="54"/>
      <c r="L905" s="252"/>
      <c r="M905" s="252"/>
      <c r="N905" s="252"/>
      <c r="O905" s="252"/>
      <c r="P905" s="252"/>
      <c r="Q905" s="1"/>
      <c r="R905" s="1"/>
      <c r="S905" s="1"/>
      <c r="T905" s="1"/>
      <c r="U905" s="1"/>
      <c r="V905" s="1"/>
    </row>
    <row r="906" ht="15.75" hidden="1" customHeight="1">
      <c r="A906" s="53"/>
      <c r="B906" s="54"/>
      <c r="C906" s="197" t="s">
        <v>507</v>
      </c>
      <c r="D906" s="55" t="s">
        <v>20</v>
      </c>
      <c r="E906" s="54"/>
      <c r="F906" s="56">
        <v>0.0</v>
      </c>
      <c r="G906" s="57">
        <v>300.0</v>
      </c>
      <c r="H906" s="57">
        <f t="shared" si="22"/>
        <v>0</v>
      </c>
      <c r="I906" s="58"/>
      <c r="J906" s="58"/>
      <c r="K906" s="54"/>
      <c r="L906" s="252"/>
      <c r="M906" s="252"/>
      <c r="N906" s="252"/>
      <c r="O906" s="252"/>
      <c r="P906" s="252"/>
      <c r="Q906" s="1"/>
      <c r="R906" s="1"/>
      <c r="S906" s="1"/>
      <c r="T906" s="1"/>
      <c r="U906" s="1"/>
      <c r="V906" s="1"/>
    </row>
    <row r="907" ht="15.75" hidden="1" customHeight="1">
      <c r="A907" s="53"/>
      <c r="B907" s="54"/>
      <c r="C907" s="197" t="s">
        <v>508</v>
      </c>
      <c r="D907" s="216" t="s">
        <v>24</v>
      </c>
      <c r="E907" s="54"/>
      <c r="F907" s="56">
        <v>0.0</v>
      </c>
      <c r="G907" s="57">
        <v>290.0</v>
      </c>
      <c r="H907" s="57">
        <f t="shared" si="22"/>
        <v>0</v>
      </c>
      <c r="I907" s="58"/>
      <c r="J907" s="58"/>
      <c r="K907" s="54"/>
      <c r="L907" s="252"/>
      <c r="M907" s="252"/>
      <c r="N907" s="252"/>
      <c r="O907" s="252"/>
      <c r="P907" s="252"/>
      <c r="Q907" s="1"/>
      <c r="R907" s="1"/>
      <c r="S907" s="1"/>
      <c r="T907" s="1"/>
      <c r="U907" s="1"/>
      <c r="V907" s="1"/>
    </row>
    <row r="908" ht="15.75" hidden="1" customHeight="1">
      <c r="A908" s="53"/>
      <c r="B908" s="54"/>
      <c r="C908" s="54" t="s">
        <v>509</v>
      </c>
      <c r="D908" s="55" t="s">
        <v>20</v>
      </c>
      <c r="E908" s="54"/>
      <c r="F908" s="56">
        <v>0.0</v>
      </c>
      <c r="G908" s="57">
        <v>30.0</v>
      </c>
      <c r="H908" s="57">
        <f t="shared" si="22"/>
        <v>0</v>
      </c>
      <c r="I908" s="58"/>
      <c r="J908" s="58"/>
      <c r="K908" s="54"/>
      <c r="L908" s="252"/>
      <c r="M908" s="252"/>
      <c r="N908" s="252"/>
      <c r="O908" s="252"/>
      <c r="P908" s="252"/>
      <c r="Q908" s="1"/>
      <c r="R908" s="1"/>
      <c r="S908" s="1"/>
      <c r="T908" s="1"/>
      <c r="U908" s="1"/>
      <c r="V908" s="1"/>
    </row>
    <row r="909" ht="15.75" hidden="1" customHeight="1">
      <c r="A909" s="53"/>
      <c r="B909" s="54"/>
      <c r="C909" s="54" t="s">
        <v>510</v>
      </c>
      <c r="D909" s="216" t="s">
        <v>24</v>
      </c>
      <c r="E909" s="54"/>
      <c r="F909" s="56">
        <v>0.0</v>
      </c>
      <c r="G909" s="57">
        <v>70.0</v>
      </c>
      <c r="H909" s="57">
        <f t="shared" si="22"/>
        <v>0</v>
      </c>
      <c r="I909" s="58"/>
      <c r="J909" s="58"/>
      <c r="K909" s="54"/>
      <c r="L909" s="252"/>
      <c r="M909" s="252"/>
      <c r="N909" s="252"/>
      <c r="O909" s="252"/>
      <c r="P909" s="252"/>
      <c r="Q909" s="1"/>
      <c r="R909" s="1"/>
      <c r="S909" s="1"/>
      <c r="T909" s="1"/>
      <c r="U909" s="1"/>
      <c r="V909" s="1"/>
    </row>
    <row r="910" ht="15.75" hidden="1" customHeight="1">
      <c r="A910" s="53"/>
      <c r="B910" s="54"/>
      <c r="C910" s="54" t="s">
        <v>511</v>
      </c>
      <c r="D910" s="55" t="s">
        <v>20</v>
      </c>
      <c r="E910" s="54"/>
      <c r="F910" s="56">
        <v>0.0</v>
      </c>
      <c r="G910" s="57">
        <v>368.0</v>
      </c>
      <c r="H910" s="57">
        <f t="shared" si="22"/>
        <v>0</v>
      </c>
      <c r="I910" s="58"/>
      <c r="J910" s="58"/>
      <c r="K910" s="54"/>
      <c r="L910" s="252"/>
      <c r="M910" s="252"/>
      <c r="N910" s="252"/>
      <c r="O910" s="252"/>
      <c r="P910" s="252"/>
      <c r="Q910" s="1"/>
      <c r="R910" s="1"/>
      <c r="S910" s="1"/>
      <c r="T910" s="1"/>
      <c r="U910" s="1"/>
      <c r="V910" s="1"/>
    </row>
    <row r="911" ht="15.75" hidden="1" customHeight="1">
      <c r="A911" s="53"/>
      <c r="B911" s="54"/>
      <c r="C911" s="54" t="s">
        <v>512</v>
      </c>
      <c r="D911" s="55" t="s">
        <v>20</v>
      </c>
      <c r="E911" s="54"/>
      <c r="F911" s="56">
        <v>0.0</v>
      </c>
      <c r="G911" s="57">
        <v>183.0</v>
      </c>
      <c r="H911" s="57">
        <f t="shared" si="22"/>
        <v>0</v>
      </c>
      <c r="I911" s="58"/>
      <c r="J911" s="58"/>
      <c r="K911" s="54"/>
      <c r="L911" s="252"/>
      <c r="M911" s="252"/>
      <c r="N911" s="252"/>
      <c r="O911" s="252"/>
      <c r="P911" s="252"/>
      <c r="Q911" s="1"/>
      <c r="R911" s="1"/>
      <c r="S911" s="1"/>
      <c r="T911" s="1"/>
      <c r="U911" s="1"/>
      <c r="V911" s="1"/>
    </row>
    <row r="912" ht="15.75" hidden="1" customHeight="1">
      <c r="A912" s="53"/>
      <c r="B912" s="54"/>
      <c r="C912" s="278" t="s">
        <v>513</v>
      </c>
      <c r="D912" s="55" t="s">
        <v>20</v>
      </c>
      <c r="E912" s="54"/>
      <c r="F912" s="56">
        <v>0.0</v>
      </c>
      <c r="G912" s="57">
        <v>45.0</v>
      </c>
      <c r="H912" s="57">
        <f t="shared" si="22"/>
        <v>0</v>
      </c>
      <c r="I912" s="58"/>
      <c r="J912" s="58"/>
      <c r="K912" s="54"/>
      <c r="L912" s="252"/>
      <c r="M912" s="252"/>
      <c r="N912" s="252"/>
      <c r="O912" s="252"/>
      <c r="P912" s="252"/>
      <c r="Q912" s="1"/>
      <c r="R912" s="1"/>
      <c r="S912" s="1"/>
      <c r="T912" s="1"/>
      <c r="U912" s="1"/>
      <c r="V912" s="1"/>
    </row>
    <row r="913" ht="15.75" hidden="1" customHeight="1">
      <c r="A913" s="53"/>
      <c r="B913" s="54"/>
      <c r="C913" s="278" t="s">
        <v>514</v>
      </c>
      <c r="D913" s="55" t="s">
        <v>20</v>
      </c>
      <c r="E913" s="54"/>
      <c r="F913" s="56">
        <v>0.0</v>
      </c>
      <c r="G913" s="57">
        <v>60.0</v>
      </c>
      <c r="H913" s="57">
        <f t="shared" si="22"/>
        <v>0</v>
      </c>
      <c r="I913" s="58"/>
      <c r="J913" s="58"/>
      <c r="K913" s="54"/>
      <c r="L913" s="252"/>
      <c r="M913" s="252"/>
      <c r="N913" s="252"/>
      <c r="O913" s="252"/>
      <c r="P913" s="252"/>
      <c r="Q913" s="1"/>
      <c r="R913" s="1"/>
      <c r="S913" s="1"/>
      <c r="T913" s="1"/>
      <c r="U913" s="1"/>
      <c r="V913" s="1"/>
    </row>
    <row r="914" ht="15.75" hidden="1" customHeight="1">
      <c r="A914" s="53"/>
      <c r="B914" s="54"/>
      <c r="C914" s="279" t="s">
        <v>515</v>
      </c>
      <c r="D914" s="216" t="s">
        <v>24</v>
      </c>
      <c r="E914" s="54"/>
      <c r="F914" s="56">
        <v>0.0</v>
      </c>
      <c r="G914" s="57">
        <v>290.0</v>
      </c>
      <c r="H914" s="57">
        <f t="shared" si="22"/>
        <v>0</v>
      </c>
      <c r="I914" s="58"/>
      <c r="J914" s="58"/>
      <c r="K914" s="54"/>
      <c r="L914" s="252"/>
      <c r="M914" s="252"/>
      <c r="N914" s="252"/>
      <c r="O914" s="252"/>
      <c r="P914" s="252"/>
      <c r="Q914" s="1"/>
      <c r="R914" s="1"/>
      <c r="S914" s="1"/>
      <c r="T914" s="1"/>
      <c r="U914" s="1"/>
      <c r="V914" s="1"/>
    </row>
    <row r="915" ht="15.75" hidden="1" customHeight="1">
      <c r="A915" s="53"/>
      <c r="B915" s="54"/>
      <c r="C915" s="54" t="s">
        <v>71</v>
      </c>
      <c r="D915" s="216" t="s">
        <v>24</v>
      </c>
      <c r="E915" s="54"/>
      <c r="F915" s="56">
        <v>0.0</v>
      </c>
      <c r="G915" s="57">
        <v>80.0</v>
      </c>
      <c r="H915" s="57">
        <f t="shared" si="22"/>
        <v>0</v>
      </c>
      <c r="I915" s="58"/>
      <c r="J915" s="58"/>
      <c r="K915" s="54"/>
      <c r="L915" s="252"/>
      <c r="M915" s="252"/>
      <c r="N915" s="252"/>
      <c r="O915" s="252"/>
      <c r="P915" s="252"/>
      <c r="Q915" s="1"/>
      <c r="R915" s="1"/>
      <c r="S915" s="1"/>
      <c r="T915" s="1"/>
      <c r="U915" s="1"/>
      <c r="V915" s="1"/>
    </row>
    <row r="916" ht="15.75" hidden="1" customHeight="1">
      <c r="A916" s="53"/>
      <c r="B916" s="54"/>
      <c r="C916" s="197" t="s">
        <v>516</v>
      </c>
      <c r="D916" s="55" t="s">
        <v>20</v>
      </c>
      <c r="E916" s="54"/>
      <c r="F916" s="56">
        <v>0.0</v>
      </c>
      <c r="G916" s="57">
        <v>300.0</v>
      </c>
      <c r="H916" s="57">
        <f t="shared" si="22"/>
        <v>0</v>
      </c>
      <c r="I916" s="58"/>
      <c r="J916" s="58"/>
      <c r="K916" s="54"/>
      <c r="L916" s="252"/>
      <c r="M916" s="252"/>
      <c r="N916" s="252"/>
      <c r="O916" s="252"/>
      <c r="P916" s="252"/>
      <c r="Q916" s="1"/>
      <c r="R916" s="1"/>
      <c r="S916" s="1"/>
      <c r="T916" s="1"/>
      <c r="U916" s="1"/>
      <c r="V916" s="1"/>
    </row>
    <row r="917" ht="15.75" hidden="1" customHeight="1">
      <c r="A917" s="53"/>
      <c r="B917" s="54"/>
      <c r="C917" s="197" t="s">
        <v>517</v>
      </c>
      <c r="D917" s="216" t="s">
        <v>24</v>
      </c>
      <c r="E917" s="54"/>
      <c r="F917" s="56">
        <v>0.0</v>
      </c>
      <c r="G917" s="57">
        <v>900.0</v>
      </c>
      <c r="H917" s="57">
        <f t="shared" si="22"/>
        <v>0</v>
      </c>
      <c r="I917" s="58"/>
      <c r="J917" s="58"/>
      <c r="K917" s="54"/>
      <c r="L917" s="252"/>
      <c r="M917" s="252"/>
      <c r="N917" s="252"/>
      <c r="O917" s="252"/>
      <c r="P917" s="252"/>
      <c r="Q917" s="1"/>
      <c r="R917" s="1"/>
      <c r="S917" s="1"/>
      <c r="T917" s="1"/>
      <c r="U917" s="1"/>
      <c r="V917" s="1"/>
    </row>
    <row r="918" ht="15.75" hidden="1" customHeight="1">
      <c r="A918" s="53"/>
      <c r="B918" s="54"/>
      <c r="C918" s="197" t="s">
        <v>518</v>
      </c>
      <c r="D918" s="216" t="s">
        <v>24</v>
      </c>
      <c r="E918" s="54"/>
      <c r="F918" s="56">
        <v>0.0</v>
      </c>
      <c r="G918" s="57">
        <v>150.0</v>
      </c>
      <c r="H918" s="57">
        <f t="shared" si="22"/>
        <v>0</v>
      </c>
      <c r="I918" s="58"/>
      <c r="J918" s="58"/>
      <c r="K918" s="54"/>
      <c r="L918" s="252"/>
      <c r="M918" s="252"/>
      <c r="N918" s="252"/>
      <c r="O918" s="252"/>
      <c r="P918" s="252"/>
      <c r="Q918" s="1"/>
      <c r="R918" s="1"/>
      <c r="S918" s="1"/>
      <c r="T918" s="1"/>
      <c r="U918" s="1"/>
      <c r="V918" s="1"/>
    </row>
    <row r="919" ht="15.75" hidden="1" customHeight="1">
      <c r="A919" s="53"/>
      <c r="B919" s="54"/>
      <c r="C919" s="197" t="s">
        <v>519</v>
      </c>
      <c r="D919" s="55" t="s">
        <v>20</v>
      </c>
      <c r="E919" s="54"/>
      <c r="F919" s="56">
        <v>0.0</v>
      </c>
      <c r="G919" s="57">
        <v>60.0</v>
      </c>
      <c r="H919" s="57">
        <f t="shared" si="22"/>
        <v>0</v>
      </c>
      <c r="I919" s="58"/>
      <c r="J919" s="58"/>
      <c r="K919" s="54"/>
      <c r="L919" s="252"/>
      <c r="M919" s="252"/>
      <c r="N919" s="252"/>
      <c r="O919" s="252"/>
      <c r="P919" s="252"/>
      <c r="Q919" s="1"/>
      <c r="R919" s="1"/>
      <c r="S919" s="1"/>
      <c r="T919" s="1"/>
      <c r="U919" s="1"/>
      <c r="V919" s="1"/>
    </row>
    <row r="920" ht="15.75" hidden="1" customHeight="1">
      <c r="A920" s="53"/>
      <c r="B920" s="54"/>
      <c r="C920" s="197" t="s">
        <v>520</v>
      </c>
      <c r="D920" s="216" t="s">
        <v>24</v>
      </c>
      <c r="E920" s="54"/>
      <c r="F920" s="56">
        <v>0.0</v>
      </c>
      <c r="G920" s="57">
        <v>500.0</v>
      </c>
      <c r="H920" s="57">
        <f t="shared" si="22"/>
        <v>0</v>
      </c>
      <c r="I920" s="58"/>
      <c r="J920" s="58"/>
      <c r="K920" s="54"/>
      <c r="L920" s="252"/>
      <c r="M920" s="252"/>
      <c r="N920" s="252"/>
      <c r="O920" s="252"/>
      <c r="P920" s="252"/>
      <c r="Q920" s="1"/>
      <c r="R920" s="1"/>
      <c r="S920" s="1"/>
      <c r="T920" s="1"/>
      <c r="U920" s="1"/>
      <c r="V920" s="1"/>
    </row>
    <row r="921" ht="15.75" hidden="1" customHeight="1">
      <c r="A921" s="53"/>
      <c r="B921" s="54"/>
      <c r="C921" s="197" t="s">
        <v>521</v>
      </c>
      <c r="D921" s="55" t="s">
        <v>20</v>
      </c>
      <c r="E921" s="54"/>
      <c r="F921" s="56">
        <v>0.0</v>
      </c>
      <c r="G921" s="57">
        <v>130.0</v>
      </c>
      <c r="H921" s="57">
        <f t="shared" si="22"/>
        <v>0</v>
      </c>
      <c r="I921" s="58"/>
      <c r="J921" s="58"/>
      <c r="K921" s="54"/>
      <c r="L921" s="252"/>
      <c r="M921" s="252"/>
      <c r="N921" s="252"/>
      <c r="O921" s="252"/>
      <c r="P921" s="252"/>
      <c r="Q921" s="1"/>
      <c r="R921" s="1"/>
      <c r="S921" s="1"/>
      <c r="T921" s="1"/>
      <c r="U921" s="1"/>
      <c r="V921" s="1"/>
    </row>
    <row r="922" ht="15.75" hidden="1" customHeight="1">
      <c r="A922" s="53"/>
      <c r="B922" s="54"/>
      <c r="C922" s="197" t="s">
        <v>522</v>
      </c>
      <c r="D922" s="55" t="s">
        <v>20</v>
      </c>
      <c r="E922" s="54"/>
      <c r="F922" s="56">
        <v>0.0</v>
      </c>
      <c r="G922" s="57">
        <v>30.0</v>
      </c>
      <c r="H922" s="57">
        <f t="shared" si="22"/>
        <v>0</v>
      </c>
      <c r="I922" s="58"/>
      <c r="J922" s="58"/>
      <c r="K922" s="54"/>
      <c r="L922" s="54"/>
      <c r="M922" s="54"/>
      <c r="N922" s="54"/>
      <c r="O922" s="54"/>
      <c r="P922" s="54"/>
      <c r="Q922" s="1"/>
      <c r="R922" s="1"/>
      <c r="S922" s="1"/>
      <c r="T922" s="1"/>
      <c r="U922" s="1"/>
      <c r="V922" s="1"/>
    </row>
    <row r="923" ht="15.75" hidden="1" customHeight="1">
      <c r="A923" s="53"/>
      <c r="B923" s="54"/>
      <c r="C923" s="197" t="s">
        <v>523</v>
      </c>
      <c r="D923" s="216" t="s">
        <v>24</v>
      </c>
      <c r="E923" s="54"/>
      <c r="F923" s="56">
        <v>0.0</v>
      </c>
      <c r="G923" s="57">
        <v>25.0</v>
      </c>
      <c r="H923" s="57">
        <f t="shared" si="22"/>
        <v>0</v>
      </c>
      <c r="I923" s="58"/>
      <c r="J923" s="58"/>
      <c r="K923" s="54"/>
      <c r="L923" s="252"/>
      <c r="M923" s="252"/>
      <c r="N923" s="252"/>
      <c r="O923" s="252"/>
      <c r="P923" s="252"/>
      <c r="Q923" s="1"/>
      <c r="R923" s="1"/>
      <c r="S923" s="1"/>
      <c r="T923" s="1"/>
      <c r="U923" s="1"/>
      <c r="V923" s="1"/>
    </row>
    <row r="924" ht="15.75" hidden="1" customHeight="1">
      <c r="A924" s="53"/>
      <c r="B924" s="54"/>
      <c r="C924" s="197" t="s">
        <v>524</v>
      </c>
      <c r="D924" s="55" t="s">
        <v>20</v>
      </c>
      <c r="E924" s="54"/>
      <c r="F924" s="56">
        <v>0.0</v>
      </c>
      <c r="G924" s="57">
        <v>15.0</v>
      </c>
      <c r="H924" s="57">
        <f t="shared" si="22"/>
        <v>0</v>
      </c>
      <c r="I924" s="58"/>
      <c r="J924" s="58"/>
      <c r="K924" s="54"/>
      <c r="L924" s="54"/>
      <c r="M924" s="54"/>
      <c r="N924" s="54"/>
      <c r="O924" s="54"/>
      <c r="P924" s="54"/>
      <c r="Q924" s="1"/>
      <c r="R924" s="1"/>
      <c r="S924" s="1"/>
      <c r="T924" s="1"/>
      <c r="U924" s="1"/>
      <c r="V924" s="1"/>
    </row>
    <row r="925" ht="15.75" hidden="1" customHeight="1">
      <c r="A925" s="53"/>
      <c r="B925" s="54"/>
      <c r="C925" s="197" t="s">
        <v>525</v>
      </c>
      <c r="D925" s="216" t="s">
        <v>24</v>
      </c>
      <c r="E925" s="54"/>
      <c r="F925" s="56">
        <v>0.0</v>
      </c>
      <c r="G925" s="57">
        <v>60.0</v>
      </c>
      <c r="H925" s="57">
        <f t="shared" si="22"/>
        <v>0</v>
      </c>
      <c r="I925" s="58"/>
      <c r="J925" s="58"/>
      <c r="K925" s="54"/>
      <c r="L925" s="252"/>
      <c r="M925" s="252"/>
      <c r="N925" s="252"/>
      <c r="O925" s="252"/>
      <c r="P925" s="252"/>
      <c r="Q925" s="1"/>
      <c r="R925" s="1"/>
      <c r="S925" s="1"/>
      <c r="T925" s="1"/>
      <c r="U925" s="1"/>
      <c r="V925" s="1"/>
    </row>
    <row r="926" ht="15.75" hidden="1" customHeight="1">
      <c r="A926" s="53"/>
      <c r="B926" s="54"/>
      <c r="C926" s="197" t="s">
        <v>526</v>
      </c>
      <c r="D926" s="216" t="s">
        <v>24</v>
      </c>
      <c r="E926" s="54"/>
      <c r="F926" s="56">
        <v>0.0</v>
      </c>
      <c r="G926" s="57">
        <v>80.0</v>
      </c>
      <c r="H926" s="57">
        <f t="shared" si="22"/>
        <v>0</v>
      </c>
      <c r="I926" s="58"/>
      <c r="J926" s="58"/>
      <c r="K926" s="54"/>
      <c r="L926" s="252"/>
      <c r="M926" s="252"/>
      <c r="N926" s="252"/>
      <c r="O926" s="252"/>
      <c r="P926" s="252"/>
      <c r="Q926" s="1"/>
      <c r="R926" s="1"/>
      <c r="S926" s="1"/>
      <c r="T926" s="1"/>
      <c r="U926" s="1"/>
      <c r="V926" s="1"/>
    </row>
    <row r="927" ht="15.75" hidden="1" customHeight="1">
      <c r="A927" s="53"/>
      <c r="B927" s="54"/>
      <c r="C927" s="197" t="s">
        <v>527</v>
      </c>
      <c r="D927" s="55" t="s">
        <v>20</v>
      </c>
      <c r="E927" s="54"/>
      <c r="F927" s="56">
        <v>0.0</v>
      </c>
      <c r="G927" s="57">
        <v>5000.0</v>
      </c>
      <c r="H927" s="57">
        <f t="shared" si="22"/>
        <v>0</v>
      </c>
      <c r="I927" s="58"/>
      <c r="J927" s="58"/>
      <c r="K927" s="54"/>
      <c r="L927" s="252"/>
      <c r="M927" s="252"/>
      <c r="N927" s="252"/>
      <c r="O927" s="252"/>
      <c r="P927" s="252"/>
      <c r="Q927" s="1"/>
      <c r="R927" s="1"/>
      <c r="S927" s="1"/>
      <c r="T927" s="1"/>
      <c r="U927" s="1"/>
      <c r="V927" s="1"/>
    </row>
    <row r="928" ht="15.75" hidden="1" customHeight="1">
      <c r="A928" s="53"/>
      <c r="B928" s="54"/>
      <c r="C928" s="197" t="s">
        <v>528</v>
      </c>
      <c r="D928" s="216" t="s">
        <v>24</v>
      </c>
      <c r="E928" s="54" t="s">
        <v>529</v>
      </c>
      <c r="F928" s="56">
        <v>0.0</v>
      </c>
      <c r="G928" s="57">
        <v>2800.0</v>
      </c>
      <c r="H928" s="57">
        <f t="shared" si="22"/>
        <v>0</v>
      </c>
      <c r="I928" s="58"/>
      <c r="J928" s="58"/>
      <c r="K928" s="54"/>
      <c r="L928" s="252"/>
      <c r="M928" s="252"/>
      <c r="N928" s="252"/>
      <c r="O928" s="252"/>
      <c r="P928" s="252"/>
      <c r="Q928" s="1"/>
      <c r="R928" s="1"/>
      <c r="S928" s="1"/>
      <c r="T928" s="1"/>
      <c r="U928" s="1"/>
      <c r="V928" s="1"/>
    </row>
    <row r="929" ht="15.75" hidden="1" customHeight="1">
      <c r="A929" s="53"/>
      <c r="B929" s="54"/>
      <c r="C929" s="197" t="s">
        <v>530</v>
      </c>
      <c r="D929" s="216" t="s">
        <v>24</v>
      </c>
      <c r="E929" s="54"/>
      <c r="F929" s="56">
        <v>0.0</v>
      </c>
      <c r="G929" s="57">
        <v>2000.0</v>
      </c>
      <c r="H929" s="57">
        <f t="shared" si="22"/>
        <v>0</v>
      </c>
      <c r="I929" s="58"/>
      <c r="J929" s="58"/>
      <c r="K929" s="54"/>
      <c r="L929" s="252"/>
      <c r="M929" s="252"/>
      <c r="N929" s="252"/>
      <c r="O929" s="252"/>
      <c r="P929" s="252"/>
      <c r="Q929" s="1"/>
      <c r="R929" s="1"/>
      <c r="S929" s="1"/>
      <c r="T929" s="1"/>
      <c r="U929" s="1"/>
      <c r="V929" s="1"/>
    </row>
    <row r="930" ht="15.75" hidden="1" customHeight="1">
      <c r="A930" s="53"/>
      <c r="B930" s="54"/>
      <c r="C930" s="197" t="s">
        <v>531</v>
      </c>
      <c r="D930" s="216" t="s">
        <v>24</v>
      </c>
      <c r="E930" s="54"/>
      <c r="F930" s="56">
        <v>0.0</v>
      </c>
      <c r="G930" s="57">
        <v>2200.0</v>
      </c>
      <c r="H930" s="57">
        <f t="shared" si="22"/>
        <v>0</v>
      </c>
      <c r="I930" s="58"/>
      <c r="J930" s="58"/>
      <c r="K930" s="54"/>
      <c r="L930" s="252"/>
      <c r="M930" s="252"/>
      <c r="N930" s="252"/>
      <c r="O930" s="252"/>
      <c r="P930" s="252"/>
      <c r="Q930" s="1"/>
      <c r="R930" s="1"/>
      <c r="S930" s="1"/>
      <c r="T930" s="1"/>
      <c r="U930" s="1"/>
      <c r="V930" s="1"/>
    </row>
    <row r="931" ht="30.75" customHeight="1">
      <c r="A931" s="83"/>
      <c r="B931" s="254" t="s">
        <v>617</v>
      </c>
      <c r="C931" s="255">
        <f>SUM(H932:H1007)</f>
        <v>13318.6</v>
      </c>
      <c r="D931" s="256"/>
      <c r="E931" s="256"/>
      <c r="F931" s="256"/>
      <c r="G931" s="257"/>
      <c r="H931" s="257"/>
      <c r="I931" s="257"/>
      <c r="J931" s="257"/>
      <c r="K931" s="256"/>
      <c r="L931" s="256"/>
      <c r="M931" s="256"/>
      <c r="N931" s="256"/>
      <c r="O931" s="256"/>
      <c r="P931" s="256"/>
      <c r="Q931" s="1"/>
      <c r="R931" s="1"/>
      <c r="S931" s="1"/>
      <c r="T931" s="1"/>
      <c r="U931" s="1"/>
      <c r="V931" s="1"/>
    </row>
    <row r="932" ht="15.75" hidden="1" customHeight="1">
      <c r="A932" s="53"/>
      <c r="B932" s="54"/>
      <c r="C932" s="197" t="s">
        <v>191</v>
      </c>
      <c r="D932" s="198" t="s">
        <v>22</v>
      </c>
      <c r="E932" s="54"/>
      <c r="F932" s="56">
        <v>0.0</v>
      </c>
      <c r="G932" s="57">
        <v>100.0</v>
      </c>
      <c r="H932" s="57">
        <f t="shared" ref="H932:H938" si="23">SUM(F932*G932)</f>
        <v>0</v>
      </c>
      <c r="I932" s="58"/>
      <c r="J932" s="58"/>
      <c r="K932" s="54"/>
      <c r="L932" s="54"/>
      <c r="M932" s="54"/>
      <c r="N932" s="54"/>
      <c r="O932" s="54"/>
      <c r="P932" s="54"/>
      <c r="Q932" s="1"/>
      <c r="R932" s="1"/>
      <c r="S932" s="1"/>
      <c r="T932" s="1"/>
      <c r="U932" s="1"/>
      <c r="V932" s="1"/>
    </row>
    <row r="933" ht="15.75" hidden="1" customHeight="1">
      <c r="A933" s="53"/>
      <c r="B933" s="54" t="s">
        <v>18</v>
      </c>
      <c r="C933" s="197" t="s">
        <v>433</v>
      </c>
      <c r="D933" s="55" t="s">
        <v>20</v>
      </c>
      <c r="E933" s="54"/>
      <c r="F933" s="56">
        <v>0.0</v>
      </c>
      <c r="G933" s="57">
        <v>5.0</v>
      </c>
      <c r="H933" s="57">
        <f t="shared" si="23"/>
        <v>0</v>
      </c>
      <c r="I933" s="58"/>
      <c r="J933" s="58"/>
      <c r="K933" s="54"/>
      <c r="L933" s="54"/>
      <c r="M933" s="54"/>
      <c r="N933" s="54"/>
      <c r="O933" s="54"/>
      <c r="P933" s="54"/>
      <c r="Q933" s="1"/>
      <c r="R933" s="1"/>
      <c r="S933" s="1"/>
      <c r="T933" s="1"/>
      <c r="U933" s="1"/>
      <c r="V933" s="1"/>
    </row>
    <row r="934" ht="15.75" hidden="1" customHeight="1">
      <c r="A934" s="53"/>
      <c r="B934" s="54" t="s">
        <v>18</v>
      </c>
      <c r="C934" s="197" t="s">
        <v>19</v>
      </c>
      <c r="D934" s="55" t="s">
        <v>20</v>
      </c>
      <c r="E934" s="54"/>
      <c r="F934" s="56">
        <v>0.0</v>
      </c>
      <c r="G934" s="57">
        <v>0.0</v>
      </c>
      <c r="H934" s="57">
        <f t="shared" si="23"/>
        <v>0</v>
      </c>
      <c r="I934" s="58"/>
      <c r="J934" s="58"/>
      <c r="K934" s="54"/>
      <c r="L934" s="54"/>
      <c r="M934" s="202"/>
      <c r="N934" s="202"/>
      <c r="O934" s="270"/>
      <c r="P934" s="202"/>
      <c r="Q934" s="1"/>
      <c r="R934" s="1"/>
      <c r="S934" s="1"/>
      <c r="T934" s="1"/>
      <c r="U934" s="1"/>
      <c r="V934" s="1"/>
    </row>
    <row r="935" ht="15.75" hidden="1" customHeight="1">
      <c r="A935" s="53"/>
      <c r="B935" s="54" t="s">
        <v>18</v>
      </c>
      <c r="C935" s="197" t="s">
        <v>434</v>
      </c>
      <c r="D935" s="55" t="s">
        <v>20</v>
      </c>
      <c r="E935" s="54"/>
      <c r="F935" s="56">
        <v>0.0</v>
      </c>
      <c r="G935" s="57">
        <v>5.0</v>
      </c>
      <c r="H935" s="57">
        <f t="shared" si="23"/>
        <v>0</v>
      </c>
      <c r="I935" s="58"/>
      <c r="J935" s="58"/>
      <c r="K935" s="54"/>
      <c r="L935" s="54"/>
      <c r="M935" s="202"/>
      <c r="N935" s="202"/>
      <c r="O935" s="270"/>
      <c r="P935" s="202"/>
      <c r="Q935" s="1"/>
      <c r="R935" s="1"/>
      <c r="S935" s="1"/>
      <c r="T935" s="1"/>
      <c r="U935" s="1"/>
      <c r="V935" s="1"/>
    </row>
    <row r="936" ht="15.75" hidden="1" customHeight="1">
      <c r="A936" s="53"/>
      <c r="B936" s="54"/>
      <c r="C936" s="197" t="s">
        <v>435</v>
      </c>
      <c r="D936" s="216" t="s">
        <v>24</v>
      </c>
      <c r="E936" s="54"/>
      <c r="F936" s="56">
        <v>0.0</v>
      </c>
      <c r="G936" s="57">
        <v>103.5</v>
      </c>
      <c r="H936" s="57">
        <f t="shared" si="23"/>
        <v>0</v>
      </c>
      <c r="I936" s="58"/>
      <c r="J936" s="58"/>
      <c r="K936" s="54"/>
      <c r="L936" s="54"/>
      <c r="M936" s="202"/>
      <c r="N936" s="202"/>
      <c r="O936" s="270"/>
      <c r="P936" s="202"/>
      <c r="Q936" s="1"/>
      <c r="R936" s="1"/>
      <c r="S936" s="1"/>
      <c r="T936" s="1"/>
      <c r="U936" s="1"/>
      <c r="V936" s="1"/>
    </row>
    <row r="937" ht="15.75" customHeight="1">
      <c r="A937" s="53"/>
      <c r="B937" s="54" t="s">
        <v>18</v>
      </c>
      <c r="C937" s="197" t="s">
        <v>296</v>
      </c>
      <c r="D937" s="55" t="s">
        <v>20</v>
      </c>
      <c r="E937" s="157" t="s">
        <v>618</v>
      </c>
      <c r="F937" s="56">
        <v>1.0</v>
      </c>
      <c r="G937" s="159">
        <v>72.0</v>
      </c>
      <c r="H937" s="57">
        <f t="shared" si="23"/>
        <v>72</v>
      </c>
      <c r="I937" s="58"/>
      <c r="J937" s="58"/>
      <c r="K937" s="54"/>
      <c r="L937" s="54"/>
      <c r="M937" s="202"/>
      <c r="N937" s="202"/>
      <c r="O937" s="270"/>
      <c r="P937" s="202"/>
      <c r="Q937" s="1"/>
      <c r="R937" s="1"/>
      <c r="S937" s="1"/>
      <c r="T937" s="1"/>
      <c r="U937" s="1"/>
      <c r="V937" s="1"/>
    </row>
    <row r="938" ht="15.75" customHeight="1">
      <c r="A938" s="53"/>
      <c r="B938" s="54" t="s">
        <v>18</v>
      </c>
      <c r="C938" s="197" t="s">
        <v>300</v>
      </c>
      <c r="D938" s="55" t="s">
        <v>20</v>
      </c>
      <c r="E938" s="54"/>
      <c r="F938" s="158">
        <v>6.0</v>
      </c>
      <c r="G938" s="57">
        <v>5.0</v>
      </c>
      <c r="H938" s="57">
        <f t="shared" si="23"/>
        <v>30</v>
      </c>
      <c r="I938" s="58"/>
      <c r="J938" s="58"/>
      <c r="K938" s="13"/>
      <c r="L938" s="54"/>
      <c r="M938" s="202"/>
      <c r="N938" s="202"/>
      <c r="O938" s="270"/>
      <c r="P938" s="202"/>
      <c r="Q938" s="1"/>
      <c r="R938" s="1"/>
      <c r="S938" s="1"/>
      <c r="T938" s="1"/>
      <c r="U938" s="1"/>
      <c r="V938" s="1"/>
    </row>
    <row r="939" ht="15.75" hidden="1" customHeight="1">
      <c r="A939" s="53"/>
      <c r="B939" s="54" t="s">
        <v>18</v>
      </c>
      <c r="C939" s="197" t="s">
        <v>19</v>
      </c>
      <c r="D939" s="55" t="s">
        <v>20</v>
      </c>
      <c r="E939" s="201" t="s">
        <v>619</v>
      </c>
      <c r="F939" s="158">
        <v>0.0</v>
      </c>
      <c r="G939" s="57"/>
      <c r="H939" s="57"/>
      <c r="I939" s="58"/>
      <c r="J939" s="58"/>
      <c r="K939" s="54"/>
      <c r="L939" s="54"/>
      <c r="M939" s="202"/>
      <c r="N939" s="202"/>
      <c r="O939" s="270"/>
      <c r="P939" s="202"/>
      <c r="Q939" s="1"/>
      <c r="R939" s="1"/>
      <c r="S939" s="1"/>
      <c r="T939" s="1"/>
      <c r="U939" s="1"/>
      <c r="V939" s="1"/>
    </row>
    <row r="940" ht="15.75" hidden="1" customHeight="1">
      <c r="A940" s="53"/>
      <c r="B940" s="54" t="s">
        <v>620</v>
      </c>
      <c r="C940" s="197" t="s">
        <v>23</v>
      </c>
      <c r="D940" s="55" t="s">
        <v>20</v>
      </c>
      <c r="E940" s="201" t="s">
        <v>621</v>
      </c>
      <c r="F940" s="158">
        <v>0.0</v>
      </c>
      <c r="G940" s="57"/>
      <c r="H940" s="57"/>
      <c r="I940" s="58"/>
      <c r="J940" s="58"/>
      <c r="K940" s="54"/>
      <c r="L940" s="54"/>
      <c r="M940" s="202"/>
      <c r="N940" s="202"/>
      <c r="O940" s="270"/>
      <c r="P940" s="202"/>
      <c r="Q940" s="1"/>
      <c r="R940" s="1"/>
      <c r="S940" s="1"/>
      <c r="T940" s="1"/>
      <c r="U940" s="1"/>
      <c r="V940" s="1"/>
    </row>
    <row r="941" ht="15.75" customHeight="1">
      <c r="A941" s="53"/>
      <c r="B941" s="258" t="s">
        <v>277</v>
      </c>
      <c r="C941" s="203" t="s">
        <v>622</v>
      </c>
      <c r="D941" s="198" t="s">
        <v>22</v>
      </c>
      <c r="E941" s="230" t="s">
        <v>623</v>
      </c>
      <c r="F941" s="158">
        <v>1.0</v>
      </c>
      <c r="G941" s="159">
        <v>352.6</v>
      </c>
      <c r="H941" s="57">
        <f t="shared" ref="H941:H1033" si="24">SUM(F941*G941)</f>
        <v>352.6</v>
      </c>
      <c r="I941" s="58"/>
      <c r="J941" s="58"/>
      <c r="K941" s="54"/>
      <c r="L941" s="54"/>
      <c r="M941" s="202"/>
      <c r="N941" s="202"/>
      <c r="O941" s="270"/>
      <c r="P941" s="202"/>
      <c r="Q941" s="1"/>
      <c r="R941" s="1"/>
      <c r="S941" s="1"/>
      <c r="T941" s="1"/>
      <c r="U941" s="1"/>
      <c r="V941" s="1"/>
    </row>
    <row r="942" ht="15.75" hidden="1" customHeight="1">
      <c r="A942" s="53"/>
      <c r="B942" s="54"/>
      <c r="C942" s="197" t="s">
        <v>440</v>
      </c>
      <c r="D942" s="216" t="s">
        <v>24</v>
      </c>
      <c r="E942" s="54"/>
      <c r="F942" s="56">
        <v>0.0</v>
      </c>
      <c r="G942" s="57">
        <v>200.0</v>
      </c>
      <c r="H942" s="57">
        <f t="shared" si="24"/>
        <v>0</v>
      </c>
      <c r="I942" s="58"/>
      <c r="J942" s="58"/>
      <c r="K942" s="54"/>
      <c r="L942" s="54"/>
      <c r="M942" s="202"/>
      <c r="N942" s="202"/>
      <c r="O942" s="270"/>
      <c r="P942" s="202"/>
      <c r="Q942" s="1"/>
      <c r="R942" s="1"/>
      <c r="S942" s="1"/>
      <c r="T942" s="1"/>
      <c r="U942" s="1"/>
      <c r="V942" s="1"/>
    </row>
    <row r="943" ht="15.75" customHeight="1">
      <c r="A943" s="53"/>
      <c r="B943" s="258" t="s">
        <v>383</v>
      </c>
      <c r="C943" s="197" t="s">
        <v>436</v>
      </c>
      <c r="D943" s="259" t="s">
        <v>32</v>
      </c>
      <c r="E943" s="219"/>
      <c r="F943" s="190">
        <v>1.0</v>
      </c>
      <c r="G943" s="191">
        <v>11000.0</v>
      </c>
      <c r="H943" s="192">
        <f t="shared" si="24"/>
        <v>11000</v>
      </c>
      <c r="I943" s="193"/>
      <c r="J943" s="18"/>
      <c r="K943" s="13"/>
      <c r="L943" s="54"/>
      <c r="M943" s="202"/>
      <c r="N943" s="54"/>
      <c r="O943" s="202"/>
      <c r="P943" s="54"/>
      <c r="Q943" s="1"/>
      <c r="R943" s="1"/>
      <c r="S943" s="1"/>
      <c r="T943" s="1"/>
      <c r="U943" s="1"/>
      <c r="V943" s="1"/>
    </row>
    <row r="944" ht="15.75" hidden="1" customHeight="1">
      <c r="A944" s="53"/>
      <c r="B944" s="54"/>
      <c r="C944" s="197" t="s">
        <v>307</v>
      </c>
      <c r="D944" s="259" t="s">
        <v>32</v>
      </c>
      <c r="E944" s="54"/>
      <c r="F944" s="56">
        <v>0.0</v>
      </c>
      <c r="G944" s="57">
        <v>0.0</v>
      </c>
      <c r="H944" s="57">
        <f t="shared" si="24"/>
        <v>0</v>
      </c>
      <c r="I944" s="58"/>
      <c r="J944" s="58"/>
      <c r="K944" s="54"/>
      <c r="L944" s="271"/>
      <c r="M944" s="271"/>
      <c r="N944" s="271"/>
      <c r="O944" s="271"/>
      <c r="P944" s="271"/>
      <c r="Q944" s="1"/>
      <c r="R944" s="1"/>
      <c r="S944" s="1"/>
      <c r="T944" s="1"/>
      <c r="U944" s="1"/>
      <c r="V944" s="1"/>
    </row>
    <row r="945" ht="15.75" customHeight="1">
      <c r="A945" s="53"/>
      <c r="B945" s="258" t="s">
        <v>385</v>
      </c>
      <c r="C945" s="197" t="s">
        <v>308</v>
      </c>
      <c r="D945" s="259" t="s">
        <v>32</v>
      </c>
      <c r="E945" s="157" t="s">
        <v>624</v>
      </c>
      <c r="F945" s="56">
        <v>1.0</v>
      </c>
      <c r="G945" s="159">
        <v>204.0</v>
      </c>
      <c r="H945" s="57">
        <f t="shared" si="24"/>
        <v>204</v>
      </c>
      <c r="I945" s="58"/>
      <c r="J945" s="58"/>
      <c r="K945" s="54"/>
      <c r="L945" s="271"/>
      <c r="M945" s="280"/>
      <c r="N945" s="271"/>
      <c r="O945" s="271"/>
      <c r="P945" s="271"/>
      <c r="Q945" s="1"/>
      <c r="R945" s="1"/>
      <c r="S945" s="1"/>
      <c r="T945" s="1"/>
      <c r="U945" s="1"/>
      <c r="V945" s="1"/>
    </row>
    <row r="946" ht="15.75" customHeight="1">
      <c r="A946" s="53"/>
      <c r="B946" s="258" t="s">
        <v>18</v>
      </c>
      <c r="C946" s="203" t="s">
        <v>19</v>
      </c>
      <c r="D946" s="198" t="s">
        <v>22</v>
      </c>
      <c r="E946" s="157" t="s">
        <v>625</v>
      </c>
      <c r="F946" s="158">
        <v>2.0</v>
      </c>
      <c r="G946" s="159">
        <v>60.0</v>
      </c>
      <c r="H946" s="57">
        <f t="shared" si="24"/>
        <v>120</v>
      </c>
      <c r="I946" s="58"/>
      <c r="J946" s="58"/>
      <c r="K946" s="54"/>
      <c r="L946" s="272"/>
      <c r="M946" s="273"/>
      <c r="N946" s="272"/>
      <c r="O946" s="272"/>
      <c r="P946" s="272"/>
      <c r="Q946" s="1"/>
      <c r="R946" s="1"/>
      <c r="S946" s="1"/>
      <c r="T946" s="1"/>
      <c r="U946" s="1"/>
      <c r="V946" s="1"/>
    </row>
    <row r="947" ht="15.75" hidden="1" customHeight="1">
      <c r="A947" s="13"/>
      <c r="B947" s="18" t="s">
        <v>18</v>
      </c>
      <c r="C947" s="169" t="s">
        <v>447</v>
      </c>
      <c r="D947" s="46" t="s">
        <v>20</v>
      </c>
      <c r="E947" s="207" t="s">
        <v>448</v>
      </c>
      <c r="F947" s="242">
        <v>0.0</v>
      </c>
      <c r="G947" s="243">
        <v>19.0</v>
      </c>
      <c r="H947" s="192">
        <f t="shared" si="24"/>
        <v>0</v>
      </c>
      <c r="I947" s="193"/>
      <c r="J947" s="18"/>
      <c r="K947" s="13"/>
      <c r="L947" s="27"/>
      <c r="M947" s="241"/>
      <c r="N947" s="27"/>
      <c r="O947" s="27"/>
      <c r="P947" s="27"/>
      <c r="Q947" s="35"/>
      <c r="R947" s="35"/>
      <c r="S947" s="35"/>
      <c r="T947" s="1"/>
      <c r="U947" s="1"/>
      <c r="V947" s="1"/>
    </row>
    <row r="948" ht="15.75" hidden="1" customHeight="1">
      <c r="A948" s="13"/>
      <c r="B948" s="18" t="s">
        <v>18</v>
      </c>
      <c r="C948" s="169" t="s">
        <v>450</v>
      </c>
      <c r="D948" s="46" t="s">
        <v>20</v>
      </c>
      <c r="E948" s="52" t="s">
        <v>451</v>
      </c>
      <c r="F948" s="48">
        <v>0.0</v>
      </c>
      <c r="G948" s="50">
        <v>19.99</v>
      </c>
      <c r="H948" s="50">
        <f t="shared" si="24"/>
        <v>0</v>
      </c>
      <c r="I948" s="193"/>
      <c r="J948" s="18"/>
      <c r="K948" s="13"/>
      <c r="L948" s="27"/>
      <c r="M948" s="241"/>
      <c r="N948" s="27"/>
      <c r="O948" s="27"/>
      <c r="P948" s="27"/>
      <c r="Q948" s="35"/>
      <c r="R948" s="35"/>
      <c r="S948" s="35"/>
      <c r="T948" s="1"/>
      <c r="U948" s="1"/>
      <c r="V948" s="1"/>
    </row>
    <row r="949" ht="15.75" hidden="1" customHeight="1">
      <c r="A949" s="53"/>
      <c r="B949" s="54"/>
      <c r="C949" s="197" t="s">
        <v>541</v>
      </c>
      <c r="D949" s="198" t="s">
        <v>22</v>
      </c>
      <c r="E949" s="54"/>
      <c r="F949" s="56">
        <v>0.0</v>
      </c>
      <c r="G949" s="57">
        <v>30.0</v>
      </c>
      <c r="H949" s="57">
        <f t="shared" si="24"/>
        <v>0</v>
      </c>
      <c r="I949" s="58"/>
      <c r="J949" s="58"/>
      <c r="K949" s="54"/>
      <c r="L949" s="54"/>
      <c r="M949" s="54"/>
      <c r="N949" s="54"/>
      <c r="O949" s="54"/>
      <c r="P949" s="54"/>
      <c r="Q949" s="1"/>
      <c r="R949" s="1"/>
      <c r="S949" s="1"/>
      <c r="T949" s="1"/>
      <c r="U949" s="1"/>
      <c r="V949" s="1"/>
    </row>
    <row r="950" ht="15.75" hidden="1" customHeight="1">
      <c r="A950" s="53"/>
      <c r="B950" s="54" t="s">
        <v>454</v>
      </c>
      <c r="C950" s="197" t="s">
        <v>321</v>
      </c>
      <c r="D950" s="198" t="s">
        <v>22</v>
      </c>
      <c r="E950" s="54"/>
      <c r="F950" s="56">
        <v>0.0</v>
      </c>
      <c r="G950" s="57">
        <v>10.0</v>
      </c>
      <c r="H950" s="57">
        <f t="shared" si="24"/>
        <v>0</v>
      </c>
      <c r="I950" s="58"/>
      <c r="J950" s="58"/>
      <c r="K950" s="54"/>
      <c r="L950" s="54"/>
      <c r="M950" s="202"/>
      <c r="N950" s="54"/>
      <c r="O950" s="54"/>
      <c r="P950" s="54"/>
      <c r="Q950" s="1"/>
      <c r="R950" s="1"/>
      <c r="S950" s="1"/>
      <c r="T950" s="1"/>
      <c r="U950" s="1"/>
      <c r="V950" s="1"/>
    </row>
    <row r="951" ht="15.75" customHeight="1">
      <c r="A951" s="53"/>
      <c r="B951" s="54" t="s">
        <v>18</v>
      </c>
      <c r="C951" s="197" t="s">
        <v>626</v>
      </c>
      <c r="D951" s="198" t="s">
        <v>22</v>
      </c>
      <c r="E951" s="205" t="s">
        <v>627</v>
      </c>
      <c r="F951" s="56">
        <v>4.0</v>
      </c>
      <c r="G951" s="159">
        <v>63.6</v>
      </c>
      <c r="H951" s="57">
        <f t="shared" si="24"/>
        <v>254.4</v>
      </c>
      <c r="I951" s="58"/>
      <c r="J951" s="58"/>
      <c r="K951" s="54"/>
      <c r="L951" s="54"/>
      <c r="M951" s="54"/>
      <c r="N951" s="54"/>
      <c r="O951" s="54"/>
      <c r="P951" s="54"/>
      <c r="Q951" s="1"/>
      <c r="R951" s="1"/>
      <c r="S951" s="1"/>
      <c r="T951" s="1"/>
      <c r="U951" s="1"/>
      <c r="V951" s="1"/>
    </row>
    <row r="952" ht="15.75" hidden="1" customHeight="1">
      <c r="A952" s="281"/>
      <c r="B952" s="120"/>
      <c r="C952" s="282" t="s">
        <v>442</v>
      </c>
      <c r="D952" s="283" t="s">
        <v>22</v>
      </c>
      <c r="E952" s="120"/>
      <c r="F952" s="284">
        <v>0.0</v>
      </c>
      <c r="G952" s="285">
        <v>30.0</v>
      </c>
      <c r="H952" s="285">
        <f t="shared" si="24"/>
        <v>0</v>
      </c>
      <c r="I952" s="286"/>
      <c r="J952" s="286"/>
      <c r="K952" s="120"/>
      <c r="L952" s="120"/>
      <c r="M952" s="120"/>
      <c r="N952" s="120"/>
      <c r="O952" s="120"/>
      <c r="P952" s="120"/>
      <c r="Q952" s="182"/>
      <c r="R952" s="182"/>
      <c r="S952" s="182"/>
      <c r="T952" s="182"/>
      <c r="U952" s="182"/>
      <c r="V952" s="182"/>
    </row>
    <row r="953" ht="15.75" customHeight="1">
      <c r="A953" s="53"/>
      <c r="B953" s="54" t="s">
        <v>399</v>
      </c>
      <c r="C953" s="197" t="s">
        <v>364</v>
      </c>
      <c r="D953" s="198" t="s">
        <v>22</v>
      </c>
      <c r="E953" s="54" t="s">
        <v>365</v>
      </c>
      <c r="F953" s="56">
        <v>4.0</v>
      </c>
      <c r="G953" s="57">
        <v>6.0</v>
      </c>
      <c r="H953" s="57">
        <f t="shared" si="24"/>
        <v>24</v>
      </c>
      <c r="I953" s="58"/>
      <c r="J953" s="58"/>
      <c r="K953" s="54"/>
      <c r="L953" s="54"/>
      <c r="M953" s="54"/>
      <c r="N953" s="54"/>
      <c r="O953" s="54"/>
      <c r="P953" s="54"/>
      <c r="Q953" s="1"/>
      <c r="R953" s="1"/>
      <c r="S953" s="1"/>
      <c r="T953" s="1"/>
      <c r="U953" s="1"/>
      <c r="V953" s="1"/>
    </row>
    <row r="954" ht="15.75" customHeight="1">
      <c r="A954" s="53"/>
      <c r="B954" s="54" t="s">
        <v>18</v>
      </c>
      <c r="C954" s="197" t="s">
        <v>400</v>
      </c>
      <c r="D954" s="198" t="s">
        <v>22</v>
      </c>
      <c r="E954" s="205" t="s">
        <v>628</v>
      </c>
      <c r="F954" s="158">
        <v>1.0</v>
      </c>
      <c r="G954" s="159">
        <v>20.4</v>
      </c>
      <c r="H954" s="57">
        <f t="shared" si="24"/>
        <v>20.4</v>
      </c>
      <c r="I954" s="58"/>
      <c r="J954" s="58"/>
      <c r="K954" s="54"/>
      <c r="L954" s="54"/>
      <c r="M954" s="54"/>
      <c r="N954" s="54"/>
      <c r="O954" s="54"/>
      <c r="P954" s="54"/>
      <c r="Q954" s="1"/>
      <c r="R954" s="1"/>
      <c r="S954" s="1"/>
      <c r="T954" s="1"/>
      <c r="U954" s="1"/>
      <c r="V954" s="1"/>
    </row>
    <row r="955" ht="15.75" hidden="1" customHeight="1">
      <c r="A955" s="53"/>
      <c r="B955" s="54" t="s">
        <v>18</v>
      </c>
      <c r="C955" s="197" t="s">
        <v>258</v>
      </c>
      <c r="D955" s="198" t="s">
        <v>22</v>
      </c>
      <c r="E955" s="201" t="s">
        <v>629</v>
      </c>
      <c r="F955" s="158">
        <v>0.0</v>
      </c>
      <c r="G955" s="159">
        <v>49.2</v>
      </c>
      <c r="H955" s="57">
        <f t="shared" si="24"/>
        <v>0</v>
      </c>
      <c r="I955" s="58"/>
      <c r="J955" s="58"/>
      <c r="K955" s="54"/>
      <c r="L955" s="54"/>
      <c r="M955" s="54"/>
      <c r="N955" s="54"/>
      <c r="O955" s="54"/>
      <c r="P955" s="54"/>
      <c r="Q955" s="1"/>
      <c r="R955" s="1"/>
      <c r="S955" s="1"/>
      <c r="T955" s="1"/>
      <c r="U955" s="1"/>
      <c r="V955" s="1"/>
    </row>
    <row r="956" ht="15.75" hidden="1" customHeight="1">
      <c r="A956" s="53"/>
      <c r="B956" s="54" t="s">
        <v>18</v>
      </c>
      <c r="C956" s="197" t="s">
        <v>258</v>
      </c>
      <c r="D956" s="198" t="s">
        <v>22</v>
      </c>
      <c r="E956" s="54"/>
      <c r="F956" s="158">
        <v>0.0</v>
      </c>
      <c r="G956" s="57">
        <v>300.0</v>
      </c>
      <c r="H956" s="57">
        <f t="shared" si="24"/>
        <v>0</v>
      </c>
      <c r="I956" s="58"/>
      <c r="J956" s="58"/>
      <c r="K956" s="54"/>
      <c r="L956" s="54"/>
      <c r="M956" s="54"/>
      <c r="N956" s="54"/>
      <c r="O956" s="54"/>
      <c r="P956" s="54"/>
      <c r="Q956" s="1"/>
      <c r="R956" s="1"/>
      <c r="S956" s="1"/>
      <c r="T956" s="1"/>
      <c r="U956" s="1"/>
      <c r="V956" s="1"/>
    </row>
    <row r="957" ht="15.75" hidden="1" customHeight="1">
      <c r="A957" s="53"/>
      <c r="B957" s="54" t="s">
        <v>18</v>
      </c>
      <c r="C957" s="197" t="s">
        <v>258</v>
      </c>
      <c r="D957" s="198" t="s">
        <v>22</v>
      </c>
      <c r="E957" s="205" t="s">
        <v>630</v>
      </c>
      <c r="F957" s="158">
        <v>0.0</v>
      </c>
      <c r="G957" s="159">
        <v>36.0</v>
      </c>
      <c r="H957" s="57">
        <f t="shared" si="24"/>
        <v>0</v>
      </c>
      <c r="I957" s="58"/>
      <c r="J957" s="58"/>
      <c r="K957" s="54"/>
      <c r="L957" s="54"/>
      <c r="M957" s="54"/>
      <c r="N957" s="54"/>
      <c r="O957" s="54"/>
      <c r="P957" s="54"/>
      <c r="Q957" s="1"/>
      <c r="R957" s="1"/>
      <c r="S957" s="1"/>
      <c r="T957" s="1"/>
      <c r="U957" s="1"/>
      <c r="V957" s="1"/>
    </row>
    <row r="958" ht="15.75" customHeight="1">
      <c r="A958" s="53"/>
      <c r="B958" s="54" t="s">
        <v>18</v>
      </c>
      <c r="C958" s="197" t="s">
        <v>258</v>
      </c>
      <c r="D958" s="198" t="s">
        <v>22</v>
      </c>
      <c r="E958" s="204" t="s">
        <v>631</v>
      </c>
      <c r="F958" s="56">
        <v>1.0</v>
      </c>
      <c r="G958" s="159">
        <v>54.0</v>
      </c>
      <c r="H958" s="57">
        <f t="shared" si="24"/>
        <v>54</v>
      </c>
      <c r="I958" s="58"/>
      <c r="J958" s="58"/>
      <c r="K958" s="54"/>
      <c r="L958" s="54"/>
      <c r="M958" s="54"/>
      <c r="N958" s="54"/>
      <c r="O958" s="54"/>
      <c r="P958" s="54"/>
      <c r="Q958" s="1"/>
      <c r="R958" s="1"/>
      <c r="S958" s="1"/>
      <c r="T958" s="1"/>
      <c r="U958" s="1"/>
      <c r="V958" s="1"/>
    </row>
    <row r="959" ht="15.75" customHeight="1">
      <c r="A959" s="53"/>
      <c r="B959" s="54" t="s">
        <v>239</v>
      </c>
      <c r="C959" s="203" t="s">
        <v>406</v>
      </c>
      <c r="D959" s="55" t="s">
        <v>20</v>
      </c>
      <c r="E959" s="54"/>
      <c r="F959" s="56">
        <v>1.0</v>
      </c>
      <c r="G959" s="159">
        <v>300.0</v>
      </c>
      <c r="H959" s="57">
        <f t="shared" si="24"/>
        <v>300</v>
      </c>
      <c r="I959" s="58"/>
      <c r="J959" s="58"/>
      <c r="K959" s="54"/>
      <c r="L959" s="54"/>
      <c r="M959" s="54"/>
      <c r="N959" s="54"/>
      <c r="O959" s="54"/>
      <c r="P959" s="54"/>
      <c r="Q959" s="1"/>
      <c r="R959" s="1"/>
      <c r="S959" s="1"/>
      <c r="T959" s="1"/>
      <c r="U959" s="1"/>
      <c r="V959" s="1"/>
    </row>
    <row r="960" ht="15.75" hidden="1" customHeight="1">
      <c r="A960" s="53"/>
      <c r="B960" s="54"/>
      <c r="C960" s="169" t="s">
        <v>323</v>
      </c>
      <c r="D960" s="216" t="s">
        <v>24</v>
      </c>
      <c r="E960" s="54"/>
      <c r="F960" s="56">
        <v>0.0</v>
      </c>
      <c r="G960" s="57">
        <v>80.0</v>
      </c>
      <c r="H960" s="57">
        <f t="shared" si="24"/>
        <v>0</v>
      </c>
      <c r="I960" s="58"/>
      <c r="J960" s="58"/>
      <c r="K960" s="54"/>
      <c r="L960" s="54"/>
      <c r="M960" s="54"/>
      <c r="N960" s="54"/>
      <c r="O960" s="54"/>
      <c r="P960" s="54"/>
      <c r="Q960" s="1"/>
      <c r="R960" s="1"/>
      <c r="S960" s="1"/>
      <c r="T960" s="1"/>
      <c r="U960" s="1"/>
      <c r="V960" s="1"/>
    </row>
    <row r="961" ht="15.75" hidden="1" customHeight="1">
      <c r="A961" s="53"/>
      <c r="B961" s="54"/>
      <c r="C961" s="197" t="s">
        <v>324</v>
      </c>
      <c r="D961" s="55" t="s">
        <v>20</v>
      </c>
      <c r="E961" s="54"/>
      <c r="F961" s="56">
        <v>0.0</v>
      </c>
      <c r="G961" s="57">
        <v>35.0</v>
      </c>
      <c r="H961" s="57">
        <f t="shared" si="24"/>
        <v>0</v>
      </c>
      <c r="I961" s="58"/>
      <c r="J961" s="58"/>
      <c r="K961" s="54"/>
      <c r="L961" s="54"/>
      <c r="M961" s="202"/>
      <c r="N961" s="54"/>
      <c r="O961" s="202"/>
      <c r="P961" s="202"/>
      <c r="Q961" s="1"/>
      <c r="R961" s="1"/>
      <c r="S961" s="1"/>
      <c r="T961" s="1"/>
      <c r="U961" s="1"/>
      <c r="V961" s="1"/>
    </row>
    <row r="962" ht="15.75" hidden="1" customHeight="1">
      <c r="A962" s="53"/>
      <c r="B962" s="54"/>
      <c r="C962" s="197" t="s">
        <v>469</v>
      </c>
      <c r="D962" s="216" t="s">
        <v>24</v>
      </c>
      <c r="E962" s="54"/>
      <c r="F962" s="56">
        <v>0.0</v>
      </c>
      <c r="G962" s="57">
        <v>290.0</v>
      </c>
      <c r="H962" s="57">
        <f t="shared" si="24"/>
        <v>0</v>
      </c>
      <c r="I962" s="58"/>
      <c r="J962" s="58"/>
      <c r="K962" s="54"/>
      <c r="L962" s="252"/>
      <c r="M962" s="252"/>
      <c r="N962" s="252"/>
      <c r="O962" s="252"/>
      <c r="P962" s="252"/>
      <c r="Q962" s="1"/>
      <c r="R962" s="1"/>
      <c r="S962" s="1"/>
      <c r="T962" s="1"/>
      <c r="U962" s="1"/>
      <c r="V962" s="1"/>
    </row>
    <row r="963" ht="15.75" hidden="1" customHeight="1">
      <c r="A963" s="53"/>
      <c r="B963" s="54"/>
      <c r="C963" s="197" t="s">
        <v>470</v>
      </c>
      <c r="D963" s="55" t="s">
        <v>20</v>
      </c>
      <c r="E963" s="54"/>
      <c r="F963" s="56">
        <v>0.0</v>
      </c>
      <c r="G963" s="57">
        <v>150.0</v>
      </c>
      <c r="H963" s="57">
        <f t="shared" si="24"/>
        <v>0</v>
      </c>
      <c r="I963" s="58"/>
      <c r="J963" s="58"/>
      <c r="K963" s="54"/>
      <c r="L963" s="54"/>
      <c r="M963" s="202"/>
      <c r="N963" s="54"/>
      <c r="O963" s="202"/>
      <c r="P963" s="202"/>
      <c r="Q963" s="1"/>
      <c r="R963" s="1"/>
      <c r="S963" s="1"/>
      <c r="T963" s="1"/>
      <c r="U963" s="1"/>
      <c r="V963" s="1"/>
    </row>
    <row r="964" ht="15.75" hidden="1" customHeight="1">
      <c r="A964" s="53"/>
      <c r="B964" s="54"/>
      <c r="C964" s="197" t="s">
        <v>471</v>
      </c>
      <c r="D964" s="216" t="s">
        <v>24</v>
      </c>
      <c r="E964" s="54"/>
      <c r="F964" s="56">
        <v>0.0</v>
      </c>
      <c r="G964" s="57">
        <v>250.0</v>
      </c>
      <c r="H964" s="57">
        <f t="shared" si="24"/>
        <v>0</v>
      </c>
      <c r="I964" s="58"/>
      <c r="J964" s="58"/>
      <c r="K964" s="54"/>
      <c r="L964" s="54"/>
      <c r="M964" s="202"/>
      <c r="N964" s="54"/>
      <c r="O964" s="202"/>
      <c r="P964" s="202"/>
      <c r="Q964" s="1"/>
      <c r="R964" s="1"/>
      <c r="S964" s="1"/>
      <c r="T964" s="1"/>
      <c r="U964" s="1"/>
      <c r="V964" s="1"/>
    </row>
    <row r="965" ht="15.75" hidden="1" customHeight="1">
      <c r="A965" s="53"/>
      <c r="B965" s="54"/>
      <c r="C965" s="274" t="s">
        <v>472</v>
      </c>
      <c r="D965" s="55" t="s">
        <v>20</v>
      </c>
      <c r="E965" s="54"/>
      <c r="F965" s="56">
        <v>0.0</v>
      </c>
      <c r="G965" s="57">
        <v>150.0</v>
      </c>
      <c r="H965" s="57">
        <f t="shared" si="24"/>
        <v>0</v>
      </c>
      <c r="I965" s="58"/>
      <c r="J965" s="58"/>
      <c r="K965" s="54"/>
      <c r="L965" s="54"/>
      <c r="M965" s="202"/>
      <c r="N965" s="54"/>
      <c r="O965" s="202"/>
      <c r="P965" s="202"/>
      <c r="Q965" s="1"/>
      <c r="R965" s="1"/>
      <c r="S965" s="1"/>
      <c r="T965" s="1"/>
      <c r="U965" s="1"/>
      <c r="V965" s="1"/>
    </row>
    <row r="966" ht="15.75" hidden="1" customHeight="1">
      <c r="A966" s="53"/>
      <c r="B966" s="54" t="s">
        <v>18</v>
      </c>
      <c r="C966" s="197" t="s">
        <v>309</v>
      </c>
      <c r="D966" s="55" t="s">
        <v>20</v>
      </c>
      <c r="E966" s="208" t="s">
        <v>473</v>
      </c>
      <c r="F966" s="56">
        <v>0.0</v>
      </c>
      <c r="G966" s="57">
        <v>20.0</v>
      </c>
      <c r="H966" s="57">
        <f t="shared" si="24"/>
        <v>0</v>
      </c>
      <c r="I966" s="58"/>
      <c r="J966" s="58"/>
      <c r="K966" s="54"/>
      <c r="L966" s="54"/>
      <c r="M966" s="202"/>
      <c r="N966" s="54"/>
      <c r="O966" s="202"/>
      <c r="P966" s="202"/>
      <c r="Q966" s="1"/>
      <c r="R966" s="1"/>
      <c r="S966" s="1"/>
      <c r="T966" s="1"/>
      <c r="U966" s="1"/>
      <c r="V966" s="1"/>
    </row>
    <row r="967" ht="15.75" hidden="1" customHeight="1">
      <c r="A967" s="53"/>
      <c r="B967" s="54" t="s">
        <v>18</v>
      </c>
      <c r="C967" s="197" t="s">
        <v>474</v>
      </c>
      <c r="D967" s="55" t="s">
        <v>20</v>
      </c>
      <c r="E967" s="208" t="s">
        <v>475</v>
      </c>
      <c r="F967" s="56">
        <v>0.0</v>
      </c>
      <c r="G967" s="57">
        <v>24.0</v>
      </c>
      <c r="H967" s="57">
        <f t="shared" si="24"/>
        <v>0</v>
      </c>
      <c r="I967" s="58"/>
      <c r="J967" s="58"/>
      <c r="K967" s="54"/>
      <c r="L967" s="54"/>
      <c r="M967" s="202"/>
      <c r="N967" s="54"/>
      <c r="O967" s="202"/>
      <c r="P967" s="202"/>
      <c r="Q967" s="1"/>
      <c r="R967" s="1"/>
      <c r="S967" s="1"/>
      <c r="T967" s="1"/>
      <c r="U967" s="1"/>
      <c r="V967" s="1"/>
    </row>
    <row r="968" ht="15.75" hidden="1" customHeight="1">
      <c r="A968" s="53"/>
      <c r="B968" s="54"/>
      <c r="C968" s="197" t="s">
        <v>258</v>
      </c>
      <c r="D968" s="198" t="s">
        <v>22</v>
      </c>
      <c r="E968" s="54"/>
      <c r="F968" s="56">
        <v>0.0</v>
      </c>
      <c r="G968" s="57">
        <v>150.0</v>
      </c>
      <c r="H968" s="57">
        <f t="shared" si="24"/>
        <v>0</v>
      </c>
      <c r="I968" s="58"/>
      <c r="J968" s="58"/>
      <c r="K968" s="54"/>
      <c r="L968" s="54"/>
      <c r="M968" s="54"/>
      <c r="N968" s="54"/>
      <c r="O968" s="202"/>
      <c r="P968" s="202"/>
      <c r="Q968" s="1"/>
      <c r="R968" s="1"/>
      <c r="S968" s="1"/>
      <c r="T968" s="1"/>
      <c r="U968" s="1"/>
      <c r="V968" s="1"/>
    </row>
    <row r="969" ht="15.75" hidden="1" customHeight="1">
      <c r="A969" s="53"/>
      <c r="B969" s="54" t="s">
        <v>18</v>
      </c>
      <c r="C969" s="197" t="s">
        <v>476</v>
      </c>
      <c r="D969" s="198" t="s">
        <v>22</v>
      </c>
      <c r="E969" s="208" t="s">
        <v>477</v>
      </c>
      <c r="F969" s="56">
        <v>0.0</v>
      </c>
      <c r="G969" s="57">
        <v>15.0</v>
      </c>
      <c r="H969" s="57">
        <f t="shared" si="24"/>
        <v>0</v>
      </c>
      <c r="I969" s="58"/>
      <c r="J969" s="58"/>
      <c r="K969" s="54"/>
      <c r="L969" s="54"/>
      <c r="M969" s="54"/>
      <c r="N969" s="54"/>
      <c r="O969" s="54"/>
      <c r="P969" s="54"/>
      <c r="Q969" s="1"/>
      <c r="R969" s="1"/>
      <c r="S969" s="1"/>
      <c r="T969" s="1"/>
      <c r="U969" s="1"/>
      <c r="V969" s="1"/>
    </row>
    <row r="970" ht="15.75" hidden="1" customHeight="1">
      <c r="A970" s="53"/>
      <c r="B970" s="54"/>
      <c r="C970" s="197" t="s">
        <v>478</v>
      </c>
      <c r="D970" s="55" t="s">
        <v>20</v>
      </c>
      <c r="E970" s="54"/>
      <c r="F970" s="56">
        <v>0.0</v>
      </c>
      <c r="G970" s="57">
        <v>500.0</v>
      </c>
      <c r="H970" s="57">
        <f t="shared" si="24"/>
        <v>0</v>
      </c>
      <c r="I970" s="58"/>
      <c r="J970" s="58"/>
      <c r="K970" s="54"/>
      <c r="L970" s="54"/>
      <c r="M970" s="54"/>
      <c r="N970" s="54"/>
      <c r="O970" s="54"/>
      <c r="P970" s="54"/>
      <c r="Q970" s="1"/>
      <c r="R970" s="1"/>
      <c r="S970" s="1"/>
      <c r="T970" s="1"/>
      <c r="U970" s="1"/>
      <c r="V970" s="1"/>
    </row>
    <row r="971" ht="15.75" hidden="1" customHeight="1">
      <c r="A971" s="53"/>
      <c r="B971" s="54"/>
      <c r="C971" s="54" t="s">
        <v>479</v>
      </c>
      <c r="D971" s="216" t="s">
        <v>24</v>
      </c>
      <c r="E971" s="54"/>
      <c r="F971" s="56">
        <v>0.0</v>
      </c>
      <c r="G971" s="57">
        <v>210.0</v>
      </c>
      <c r="H971" s="57">
        <f t="shared" si="24"/>
        <v>0</v>
      </c>
      <c r="I971" s="58"/>
      <c r="J971" s="58"/>
      <c r="K971" s="54"/>
      <c r="L971" s="252"/>
      <c r="M971" s="252"/>
      <c r="N971" s="252"/>
      <c r="O971" s="252"/>
      <c r="P971" s="252"/>
      <c r="Q971" s="1"/>
      <c r="R971" s="1"/>
      <c r="S971" s="1"/>
      <c r="T971" s="1"/>
      <c r="U971" s="1"/>
      <c r="V971" s="1"/>
    </row>
    <row r="972" ht="15.75" hidden="1" customHeight="1">
      <c r="A972" s="53"/>
      <c r="B972" s="54"/>
      <c r="C972" s="197" t="s">
        <v>480</v>
      </c>
      <c r="D972" s="55" t="s">
        <v>20</v>
      </c>
      <c r="E972" s="54"/>
      <c r="F972" s="56">
        <v>0.0</v>
      </c>
      <c r="G972" s="57">
        <v>155.0</v>
      </c>
      <c r="H972" s="57">
        <f t="shared" si="24"/>
        <v>0</v>
      </c>
      <c r="I972" s="58"/>
      <c r="J972" s="58"/>
      <c r="K972" s="54"/>
      <c r="L972" s="54"/>
      <c r="M972" s="54"/>
      <c r="N972" s="54"/>
      <c r="O972" s="54"/>
      <c r="P972" s="54"/>
      <c r="Q972" s="1"/>
      <c r="R972" s="1"/>
      <c r="S972" s="1"/>
      <c r="T972" s="1"/>
      <c r="U972" s="1"/>
      <c r="V972" s="1"/>
    </row>
    <row r="973" ht="15.75" hidden="1" customHeight="1">
      <c r="A973" s="53"/>
      <c r="B973" s="54"/>
      <c r="C973" s="197" t="s">
        <v>481</v>
      </c>
      <c r="D973" s="216" t="s">
        <v>24</v>
      </c>
      <c r="E973" s="54"/>
      <c r="F973" s="56">
        <v>0.0</v>
      </c>
      <c r="G973" s="57">
        <v>70.0</v>
      </c>
      <c r="H973" s="57">
        <f t="shared" si="24"/>
        <v>0</v>
      </c>
      <c r="I973" s="58"/>
      <c r="J973" s="58"/>
      <c r="K973" s="54"/>
      <c r="L973" s="54"/>
      <c r="M973" s="202"/>
      <c r="N973" s="54"/>
      <c r="O973" s="202"/>
      <c r="P973" s="202"/>
      <c r="Q973" s="1"/>
      <c r="R973" s="1"/>
      <c r="S973" s="1"/>
      <c r="T973" s="1"/>
      <c r="U973" s="1"/>
      <c r="V973" s="1"/>
    </row>
    <row r="974" ht="15.75" hidden="1" customHeight="1">
      <c r="A974" s="53"/>
      <c r="B974" s="54"/>
      <c r="C974" s="197" t="s">
        <v>482</v>
      </c>
      <c r="D974" s="55" t="s">
        <v>20</v>
      </c>
      <c r="E974" s="54"/>
      <c r="F974" s="56">
        <v>0.0</v>
      </c>
      <c r="G974" s="57">
        <v>400.0</v>
      </c>
      <c r="H974" s="57">
        <f t="shared" si="24"/>
        <v>0</v>
      </c>
      <c r="I974" s="58"/>
      <c r="J974" s="58"/>
      <c r="K974" s="54"/>
      <c r="L974" s="54"/>
      <c r="M974" s="202"/>
      <c r="N974" s="54"/>
      <c r="O974" s="202"/>
      <c r="P974" s="202"/>
      <c r="Q974" s="1"/>
      <c r="R974" s="1"/>
      <c r="S974" s="1"/>
      <c r="T974" s="1"/>
      <c r="U974" s="1"/>
      <c r="V974" s="1"/>
    </row>
    <row r="975" ht="15.75" hidden="1" customHeight="1">
      <c r="A975" s="53"/>
      <c r="B975" s="54"/>
      <c r="C975" s="197" t="s">
        <v>483</v>
      </c>
      <c r="D975" s="55" t="s">
        <v>20</v>
      </c>
      <c r="E975" s="54"/>
      <c r="F975" s="56">
        <v>0.0</v>
      </c>
      <c r="G975" s="57">
        <v>440.0</v>
      </c>
      <c r="H975" s="57">
        <f t="shared" si="24"/>
        <v>0</v>
      </c>
      <c r="I975" s="58"/>
      <c r="J975" s="58"/>
      <c r="K975" s="54"/>
      <c r="L975" s="54"/>
      <c r="M975" s="202"/>
      <c r="N975" s="54"/>
      <c r="O975" s="202"/>
      <c r="P975" s="202"/>
      <c r="Q975" s="1"/>
      <c r="R975" s="1"/>
      <c r="S975" s="1"/>
      <c r="T975" s="1"/>
      <c r="U975" s="1"/>
      <c r="V975" s="1"/>
    </row>
    <row r="976" ht="15.75" hidden="1" customHeight="1">
      <c r="A976" s="53"/>
      <c r="B976" s="54"/>
      <c r="C976" s="197" t="s">
        <v>484</v>
      </c>
      <c r="D976" s="216" t="s">
        <v>24</v>
      </c>
      <c r="E976" s="54"/>
      <c r="F976" s="56">
        <v>0.0</v>
      </c>
      <c r="G976" s="57">
        <v>90.0</v>
      </c>
      <c r="H976" s="57">
        <f t="shared" si="24"/>
        <v>0</v>
      </c>
      <c r="I976" s="58"/>
      <c r="J976" s="58"/>
      <c r="K976" s="54"/>
      <c r="L976" s="252"/>
      <c r="M976" s="275"/>
      <c r="N976" s="252"/>
      <c r="O976" s="275"/>
      <c r="P976" s="275"/>
      <c r="Q976" s="1"/>
      <c r="R976" s="1"/>
      <c r="S976" s="1"/>
      <c r="T976" s="1"/>
      <c r="U976" s="1"/>
      <c r="V976" s="1"/>
    </row>
    <row r="977" ht="15.75" hidden="1" customHeight="1">
      <c r="A977" s="53"/>
      <c r="B977" s="54"/>
      <c r="C977" s="197" t="s">
        <v>485</v>
      </c>
      <c r="D977" s="55" t="s">
        <v>20</v>
      </c>
      <c r="E977" s="54"/>
      <c r="F977" s="56">
        <v>0.0</v>
      </c>
      <c r="G977" s="57">
        <v>100.0</v>
      </c>
      <c r="H977" s="57">
        <f t="shared" si="24"/>
        <v>0</v>
      </c>
      <c r="I977" s="58"/>
      <c r="J977" s="58"/>
      <c r="K977" s="54"/>
      <c r="L977" s="252"/>
      <c r="M977" s="275"/>
      <c r="N977" s="252"/>
      <c r="O977" s="275"/>
      <c r="P977" s="275"/>
      <c r="Q977" s="1"/>
      <c r="R977" s="1"/>
      <c r="S977" s="1"/>
      <c r="T977" s="1"/>
      <c r="U977" s="1"/>
      <c r="V977" s="1"/>
    </row>
    <row r="978" ht="15.75" hidden="1" customHeight="1">
      <c r="A978" s="53"/>
      <c r="B978" s="54"/>
      <c r="C978" s="54" t="s">
        <v>486</v>
      </c>
      <c r="D978" s="55" t="s">
        <v>20</v>
      </c>
      <c r="E978" s="54"/>
      <c r="F978" s="56">
        <v>0.0</v>
      </c>
      <c r="G978" s="57">
        <v>30.0</v>
      </c>
      <c r="H978" s="57">
        <f t="shared" si="24"/>
        <v>0</v>
      </c>
      <c r="I978" s="58"/>
      <c r="J978" s="58"/>
      <c r="K978" s="54"/>
      <c r="L978" s="252"/>
      <c r="M978" s="275"/>
      <c r="N978" s="252"/>
      <c r="O978" s="275"/>
      <c r="P978" s="275"/>
      <c r="Q978" s="1"/>
      <c r="R978" s="1"/>
      <c r="S978" s="1"/>
      <c r="T978" s="1"/>
      <c r="U978" s="1"/>
      <c r="V978" s="1"/>
    </row>
    <row r="979" ht="15.75" hidden="1" customHeight="1">
      <c r="A979" s="53"/>
      <c r="B979" s="54"/>
      <c r="C979" s="54" t="s">
        <v>487</v>
      </c>
      <c r="D979" s="55" t="s">
        <v>20</v>
      </c>
      <c r="E979" s="54"/>
      <c r="F979" s="56">
        <v>0.0</v>
      </c>
      <c r="G979" s="57">
        <v>30.0</v>
      </c>
      <c r="H979" s="57">
        <f t="shared" si="24"/>
        <v>0</v>
      </c>
      <c r="I979" s="58"/>
      <c r="J979" s="58"/>
      <c r="K979" s="54"/>
      <c r="L979" s="252"/>
      <c r="M979" s="275"/>
      <c r="N979" s="252"/>
      <c r="O979" s="275"/>
      <c r="P979" s="275"/>
      <c r="Q979" s="1"/>
      <c r="R979" s="1"/>
      <c r="S979" s="1"/>
      <c r="T979" s="1"/>
      <c r="U979" s="1"/>
      <c r="V979" s="1"/>
    </row>
    <row r="980" ht="15.75" hidden="1" customHeight="1">
      <c r="A980" s="53"/>
      <c r="B980" s="54"/>
      <c r="C980" s="54" t="s">
        <v>488</v>
      </c>
      <c r="D980" s="55" t="s">
        <v>20</v>
      </c>
      <c r="E980" s="54"/>
      <c r="F980" s="56">
        <v>0.0</v>
      </c>
      <c r="G980" s="57">
        <v>850.0</v>
      </c>
      <c r="H980" s="57">
        <f t="shared" si="24"/>
        <v>0</v>
      </c>
      <c r="I980" s="58"/>
      <c r="J980" s="58"/>
      <c r="K980" s="54"/>
      <c r="L980" s="252"/>
      <c r="M980" s="275"/>
      <c r="N980" s="252"/>
      <c r="O980" s="275"/>
      <c r="P980" s="275"/>
      <c r="Q980" s="1"/>
      <c r="R980" s="1"/>
      <c r="S980" s="1"/>
      <c r="T980" s="1"/>
      <c r="U980" s="1"/>
      <c r="V980" s="1"/>
    </row>
    <row r="981" ht="15.75" hidden="1" customHeight="1">
      <c r="A981" s="53"/>
      <c r="B981" s="54"/>
      <c r="C981" s="54" t="s">
        <v>489</v>
      </c>
      <c r="D981" s="216" t="s">
        <v>24</v>
      </c>
      <c r="E981" s="54"/>
      <c r="F981" s="56">
        <v>0.0</v>
      </c>
      <c r="G981" s="57">
        <v>460.0</v>
      </c>
      <c r="H981" s="57">
        <f t="shared" si="24"/>
        <v>0</v>
      </c>
      <c r="I981" s="58"/>
      <c r="J981" s="58"/>
      <c r="K981" s="54"/>
      <c r="L981" s="252"/>
      <c r="M981" s="275"/>
      <c r="N981" s="252"/>
      <c r="O981" s="275"/>
      <c r="P981" s="275"/>
      <c r="Q981" s="1"/>
      <c r="R981" s="1"/>
      <c r="S981" s="1"/>
      <c r="T981" s="1"/>
      <c r="U981" s="1"/>
      <c r="V981" s="1"/>
    </row>
    <row r="982" ht="15.75" hidden="1" customHeight="1">
      <c r="A982" s="53"/>
      <c r="B982" s="54"/>
      <c r="C982" s="197" t="s">
        <v>490</v>
      </c>
      <c r="D982" s="198" t="s">
        <v>22</v>
      </c>
      <c r="E982" s="54"/>
      <c r="F982" s="56">
        <v>0.0</v>
      </c>
      <c r="G982" s="57">
        <v>0.0</v>
      </c>
      <c r="H982" s="57">
        <f t="shared" si="24"/>
        <v>0</v>
      </c>
      <c r="I982" s="58"/>
      <c r="J982" s="58"/>
      <c r="K982" s="54"/>
      <c r="L982" s="54"/>
      <c r="M982" s="202"/>
      <c r="N982" s="54"/>
      <c r="O982" s="202"/>
      <c r="P982" s="202"/>
      <c r="Q982" s="1"/>
      <c r="R982" s="1"/>
      <c r="S982" s="1"/>
      <c r="T982" s="1"/>
      <c r="U982" s="1"/>
      <c r="V982" s="1"/>
    </row>
    <row r="983" ht="15.75" customHeight="1">
      <c r="A983" s="53"/>
      <c r="B983" s="54" t="s">
        <v>18</v>
      </c>
      <c r="C983" s="197" t="s">
        <v>491</v>
      </c>
      <c r="D983" s="198" t="s">
        <v>22</v>
      </c>
      <c r="E983" s="33" t="s">
        <v>632</v>
      </c>
      <c r="F983" s="16">
        <v>2.0</v>
      </c>
      <c r="G983" s="226">
        <v>134.4</v>
      </c>
      <c r="H983" s="17">
        <f t="shared" si="24"/>
        <v>268.8</v>
      </c>
      <c r="I983" s="58"/>
      <c r="J983" s="58"/>
      <c r="K983" s="54"/>
      <c r="L983" s="54"/>
      <c r="M983" s="202"/>
      <c r="N983" s="54"/>
      <c r="O983" s="202"/>
      <c r="P983" s="202"/>
      <c r="Q983" s="1"/>
      <c r="R983" s="1"/>
      <c r="S983" s="1"/>
      <c r="T983" s="1"/>
      <c r="U983" s="1"/>
      <c r="V983" s="1"/>
    </row>
    <row r="984" ht="15.75" hidden="1" customHeight="1">
      <c r="A984" s="53"/>
      <c r="B984" s="43" t="s">
        <v>350</v>
      </c>
      <c r="C984" s="197" t="s">
        <v>493</v>
      </c>
      <c r="D984" s="198" t="s">
        <v>22</v>
      </c>
      <c r="E984" s="154" t="s">
        <v>494</v>
      </c>
      <c r="F984" s="16">
        <v>0.0</v>
      </c>
      <c r="G984" s="227">
        <v>86.0</v>
      </c>
      <c r="H984" s="17">
        <f t="shared" si="24"/>
        <v>0</v>
      </c>
      <c r="I984" s="58"/>
      <c r="J984" s="58"/>
      <c r="K984" s="54"/>
      <c r="L984" s="54"/>
      <c r="M984" s="202"/>
      <c r="N984" s="54"/>
      <c r="O984" s="202"/>
      <c r="P984" s="202"/>
      <c r="Q984" s="1"/>
      <c r="R984" s="1"/>
      <c r="S984" s="1"/>
      <c r="T984" s="1"/>
      <c r="U984" s="1"/>
      <c r="V984" s="1"/>
    </row>
    <row r="985" ht="15.75" hidden="1" customHeight="1">
      <c r="A985" s="53"/>
      <c r="B985" s="54"/>
      <c r="C985" s="197" t="s">
        <v>495</v>
      </c>
      <c r="D985" s="198" t="s">
        <v>22</v>
      </c>
      <c r="E985" s="15"/>
      <c r="F985" s="16">
        <v>0.0</v>
      </c>
      <c r="G985" s="249">
        <v>70.0</v>
      </c>
      <c r="H985" s="17">
        <f t="shared" si="24"/>
        <v>0</v>
      </c>
      <c r="I985" s="58"/>
      <c r="J985" s="58"/>
      <c r="K985" s="54"/>
      <c r="L985" s="54"/>
      <c r="M985" s="202"/>
      <c r="N985" s="54"/>
      <c r="O985" s="202"/>
      <c r="P985" s="202"/>
      <c r="Q985" s="1"/>
      <c r="R985" s="1"/>
      <c r="S985" s="1"/>
      <c r="T985" s="1"/>
      <c r="U985" s="1"/>
      <c r="V985" s="1"/>
    </row>
    <row r="986" ht="15.75" customHeight="1">
      <c r="A986" s="53"/>
      <c r="B986" s="54" t="s">
        <v>18</v>
      </c>
      <c r="C986" s="197" t="s">
        <v>496</v>
      </c>
      <c r="D986" s="198" t="s">
        <v>22</v>
      </c>
      <c r="E986" s="33" t="s">
        <v>633</v>
      </c>
      <c r="F986" s="16">
        <v>2.0</v>
      </c>
      <c r="G986" s="227">
        <v>19.2</v>
      </c>
      <c r="H986" s="17">
        <f t="shared" si="24"/>
        <v>38.4</v>
      </c>
      <c r="I986" s="58"/>
      <c r="J986" s="58"/>
      <c r="K986" s="54"/>
      <c r="L986" s="271"/>
      <c r="M986" s="276"/>
      <c r="N986" s="271"/>
      <c r="O986" s="276"/>
      <c r="P986" s="271"/>
      <c r="Q986" s="1"/>
      <c r="R986" s="1"/>
      <c r="S986" s="1"/>
      <c r="T986" s="1"/>
      <c r="U986" s="1"/>
      <c r="V986" s="1"/>
    </row>
    <row r="987" ht="15.75" customHeight="1">
      <c r="A987" s="53"/>
      <c r="B987" s="258" t="s">
        <v>634</v>
      </c>
      <c r="C987" s="203" t="s">
        <v>635</v>
      </c>
      <c r="D987" s="198" t="s">
        <v>22</v>
      </c>
      <c r="E987" s="208"/>
      <c r="F987" s="158">
        <v>1.0</v>
      </c>
      <c r="G987" s="226">
        <v>220.0</v>
      </c>
      <c r="H987" s="17">
        <f t="shared" si="24"/>
        <v>220</v>
      </c>
      <c r="I987" s="58"/>
      <c r="J987" s="58"/>
      <c r="K987" s="54"/>
      <c r="L987" s="271"/>
      <c r="M987" s="276"/>
      <c r="N987" s="271"/>
      <c r="O987" s="276"/>
      <c r="P987" s="271"/>
      <c r="Q987" s="1"/>
      <c r="R987" s="1"/>
      <c r="S987" s="1"/>
      <c r="T987" s="1"/>
      <c r="U987" s="1"/>
      <c r="V987" s="1"/>
    </row>
    <row r="988" ht="15.75" hidden="1" customHeight="1">
      <c r="A988" s="53"/>
      <c r="B988" s="54"/>
      <c r="C988" s="197" t="s">
        <v>407</v>
      </c>
      <c r="D988" s="198" t="s">
        <v>22</v>
      </c>
      <c r="E988" s="54"/>
      <c r="F988" s="56">
        <v>0.0</v>
      </c>
      <c r="G988" s="248">
        <v>135.4</v>
      </c>
      <c r="H988" s="57">
        <f t="shared" si="24"/>
        <v>0</v>
      </c>
      <c r="I988" s="58"/>
      <c r="J988" s="58"/>
      <c r="K988" s="54"/>
      <c r="L988" s="271"/>
      <c r="M988" s="276"/>
      <c r="N988" s="271"/>
      <c r="O988" s="276"/>
      <c r="P988" s="271"/>
      <c r="Q988" s="1"/>
      <c r="R988" s="1"/>
      <c r="S988" s="1"/>
      <c r="T988" s="1"/>
      <c r="U988" s="1"/>
      <c r="V988" s="1"/>
    </row>
    <row r="989" ht="15.75" hidden="1" customHeight="1">
      <c r="A989" s="53"/>
      <c r="B989" s="231" t="s">
        <v>350</v>
      </c>
      <c r="C989" s="197" t="s">
        <v>427</v>
      </c>
      <c r="D989" s="198" t="s">
        <v>22</v>
      </c>
      <c r="E989" s="231" t="s">
        <v>428</v>
      </c>
      <c r="F989" s="56">
        <v>0.0</v>
      </c>
      <c r="G989" s="235">
        <v>107.5</v>
      </c>
      <c r="H989" s="57">
        <f t="shared" si="24"/>
        <v>0</v>
      </c>
      <c r="I989" s="58"/>
      <c r="J989" s="58"/>
      <c r="K989" s="54"/>
      <c r="L989" s="271"/>
      <c r="M989" s="276"/>
      <c r="N989" s="271"/>
      <c r="O989" s="276"/>
      <c r="P989" s="271"/>
      <c r="Q989" s="1"/>
      <c r="R989" s="1"/>
      <c r="S989" s="1"/>
      <c r="T989" s="1"/>
      <c r="U989" s="1"/>
      <c r="V989" s="1"/>
    </row>
    <row r="990" ht="15.75" hidden="1" customHeight="1">
      <c r="A990" s="53"/>
      <c r="B990" s="258" t="s">
        <v>350</v>
      </c>
      <c r="C990" s="197" t="s">
        <v>429</v>
      </c>
      <c r="D990" s="198" t="s">
        <v>22</v>
      </c>
      <c r="E990" s="54"/>
      <c r="F990" s="56">
        <v>0.0</v>
      </c>
      <c r="G990" s="277">
        <v>97.0</v>
      </c>
      <c r="H990" s="57">
        <f t="shared" si="24"/>
        <v>0</v>
      </c>
      <c r="I990" s="58"/>
      <c r="J990" s="58"/>
      <c r="K990" s="54"/>
      <c r="L990" s="271"/>
      <c r="M990" s="276"/>
      <c r="N990" s="271"/>
      <c r="O990" s="276"/>
      <c r="P990" s="271"/>
      <c r="Q990" s="1"/>
      <c r="R990" s="1"/>
      <c r="S990" s="1"/>
      <c r="T990" s="1"/>
      <c r="U990" s="1"/>
      <c r="V990" s="1"/>
    </row>
    <row r="991" ht="15.75" hidden="1" customHeight="1">
      <c r="A991" s="53"/>
      <c r="B991" s="54" t="s">
        <v>18</v>
      </c>
      <c r="C991" s="197" t="s">
        <v>409</v>
      </c>
      <c r="D991" s="198" t="s">
        <v>22</v>
      </c>
      <c r="E991" s="54" t="s">
        <v>616</v>
      </c>
      <c r="F991" s="56">
        <v>0.0</v>
      </c>
      <c r="G991" s="57">
        <v>19.99</v>
      </c>
      <c r="H991" s="57">
        <f t="shared" si="24"/>
        <v>0</v>
      </c>
      <c r="I991" s="58"/>
      <c r="J991" s="58"/>
      <c r="K991" s="54"/>
      <c r="L991" s="271"/>
      <c r="M991" s="276"/>
      <c r="N991" s="271"/>
      <c r="O991" s="276"/>
      <c r="P991" s="271"/>
      <c r="Q991" s="1"/>
      <c r="R991" s="1"/>
      <c r="S991" s="1"/>
      <c r="T991" s="1"/>
      <c r="U991" s="1"/>
      <c r="V991" s="1"/>
    </row>
    <row r="992" ht="15.75" hidden="1" customHeight="1">
      <c r="A992" s="53"/>
      <c r="B992" s="54" t="s">
        <v>18</v>
      </c>
      <c r="C992" s="197" t="s">
        <v>500</v>
      </c>
      <c r="D992" s="55" t="s">
        <v>20</v>
      </c>
      <c r="E992" s="54"/>
      <c r="F992" s="56">
        <v>0.0</v>
      </c>
      <c r="G992" s="57">
        <v>5.0</v>
      </c>
      <c r="H992" s="57">
        <f t="shared" si="24"/>
        <v>0</v>
      </c>
      <c r="I992" s="58"/>
      <c r="J992" s="58"/>
      <c r="K992" s="58"/>
      <c r="L992" s="54"/>
      <c r="M992" s="202"/>
      <c r="N992" s="54"/>
      <c r="O992" s="202"/>
      <c r="P992" s="202"/>
      <c r="Q992" s="1"/>
      <c r="R992" s="1"/>
      <c r="S992" s="1"/>
      <c r="T992" s="1"/>
      <c r="U992" s="1"/>
      <c r="V992" s="1"/>
    </row>
    <row r="993" ht="15.75" hidden="1" customHeight="1">
      <c r="A993" s="53"/>
      <c r="B993" s="54"/>
      <c r="C993" s="197" t="s">
        <v>501</v>
      </c>
      <c r="D993" s="216" t="s">
        <v>24</v>
      </c>
      <c r="E993" s="54"/>
      <c r="F993" s="56">
        <v>0.0</v>
      </c>
      <c r="G993" s="57">
        <v>210.0</v>
      </c>
      <c r="H993" s="57">
        <f t="shared" si="24"/>
        <v>0</v>
      </c>
      <c r="I993" s="58"/>
      <c r="J993" s="58"/>
      <c r="K993" s="54"/>
      <c r="L993" s="252"/>
      <c r="M993" s="275"/>
      <c r="N993" s="252"/>
      <c r="O993" s="275"/>
      <c r="P993" s="275"/>
      <c r="Q993" s="1"/>
      <c r="R993" s="1"/>
      <c r="S993" s="1"/>
      <c r="T993" s="1"/>
      <c r="U993" s="1"/>
      <c r="V993" s="1"/>
    </row>
    <row r="994" ht="15.75" hidden="1" customHeight="1">
      <c r="A994" s="53"/>
      <c r="B994" s="54" t="s">
        <v>18</v>
      </c>
      <c r="C994" s="197" t="s">
        <v>502</v>
      </c>
      <c r="D994" s="198" t="s">
        <v>22</v>
      </c>
      <c r="E994" s="54"/>
      <c r="F994" s="56">
        <v>0.0</v>
      </c>
      <c r="G994" s="57">
        <v>0.0</v>
      </c>
      <c r="H994" s="57">
        <f t="shared" si="24"/>
        <v>0</v>
      </c>
      <c r="I994" s="58"/>
      <c r="J994" s="58"/>
      <c r="K994" s="54"/>
      <c r="L994" s="54"/>
      <c r="M994" s="202"/>
      <c r="N994" s="54"/>
      <c r="O994" s="202"/>
      <c r="P994" s="202"/>
      <c r="Q994" s="1"/>
      <c r="R994" s="1"/>
      <c r="S994" s="1"/>
      <c r="T994" s="1"/>
      <c r="U994" s="1"/>
      <c r="V994" s="1"/>
    </row>
    <row r="995" ht="15.75" customHeight="1">
      <c r="A995" s="53"/>
      <c r="B995" s="43" t="s">
        <v>88</v>
      </c>
      <c r="C995" s="54" t="s">
        <v>411</v>
      </c>
      <c r="D995" s="55" t="s">
        <v>20</v>
      </c>
      <c r="E995" s="171" t="s">
        <v>412</v>
      </c>
      <c r="F995" s="56">
        <v>1.0</v>
      </c>
      <c r="G995" s="34">
        <v>334.0</v>
      </c>
      <c r="H995" s="57">
        <f t="shared" si="24"/>
        <v>334</v>
      </c>
      <c r="I995" s="58"/>
      <c r="J995" s="58"/>
      <c r="K995" s="54"/>
      <c r="L995" s="54"/>
      <c r="M995" s="202"/>
      <c r="N995" s="54"/>
      <c r="O995" s="54"/>
      <c r="P995" s="54"/>
      <c r="Q995" s="1"/>
      <c r="R995" s="1"/>
      <c r="S995" s="1"/>
      <c r="T995" s="1"/>
      <c r="U995" s="1"/>
      <c r="V995" s="1"/>
    </row>
    <row r="996" ht="15.75" customHeight="1">
      <c r="A996" s="53"/>
      <c r="B996" s="54" t="s">
        <v>18</v>
      </c>
      <c r="C996" s="197" t="s">
        <v>280</v>
      </c>
      <c r="D996" s="55" t="s">
        <v>20</v>
      </c>
      <c r="E996" s="15" t="s">
        <v>636</v>
      </c>
      <c r="F996" s="56">
        <v>1.0</v>
      </c>
      <c r="G996" s="34">
        <v>20.0</v>
      </c>
      <c r="H996" s="57">
        <f t="shared" si="24"/>
        <v>20</v>
      </c>
      <c r="I996" s="58"/>
      <c r="J996" s="58"/>
      <c r="K996" s="54"/>
      <c r="L996" s="271"/>
      <c r="M996" s="271"/>
      <c r="N996" s="271"/>
      <c r="O996" s="271"/>
      <c r="P996" s="271"/>
      <c r="Q996" s="1"/>
      <c r="R996" s="1"/>
      <c r="S996" s="1"/>
      <c r="T996" s="1"/>
      <c r="U996" s="1"/>
      <c r="V996" s="1"/>
    </row>
    <row r="997" ht="15.75" hidden="1" customHeight="1">
      <c r="A997" s="53"/>
      <c r="B997" s="54" t="s">
        <v>637</v>
      </c>
      <c r="C997" s="197" t="s">
        <v>414</v>
      </c>
      <c r="D997" s="216" t="s">
        <v>24</v>
      </c>
      <c r="E997" s="54"/>
      <c r="F997" s="158">
        <v>0.0</v>
      </c>
      <c r="G997" s="57">
        <v>80.0</v>
      </c>
      <c r="H997" s="57">
        <f t="shared" si="24"/>
        <v>0</v>
      </c>
      <c r="I997" s="58"/>
      <c r="J997" s="58"/>
      <c r="K997" s="13"/>
      <c r="L997" s="252"/>
      <c r="M997" s="252"/>
      <c r="N997" s="252"/>
      <c r="O997" s="252"/>
      <c r="P997" s="252"/>
      <c r="Q997" s="1"/>
      <c r="R997" s="1"/>
      <c r="S997" s="1"/>
      <c r="T997" s="1"/>
      <c r="U997" s="1"/>
      <c r="V997" s="1"/>
    </row>
    <row r="998" ht="15.75" hidden="1" customHeight="1">
      <c r="A998" s="53"/>
      <c r="B998" s="54" t="s">
        <v>18</v>
      </c>
      <c r="C998" s="197" t="s">
        <v>283</v>
      </c>
      <c r="D998" s="55" t="s">
        <v>20</v>
      </c>
      <c r="E998" s="208" t="s">
        <v>284</v>
      </c>
      <c r="F998" s="56">
        <v>0.0</v>
      </c>
      <c r="G998" s="57">
        <v>12.0</v>
      </c>
      <c r="H998" s="57">
        <f t="shared" si="24"/>
        <v>0</v>
      </c>
      <c r="I998" s="58"/>
      <c r="J998" s="58"/>
      <c r="K998" s="54"/>
      <c r="L998" s="252"/>
      <c r="M998" s="252"/>
      <c r="N998" s="252"/>
      <c r="O998" s="252"/>
      <c r="P998" s="252"/>
      <c r="Q998" s="1"/>
      <c r="R998" s="1"/>
      <c r="S998" s="1"/>
      <c r="T998" s="1"/>
      <c r="U998" s="1"/>
      <c r="V998" s="1"/>
    </row>
    <row r="999" ht="15.75" hidden="1" customHeight="1">
      <c r="A999" s="53"/>
      <c r="B999" s="54" t="s">
        <v>18</v>
      </c>
      <c r="C999" s="197" t="s">
        <v>370</v>
      </c>
      <c r="D999" s="55" t="s">
        <v>20</v>
      </c>
      <c r="E999" s="208">
        <v>8.49069896E8</v>
      </c>
      <c r="F999" s="158">
        <v>0.0</v>
      </c>
      <c r="G999" s="57">
        <v>5.0</v>
      </c>
      <c r="H999" s="57">
        <f t="shared" si="24"/>
        <v>0</v>
      </c>
      <c r="I999" s="58"/>
      <c r="J999" s="58"/>
      <c r="K999" s="54"/>
      <c r="L999" s="252"/>
      <c r="M999" s="252"/>
      <c r="N999" s="252"/>
      <c r="O999" s="252"/>
      <c r="P999" s="252"/>
      <c r="Q999" s="1"/>
      <c r="R999" s="1"/>
      <c r="S999" s="1"/>
      <c r="T999" s="1"/>
      <c r="U999" s="1"/>
      <c r="V999" s="1"/>
    </row>
    <row r="1000" ht="15.75" customHeight="1">
      <c r="A1000" s="53"/>
      <c r="B1000" s="54" t="s">
        <v>18</v>
      </c>
      <c r="C1000" s="197" t="s">
        <v>371</v>
      </c>
      <c r="D1000" s="55" t="s">
        <v>20</v>
      </c>
      <c r="E1000" s="208" t="s">
        <v>286</v>
      </c>
      <c r="F1000" s="56">
        <v>2.0</v>
      </c>
      <c r="G1000" s="57">
        <v>3.0</v>
      </c>
      <c r="H1000" s="57">
        <f t="shared" si="24"/>
        <v>6</v>
      </c>
      <c r="I1000" s="58"/>
      <c r="J1000" s="58"/>
      <c r="K1000" s="13"/>
      <c r="L1000" s="252"/>
      <c r="M1000" s="252"/>
      <c r="N1000" s="252"/>
      <c r="O1000" s="252"/>
      <c r="P1000" s="252"/>
      <c r="Q1000" s="1"/>
      <c r="R1000" s="1"/>
      <c r="S1000" s="1"/>
      <c r="T1000" s="1"/>
      <c r="U1000" s="1"/>
      <c r="V1000" s="1"/>
    </row>
    <row r="1001" ht="15.75" hidden="1" customHeight="1">
      <c r="A1001" s="53"/>
      <c r="B1001" s="54"/>
      <c r="C1001" s="54" t="s">
        <v>221</v>
      </c>
      <c r="D1001" s="216" t="s">
        <v>24</v>
      </c>
      <c r="E1001" s="54"/>
      <c r="F1001" s="56">
        <v>0.0</v>
      </c>
      <c r="G1001" s="57">
        <v>50.0</v>
      </c>
      <c r="H1001" s="57">
        <f t="shared" si="24"/>
        <v>0</v>
      </c>
      <c r="I1001" s="58"/>
      <c r="J1001" s="58"/>
      <c r="K1001" s="54"/>
      <c r="L1001" s="252"/>
      <c r="M1001" s="252"/>
      <c r="N1001" s="252"/>
      <c r="O1001" s="252"/>
      <c r="P1001" s="252"/>
      <c r="Q1001" s="1"/>
      <c r="R1001" s="1"/>
      <c r="S1001" s="1"/>
      <c r="T1001" s="1"/>
      <c r="U1001" s="1"/>
      <c r="V1001" s="1"/>
    </row>
    <row r="1002" ht="15.75" hidden="1" customHeight="1">
      <c r="A1002" s="53"/>
      <c r="B1002" s="54"/>
      <c r="C1002" s="54" t="s">
        <v>222</v>
      </c>
      <c r="D1002" s="216" t="s">
        <v>24</v>
      </c>
      <c r="E1002" s="54"/>
      <c r="F1002" s="56">
        <v>0.0</v>
      </c>
      <c r="G1002" s="57">
        <v>40.0</v>
      </c>
      <c r="H1002" s="57">
        <f t="shared" si="24"/>
        <v>0</v>
      </c>
      <c r="I1002" s="58"/>
      <c r="J1002" s="58"/>
      <c r="K1002" s="54"/>
      <c r="L1002" s="252"/>
      <c r="M1002" s="252"/>
      <c r="N1002" s="252"/>
      <c r="O1002" s="252"/>
      <c r="P1002" s="252"/>
      <c r="Q1002" s="1"/>
      <c r="R1002" s="1"/>
      <c r="S1002" s="1"/>
      <c r="T1002" s="1"/>
      <c r="U1002" s="1"/>
      <c r="V1002" s="1"/>
    </row>
    <row r="1003" ht="15.75" hidden="1" customHeight="1">
      <c r="A1003" s="53"/>
      <c r="B1003" s="54"/>
      <c r="C1003" s="197" t="s">
        <v>374</v>
      </c>
      <c r="D1003" s="216" t="s">
        <v>24</v>
      </c>
      <c r="E1003" s="54"/>
      <c r="F1003" s="56">
        <v>0.0</v>
      </c>
      <c r="G1003" s="57">
        <v>210.0</v>
      </c>
      <c r="H1003" s="57">
        <f t="shared" si="24"/>
        <v>0</v>
      </c>
      <c r="I1003" s="58"/>
      <c r="J1003" s="58"/>
      <c r="K1003" s="54"/>
      <c r="L1003" s="252"/>
      <c r="M1003" s="252"/>
      <c r="N1003" s="252"/>
      <c r="O1003" s="252"/>
      <c r="P1003" s="252"/>
      <c r="Q1003" s="1"/>
      <c r="R1003" s="1"/>
      <c r="S1003" s="1"/>
      <c r="T1003" s="1"/>
      <c r="U1003" s="1"/>
      <c r="V1003" s="1"/>
    </row>
    <row r="1004" ht="15.75" hidden="1" customHeight="1">
      <c r="A1004" s="53"/>
      <c r="B1004" s="54" t="s">
        <v>373</v>
      </c>
      <c r="C1004" s="197" t="s">
        <v>372</v>
      </c>
      <c r="D1004" s="55" t="s">
        <v>20</v>
      </c>
      <c r="E1004" s="54"/>
      <c r="F1004" s="56">
        <v>0.0</v>
      </c>
      <c r="G1004" s="57">
        <v>70.0</v>
      </c>
      <c r="H1004" s="57">
        <f t="shared" si="24"/>
        <v>0</v>
      </c>
      <c r="I1004" s="58"/>
      <c r="J1004" s="58"/>
      <c r="K1004" s="54"/>
      <c r="L1004" s="54"/>
      <c r="M1004" s="54"/>
      <c r="N1004" s="54"/>
      <c r="O1004" s="54"/>
      <c r="P1004" s="54"/>
      <c r="Q1004" s="1"/>
      <c r="R1004" s="1"/>
      <c r="S1004" s="1"/>
      <c r="T1004" s="1"/>
      <c r="U1004" s="1"/>
      <c r="V1004" s="1"/>
    </row>
    <row r="1005" ht="15.75" hidden="1" customHeight="1">
      <c r="A1005" s="53"/>
      <c r="B1005" s="54" t="s">
        <v>18</v>
      </c>
      <c r="C1005" s="197" t="s">
        <v>503</v>
      </c>
      <c r="D1005" s="55" t="s">
        <v>20</v>
      </c>
      <c r="E1005" s="54"/>
      <c r="F1005" s="56">
        <v>0.0</v>
      </c>
      <c r="G1005" s="57">
        <v>50.0</v>
      </c>
      <c r="H1005" s="57">
        <f t="shared" si="24"/>
        <v>0</v>
      </c>
      <c r="I1005" s="58"/>
      <c r="J1005" s="58"/>
      <c r="K1005" s="54"/>
      <c r="L1005" s="54"/>
      <c r="M1005" s="54"/>
      <c r="N1005" s="54"/>
      <c r="O1005" s="54"/>
      <c r="P1005" s="54"/>
      <c r="Q1005" s="1"/>
      <c r="R1005" s="1"/>
      <c r="S1005" s="1"/>
      <c r="T1005" s="1"/>
      <c r="U1005" s="1"/>
      <c r="V1005" s="1"/>
    </row>
    <row r="1006" ht="15.75" hidden="1" customHeight="1">
      <c r="A1006" s="53"/>
      <c r="B1006" s="54"/>
      <c r="C1006" s="197" t="s">
        <v>504</v>
      </c>
      <c r="D1006" s="216" t="s">
        <v>24</v>
      </c>
      <c r="E1006" s="54"/>
      <c r="F1006" s="56">
        <v>0.0</v>
      </c>
      <c r="G1006" s="57">
        <v>50.0</v>
      </c>
      <c r="H1006" s="57">
        <f t="shared" si="24"/>
        <v>0</v>
      </c>
      <c r="I1006" s="58"/>
      <c r="J1006" s="58"/>
      <c r="K1006" s="54"/>
      <c r="L1006" s="54"/>
      <c r="M1006" s="54"/>
      <c r="N1006" s="54"/>
      <c r="O1006" s="54"/>
      <c r="P1006" s="54"/>
      <c r="Q1006" s="1"/>
      <c r="R1006" s="1"/>
      <c r="S1006" s="1"/>
      <c r="T1006" s="1"/>
      <c r="U1006" s="1"/>
      <c r="V1006" s="1"/>
    </row>
    <row r="1007" ht="15.75" hidden="1" customHeight="1">
      <c r="A1007" s="53"/>
      <c r="B1007" s="54"/>
      <c r="C1007" s="197" t="s">
        <v>505</v>
      </c>
      <c r="D1007" s="216" t="s">
        <v>24</v>
      </c>
      <c r="E1007" s="54"/>
      <c r="F1007" s="56">
        <v>0.0</v>
      </c>
      <c r="G1007" s="57">
        <v>120.0</v>
      </c>
      <c r="H1007" s="57">
        <f t="shared" si="24"/>
        <v>0</v>
      </c>
      <c r="I1007" s="58"/>
      <c r="J1007" s="58"/>
      <c r="K1007" s="54"/>
      <c r="L1007" s="252"/>
      <c r="M1007" s="252"/>
      <c r="N1007" s="252"/>
      <c r="O1007" s="252"/>
      <c r="P1007" s="252"/>
      <c r="Q1007" s="1"/>
      <c r="R1007" s="1"/>
      <c r="S1007" s="1"/>
      <c r="T1007" s="1"/>
      <c r="U1007" s="1"/>
      <c r="V1007" s="1"/>
    </row>
    <row r="1008" ht="15.75" hidden="1" customHeight="1">
      <c r="A1008" s="53"/>
      <c r="B1008" s="54"/>
      <c r="C1008" s="197" t="s">
        <v>506</v>
      </c>
      <c r="D1008" s="216" t="s">
        <v>24</v>
      </c>
      <c r="E1008" s="54"/>
      <c r="F1008" s="56">
        <v>0.0</v>
      </c>
      <c r="G1008" s="57">
        <v>80.0</v>
      </c>
      <c r="H1008" s="57">
        <f t="shared" si="24"/>
        <v>0</v>
      </c>
      <c r="I1008" s="58"/>
      <c r="J1008" s="58"/>
      <c r="K1008" s="54"/>
      <c r="L1008" s="252"/>
      <c r="M1008" s="252"/>
      <c r="N1008" s="252"/>
      <c r="O1008" s="252"/>
      <c r="P1008" s="252"/>
      <c r="Q1008" s="1"/>
      <c r="R1008" s="1"/>
      <c r="S1008" s="1"/>
      <c r="T1008" s="1"/>
      <c r="U1008" s="1"/>
      <c r="V1008" s="1"/>
    </row>
    <row r="1009" ht="15.75" hidden="1" customHeight="1">
      <c r="A1009" s="53"/>
      <c r="B1009" s="54"/>
      <c r="C1009" s="197" t="s">
        <v>507</v>
      </c>
      <c r="D1009" s="55" t="s">
        <v>20</v>
      </c>
      <c r="E1009" s="54"/>
      <c r="F1009" s="56">
        <v>0.0</v>
      </c>
      <c r="G1009" s="57">
        <v>300.0</v>
      </c>
      <c r="H1009" s="57">
        <f t="shared" si="24"/>
        <v>0</v>
      </c>
      <c r="I1009" s="58"/>
      <c r="J1009" s="58"/>
      <c r="K1009" s="54"/>
      <c r="L1009" s="252"/>
      <c r="M1009" s="252"/>
      <c r="N1009" s="252"/>
      <c r="O1009" s="252"/>
      <c r="P1009" s="252"/>
      <c r="Q1009" s="1"/>
      <c r="R1009" s="1"/>
      <c r="S1009" s="1"/>
      <c r="T1009" s="1"/>
      <c r="U1009" s="1"/>
      <c r="V1009" s="1"/>
    </row>
    <row r="1010" ht="15.75" hidden="1" customHeight="1">
      <c r="A1010" s="53"/>
      <c r="B1010" s="54"/>
      <c r="C1010" s="197" t="s">
        <v>508</v>
      </c>
      <c r="D1010" s="216" t="s">
        <v>24</v>
      </c>
      <c r="E1010" s="54"/>
      <c r="F1010" s="56">
        <v>0.0</v>
      </c>
      <c r="G1010" s="57">
        <v>290.0</v>
      </c>
      <c r="H1010" s="57">
        <f t="shared" si="24"/>
        <v>0</v>
      </c>
      <c r="I1010" s="58"/>
      <c r="J1010" s="58"/>
      <c r="K1010" s="54"/>
      <c r="L1010" s="252"/>
      <c r="M1010" s="252"/>
      <c r="N1010" s="252"/>
      <c r="O1010" s="252"/>
      <c r="P1010" s="252"/>
      <c r="Q1010" s="1"/>
      <c r="R1010" s="1"/>
      <c r="S1010" s="1"/>
      <c r="T1010" s="1"/>
      <c r="U1010" s="1"/>
      <c r="V1010" s="1"/>
    </row>
    <row r="1011" ht="15.75" hidden="1" customHeight="1">
      <c r="A1011" s="53"/>
      <c r="B1011" s="54"/>
      <c r="C1011" s="54" t="s">
        <v>509</v>
      </c>
      <c r="D1011" s="55" t="s">
        <v>20</v>
      </c>
      <c r="E1011" s="54"/>
      <c r="F1011" s="56">
        <v>0.0</v>
      </c>
      <c r="G1011" s="57">
        <v>30.0</v>
      </c>
      <c r="H1011" s="57">
        <f t="shared" si="24"/>
        <v>0</v>
      </c>
      <c r="I1011" s="58"/>
      <c r="J1011" s="58"/>
      <c r="K1011" s="54"/>
      <c r="L1011" s="252"/>
      <c r="M1011" s="252"/>
      <c r="N1011" s="252"/>
      <c r="O1011" s="252"/>
      <c r="P1011" s="252"/>
      <c r="Q1011" s="1"/>
      <c r="R1011" s="1"/>
      <c r="S1011" s="1"/>
      <c r="T1011" s="1"/>
      <c r="U1011" s="1"/>
      <c r="V1011" s="1"/>
    </row>
    <row r="1012" ht="15.75" hidden="1" customHeight="1">
      <c r="A1012" s="53"/>
      <c r="B1012" s="54"/>
      <c r="C1012" s="54" t="s">
        <v>510</v>
      </c>
      <c r="D1012" s="216" t="s">
        <v>24</v>
      </c>
      <c r="E1012" s="54"/>
      <c r="F1012" s="56">
        <v>0.0</v>
      </c>
      <c r="G1012" s="57">
        <v>70.0</v>
      </c>
      <c r="H1012" s="57">
        <f t="shared" si="24"/>
        <v>0</v>
      </c>
      <c r="I1012" s="58"/>
      <c r="J1012" s="58"/>
      <c r="K1012" s="54"/>
      <c r="L1012" s="252"/>
      <c r="M1012" s="252"/>
      <c r="N1012" s="252"/>
      <c r="O1012" s="252"/>
      <c r="P1012" s="252"/>
      <c r="Q1012" s="1"/>
      <c r="R1012" s="1"/>
      <c r="S1012" s="1"/>
      <c r="T1012" s="1"/>
      <c r="U1012" s="1"/>
      <c r="V1012" s="1"/>
    </row>
    <row r="1013" ht="15.75" hidden="1" customHeight="1">
      <c r="A1013" s="53"/>
      <c r="B1013" s="54"/>
      <c r="C1013" s="54" t="s">
        <v>511</v>
      </c>
      <c r="D1013" s="55" t="s">
        <v>20</v>
      </c>
      <c r="E1013" s="54"/>
      <c r="F1013" s="56">
        <v>0.0</v>
      </c>
      <c r="G1013" s="57">
        <v>368.0</v>
      </c>
      <c r="H1013" s="57">
        <f t="shared" si="24"/>
        <v>0</v>
      </c>
      <c r="I1013" s="58"/>
      <c r="J1013" s="58"/>
      <c r="K1013" s="54"/>
      <c r="L1013" s="252"/>
      <c r="M1013" s="252"/>
      <c r="N1013" s="252"/>
      <c r="O1013" s="252"/>
      <c r="P1013" s="252"/>
      <c r="Q1013" s="1"/>
      <c r="R1013" s="1"/>
      <c r="S1013" s="1"/>
      <c r="T1013" s="1"/>
      <c r="U1013" s="1"/>
      <c r="V1013" s="1"/>
    </row>
    <row r="1014" ht="15.75" hidden="1" customHeight="1">
      <c r="A1014" s="53"/>
      <c r="B1014" s="54"/>
      <c r="C1014" s="54" t="s">
        <v>512</v>
      </c>
      <c r="D1014" s="55" t="s">
        <v>20</v>
      </c>
      <c r="E1014" s="54"/>
      <c r="F1014" s="56">
        <v>0.0</v>
      </c>
      <c r="G1014" s="57">
        <v>183.0</v>
      </c>
      <c r="H1014" s="57">
        <f t="shared" si="24"/>
        <v>0</v>
      </c>
      <c r="I1014" s="58"/>
      <c r="J1014" s="58"/>
      <c r="K1014" s="54"/>
      <c r="L1014" s="252"/>
      <c r="M1014" s="252"/>
      <c r="N1014" s="252"/>
      <c r="O1014" s="252"/>
      <c r="P1014" s="252"/>
      <c r="Q1014" s="1"/>
      <c r="R1014" s="1"/>
      <c r="S1014" s="1"/>
      <c r="T1014" s="1"/>
      <c r="U1014" s="1"/>
      <c r="V1014" s="1"/>
    </row>
    <row r="1015" ht="15.75" hidden="1" customHeight="1">
      <c r="A1015" s="53"/>
      <c r="B1015" s="54"/>
      <c r="C1015" s="278" t="s">
        <v>513</v>
      </c>
      <c r="D1015" s="55" t="s">
        <v>20</v>
      </c>
      <c r="E1015" s="54"/>
      <c r="F1015" s="56">
        <v>0.0</v>
      </c>
      <c r="G1015" s="57">
        <v>45.0</v>
      </c>
      <c r="H1015" s="57">
        <f t="shared" si="24"/>
        <v>0</v>
      </c>
      <c r="I1015" s="58"/>
      <c r="J1015" s="58"/>
      <c r="K1015" s="54"/>
      <c r="L1015" s="252"/>
      <c r="M1015" s="252"/>
      <c r="N1015" s="252"/>
      <c r="O1015" s="252"/>
      <c r="P1015" s="252"/>
      <c r="Q1015" s="1"/>
      <c r="R1015" s="1"/>
      <c r="S1015" s="1"/>
      <c r="T1015" s="1"/>
      <c r="U1015" s="1"/>
      <c r="V1015" s="1"/>
    </row>
    <row r="1016" ht="15.75" hidden="1" customHeight="1">
      <c r="A1016" s="53"/>
      <c r="B1016" s="54"/>
      <c r="C1016" s="278" t="s">
        <v>514</v>
      </c>
      <c r="D1016" s="55" t="s">
        <v>20</v>
      </c>
      <c r="E1016" s="54"/>
      <c r="F1016" s="56">
        <v>0.0</v>
      </c>
      <c r="G1016" s="57">
        <v>60.0</v>
      </c>
      <c r="H1016" s="57">
        <f t="shared" si="24"/>
        <v>0</v>
      </c>
      <c r="I1016" s="58"/>
      <c r="J1016" s="58"/>
      <c r="K1016" s="54"/>
      <c r="L1016" s="252"/>
      <c r="M1016" s="252"/>
      <c r="N1016" s="252"/>
      <c r="O1016" s="252"/>
      <c r="P1016" s="252"/>
      <c r="Q1016" s="1"/>
      <c r="R1016" s="1"/>
      <c r="S1016" s="1"/>
      <c r="T1016" s="1"/>
      <c r="U1016" s="1"/>
      <c r="V1016" s="1"/>
    </row>
    <row r="1017" ht="15.75" hidden="1" customHeight="1">
      <c r="A1017" s="53"/>
      <c r="B1017" s="54"/>
      <c r="C1017" s="279" t="s">
        <v>515</v>
      </c>
      <c r="D1017" s="216" t="s">
        <v>24</v>
      </c>
      <c r="E1017" s="54"/>
      <c r="F1017" s="56">
        <v>0.0</v>
      </c>
      <c r="G1017" s="57">
        <v>290.0</v>
      </c>
      <c r="H1017" s="57">
        <f t="shared" si="24"/>
        <v>0</v>
      </c>
      <c r="I1017" s="58"/>
      <c r="J1017" s="58"/>
      <c r="K1017" s="54"/>
      <c r="L1017" s="252"/>
      <c r="M1017" s="252"/>
      <c r="N1017" s="252"/>
      <c r="O1017" s="252"/>
      <c r="P1017" s="252"/>
      <c r="Q1017" s="1"/>
      <c r="R1017" s="1"/>
      <c r="S1017" s="1"/>
      <c r="T1017" s="1"/>
      <c r="U1017" s="1"/>
      <c r="V1017" s="1"/>
    </row>
    <row r="1018" ht="15.75" hidden="1" customHeight="1">
      <c r="A1018" s="53"/>
      <c r="B1018" s="54"/>
      <c r="C1018" s="54" t="s">
        <v>71</v>
      </c>
      <c r="D1018" s="216" t="s">
        <v>24</v>
      </c>
      <c r="E1018" s="54"/>
      <c r="F1018" s="56">
        <v>0.0</v>
      </c>
      <c r="G1018" s="57">
        <v>80.0</v>
      </c>
      <c r="H1018" s="57">
        <f t="shared" si="24"/>
        <v>0</v>
      </c>
      <c r="I1018" s="58"/>
      <c r="J1018" s="58"/>
      <c r="K1018" s="54"/>
      <c r="L1018" s="252"/>
      <c r="M1018" s="252"/>
      <c r="N1018" s="252"/>
      <c r="O1018" s="252"/>
      <c r="P1018" s="252"/>
      <c r="Q1018" s="1"/>
      <c r="R1018" s="1"/>
      <c r="S1018" s="1"/>
      <c r="T1018" s="1"/>
      <c r="U1018" s="1"/>
      <c r="V1018" s="1"/>
    </row>
    <row r="1019" ht="15.75" hidden="1" customHeight="1">
      <c r="A1019" s="53"/>
      <c r="B1019" s="54"/>
      <c r="C1019" s="197" t="s">
        <v>516</v>
      </c>
      <c r="D1019" s="55" t="s">
        <v>20</v>
      </c>
      <c r="E1019" s="54"/>
      <c r="F1019" s="56">
        <v>0.0</v>
      </c>
      <c r="G1019" s="57">
        <v>300.0</v>
      </c>
      <c r="H1019" s="57">
        <f t="shared" si="24"/>
        <v>0</v>
      </c>
      <c r="I1019" s="58"/>
      <c r="J1019" s="58"/>
      <c r="K1019" s="54"/>
      <c r="L1019" s="252"/>
      <c r="M1019" s="252"/>
      <c r="N1019" s="252"/>
      <c r="O1019" s="252"/>
      <c r="P1019" s="252"/>
      <c r="Q1019" s="1"/>
      <c r="R1019" s="1"/>
      <c r="S1019" s="1"/>
      <c r="T1019" s="1"/>
      <c r="U1019" s="1"/>
      <c r="V1019" s="1"/>
    </row>
    <row r="1020" ht="15.75" hidden="1" customHeight="1">
      <c r="A1020" s="53"/>
      <c r="B1020" s="54"/>
      <c r="C1020" s="197" t="s">
        <v>517</v>
      </c>
      <c r="D1020" s="216" t="s">
        <v>24</v>
      </c>
      <c r="E1020" s="54"/>
      <c r="F1020" s="56">
        <v>0.0</v>
      </c>
      <c r="G1020" s="57">
        <v>900.0</v>
      </c>
      <c r="H1020" s="57">
        <f t="shared" si="24"/>
        <v>0</v>
      </c>
      <c r="I1020" s="58"/>
      <c r="J1020" s="58"/>
      <c r="K1020" s="54"/>
      <c r="L1020" s="252"/>
      <c r="M1020" s="252"/>
      <c r="N1020" s="252"/>
      <c r="O1020" s="252"/>
      <c r="P1020" s="252"/>
      <c r="Q1020" s="1"/>
      <c r="R1020" s="1"/>
      <c r="S1020" s="1"/>
      <c r="T1020" s="1"/>
      <c r="U1020" s="1"/>
      <c r="V1020" s="1"/>
    </row>
    <row r="1021" ht="15.75" hidden="1" customHeight="1">
      <c r="A1021" s="53"/>
      <c r="B1021" s="54"/>
      <c r="C1021" s="197" t="s">
        <v>518</v>
      </c>
      <c r="D1021" s="216" t="s">
        <v>24</v>
      </c>
      <c r="E1021" s="54"/>
      <c r="F1021" s="56">
        <v>0.0</v>
      </c>
      <c r="G1021" s="57">
        <v>150.0</v>
      </c>
      <c r="H1021" s="57">
        <f t="shared" si="24"/>
        <v>0</v>
      </c>
      <c r="I1021" s="58"/>
      <c r="J1021" s="58"/>
      <c r="K1021" s="54"/>
      <c r="L1021" s="252"/>
      <c r="M1021" s="252"/>
      <c r="N1021" s="252"/>
      <c r="O1021" s="252"/>
      <c r="P1021" s="252"/>
      <c r="Q1021" s="1"/>
      <c r="R1021" s="1"/>
      <c r="S1021" s="1"/>
      <c r="T1021" s="1"/>
      <c r="U1021" s="1"/>
      <c r="V1021" s="1"/>
    </row>
    <row r="1022" ht="15.75" hidden="1" customHeight="1">
      <c r="A1022" s="53"/>
      <c r="B1022" s="54"/>
      <c r="C1022" s="197" t="s">
        <v>519</v>
      </c>
      <c r="D1022" s="55" t="s">
        <v>20</v>
      </c>
      <c r="E1022" s="54"/>
      <c r="F1022" s="56">
        <v>0.0</v>
      </c>
      <c r="G1022" s="57">
        <v>60.0</v>
      </c>
      <c r="H1022" s="57">
        <f t="shared" si="24"/>
        <v>0</v>
      </c>
      <c r="I1022" s="58"/>
      <c r="J1022" s="58"/>
      <c r="K1022" s="54"/>
      <c r="L1022" s="252"/>
      <c r="M1022" s="252"/>
      <c r="N1022" s="252"/>
      <c r="O1022" s="252"/>
      <c r="P1022" s="252"/>
      <c r="Q1022" s="1"/>
      <c r="R1022" s="1"/>
      <c r="S1022" s="1"/>
      <c r="T1022" s="1"/>
      <c r="U1022" s="1"/>
      <c r="V1022" s="1"/>
    </row>
    <row r="1023" ht="15.75" hidden="1" customHeight="1">
      <c r="A1023" s="53"/>
      <c r="B1023" s="54"/>
      <c r="C1023" s="197" t="s">
        <v>520</v>
      </c>
      <c r="D1023" s="216" t="s">
        <v>24</v>
      </c>
      <c r="E1023" s="54"/>
      <c r="F1023" s="56">
        <v>0.0</v>
      </c>
      <c r="G1023" s="57">
        <v>500.0</v>
      </c>
      <c r="H1023" s="57">
        <f t="shared" si="24"/>
        <v>0</v>
      </c>
      <c r="I1023" s="58"/>
      <c r="J1023" s="58"/>
      <c r="K1023" s="54"/>
      <c r="L1023" s="252"/>
      <c r="M1023" s="252"/>
      <c r="N1023" s="252"/>
      <c r="O1023" s="252"/>
      <c r="P1023" s="252"/>
      <c r="Q1023" s="1"/>
      <c r="R1023" s="1"/>
      <c r="S1023" s="1"/>
      <c r="T1023" s="1"/>
      <c r="U1023" s="1"/>
      <c r="V1023" s="1"/>
    </row>
    <row r="1024" ht="15.75" hidden="1" customHeight="1">
      <c r="A1024" s="53"/>
      <c r="B1024" s="54"/>
      <c r="C1024" s="197" t="s">
        <v>521</v>
      </c>
      <c r="D1024" s="55" t="s">
        <v>20</v>
      </c>
      <c r="E1024" s="54"/>
      <c r="F1024" s="56">
        <v>0.0</v>
      </c>
      <c r="G1024" s="57">
        <v>130.0</v>
      </c>
      <c r="H1024" s="57">
        <f t="shared" si="24"/>
        <v>0</v>
      </c>
      <c r="I1024" s="58"/>
      <c r="J1024" s="58"/>
      <c r="K1024" s="54"/>
      <c r="L1024" s="252"/>
      <c r="M1024" s="252"/>
      <c r="N1024" s="252"/>
      <c r="O1024" s="252"/>
      <c r="P1024" s="252"/>
      <c r="Q1024" s="1"/>
      <c r="R1024" s="1"/>
      <c r="S1024" s="1"/>
      <c r="T1024" s="1"/>
      <c r="U1024" s="1"/>
      <c r="V1024" s="1"/>
    </row>
    <row r="1025" ht="15.75" hidden="1" customHeight="1">
      <c r="A1025" s="53"/>
      <c r="B1025" s="54"/>
      <c r="C1025" s="197" t="s">
        <v>522</v>
      </c>
      <c r="D1025" s="55" t="s">
        <v>20</v>
      </c>
      <c r="E1025" s="54"/>
      <c r="F1025" s="56">
        <v>0.0</v>
      </c>
      <c r="G1025" s="57">
        <v>30.0</v>
      </c>
      <c r="H1025" s="57">
        <f t="shared" si="24"/>
        <v>0</v>
      </c>
      <c r="I1025" s="58"/>
      <c r="J1025" s="58"/>
      <c r="K1025" s="54"/>
      <c r="L1025" s="54"/>
      <c r="M1025" s="54"/>
      <c r="N1025" s="54"/>
      <c r="O1025" s="54"/>
      <c r="P1025" s="54"/>
      <c r="Q1025" s="1"/>
      <c r="R1025" s="1"/>
      <c r="S1025" s="1"/>
      <c r="T1025" s="1"/>
      <c r="U1025" s="1"/>
      <c r="V1025" s="1"/>
    </row>
    <row r="1026" ht="15.75" hidden="1" customHeight="1">
      <c r="A1026" s="53"/>
      <c r="B1026" s="54"/>
      <c r="C1026" s="197" t="s">
        <v>523</v>
      </c>
      <c r="D1026" s="216" t="s">
        <v>24</v>
      </c>
      <c r="E1026" s="54"/>
      <c r="F1026" s="56">
        <v>0.0</v>
      </c>
      <c r="G1026" s="57">
        <v>25.0</v>
      </c>
      <c r="H1026" s="57">
        <f t="shared" si="24"/>
        <v>0</v>
      </c>
      <c r="I1026" s="58"/>
      <c r="J1026" s="58"/>
      <c r="K1026" s="54"/>
      <c r="L1026" s="252"/>
      <c r="M1026" s="252"/>
      <c r="N1026" s="252"/>
      <c r="O1026" s="252"/>
      <c r="P1026" s="252"/>
      <c r="Q1026" s="1"/>
      <c r="R1026" s="1"/>
      <c r="S1026" s="1"/>
      <c r="T1026" s="1"/>
      <c r="U1026" s="1"/>
      <c r="V1026" s="1"/>
    </row>
    <row r="1027" ht="15.75" hidden="1" customHeight="1">
      <c r="A1027" s="53"/>
      <c r="B1027" s="54"/>
      <c r="C1027" s="197" t="s">
        <v>524</v>
      </c>
      <c r="D1027" s="55" t="s">
        <v>20</v>
      </c>
      <c r="E1027" s="54"/>
      <c r="F1027" s="56">
        <v>0.0</v>
      </c>
      <c r="G1027" s="57">
        <v>15.0</v>
      </c>
      <c r="H1027" s="57">
        <f t="shared" si="24"/>
        <v>0</v>
      </c>
      <c r="I1027" s="58"/>
      <c r="J1027" s="58"/>
      <c r="K1027" s="54"/>
      <c r="L1027" s="54"/>
      <c r="M1027" s="54"/>
      <c r="N1027" s="54"/>
      <c r="O1027" s="54"/>
      <c r="P1027" s="54"/>
      <c r="Q1027" s="1"/>
      <c r="R1027" s="1"/>
      <c r="S1027" s="1"/>
      <c r="T1027" s="1"/>
      <c r="U1027" s="1"/>
      <c r="V1027" s="1"/>
    </row>
    <row r="1028" ht="15.75" hidden="1" customHeight="1">
      <c r="A1028" s="53"/>
      <c r="B1028" s="54"/>
      <c r="C1028" s="197" t="s">
        <v>525</v>
      </c>
      <c r="D1028" s="216" t="s">
        <v>24</v>
      </c>
      <c r="E1028" s="54"/>
      <c r="F1028" s="56">
        <v>0.0</v>
      </c>
      <c r="G1028" s="57">
        <v>60.0</v>
      </c>
      <c r="H1028" s="57">
        <f t="shared" si="24"/>
        <v>0</v>
      </c>
      <c r="I1028" s="58"/>
      <c r="J1028" s="58"/>
      <c r="K1028" s="54"/>
      <c r="L1028" s="252"/>
      <c r="M1028" s="252"/>
      <c r="N1028" s="252"/>
      <c r="O1028" s="252"/>
      <c r="P1028" s="252"/>
      <c r="Q1028" s="1"/>
      <c r="R1028" s="1"/>
      <c r="S1028" s="1"/>
      <c r="T1028" s="1"/>
      <c r="U1028" s="1"/>
      <c r="V1028" s="1"/>
    </row>
    <row r="1029" ht="15.75" hidden="1" customHeight="1">
      <c r="A1029" s="53"/>
      <c r="B1029" s="54"/>
      <c r="C1029" s="197" t="s">
        <v>526</v>
      </c>
      <c r="D1029" s="216" t="s">
        <v>24</v>
      </c>
      <c r="E1029" s="54"/>
      <c r="F1029" s="56">
        <v>0.0</v>
      </c>
      <c r="G1029" s="57">
        <v>80.0</v>
      </c>
      <c r="H1029" s="57">
        <f t="shared" si="24"/>
        <v>0</v>
      </c>
      <c r="I1029" s="58"/>
      <c r="J1029" s="58"/>
      <c r="K1029" s="54"/>
      <c r="L1029" s="252"/>
      <c r="M1029" s="252"/>
      <c r="N1029" s="252"/>
      <c r="O1029" s="252"/>
      <c r="P1029" s="252"/>
      <c r="Q1029" s="1"/>
      <c r="R1029" s="1"/>
      <c r="S1029" s="1"/>
      <c r="T1029" s="1"/>
      <c r="U1029" s="1"/>
      <c r="V1029" s="1"/>
    </row>
    <row r="1030" ht="15.75" hidden="1" customHeight="1">
      <c r="A1030" s="53"/>
      <c r="B1030" s="54"/>
      <c r="C1030" s="197" t="s">
        <v>527</v>
      </c>
      <c r="D1030" s="55" t="s">
        <v>20</v>
      </c>
      <c r="E1030" s="54"/>
      <c r="F1030" s="56">
        <v>0.0</v>
      </c>
      <c r="G1030" s="57">
        <v>5000.0</v>
      </c>
      <c r="H1030" s="57">
        <f t="shared" si="24"/>
        <v>0</v>
      </c>
      <c r="I1030" s="58"/>
      <c r="J1030" s="58"/>
      <c r="K1030" s="54"/>
      <c r="L1030" s="252"/>
      <c r="M1030" s="252"/>
      <c r="N1030" s="252"/>
      <c r="O1030" s="252"/>
      <c r="P1030" s="252"/>
      <c r="Q1030" s="1"/>
      <c r="R1030" s="1"/>
      <c r="S1030" s="1"/>
      <c r="T1030" s="1"/>
      <c r="U1030" s="1"/>
      <c r="V1030" s="1"/>
    </row>
    <row r="1031" ht="15.75" hidden="1" customHeight="1">
      <c r="A1031" s="53"/>
      <c r="B1031" s="54"/>
      <c r="C1031" s="197" t="s">
        <v>528</v>
      </c>
      <c r="D1031" s="216" t="s">
        <v>24</v>
      </c>
      <c r="E1031" s="54" t="s">
        <v>529</v>
      </c>
      <c r="F1031" s="56">
        <v>0.0</v>
      </c>
      <c r="G1031" s="57">
        <v>2800.0</v>
      </c>
      <c r="H1031" s="57">
        <f t="shared" si="24"/>
        <v>0</v>
      </c>
      <c r="I1031" s="58"/>
      <c r="J1031" s="58"/>
      <c r="K1031" s="54"/>
      <c r="L1031" s="252"/>
      <c r="M1031" s="252"/>
      <c r="N1031" s="252"/>
      <c r="O1031" s="252"/>
      <c r="P1031" s="252"/>
      <c r="Q1031" s="1"/>
      <c r="R1031" s="1"/>
      <c r="S1031" s="1"/>
      <c r="T1031" s="1"/>
      <c r="U1031" s="1"/>
      <c r="V1031" s="1"/>
    </row>
    <row r="1032" ht="15.75" hidden="1" customHeight="1">
      <c r="A1032" s="53"/>
      <c r="B1032" s="54"/>
      <c r="C1032" s="197" t="s">
        <v>530</v>
      </c>
      <c r="D1032" s="216" t="s">
        <v>24</v>
      </c>
      <c r="E1032" s="54"/>
      <c r="F1032" s="56">
        <v>0.0</v>
      </c>
      <c r="G1032" s="57">
        <v>2000.0</v>
      </c>
      <c r="H1032" s="57">
        <f t="shared" si="24"/>
        <v>0</v>
      </c>
      <c r="I1032" s="58"/>
      <c r="J1032" s="58"/>
      <c r="K1032" s="54"/>
      <c r="L1032" s="252"/>
      <c r="M1032" s="252"/>
      <c r="N1032" s="252"/>
      <c r="O1032" s="252"/>
      <c r="P1032" s="252"/>
      <c r="Q1032" s="1"/>
      <c r="R1032" s="1"/>
      <c r="S1032" s="1"/>
      <c r="T1032" s="1"/>
      <c r="U1032" s="1"/>
      <c r="V1032" s="1"/>
    </row>
    <row r="1033" ht="15.75" hidden="1" customHeight="1">
      <c r="A1033" s="53"/>
      <c r="B1033" s="54"/>
      <c r="C1033" s="197" t="s">
        <v>531</v>
      </c>
      <c r="D1033" s="216" t="s">
        <v>24</v>
      </c>
      <c r="E1033" s="54"/>
      <c r="F1033" s="56">
        <v>0.0</v>
      </c>
      <c r="G1033" s="57">
        <v>2200.0</v>
      </c>
      <c r="H1033" s="57">
        <f t="shared" si="24"/>
        <v>0</v>
      </c>
      <c r="I1033" s="58"/>
      <c r="J1033" s="58"/>
      <c r="K1033" s="54"/>
      <c r="L1033" s="252"/>
      <c r="M1033" s="252"/>
      <c r="N1033" s="252"/>
      <c r="O1033" s="252"/>
      <c r="P1033" s="252"/>
      <c r="Q1033" s="1"/>
      <c r="R1033" s="1"/>
      <c r="S1033" s="1"/>
      <c r="T1033" s="1"/>
      <c r="U1033" s="1"/>
      <c r="V1033" s="1"/>
    </row>
    <row r="1034" ht="28.5" customHeight="1">
      <c r="A1034" s="6"/>
      <c r="B1034" s="6" t="s">
        <v>638</v>
      </c>
      <c r="C1034" s="7">
        <f>SUM(H1035:H1058)</f>
        <v>1562.29</v>
      </c>
      <c r="D1034" s="148"/>
      <c r="E1034" s="148"/>
      <c r="F1034" s="81"/>
      <c r="G1034" s="82"/>
      <c r="H1034" s="82"/>
      <c r="I1034" s="82"/>
      <c r="J1034" s="82"/>
      <c r="K1034" s="81"/>
      <c r="L1034" s="83"/>
      <c r="M1034" s="83"/>
      <c r="N1034" s="83"/>
      <c r="O1034" s="83"/>
      <c r="P1034" s="83"/>
      <c r="Q1034" s="35"/>
      <c r="R1034" s="35"/>
      <c r="S1034" s="35"/>
      <c r="T1034" s="1"/>
      <c r="U1034" s="1"/>
      <c r="V1034" s="1"/>
    </row>
    <row r="1035" ht="15.75" customHeight="1">
      <c r="A1035" s="15"/>
      <c r="B1035" s="52" t="s">
        <v>18</v>
      </c>
      <c r="C1035" s="52" t="s">
        <v>639</v>
      </c>
      <c r="D1035" s="150" t="s">
        <v>22</v>
      </c>
      <c r="E1035" s="287" t="s">
        <v>640</v>
      </c>
      <c r="F1035" s="48">
        <v>1.0</v>
      </c>
      <c r="G1035" s="49">
        <v>20.0</v>
      </c>
      <c r="H1035" s="50">
        <f t="shared" ref="H1035:H1058" si="25">SUM(F1035*G1035)</f>
        <v>20</v>
      </c>
      <c r="I1035" s="51"/>
      <c r="J1035" s="51"/>
      <c r="K1035" s="52"/>
      <c r="L1035" s="52"/>
      <c r="M1035" s="52"/>
      <c r="N1035" s="52"/>
      <c r="O1035" s="52"/>
      <c r="P1035" s="52"/>
      <c r="Q1035" s="1"/>
      <c r="R1035" s="1"/>
      <c r="S1035" s="1"/>
      <c r="T1035" s="1"/>
      <c r="U1035" s="1"/>
      <c r="V1035" s="1"/>
    </row>
    <row r="1036" ht="15.75" customHeight="1">
      <c r="A1036" s="53"/>
      <c r="B1036" s="54" t="s">
        <v>18</v>
      </c>
      <c r="C1036" s="54" t="s">
        <v>641</v>
      </c>
      <c r="D1036" s="198" t="s">
        <v>22</v>
      </c>
      <c r="E1036" s="288" t="s">
        <v>642</v>
      </c>
      <c r="F1036" s="56">
        <v>1.0</v>
      </c>
      <c r="G1036" s="159">
        <v>9.6</v>
      </c>
      <c r="H1036" s="57">
        <f t="shared" si="25"/>
        <v>9.6</v>
      </c>
      <c r="I1036" s="58"/>
      <c r="J1036" s="58"/>
      <c r="K1036" s="54"/>
      <c r="L1036" s="54"/>
      <c r="M1036" s="54"/>
      <c r="N1036" s="54"/>
      <c r="O1036" s="54"/>
      <c r="P1036" s="54"/>
      <c r="Q1036" s="1"/>
      <c r="R1036" s="1"/>
      <c r="S1036" s="1"/>
      <c r="T1036" s="1"/>
      <c r="U1036" s="1"/>
      <c r="V1036" s="1"/>
    </row>
    <row r="1037" ht="15.75" customHeight="1">
      <c r="A1037" s="53"/>
      <c r="B1037" s="54" t="s">
        <v>18</v>
      </c>
      <c r="C1037" s="54" t="s">
        <v>643</v>
      </c>
      <c r="D1037" s="198" t="s">
        <v>22</v>
      </c>
      <c r="E1037" s="288" t="s">
        <v>644</v>
      </c>
      <c r="F1037" s="56">
        <v>1.0</v>
      </c>
      <c r="G1037" s="159">
        <v>20.0</v>
      </c>
      <c r="H1037" s="57">
        <f t="shared" si="25"/>
        <v>20</v>
      </c>
      <c r="I1037" s="58"/>
      <c r="J1037" s="58"/>
      <c r="K1037" s="289"/>
      <c r="L1037" s="290"/>
      <c r="M1037" s="290"/>
      <c r="N1037" s="290"/>
      <c r="O1037" s="290"/>
      <c r="P1037" s="290"/>
      <c r="Q1037" s="1"/>
      <c r="R1037" s="1"/>
      <c r="S1037" s="1"/>
      <c r="T1037" s="1"/>
      <c r="U1037" s="1"/>
      <c r="V1037" s="1"/>
    </row>
    <row r="1038" ht="15.75" customHeight="1">
      <c r="A1038" s="53"/>
      <c r="B1038" s="54" t="s">
        <v>18</v>
      </c>
      <c r="C1038" s="54" t="s">
        <v>645</v>
      </c>
      <c r="D1038" s="198" t="s">
        <v>22</v>
      </c>
      <c r="E1038" s="288" t="s">
        <v>646</v>
      </c>
      <c r="F1038" s="56">
        <v>1.0</v>
      </c>
      <c r="G1038" s="159">
        <v>8.65</v>
      </c>
      <c r="H1038" s="57">
        <f t="shared" si="25"/>
        <v>8.65</v>
      </c>
      <c r="I1038" s="58"/>
      <c r="J1038" s="58"/>
      <c r="K1038" s="54"/>
      <c r="L1038" s="54"/>
      <c r="M1038" s="54"/>
      <c r="N1038" s="54"/>
      <c r="O1038" s="54"/>
      <c r="P1038" s="54"/>
      <c r="Q1038" s="1"/>
      <c r="R1038" s="1"/>
      <c r="S1038" s="1"/>
      <c r="T1038" s="1"/>
      <c r="U1038" s="1"/>
      <c r="V1038" s="1"/>
    </row>
    <row r="1039" ht="15.75" customHeight="1">
      <c r="A1039" s="53"/>
      <c r="B1039" s="54" t="s">
        <v>320</v>
      </c>
      <c r="C1039" s="54" t="s">
        <v>647</v>
      </c>
      <c r="D1039" s="198" t="s">
        <v>22</v>
      </c>
      <c r="E1039" s="288" t="s">
        <v>648</v>
      </c>
      <c r="F1039" s="56">
        <v>5.0</v>
      </c>
      <c r="G1039" s="159">
        <v>4.8</v>
      </c>
      <c r="H1039" s="57">
        <f t="shared" si="25"/>
        <v>24</v>
      </c>
      <c r="I1039" s="58"/>
      <c r="J1039" s="58"/>
      <c r="K1039" s="54"/>
      <c r="L1039" s="54"/>
      <c r="M1039" s="202"/>
      <c r="N1039" s="54"/>
      <c r="O1039" s="202"/>
      <c r="P1039" s="54"/>
      <c r="Q1039" s="1"/>
      <c r="R1039" s="1"/>
      <c r="S1039" s="1"/>
      <c r="T1039" s="1"/>
      <c r="U1039" s="1"/>
      <c r="V1039" s="1"/>
    </row>
    <row r="1040" ht="15.75" customHeight="1">
      <c r="A1040" s="53"/>
      <c r="B1040" s="54" t="s">
        <v>320</v>
      </c>
      <c r="C1040" s="54" t="s">
        <v>649</v>
      </c>
      <c r="D1040" s="198" t="s">
        <v>22</v>
      </c>
      <c r="E1040" s="291" t="s">
        <v>650</v>
      </c>
      <c r="F1040" s="56">
        <v>5.0</v>
      </c>
      <c r="G1040" s="159">
        <v>18.0</v>
      </c>
      <c r="H1040" s="57">
        <f t="shared" si="25"/>
        <v>90</v>
      </c>
      <c r="I1040" s="58"/>
      <c r="J1040" s="58"/>
      <c r="K1040" s="54"/>
      <c r="L1040" s="54"/>
      <c r="M1040" s="54"/>
      <c r="N1040" s="54"/>
      <c r="O1040" s="54"/>
      <c r="P1040" s="54"/>
      <c r="Q1040" s="1"/>
      <c r="R1040" s="1"/>
      <c r="S1040" s="1"/>
      <c r="T1040" s="1"/>
      <c r="U1040" s="1"/>
      <c r="V1040" s="1"/>
    </row>
    <row r="1041" ht="15.75" customHeight="1">
      <c r="A1041" s="53"/>
      <c r="B1041" s="258" t="s">
        <v>538</v>
      </c>
      <c r="C1041" s="54" t="s">
        <v>651</v>
      </c>
      <c r="D1041" s="198" t="s">
        <v>22</v>
      </c>
      <c r="E1041" s="54"/>
      <c r="F1041" s="56">
        <v>5.0</v>
      </c>
      <c r="G1041" s="57">
        <v>35.0</v>
      </c>
      <c r="H1041" s="57">
        <f t="shared" si="25"/>
        <v>175</v>
      </c>
      <c r="I1041" s="58"/>
      <c r="J1041" s="58"/>
      <c r="K1041" s="54"/>
      <c r="L1041" s="54"/>
      <c r="M1041" s="54"/>
      <c r="N1041" s="54"/>
      <c r="O1041" s="54"/>
      <c r="P1041" s="54"/>
      <c r="Q1041" s="1"/>
      <c r="R1041" s="1"/>
      <c r="S1041" s="1"/>
      <c r="T1041" s="1"/>
      <c r="U1041" s="1"/>
      <c r="V1041" s="1"/>
    </row>
    <row r="1042" ht="15.75" customHeight="1">
      <c r="A1042" s="53"/>
      <c r="B1042" s="43" t="s">
        <v>56</v>
      </c>
      <c r="C1042" s="54" t="s">
        <v>67</v>
      </c>
      <c r="D1042" s="216" t="s">
        <v>24</v>
      </c>
      <c r="E1042" s="54"/>
      <c r="F1042" s="56">
        <v>10.0</v>
      </c>
      <c r="G1042" s="57">
        <v>18.0</v>
      </c>
      <c r="H1042" s="57">
        <f t="shared" si="25"/>
        <v>180</v>
      </c>
      <c r="I1042" s="58"/>
      <c r="J1042" s="58"/>
      <c r="K1042" s="54"/>
      <c r="L1042" s="252"/>
      <c r="M1042" s="275"/>
      <c r="N1042" s="252"/>
      <c r="O1042" s="275"/>
      <c r="P1042" s="275"/>
      <c r="Q1042" s="1"/>
      <c r="R1042" s="1"/>
      <c r="S1042" s="1"/>
      <c r="T1042" s="1"/>
      <c r="U1042" s="1"/>
      <c r="V1042" s="1"/>
    </row>
    <row r="1043" ht="15.75" customHeight="1">
      <c r="A1043" s="53"/>
      <c r="B1043" s="54" t="s">
        <v>18</v>
      </c>
      <c r="C1043" s="54" t="s">
        <v>652</v>
      </c>
      <c r="D1043" s="198" t="s">
        <v>22</v>
      </c>
      <c r="E1043" s="288" t="s">
        <v>653</v>
      </c>
      <c r="F1043" s="56">
        <v>5.0</v>
      </c>
      <c r="G1043" s="159">
        <v>19.58</v>
      </c>
      <c r="H1043" s="57">
        <f t="shared" si="25"/>
        <v>97.9</v>
      </c>
      <c r="I1043" s="58"/>
      <c r="J1043" s="58"/>
      <c r="K1043" s="54"/>
      <c r="L1043" s="292"/>
      <c r="M1043" s="292"/>
      <c r="N1043" s="292"/>
      <c r="O1043" s="292"/>
      <c r="P1043" s="292"/>
      <c r="Q1043" s="1"/>
      <c r="R1043" s="1"/>
      <c r="S1043" s="1"/>
      <c r="T1043" s="1"/>
      <c r="U1043" s="1"/>
      <c r="V1043" s="1"/>
    </row>
    <row r="1044" ht="15.75" customHeight="1">
      <c r="A1044" s="53"/>
      <c r="B1044" s="258" t="s">
        <v>538</v>
      </c>
      <c r="C1044" s="54" t="s">
        <v>654</v>
      </c>
      <c r="D1044" s="198" t="s">
        <v>22</v>
      </c>
      <c r="E1044" s="54"/>
      <c r="F1044" s="56">
        <v>5.0</v>
      </c>
      <c r="G1044" s="57">
        <v>15.0</v>
      </c>
      <c r="H1044" s="57">
        <f t="shared" si="25"/>
        <v>75</v>
      </c>
      <c r="I1044" s="58"/>
      <c r="J1044" s="58"/>
      <c r="K1044" s="54"/>
      <c r="L1044" s="54"/>
      <c r="M1044" s="54"/>
      <c r="N1044" s="54"/>
      <c r="O1044" s="54"/>
      <c r="P1044" s="54"/>
      <c r="Q1044" s="1"/>
      <c r="R1044" s="1"/>
      <c r="S1044" s="1"/>
      <c r="T1044" s="1"/>
      <c r="U1044" s="1"/>
      <c r="V1044" s="1"/>
    </row>
    <row r="1045" ht="15.75" customHeight="1">
      <c r="A1045" s="53"/>
      <c r="B1045" s="258" t="s">
        <v>538</v>
      </c>
      <c r="C1045" s="54" t="s">
        <v>655</v>
      </c>
      <c r="D1045" s="198" t="s">
        <v>22</v>
      </c>
      <c r="E1045" s="54"/>
      <c r="F1045" s="56">
        <v>5.0</v>
      </c>
      <c r="G1045" s="57">
        <v>15.0</v>
      </c>
      <c r="H1045" s="57">
        <f t="shared" si="25"/>
        <v>75</v>
      </c>
      <c r="I1045" s="58"/>
      <c r="J1045" s="58"/>
      <c r="K1045" s="54"/>
      <c r="L1045" s="54"/>
      <c r="M1045" s="202"/>
      <c r="N1045" s="54"/>
      <c r="O1045" s="202"/>
      <c r="P1045" s="202"/>
      <c r="Q1045" s="1"/>
      <c r="R1045" s="1"/>
      <c r="S1045" s="1"/>
      <c r="T1045" s="1"/>
      <c r="U1045" s="1"/>
      <c r="V1045" s="1"/>
    </row>
    <row r="1046" ht="15.75" customHeight="1">
      <c r="A1046" s="53"/>
      <c r="B1046" s="54" t="s">
        <v>18</v>
      </c>
      <c r="C1046" s="54" t="s">
        <v>656</v>
      </c>
      <c r="D1046" s="198" t="s">
        <v>22</v>
      </c>
      <c r="E1046" s="288" t="s">
        <v>657</v>
      </c>
      <c r="F1046" s="56">
        <v>5.0</v>
      </c>
      <c r="G1046" s="159">
        <v>12.0</v>
      </c>
      <c r="H1046" s="57">
        <f t="shared" si="25"/>
        <v>60</v>
      </c>
      <c r="I1046" s="58"/>
      <c r="J1046" s="58"/>
      <c r="K1046" s="54"/>
      <c r="L1046" s="271"/>
      <c r="M1046" s="271"/>
      <c r="N1046" s="271"/>
      <c r="O1046" s="271"/>
      <c r="P1046" s="293">
        <v>16.0</v>
      </c>
      <c r="Q1046" s="1"/>
      <c r="R1046" s="1"/>
      <c r="S1046" s="1"/>
      <c r="T1046" s="1"/>
      <c r="U1046" s="1"/>
      <c r="V1046" s="1"/>
    </row>
    <row r="1047" ht="15.75" customHeight="1">
      <c r="A1047" s="53"/>
      <c r="B1047" s="54" t="s">
        <v>18</v>
      </c>
      <c r="C1047" s="54" t="s">
        <v>658</v>
      </c>
      <c r="D1047" s="198" t="s">
        <v>22</v>
      </c>
      <c r="E1047" s="291" t="s">
        <v>659</v>
      </c>
      <c r="F1047" s="56">
        <v>1.0</v>
      </c>
      <c r="G1047" s="159">
        <v>28.8</v>
      </c>
      <c r="H1047" s="57">
        <f t="shared" si="25"/>
        <v>28.8</v>
      </c>
      <c r="I1047" s="58"/>
      <c r="J1047" s="58"/>
      <c r="K1047" s="54"/>
      <c r="L1047" s="271"/>
      <c r="M1047" s="271"/>
      <c r="N1047" s="271"/>
      <c r="O1047" s="271"/>
      <c r="P1047" s="293"/>
      <c r="Q1047" s="1"/>
      <c r="R1047" s="1"/>
      <c r="S1047" s="1"/>
      <c r="T1047" s="1"/>
      <c r="U1047" s="1"/>
      <c r="V1047" s="1"/>
    </row>
    <row r="1048" ht="15.75" customHeight="1">
      <c r="A1048" s="53"/>
      <c r="B1048" s="258" t="s">
        <v>538</v>
      </c>
      <c r="C1048" s="294" t="s">
        <v>660</v>
      </c>
      <c r="D1048" s="198" t="s">
        <v>22</v>
      </c>
      <c r="E1048" s="54"/>
      <c r="F1048" s="56">
        <v>5.0</v>
      </c>
      <c r="G1048" s="57">
        <v>30.0</v>
      </c>
      <c r="H1048" s="57">
        <f t="shared" si="25"/>
        <v>150</v>
      </c>
      <c r="I1048" s="58"/>
      <c r="J1048" s="58"/>
      <c r="K1048" s="54"/>
      <c r="L1048" s="54"/>
      <c r="M1048" s="54"/>
      <c r="N1048" s="54"/>
      <c r="O1048" s="54"/>
      <c r="P1048" s="54"/>
      <c r="Q1048" s="1"/>
      <c r="R1048" s="1"/>
      <c r="S1048" s="1"/>
      <c r="T1048" s="1"/>
      <c r="U1048" s="1"/>
      <c r="V1048" s="1"/>
    </row>
    <row r="1049" ht="15.75" customHeight="1">
      <c r="A1049" s="53"/>
      <c r="B1049" s="54" t="s">
        <v>121</v>
      </c>
      <c r="C1049" s="294" t="s">
        <v>661</v>
      </c>
      <c r="D1049" s="198" t="s">
        <v>22</v>
      </c>
      <c r="E1049" s="54"/>
      <c r="F1049" s="56">
        <v>9.0</v>
      </c>
      <c r="G1049" s="57">
        <v>27.99</v>
      </c>
      <c r="H1049" s="57">
        <f t="shared" si="25"/>
        <v>251.91</v>
      </c>
      <c r="I1049" s="58"/>
      <c r="J1049" s="58"/>
      <c r="K1049" s="54"/>
      <c r="L1049" s="54"/>
      <c r="M1049" s="54"/>
      <c r="N1049" s="54"/>
      <c r="O1049" s="54"/>
      <c r="P1049" s="54"/>
      <c r="Q1049" s="1"/>
      <c r="R1049" s="1"/>
      <c r="S1049" s="1"/>
      <c r="T1049" s="1"/>
      <c r="U1049" s="1"/>
      <c r="V1049" s="1"/>
    </row>
    <row r="1050" ht="15.75" customHeight="1">
      <c r="A1050" s="53"/>
      <c r="B1050" s="54" t="s">
        <v>121</v>
      </c>
      <c r="C1050" s="54" t="s">
        <v>662</v>
      </c>
      <c r="D1050" s="198" t="s">
        <v>22</v>
      </c>
      <c r="E1050" s="54"/>
      <c r="F1050" s="56">
        <v>5.0</v>
      </c>
      <c r="G1050" s="159">
        <v>20.31</v>
      </c>
      <c r="H1050" s="57">
        <f t="shared" si="25"/>
        <v>101.55</v>
      </c>
      <c r="I1050" s="58"/>
      <c r="J1050" s="58"/>
      <c r="K1050" s="258"/>
      <c r="L1050" s="54"/>
      <c r="M1050" s="54"/>
      <c r="N1050" s="54"/>
      <c r="O1050" s="54"/>
      <c r="P1050" s="54"/>
      <c r="Q1050" s="1"/>
      <c r="R1050" s="1"/>
      <c r="S1050" s="1"/>
      <c r="T1050" s="1"/>
      <c r="U1050" s="1"/>
      <c r="V1050" s="1"/>
    </row>
    <row r="1051" ht="15.75" customHeight="1">
      <c r="A1051" s="53"/>
      <c r="B1051" s="54" t="s">
        <v>121</v>
      </c>
      <c r="C1051" s="54" t="s">
        <v>663</v>
      </c>
      <c r="D1051" s="198" t="s">
        <v>22</v>
      </c>
      <c r="E1051" s="54"/>
      <c r="F1051" s="56">
        <v>3.0</v>
      </c>
      <c r="G1051" s="159">
        <v>14.96</v>
      </c>
      <c r="H1051" s="57">
        <f t="shared" si="25"/>
        <v>44.88</v>
      </c>
      <c r="I1051" s="58"/>
      <c r="J1051" s="58"/>
      <c r="K1051" s="258"/>
      <c r="L1051" s="54"/>
      <c r="M1051" s="54"/>
      <c r="N1051" s="54"/>
      <c r="O1051" s="54"/>
      <c r="P1051" s="54"/>
      <c r="Q1051" s="1"/>
      <c r="R1051" s="1"/>
      <c r="S1051" s="1"/>
      <c r="T1051" s="1"/>
      <c r="U1051" s="1"/>
      <c r="V1051" s="1"/>
    </row>
    <row r="1052" ht="15.75" customHeight="1">
      <c r="A1052" s="53"/>
      <c r="B1052" s="258" t="s">
        <v>18</v>
      </c>
      <c r="C1052" s="54" t="s">
        <v>664</v>
      </c>
      <c r="D1052" s="198" t="s">
        <v>22</v>
      </c>
      <c r="E1052" s="54"/>
      <c r="F1052" s="56">
        <v>10.0</v>
      </c>
      <c r="G1052" s="159">
        <v>15.0</v>
      </c>
      <c r="H1052" s="57">
        <f t="shared" si="25"/>
        <v>150</v>
      </c>
      <c r="I1052" s="58"/>
      <c r="J1052" s="58"/>
      <c r="K1052" s="54"/>
      <c r="L1052" s="54"/>
      <c r="M1052" s="54"/>
      <c r="N1052" s="54"/>
      <c r="O1052" s="54"/>
      <c r="P1052" s="54"/>
      <c r="Q1052" s="1"/>
      <c r="R1052" s="1"/>
      <c r="S1052" s="1"/>
      <c r="T1052" s="1"/>
      <c r="U1052" s="1"/>
      <c r="V1052" s="1"/>
    </row>
    <row r="1053" ht="15.75" hidden="1" customHeight="1">
      <c r="A1053" s="53"/>
      <c r="B1053" s="54" t="s">
        <v>574</v>
      </c>
      <c r="C1053" s="54" t="s">
        <v>665</v>
      </c>
      <c r="D1053" s="198" t="s">
        <v>22</v>
      </c>
      <c r="E1053" s="54"/>
      <c r="F1053" s="56">
        <v>0.0</v>
      </c>
      <c r="G1053" s="57">
        <v>400.0</v>
      </c>
      <c r="H1053" s="57">
        <f t="shared" si="25"/>
        <v>0</v>
      </c>
      <c r="I1053" s="58"/>
      <c r="J1053" s="58"/>
      <c r="K1053" s="54"/>
      <c r="L1053" s="54"/>
      <c r="M1053" s="54"/>
      <c r="N1053" s="54"/>
      <c r="O1053" s="54"/>
      <c r="P1053" s="54"/>
      <c r="Q1053" s="1"/>
      <c r="R1053" s="1"/>
      <c r="S1053" s="1"/>
      <c r="T1053" s="1"/>
      <c r="U1053" s="1"/>
      <c r="V1053" s="1"/>
    </row>
    <row r="1054" ht="15.75" hidden="1" customHeight="1">
      <c r="A1054" s="53"/>
      <c r="B1054" s="54"/>
      <c r="C1054" s="54" t="s">
        <v>666</v>
      </c>
      <c r="D1054" s="216" t="s">
        <v>24</v>
      </c>
      <c r="E1054" s="54"/>
      <c r="F1054" s="56">
        <v>0.0</v>
      </c>
      <c r="G1054" s="57">
        <v>250.0</v>
      </c>
      <c r="H1054" s="57">
        <f t="shared" si="25"/>
        <v>0</v>
      </c>
      <c r="I1054" s="58"/>
      <c r="J1054" s="58"/>
      <c r="K1054" s="54"/>
      <c r="L1054" s="54"/>
      <c r="M1054" s="54"/>
      <c r="N1054" s="54"/>
      <c r="O1054" s="54"/>
      <c r="P1054" s="54"/>
      <c r="Q1054" s="1"/>
      <c r="R1054" s="1"/>
      <c r="S1054" s="1"/>
      <c r="T1054" s="1"/>
      <c r="U1054" s="1"/>
      <c r="V1054" s="1"/>
    </row>
    <row r="1055" ht="15.75" hidden="1" customHeight="1">
      <c r="A1055" s="53"/>
      <c r="B1055" s="54" t="s">
        <v>18</v>
      </c>
      <c r="C1055" s="54" t="s">
        <v>667</v>
      </c>
      <c r="D1055" s="55" t="s">
        <v>20</v>
      </c>
      <c r="E1055" s="208" t="s">
        <v>668</v>
      </c>
      <c r="F1055" s="56">
        <v>0.0</v>
      </c>
      <c r="G1055" s="57">
        <v>17.97</v>
      </c>
      <c r="H1055" s="57">
        <f t="shared" si="25"/>
        <v>0</v>
      </c>
      <c r="I1055" s="58"/>
      <c r="J1055" s="58"/>
      <c r="K1055" s="54"/>
      <c r="L1055" s="54"/>
      <c r="M1055" s="54"/>
      <c r="N1055" s="54"/>
      <c r="O1055" s="54"/>
      <c r="P1055" s="54"/>
      <c r="Q1055" s="1"/>
      <c r="R1055" s="1"/>
      <c r="S1055" s="1"/>
      <c r="T1055" s="1"/>
      <c r="U1055" s="1"/>
      <c r="V1055" s="1"/>
    </row>
    <row r="1056" ht="15.75" hidden="1" customHeight="1">
      <c r="A1056" s="53"/>
      <c r="B1056" s="54" t="s">
        <v>18</v>
      </c>
      <c r="C1056" s="54" t="s">
        <v>669</v>
      </c>
      <c r="D1056" s="55" t="s">
        <v>20</v>
      </c>
      <c r="E1056" s="208" t="s">
        <v>670</v>
      </c>
      <c r="F1056" s="56">
        <v>0.0</v>
      </c>
      <c r="G1056" s="57">
        <v>9.99</v>
      </c>
      <c r="H1056" s="57">
        <f t="shared" si="25"/>
        <v>0</v>
      </c>
      <c r="I1056" s="58"/>
      <c r="J1056" s="58"/>
      <c r="K1056" s="54"/>
      <c r="L1056" s="54"/>
      <c r="M1056" s="54"/>
      <c r="N1056" s="54"/>
      <c r="O1056" s="54"/>
      <c r="P1056" s="54"/>
      <c r="Q1056" s="1"/>
      <c r="R1056" s="1"/>
      <c r="S1056" s="1"/>
      <c r="T1056" s="1"/>
      <c r="U1056" s="1"/>
      <c r="V1056" s="1"/>
    </row>
    <row r="1057" ht="15.75" hidden="1" customHeight="1">
      <c r="A1057" s="53"/>
      <c r="B1057" s="54" t="s">
        <v>18</v>
      </c>
      <c r="C1057" s="54" t="s">
        <v>671</v>
      </c>
      <c r="D1057" s="55" t="s">
        <v>20</v>
      </c>
      <c r="E1057" s="208" t="s">
        <v>672</v>
      </c>
      <c r="F1057" s="56">
        <v>0.0</v>
      </c>
      <c r="G1057" s="57">
        <v>16.92</v>
      </c>
      <c r="H1057" s="57">
        <f t="shared" si="25"/>
        <v>0</v>
      </c>
      <c r="I1057" s="58"/>
      <c r="J1057" s="58"/>
      <c r="K1057" s="54"/>
      <c r="L1057" s="54"/>
      <c r="M1057" s="54"/>
      <c r="N1057" s="54"/>
      <c r="O1057" s="54"/>
      <c r="P1057" s="54"/>
      <c r="Q1057" s="1"/>
      <c r="R1057" s="1"/>
      <c r="S1057" s="1"/>
      <c r="T1057" s="1"/>
      <c r="U1057" s="1"/>
      <c r="V1057" s="1"/>
    </row>
    <row r="1058" ht="15.75" hidden="1" customHeight="1">
      <c r="A1058" s="53"/>
      <c r="B1058" s="54"/>
      <c r="C1058" s="54" t="s">
        <v>673</v>
      </c>
      <c r="D1058" s="216" t="s">
        <v>24</v>
      </c>
      <c r="E1058" s="54"/>
      <c r="F1058" s="56">
        <v>0.0</v>
      </c>
      <c r="G1058" s="57">
        <v>25.0</v>
      </c>
      <c r="H1058" s="57">
        <f t="shared" si="25"/>
        <v>0</v>
      </c>
      <c r="I1058" s="58"/>
      <c r="J1058" s="58"/>
      <c r="K1058" s="54"/>
      <c r="L1058" s="54"/>
      <c r="M1058" s="54"/>
      <c r="N1058" s="54"/>
      <c r="O1058" s="54"/>
      <c r="P1058" s="54"/>
      <c r="Q1058" s="1"/>
      <c r="R1058" s="1"/>
      <c r="S1058" s="1"/>
      <c r="T1058" s="1"/>
      <c r="U1058" s="1"/>
      <c r="V1058" s="1"/>
    </row>
    <row r="1059" ht="28.5" customHeight="1">
      <c r="A1059" s="6"/>
      <c r="B1059" s="6" t="s">
        <v>674</v>
      </c>
      <c r="C1059" s="7">
        <f>SUM(H1060:H1083)</f>
        <v>764.94</v>
      </c>
      <c r="D1059" s="148"/>
      <c r="E1059" s="148"/>
      <c r="F1059" s="81"/>
      <c r="G1059" s="82"/>
      <c r="H1059" s="82"/>
      <c r="I1059" s="82"/>
      <c r="J1059" s="82"/>
      <c r="K1059" s="81"/>
      <c r="L1059" s="83"/>
      <c r="M1059" s="83"/>
      <c r="N1059" s="83"/>
      <c r="O1059" s="83"/>
      <c r="P1059" s="83"/>
      <c r="Q1059" s="35"/>
      <c r="R1059" s="35"/>
      <c r="S1059" s="35"/>
      <c r="T1059" s="1"/>
      <c r="U1059" s="1"/>
      <c r="V1059" s="1"/>
    </row>
    <row r="1060" ht="15.75" hidden="1" customHeight="1">
      <c r="A1060" s="15"/>
      <c r="B1060" s="52" t="s">
        <v>18</v>
      </c>
      <c r="C1060" s="52" t="s">
        <v>639</v>
      </c>
      <c r="D1060" s="150" t="s">
        <v>22</v>
      </c>
      <c r="E1060" s="207" t="s">
        <v>675</v>
      </c>
      <c r="F1060" s="48">
        <v>0.0</v>
      </c>
      <c r="G1060" s="50">
        <v>18.99</v>
      </c>
      <c r="H1060" s="50">
        <f t="shared" ref="H1060:H1083" si="26">SUM(F1060*G1060)</f>
        <v>0</v>
      </c>
      <c r="I1060" s="51"/>
      <c r="J1060" s="51"/>
      <c r="K1060" s="52"/>
      <c r="L1060" s="52"/>
      <c r="M1060" s="52"/>
      <c r="N1060" s="52"/>
      <c r="O1060" s="52"/>
      <c r="P1060" s="52"/>
      <c r="Q1060" s="1"/>
      <c r="R1060" s="1"/>
      <c r="S1060" s="1"/>
      <c r="T1060" s="1"/>
      <c r="U1060" s="1"/>
      <c r="V1060" s="1"/>
    </row>
    <row r="1061" ht="15.75" hidden="1" customHeight="1">
      <c r="A1061" s="53"/>
      <c r="B1061" s="54" t="s">
        <v>18</v>
      </c>
      <c r="C1061" s="54" t="s">
        <v>641</v>
      </c>
      <c r="D1061" s="198" t="s">
        <v>22</v>
      </c>
      <c r="E1061" s="208" t="s">
        <v>676</v>
      </c>
      <c r="F1061" s="56">
        <v>0.0</v>
      </c>
      <c r="G1061" s="57">
        <v>6.57</v>
      </c>
      <c r="H1061" s="57">
        <f t="shared" si="26"/>
        <v>0</v>
      </c>
      <c r="I1061" s="58"/>
      <c r="J1061" s="58"/>
      <c r="K1061" s="54"/>
      <c r="L1061" s="54"/>
      <c r="M1061" s="54"/>
      <c r="N1061" s="54"/>
      <c r="O1061" s="54"/>
      <c r="P1061" s="54"/>
      <c r="Q1061" s="1"/>
      <c r="R1061" s="1"/>
      <c r="S1061" s="1"/>
      <c r="T1061" s="1"/>
      <c r="U1061" s="1"/>
      <c r="V1061" s="1"/>
    </row>
    <row r="1062" ht="15.75" hidden="1" customHeight="1">
      <c r="A1062" s="53"/>
      <c r="B1062" s="54" t="s">
        <v>18</v>
      </c>
      <c r="C1062" s="54" t="s">
        <v>643</v>
      </c>
      <c r="D1062" s="198" t="s">
        <v>22</v>
      </c>
      <c r="E1062" s="208" t="s">
        <v>677</v>
      </c>
      <c r="F1062" s="56">
        <v>0.0</v>
      </c>
      <c r="G1062" s="57">
        <v>11.0</v>
      </c>
      <c r="H1062" s="57">
        <f t="shared" si="26"/>
        <v>0</v>
      </c>
      <c r="I1062" s="58"/>
      <c r="J1062" s="58"/>
      <c r="K1062" s="295" t="s">
        <v>678</v>
      </c>
      <c r="L1062" s="290"/>
      <c r="M1062" s="290"/>
      <c r="N1062" s="290"/>
      <c r="O1062" s="290"/>
      <c r="P1062" s="290"/>
      <c r="Q1062" s="1"/>
      <c r="R1062" s="1"/>
      <c r="S1062" s="1"/>
      <c r="T1062" s="1"/>
      <c r="U1062" s="1"/>
      <c r="V1062" s="1"/>
    </row>
    <row r="1063" ht="15.75" hidden="1" customHeight="1">
      <c r="A1063" s="53"/>
      <c r="B1063" s="54" t="s">
        <v>18</v>
      </c>
      <c r="C1063" s="54" t="s">
        <v>645</v>
      </c>
      <c r="D1063" s="198" t="s">
        <v>22</v>
      </c>
      <c r="E1063" s="208" t="s">
        <v>679</v>
      </c>
      <c r="F1063" s="56">
        <v>0.0</v>
      </c>
      <c r="G1063" s="57">
        <v>7.0</v>
      </c>
      <c r="H1063" s="57">
        <f t="shared" si="26"/>
        <v>0</v>
      </c>
      <c r="I1063" s="58"/>
      <c r="J1063" s="58"/>
      <c r="K1063" s="54"/>
      <c r="L1063" s="54"/>
      <c r="M1063" s="54"/>
      <c r="N1063" s="54"/>
      <c r="O1063" s="54"/>
      <c r="P1063" s="54"/>
      <c r="Q1063" s="1"/>
      <c r="R1063" s="1"/>
      <c r="S1063" s="1"/>
      <c r="T1063" s="1"/>
      <c r="U1063" s="1"/>
      <c r="V1063" s="1"/>
    </row>
    <row r="1064" ht="15.75" customHeight="1">
      <c r="A1064" s="53"/>
      <c r="B1064" s="54" t="s">
        <v>320</v>
      </c>
      <c r="C1064" s="54" t="s">
        <v>680</v>
      </c>
      <c r="D1064" s="198" t="s">
        <v>22</v>
      </c>
      <c r="E1064" s="288" t="s">
        <v>648</v>
      </c>
      <c r="F1064" s="56">
        <v>3.0</v>
      </c>
      <c r="G1064" s="159">
        <v>4.8</v>
      </c>
      <c r="H1064" s="57">
        <f t="shared" si="26"/>
        <v>14.4</v>
      </c>
      <c r="I1064" s="58"/>
      <c r="J1064" s="58"/>
      <c r="K1064" s="54"/>
      <c r="L1064" s="54"/>
      <c r="M1064" s="202"/>
      <c r="N1064" s="54"/>
      <c r="O1064" s="202"/>
      <c r="P1064" s="54"/>
      <c r="Q1064" s="1"/>
      <c r="R1064" s="1"/>
      <c r="S1064" s="1"/>
      <c r="T1064" s="1"/>
      <c r="U1064" s="1"/>
      <c r="V1064" s="1"/>
    </row>
    <row r="1065" ht="15.75" customHeight="1">
      <c r="A1065" s="53"/>
      <c r="B1065" s="54" t="s">
        <v>320</v>
      </c>
      <c r="C1065" s="54" t="s">
        <v>649</v>
      </c>
      <c r="D1065" s="198" t="s">
        <v>22</v>
      </c>
      <c r="E1065" s="291" t="s">
        <v>650</v>
      </c>
      <c r="F1065" s="56">
        <v>3.0</v>
      </c>
      <c r="G1065" s="159">
        <v>18.0</v>
      </c>
      <c r="H1065" s="57">
        <f t="shared" si="26"/>
        <v>54</v>
      </c>
      <c r="I1065" s="58"/>
      <c r="J1065" s="58"/>
      <c r="K1065" s="54"/>
      <c r="L1065" s="54"/>
      <c r="M1065" s="54"/>
      <c r="N1065" s="54"/>
      <c r="O1065" s="54"/>
      <c r="P1065" s="54"/>
      <c r="Q1065" s="1"/>
      <c r="R1065" s="1"/>
      <c r="S1065" s="1"/>
      <c r="T1065" s="1"/>
      <c r="U1065" s="1"/>
      <c r="V1065" s="1"/>
    </row>
    <row r="1066" ht="15.75" customHeight="1">
      <c r="A1066" s="53"/>
      <c r="B1066" s="258" t="s">
        <v>538</v>
      </c>
      <c r="C1066" s="54" t="s">
        <v>651</v>
      </c>
      <c r="D1066" s="198" t="s">
        <v>22</v>
      </c>
      <c r="E1066" s="54"/>
      <c r="F1066" s="56">
        <v>3.0</v>
      </c>
      <c r="G1066" s="57">
        <v>35.0</v>
      </c>
      <c r="H1066" s="57">
        <f t="shared" si="26"/>
        <v>105</v>
      </c>
      <c r="I1066" s="58"/>
      <c r="J1066" s="58"/>
      <c r="K1066" s="54"/>
      <c r="L1066" s="54"/>
      <c r="M1066" s="54"/>
      <c r="N1066" s="54"/>
      <c r="O1066" s="54"/>
      <c r="P1066" s="54"/>
      <c r="Q1066" s="1"/>
      <c r="R1066" s="1"/>
      <c r="S1066" s="1"/>
      <c r="T1066" s="1"/>
      <c r="U1066" s="1"/>
      <c r="V1066" s="1"/>
    </row>
    <row r="1067" ht="15.75" customHeight="1">
      <c r="A1067" s="53"/>
      <c r="B1067" s="43" t="s">
        <v>56</v>
      </c>
      <c r="C1067" s="54" t="s">
        <v>67</v>
      </c>
      <c r="D1067" s="216" t="s">
        <v>24</v>
      </c>
      <c r="E1067" s="54"/>
      <c r="F1067" s="56">
        <v>6.0</v>
      </c>
      <c r="G1067" s="57">
        <v>18.0</v>
      </c>
      <c r="H1067" s="57">
        <f t="shared" si="26"/>
        <v>108</v>
      </c>
      <c r="I1067" s="58"/>
      <c r="J1067" s="58"/>
      <c r="K1067" s="54"/>
      <c r="L1067" s="252"/>
      <c r="M1067" s="275"/>
      <c r="N1067" s="252"/>
      <c r="O1067" s="275"/>
      <c r="P1067" s="275"/>
      <c r="Q1067" s="1"/>
      <c r="R1067" s="1"/>
      <c r="S1067" s="1"/>
      <c r="T1067" s="1"/>
      <c r="U1067" s="1"/>
      <c r="V1067" s="1"/>
    </row>
    <row r="1068" ht="15.75" customHeight="1">
      <c r="A1068" s="53"/>
      <c r="B1068" s="54" t="s">
        <v>18</v>
      </c>
      <c r="C1068" s="54" t="s">
        <v>652</v>
      </c>
      <c r="D1068" s="198" t="s">
        <v>22</v>
      </c>
      <c r="E1068" s="288" t="s">
        <v>653</v>
      </c>
      <c r="F1068" s="56">
        <v>3.0</v>
      </c>
      <c r="G1068" s="159">
        <v>19.58</v>
      </c>
      <c r="H1068" s="57">
        <f t="shared" si="26"/>
        <v>58.74</v>
      </c>
      <c r="I1068" s="58"/>
      <c r="J1068" s="58"/>
      <c r="K1068" s="54"/>
      <c r="L1068" s="292"/>
      <c r="M1068" s="292"/>
      <c r="N1068" s="292"/>
      <c r="O1068" s="292"/>
      <c r="P1068" s="292"/>
      <c r="Q1068" s="1"/>
      <c r="R1068" s="1"/>
      <c r="S1068" s="1"/>
      <c r="T1068" s="1"/>
      <c r="U1068" s="1"/>
      <c r="V1068" s="1"/>
    </row>
    <row r="1069" ht="15.75" customHeight="1">
      <c r="A1069" s="53"/>
      <c r="B1069" s="258" t="s">
        <v>538</v>
      </c>
      <c r="C1069" s="54" t="s">
        <v>654</v>
      </c>
      <c r="D1069" s="198" t="s">
        <v>22</v>
      </c>
      <c r="E1069" s="54"/>
      <c r="F1069" s="56">
        <v>6.0</v>
      </c>
      <c r="G1069" s="57">
        <v>15.0</v>
      </c>
      <c r="H1069" s="57">
        <f t="shared" si="26"/>
        <v>90</v>
      </c>
      <c r="I1069" s="58"/>
      <c r="J1069" s="58"/>
      <c r="K1069" s="54"/>
      <c r="L1069" s="54"/>
      <c r="M1069" s="54"/>
      <c r="N1069" s="54"/>
      <c r="O1069" s="54"/>
      <c r="P1069" s="54"/>
      <c r="Q1069" s="1"/>
      <c r="R1069" s="1"/>
      <c r="S1069" s="1"/>
      <c r="T1069" s="1"/>
      <c r="U1069" s="1"/>
      <c r="V1069" s="1"/>
    </row>
    <row r="1070" ht="15.75" customHeight="1">
      <c r="A1070" s="53"/>
      <c r="B1070" s="258" t="s">
        <v>538</v>
      </c>
      <c r="C1070" s="54" t="s">
        <v>655</v>
      </c>
      <c r="D1070" s="198" t="s">
        <v>22</v>
      </c>
      <c r="E1070" s="54"/>
      <c r="F1070" s="56">
        <v>6.0</v>
      </c>
      <c r="G1070" s="57">
        <v>15.0</v>
      </c>
      <c r="H1070" s="57">
        <f t="shared" si="26"/>
        <v>90</v>
      </c>
      <c r="I1070" s="58"/>
      <c r="J1070" s="58"/>
      <c r="K1070" s="54"/>
      <c r="L1070" s="54"/>
      <c r="M1070" s="202"/>
      <c r="N1070" s="54"/>
      <c r="O1070" s="202"/>
      <c r="P1070" s="202"/>
      <c r="Q1070" s="1"/>
      <c r="R1070" s="1"/>
      <c r="S1070" s="1"/>
      <c r="T1070" s="1"/>
      <c r="U1070" s="1"/>
      <c r="V1070" s="1"/>
    </row>
    <row r="1071" ht="15.75" customHeight="1">
      <c r="A1071" s="53"/>
      <c r="B1071" s="54" t="s">
        <v>18</v>
      </c>
      <c r="C1071" s="54" t="s">
        <v>656</v>
      </c>
      <c r="D1071" s="198" t="s">
        <v>22</v>
      </c>
      <c r="E1071" s="288" t="s">
        <v>681</v>
      </c>
      <c r="F1071" s="56">
        <v>3.0</v>
      </c>
      <c r="G1071" s="159">
        <v>12.0</v>
      </c>
      <c r="H1071" s="57">
        <f t="shared" si="26"/>
        <v>36</v>
      </c>
      <c r="I1071" s="58"/>
      <c r="J1071" s="58"/>
      <c r="K1071" s="54"/>
      <c r="L1071" s="271"/>
      <c r="M1071" s="271"/>
      <c r="N1071" s="271"/>
      <c r="O1071" s="271"/>
      <c r="P1071" s="293">
        <v>16.0</v>
      </c>
      <c r="Q1071" s="1"/>
      <c r="R1071" s="1"/>
      <c r="S1071" s="1"/>
      <c r="T1071" s="1"/>
      <c r="U1071" s="1"/>
      <c r="V1071" s="1"/>
    </row>
    <row r="1072" ht="15.75" customHeight="1">
      <c r="A1072" s="53"/>
      <c r="B1072" s="54" t="s">
        <v>18</v>
      </c>
      <c r="C1072" s="54" t="s">
        <v>658</v>
      </c>
      <c r="D1072" s="198" t="s">
        <v>22</v>
      </c>
      <c r="E1072" s="291" t="s">
        <v>659</v>
      </c>
      <c r="F1072" s="56">
        <v>1.0</v>
      </c>
      <c r="G1072" s="159">
        <v>28.8</v>
      </c>
      <c r="H1072" s="57">
        <f t="shared" si="26"/>
        <v>28.8</v>
      </c>
      <c r="I1072" s="58"/>
      <c r="J1072" s="58"/>
      <c r="K1072" s="54"/>
      <c r="L1072" s="271"/>
      <c r="M1072" s="271"/>
      <c r="N1072" s="271"/>
      <c r="O1072" s="271"/>
      <c r="P1072" s="293"/>
      <c r="Q1072" s="1"/>
      <c r="R1072" s="1"/>
      <c r="S1072" s="1"/>
      <c r="T1072" s="1"/>
      <c r="U1072" s="1"/>
      <c r="V1072" s="1"/>
    </row>
    <row r="1073" ht="15.75" customHeight="1">
      <c r="A1073" s="53"/>
      <c r="B1073" s="258" t="s">
        <v>538</v>
      </c>
      <c r="C1073" s="294" t="s">
        <v>660</v>
      </c>
      <c r="D1073" s="198" t="s">
        <v>22</v>
      </c>
      <c r="E1073" s="54"/>
      <c r="F1073" s="56">
        <v>6.0</v>
      </c>
      <c r="G1073" s="57">
        <v>30.0</v>
      </c>
      <c r="H1073" s="57">
        <f t="shared" si="26"/>
        <v>180</v>
      </c>
      <c r="I1073" s="58"/>
      <c r="J1073" s="58"/>
      <c r="K1073" s="54"/>
      <c r="L1073" s="54"/>
      <c r="M1073" s="54"/>
      <c r="N1073" s="54"/>
      <c r="O1073" s="54"/>
      <c r="P1073" s="54"/>
      <c r="Q1073" s="1"/>
      <c r="R1073" s="1"/>
      <c r="S1073" s="1"/>
      <c r="T1073" s="1"/>
      <c r="U1073" s="1"/>
      <c r="V1073" s="1"/>
    </row>
    <row r="1074" ht="15.75" hidden="1" customHeight="1">
      <c r="A1074" s="53"/>
      <c r="B1074" s="54" t="s">
        <v>399</v>
      </c>
      <c r="C1074" s="274" t="s">
        <v>661</v>
      </c>
      <c r="D1074" s="198" t="s">
        <v>22</v>
      </c>
      <c r="E1074" s="54"/>
      <c r="F1074" s="56">
        <v>0.0</v>
      </c>
      <c r="G1074" s="57">
        <v>27.99</v>
      </c>
      <c r="H1074" s="57">
        <f t="shared" si="26"/>
        <v>0</v>
      </c>
      <c r="I1074" s="58"/>
      <c r="J1074" s="58"/>
      <c r="K1074" s="54"/>
      <c r="L1074" s="54"/>
      <c r="M1074" s="54"/>
      <c r="N1074" s="54"/>
      <c r="O1074" s="54"/>
      <c r="P1074" s="54"/>
      <c r="Q1074" s="1"/>
      <c r="R1074" s="1"/>
      <c r="S1074" s="1"/>
      <c r="T1074" s="1"/>
      <c r="U1074" s="1"/>
      <c r="V1074" s="1"/>
    </row>
    <row r="1075" ht="15.75" hidden="1" customHeight="1">
      <c r="A1075" s="53"/>
      <c r="B1075" s="54" t="s">
        <v>399</v>
      </c>
      <c r="C1075" s="54" t="s">
        <v>662</v>
      </c>
      <c r="D1075" s="198" t="s">
        <v>22</v>
      </c>
      <c r="E1075" s="54"/>
      <c r="F1075" s="56">
        <v>0.0</v>
      </c>
      <c r="G1075" s="57">
        <v>18.99</v>
      </c>
      <c r="H1075" s="57">
        <f t="shared" si="26"/>
        <v>0</v>
      </c>
      <c r="I1075" s="58"/>
      <c r="J1075" s="58"/>
      <c r="K1075" s="54"/>
      <c r="L1075" s="54"/>
      <c r="M1075" s="54"/>
      <c r="N1075" s="54"/>
      <c r="O1075" s="54"/>
      <c r="P1075" s="54"/>
      <c r="Q1075" s="1"/>
      <c r="R1075" s="1"/>
      <c r="S1075" s="1"/>
      <c r="T1075" s="1"/>
      <c r="U1075" s="1"/>
      <c r="V1075" s="1"/>
    </row>
    <row r="1076" ht="15.75" hidden="1" customHeight="1">
      <c r="A1076" s="53"/>
      <c r="B1076" s="54" t="s">
        <v>399</v>
      </c>
      <c r="C1076" s="54" t="s">
        <v>663</v>
      </c>
      <c r="D1076" s="198" t="s">
        <v>22</v>
      </c>
      <c r="E1076" s="54"/>
      <c r="F1076" s="56">
        <v>0.0</v>
      </c>
      <c r="G1076" s="57">
        <v>13.99</v>
      </c>
      <c r="H1076" s="57">
        <f t="shared" si="26"/>
        <v>0</v>
      </c>
      <c r="I1076" s="58"/>
      <c r="J1076" s="58"/>
      <c r="K1076" s="54"/>
      <c r="L1076" s="54"/>
      <c r="M1076" s="54"/>
      <c r="N1076" s="54"/>
      <c r="O1076" s="54"/>
      <c r="P1076" s="54"/>
      <c r="Q1076" s="1"/>
      <c r="R1076" s="1"/>
      <c r="S1076" s="1"/>
      <c r="T1076" s="1"/>
      <c r="U1076" s="1"/>
      <c r="V1076" s="1"/>
    </row>
    <row r="1077" ht="15.75" hidden="1" customHeight="1">
      <c r="A1077" s="53"/>
      <c r="B1077" s="54"/>
      <c r="C1077" s="54" t="s">
        <v>682</v>
      </c>
      <c r="D1077" s="198" t="s">
        <v>22</v>
      </c>
      <c r="E1077" s="54"/>
      <c r="F1077" s="56">
        <v>0.0</v>
      </c>
      <c r="G1077" s="57">
        <v>23.99</v>
      </c>
      <c r="H1077" s="57">
        <f t="shared" si="26"/>
        <v>0</v>
      </c>
      <c r="I1077" s="58"/>
      <c r="J1077" s="58"/>
      <c r="K1077" s="54"/>
      <c r="L1077" s="54"/>
      <c r="M1077" s="54"/>
      <c r="N1077" s="54"/>
      <c r="O1077" s="54"/>
      <c r="P1077" s="54"/>
      <c r="Q1077" s="1"/>
      <c r="R1077" s="1"/>
      <c r="S1077" s="1"/>
      <c r="T1077" s="1"/>
      <c r="U1077" s="1"/>
      <c r="V1077" s="1"/>
    </row>
    <row r="1078" ht="15.75" hidden="1" customHeight="1">
      <c r="A1078" s="53"/>
      <c r="B1078" s="54" t="s">
        <v>574</v>
      </c>
      <c r="C1078" s="54" t="s">
        <v>665</v>
      </c>
      <c r="D1078" s="198" t="s">
        <v>22</v>
      </c>
      <c r="E1078" s="54"/>
      <c r="F1078" s="56">
        <v>0.0</v>
      </c>
      <c r="G1078" s="57">
        <v>400.0</v>
      </c>
      <c r="H1078" s="57">
        <f t="shared" si="26"/>
        <v>0</v>
      </c>
      <c r="I1078" s="58"/>
      <c r="J1078" s="58"/>
      <c r="K1078" s="54"/>
      <c r="L1078" s="54"/>
      <c r="M1078" s="54"/>
      <c r="N1078" s="54"/>
      <c r="O1078" s="54"/>
      <c r="P1078" s="54"/>
      <c r="Q1078" s="1"/>
      <c r="R1078" s="1"/>
      <c r="S1078" s="1"/>
      <c r="T1078" s="1"/>
      <c r="U1078" s="1"/>
      <c r="V1078" s="1"/>
    </row>
    <row r="1079" ht="15.75" hidden="1" customHeight="1">
      <c r="A1079" s="53"/>
      <c r="B1079" s="54"/>
      <c r="C1079" s="54" t="s">
        <v>666</v>
      </c>
      <c r="D1079" s="216" t="s">
        <v>24</v>
      </c>
      <c r="E1079" s="54"/>
      <c r="F1079" s="56">
        <v>0.0</v>
      </c>
      <c r="G1079" s="57">
        <v>250.0</v>
      </c>
      <c r="H1079" s="57">
        <f t="shared" si="26"/>
        <v>0</v>
      </c>
      <c r="I1079" s="58"/>
      <c r="J1079" s="58"/>
      <c r="K1079" s="54"/>
      <c r="L1079" s="54"/>
      <c r="M1079" s="54"/>
      <c r="N1079" s="54"/>
      <c r="O1079" s="54"/>
      <c r="P1079" s="54"/>
      <c r="Q1079" s="1"/>
      <c r="R1079" s="1"/>
      <c r="S1079" s="1"/>
      <c r="T1079" s="1"/>
      <c r="U1079" s="1"/>
      <c r="V1079" s="1"/>
    </row>
    <row r="1080" ht="15.75" hidden="1" customHeight="1">
      <c r="A1080" s="53"/>
      <c r="B1080" s="54" t="s">
        <v>18</v>
      </c>
      <c r="C1080" s="54" t="s">
        <v>667</v>
      </c>
      <c r="D1080" s="55" t="s">
        <v>20</v>
      </c>
      <c r="E1080" s="208" t="s">
        <v>668</v>
      </c>
      <c r="F1080" s="56">
        <v>0.0</v>
      </c>
      <c r="G1080" s="57">
        <v>17.97</v>
      </c>
      <c r="H1080" s="57">
        <f t="shared" si="26"/>
        <v>0</v>
      </c>
      <c r="I1080" s="58"/>
      <c r="J1080" s="58"/>
      <c r="K1080" s="54"/>
      <c r="L1080" s="54"/>
      <c r="M1080" s="54"/>
      <c r="N1080" s="54"/>
      <c r="O1080" s="54"/>
      <c r="P1080" s="54"/>
      <c r="Q1080" s="1"/>
      <c r="R1080" s="1"/>
      <c r="S1080" s="1"/>
      <c r="T1080" s="1"/>
      <c r="U1080" s="1"/>
      <c r="V1080" s="1"/>
    </row>
    <row r="1081" ht="15.75" hidden="1" customHeight="1">
      <c r="A1081" s="53"/>
      <c r="B1081" s="54" t="s">
        <v>18</v>
      </c>
      <c r="C1081" s="54" t="s">
        <v>669</v>
      </c>
      <c r="D1081" s="55" t="s">
        <v>20</v>
      </c>
      <c r="E1081" s="208" t="s">
        <v>670</v>
      </c>
      <c r="F1081" s="56">
        <v>0.0</v>
      </c>
      <c r="G1081" s="57">
        <v>9.99</v>
      </c>
      <c r="H1081" s="57">
        <f t="shared" si="26"/>
        <v>0</v>
      </c>
      <c r="I1081" s="58"/>
      <c r="J1081" s="58"/>
      <c r="K1081" s="54"/>
      <c r="L1081" s="54"/>
      <c r="M1081" s="54"/>
      <c r="N1081" s="54"/>
      <c r="O1081" s="54"/>
      <c r="P1081" s="54"/>
      <c r="Q1081" s="1"/>
      <c r="R1081" s="1"/>
      <c r="S1081" s="1"/>
      <c r="T1081" s="1"/>
      <c r="U1081" s="1"/>
      <c r="V1081" s="1"/>
    </row>
    <row r="1082" ht="15.75" hidden="1" customHeight="1">
      <c r="A1082" s="53"/>
      <c r="B1082" s="54" t="s">
        <v>18</v>
      </c>
      <c r="C1082" s="54" t="s">
        <v>671</v>
      </c>
      <c r="D1082" s="55" t="s">
        <v>20</v>
      </c>
      <c r="E1082" s="208" t="s">
        <v>672</v>
      </c>
      <c r="F1082" s="56">
        <v>0.0</v>
      </c>
      <c r="G1082" s="57">
        <v>16.92</v>
      </c>
      <c r="H1082" s="57">
        <f t="shared" si="26"/>
        <v>0</v>
      </c>
      <c r="I1082" s="58"/>
      <c r="J1082" s="58"/>
      <c r="K1082" s="54"/>
      <c r="L1082" s="54"/>
      <c r="M1082" s="54"/>
      <c r="N1082" s="54"/>
      <c r="O1082" s="54"/>
      <c r="P1082" s="54"/>
      <c r="Q1082" s="1"/>
      <c r="R1082" s="1"/>
      <c r="S1082" s="1"/>
      <c r="T1082" s="1"/>
      <c r="U1082" s="1"/>
      <c r="V1082" s="1"/>
    </row>
    <row r="1083" ht="15.75" hidden="1" customHeight="1">
      <c r="A1083" s="53"/>
      <c r="B1083" s="54"/>
      <c r="C1083" s="54" t="s">
        <v>673</v>
      </c>
      <c r="D1083" s="216" t="s">
        <v>24</v>
      </c>
      <c r="E1083" s="54"/>
      <c r="F1083" s="56">
        <v>0.0</v>
      </c>
      <c r="G1083" s="57">
        <v>25.0</v>
      </c>
      <c r="H1083" s="57">
        <f t="shared" si="26"/>
        <v>0</v>
      </c>
      <c r="I1083" s="58"/>
      <c r="J1083" s="58"/>
      <c r="K1083" s="54"/>
      <c r="L1083" s="54"/>
      <c r="M1083" s="54"/>
      <c r="N1083" s="54"/>
      <c r="O1083" s="54"/>
      <c r="P1083" s="54"/>
      <c r="Q1083" s="1"/>
      <c r="R1083" s="1"/>
      <c r="S1083" s="1"/>
      <c r="T1083" s="1"/>
      <c r="U1083" s="1"/>
      <c r="V1083" s="1"/>
    </row>
    <row r="1084" ht="24.75" customHeight="1">
      <c r="A1084" s="6"/>
      <c r="B1084" s="6" t="s">
        <v>683</v>
      </c>
      <c r="C1084" s="7">
        <f>SUM(H1085:H1115)</f>
        <v>25165.81</v>
      </c>
      <c r="D1084" s="148"/>
      <c r="E1084" s="148"/>
      <c r="F1084" s="83"/>
      <c r="G1084" s="82"/>
      <c r="H1084" s="82"/>
      <c r="I1084" s="82"/>
      <c r="J1084" s="82"/>
      <c r="K1084" s="83"/>
      <c r="L1084" s="83"/>
      <c r="M1084" s="83"/>
      <c r="N1084" s="83"/>
      <c r="O1084" s="83"/>
      <c r="P1084" s="83"/>
      <c r="Q1084" s="35"/>
      <c r="R1084" s="35"/>
      <c r="S1084" s="35"/>
      <c r="T1084" s="1"/>
      <c r="U1084" s="1"/>
      <c r="V1084" s="1"/>
    </row>
    <row r="1085" ht="15.75" customHeight="1">
      <c r="A1085" s="13"/>
      <c r="B1085" s="13" t="s">
        <v>18</v>
      </c>
      <c r="C1085" s="13" t="s">
        <v>684</v>
      </c>
      <c r="D1085" s="66" t="s">
        <v>22</v>
      </c>
      <c r="E1085" s="155" t="s">
        <v>685</v>
      </c>
      <c r="F1085" s="16">
        <v>3.0</v>
      </c>
      <c r="G1085" s="34">
        <v>16.8</v>
      </c>
      <c r="H1085" s="17">
        <f t="shared" ref="H1085:H1115" si="27">SUM(F1085*G1085)</f>
        <v>50.4</v>
      </c>
      <c r="I1085" s="18"/>
      <c r="J1085" s="18"/>
      <c r="K1085" s="13"/>
      <c r="L1085" s="13"/>
      <c r="M1085" s="13"/>
      <c r="N1085" s="13"/>
      <c r="O1085" s="13"/>
      <c r="P1085" s="13"/>
      <c r="Q1085" s="35"/>
      <c r="R1085" s="35"/>
      <c r="S1085" s="35"/>
      <c r="T1085" s="1"/>
      <c r="U1085" s="1"/>
      <c r="V1085" s="1"/>
    </row>
    <row r="1086" ht="15.75" customHeight="1">
      <c r="A1086" s="13"/>
      <c r="B1086" s="13" t="s">
        <v>18</v>
      </c>
      <c r="C1086" s="13" t="s">
        <v>686</v>
      </c>
      <c r="D1086" s="66" t="s">
        <v>22</v>
      </c>
      <c r="E1086" s="155" t="s">
        <v>687</v>
      </c>
      <c r="F1086" s="40">
        <v>3.0</v>
      </c>
      <c r="G1086" s="34">
        <v>27.6</v>
      </c>
      <c r="H1086" s="17">
        <f t="shared" si="27"/>
        <v>82.8</v>
      </c>
      <c r="I1086" s="18"/>
      <c r="J1086" s="18"/>
      <c r="K1086" s="13"/>
      <c r="L1086" s="13"/>
      <c r="M1086" s="13"/>
      <c r="N1086" s="13"/>
      <c r="O1086" s="13"/>
      <c r="P1086" s="13"/>
      <c r="Q1086" s="35"/>
      <c r="R1086" s="35"/>
      <c r="S1086" s="35"/>
      <c r="T1086" s="1"/>
      <c r="U1086" s="1"/>
      <c r="V1086" s="1"/>
    </row>
    <row r="1087" ht="15.75" customHeight="1">
      <c r="A1087" s="13"/>
      <c r="B1087" s="13" t="s">
        <v>18</v>
      </c>
      <c r="C1087" s="13" t="s">
        <v>688</v>
      </c>
      <c r="D1087" s="66" t="s">
        <v>22</v>
      </c>
      <c r="E1087" s="155" t="s">
        <v>689</v>
      </c>
      <c r="F1087" s="16">
        <v>1.0</v>
      </c>
      <c r="G1087" s="34">
        <v>17.0</v>
      </c>
      <c r="H1087" s="17">
        <f t="shared" si="27"/>
        <v>17</v>
      </c>
      <c r="I1087" s="18"/>
      <c r="J1087" s="18"/>
      <c r="K1087" s="13"/>
      <c r="L1087" s="13"/>
      <c r="M1087" s="13"/>
      <c r="N1087" s="13"/>
      <c r="O1087" s="13"/>
      <c r="P1087" s="13"/>
      <c r="Q1087" s="35"/>
      <c r="R1087" s="35"/>
      <c r="S1087" s="35"/>
      <c r="T1087" s="1"/>
      <c r="U1087" s="1"/>
      <c r="V1087" s="1"/>
    </row>
    <row r="1088" ht="15.75" customHeight="1">
      <c r="A1088" s="13"/>
      <c r="B1088" s="13" t="s">
        <v>18</v>
      </c>
      <c r="C1088" s="13" t="s">
        <v>690</v>
      </c>
      <c r="D1088" s="66" t="s">
        <v>22</v>
      </c>
      <c r="E1088" s="218" t="s">
        <v>691</v>
      </c>
      <c r="F1088" s="16">
        <v>1.0</v>
      </c>
      <c r="G1088" s="34">
        <v>33.0</v>
      </c>
      <c r="H1088" s="17">
        <f t="shared" si="27"/>
        <v>33</v>
      </c>
      <c r="I1088" s="18"/>
      <c r="J1088" s="18"/>
      <c r="K1088" s="13"/>
      <c r="L1088" s="13"/>
      <c r="M1088" s="13"/>
      <c r="N1088" s="13"/>
      <c r="O1088" s="13"/>
      <c r="P1088" s="13"/>
      <c r="Q1088" s="35"/>
      <c r="R1088" s="35"/>
      <c r="S1088" s="35"/>
      <c r="T1088" s="1"/>
      <c r="U1088" s="1"/>
      <c r="V1088" s="1"/>
    </row>
    <row r="1089" ht="15.75" customHeight="1">
      <c r="A1089" s="13"/>
      <c r="B1089" s="13" t="s">
        <v>18</v>
      </c>
      <c r="C1089" s="13" t="s">
        <v>692</v>
      </c>
      <c r="D1089" s="66" t="s">
        <v>22</v>
      </c>
      <c r="E1089" s="218" t="s">
        <v>693</v>
      </c>
      <c r="F1089" s="16">
        <v>2.0</v>
      </c>
      <c r="G1089" s="34">
        <v>110.4</v>
      </c>
      <c r="H1089" s="17">
        <f t="shared" si="27"/>
        <v>220.8</v>
      </c>
      <c r="I1089" s="18"/>
      <c r="J1089" s="18"/>
      <c r="K1089" s="13"/>
      <c r="L1089" s="13"/>
      <c r="M1089" s="13"/>
      <c r="N1089" s="13"/>
      <c r="O1089" s="13"/>
      <c r="P1089" s="13"/>
      <c r="Q1089" s="35"/>
      <c r="R1089" s="35"/>
      <c r="S1089" s="35"/>
      <c r="T1089" s="1"/>
      <c r="U1089" s="1"/>
      <c r="V1089" s="1"/>
    </row>
    <row r="1090" ht="15.75" customHeight="1">
      <c r="A1090" s="13"/>
      <c r="B1090" s="27" t="s">
        <v>694</v>
      </c>
      <c r="C1090" s="27" t="s">
        <v>695</v>
      </c>
      <c r="D1090" s="101" t="s">
        <v>32</v>
      </c>
      <c r="E1090" s="15"/>
      <c r="F1090" s="16">
        <v>1.0</v>
      </c>
      <c r="G1090" s="17">
        <v>450.0</v>
      </c>
      <c r="H1090" s="17">
        <f t="shared" si="27"/>
        <v>450</v>
      </c>
      <c r="I1090" s="18"/>
      <c r="J1090" s="18"/>
      <c r="K1090" s="13"/>
      <c r="L1090" s="27"/>
      <c r="M1090" s="27"/>
      <c r="N1090" s="27"/>
      <c r="O1090" s="27"/>
      <c r="P1090" s="27"/>
      <c r="Q1090" s="35"/>
      <c r="R1090" s="35"/>
      <c r="S1090" s="35"/>
      <c r="T1090" s="1"/>
      <c r="U1090" s="1"/>
      <c r="V1090" s="1"/>
    </row>
    <row r="1091" ht="15.75" customHeight="1">
      <c r="A1091" s="13"/>
      <c r="B1091" s="43" t="s">
        <v>538</v>
      </c>
      <c r="C1091" s="13" t="s">
        <v>696</v>
      </c>
      <c r="D1091" s="66" t="s">
        <v>22</v>
      </c>
      <c r="E1091" s="15"/>
      <c r="F1091" s="16">
        <v>2.0</v>
      </c>
      <c r="G1091" s="17">
        <v>50.0</v>
      </c>
      <c r="H1091" s="17">
        <f t="shared" si="27"/>
        <v>100</v>
      </c>
      <c r="I1091" s="18"/>
      <c r="J1091" s="18"/>
      <c r="K1091" s="13"/>
      <c r="L1091" s="13"/>
      <c r="M1091" s="13"/>
      <c r="N1091" s="13"/>
      <c r="O1091" s="13"/>
      <c r="P1091" s="13"/>
      <c r="Q1091" s="35"/>
      <c r="R1091" s="35"/>
      <c r="S1091" s="35"/>
      <c r="T1091" s="1"/>
      <c r="U1091" s="1"/>
      <c r="V1091" s="1"/>
    </row>
    <row r="1092" ht="15.75" customHeight="1">
      <c r="A1092" s="13"/>
      <c r="B1092" s="43" t="s">
        <v>538</v>
      </c>
      <c r="C1092" s="13" t="s">
        <v>697</v>
      </c>
      <c r="D1092" s="66" t="s">
        <v>22</v>
      </c>
      <c r="E1092" s="15"/>
      <c r="F1092" s="16">
        <v>1.0</v>
      </c>
      <c r="G1092" s="17">
        <v>100.0</v>
      </c>
      <c r="H1092" s="17">
        <f t="shared" si="27"/>
        <v>100</v>
      </c>
      <c r="I1092" s="18"/>
      <c r="J1092" s="18"/>
      <c r="K1092" s="13"/>
      <c r="L1092" s="13"/>
      <c r="M1092" s="13"/>
      <c r="N1092" s="13"/>
      <c r="O1092" s="13"/>
      <c r="P1092" s="13"/>
      <c r="Q1092" s="35"/>
      <c r="R1092" s="35"/>
      <c r="S1092" s="35"/>
      <c r="T1092" s="1"/>
      <c r="U1092" s="1"/>
      <c r="V1092" s="1"/>
    </row>
    <row r="1093" ht="15.75" hidden="1" customHeight="1">
      <c r="A1093" s="13"/>
      <c r="B1093" s="296" t="s">
        <v>454</v>
      </c>
      <c r="C1093" s="296" t="s">
        <v>698</v>
      </c>
      <c r="D1093" s="66" t="s">
        <v>22</v>
      </c>
      <c r="E1093" s="15"/>
      <c r="F1093" s="16">
        <v>0.0</v>
      </c>
      <c r="G1093" s="17">
        <v>77.0</v>
      </c>
      <c r="H1093" s="17">
        <f t="shared" si="27"/>
        <v>0</v>
      </c>
      <c r="I1093" s="18"/>
      <c r="J1093" s="18"/>
      <c r="K1093" s="13"/>
      <c r="L1093" s="13"/>
      <c r="M1093" s="19"/>
      <c r="N1093" s="13"/>
      <c r="O1093" s="19"/>
      <c r="P1093" s="19"/>
      <c r="Q1093" s="35"/>
      <c r="R1093" s="35"/>
      <c r="S1093" s="35"/>
      <c r="T1093" s="1"/>
      <c r="U1093" s="1"/>
      <c r="V1093" s="1"/>
    </row>
    <row r="1094" ht="15.75" hidden="1" customHeight="1">
      <c r="A1094" s="13"/>
      <c r="B1094" s="296" t="s">
        <v>454</v>
      </c>
      <c r="C1094" s="296" t="s">
        <v>699</v>
      </c>
      <c r="D1094" s="66" t="s">
        <v>22</v>
      </c>
      <c r="E1094" s="15"/>
      <c r="F1094" s="16">
        <v>0.0</v>
      </c>
      <c r="G1094" s="17">
        <v>7.0</v>
      </c>
      <c r="H1094" s="17">
        <f t="shared" si="27"/>
        <v>0</v>
      </c>
      <c r="I1094" s="18"/>
      <c r="J1094" s="18"/>
      <c r="K1094" s="13"/>
      <c r="L1094" s="13"/>
      <c r="M1094" s="19"/>
      <c r="N1094" s="13"/>
      <c r="O1094" s="13"/>
      <c r="P1094" s="13"/>
      <c r="Q1094" s="35"/>
      <c r="R1094" s="35"/>
      <c r="S1094" s="35"/>
      <c r="T1094" s="1"/>
      <c r="U1094" s="1"/>
      <c r="V1094" s="1"/>
    </row>
    <row r="1095" ht="15.75" customHeight="1">
      <c r="A1095" s="13"/>
      <c r="B1095" s="13" t="s">
        <v>385</v>
      </c>
      <c r="C1095" s="297" t="s">
        <v>700</v>
      </c>
      <c r="D1095" s="101" t="s">
        <v>32</v>
      </c>
      <c r="E1095" s="171" t="s">
        <v>701</v>
      </c>
      <c r="F1095" s="298">
        <v>1.0</v>
      </c>
      <c r="G1095" s="299">
        <v>617.7</v>
      </c>
      <c r="H1095" s="17">
        <f t="shared" si="27"/>
        <v>617.7</v>
      </c>
      <c r="I1095" s="18"/>
      <c r="J1095" s="17"/>
      <c r="K1095" s="43"/>
      <c r="L1095" s="13"/>
      <c r="M1095" s="13"/>
      <c r="N1095" s="13"/>
      <c r="O1095" s="13"/>
      <c r="P1095" s="13"/>
      <c r="Q1095" s="35"/>
      <c r="R1095" s="35"/>
      <c r="S1095" s="35"/>
      <c r="T1095" s="1"/>
      <c r="U1095" s="1"/>
      <c r="V1095" s="1"/>
    </row>
    <row r="1096" ht="15.75" customHeight="1">
      <c r="A1096" s="13"/>
      <c r="B1096" s="13" t="s">
        <v>385</v>
      </c>
      <c r="C1096" s="13" t="s">
        <v>702</v>
      </c>
      <c r="D1096" s="101" t="s">
        <v>32</v>
      </c>
      <c r="E1096" s="300" t="s">
        <v>703</v>
      </c>
      <c r="F1096" s="16">
        <v>1.0</v>
      </c>
      <c r="G1096" s="34">
        <v>1320.0</v>
      </c>
      <c r="H1096" s="17">
        <f t="shared" si="27"/>
        <v>1320</v>
      </c>
      <c r="I1096" s="18"/>
      <c r="J1096" s="18"/>
      <c r="K1096" s="43"/>
      <c r="L1096" s="27"/>
      <c r="M1096" s="27"/>
      <c r="N1096" s="27"/>
      <c r="O1096" s="27"/>
      <c r="P1096" s="27"/>
      <c r="Q1096" s="35"/>
      <c r="R1096" s="35"/>
      <c r="S1096" s="35"/>
      <c r="T1096" s="1"/>
      <c r="U1096" s="1"/>
      <c r="V1096" s="1"/>
    </row>
    <row r="1097" ht="15.75" hidden="1" customHeight="1">
      <c r="A1097" s="13"/>
      <c r="B1097" s="13" t="s">
        <v>704</v>
      </c>
      <c r="C1097" s="13" t="s">
        <v>705</v>
      </c>
      <c r="D1097" s="101" t="s">
        <v>32</v>
      </c>
      <c r="E1097" s="15" t="s">
        <v>706</v>
      </c>
      <c r="F1097" s="16">
        <v>0.0</v>
      </c>
      <c r="G1097" s="17">
        <v>336.0</v>
      </c>
      <c r="H1097" s="17">
        <f t="shared" si="27"/>
        <v>0</v>
      </c>
      <c r="I1097" s="18"/>
      <c r="J1097" s="18"/>
      <c r="K1097" s="13"/>
      <c r="L1097" s="27"/>
      <c r="M1097" s="27"/>
      <c r="N1097" s="27"/>
      <c r="O1097" s="27"/>
      <c r="P1097" s="27"/>
      <c r="Q1097" s="35"/>
      <c r="R1097" s="35"/>
      <c r="S1097" s="35"/>
      <c r="T1097" s="1"/>
      <c r="U1097" s="1"/>
      <c r="V1097" s="1"/>
    </row>
    <row r="1098" ht="15.75" customHeight="1">
      <c r="A1098" s="13"/>
      <c r="B1098" s="43" t="s">
        <v>217</v>
      </c>
      <c r="C1098" s="43" t="s">
        <v>707</v>
      </c>
      <c r="D1098" s="101" t="s">
        <v>32</v>
      </c>
      <c r="E1098" s="194" t="s">
        <v>708</v>
      </c>
      <c r="F1098" s="40">
        <v>1.0</v>
      </c>
      <c r="G1098" s="34">
        <v>1205.11</v>
      </c>
      <c r="H1098" s="17">
        <f t="shared" si="27"/>
        <v>1205.11</v>
      </c>
      <c r="I1098" s="18"/>
      <c r="J1098" s="18"/>
      <c r="K1098" s="301"/>
      <c r="L1098" s="27"/>
      <c r="M1098" s="27"/>
      <c r="N1098" s="27"/>
      <c r="O1098" s="27"/>
      <c r="P1098" s="27"/>
      <c r="Q1098" s="35"/>
      <c r="R1098" s="35"/>
      <c r="S1098" s="35"/>
      <c r="T1098" s="1"/>
      <c r="U1098" s="1"/>
      <c r="V1098" s="1"/>
    </row>
    <row r="1099" ht="15.75" hidden="1" customHeight="1">
      <c r="A1099" s="13"/>
      <c r="B1099" s="43" t="s">
        <v>385</v>
      </c>
      <c r="C1099" s="43" t="s">
        <v>709</v>
      </c>
      <c r="D1099" s="101" t="s">
        <v>32</v>
      </c>
      <c r="E1099" s="194" t="s">
        <v>710</v>
      </c>
      <c r="F1099" s="40">
        <v>0.0</v>
      </c>
      <c r="G1099" s="34">
        <v>420.0</v>
      </c>
      <c r="H1099" s="17">
        <f t="shared" si="27"/>
        <v>0</v>
      </c>
      <c r="I1099" s="18"/>
      <c r="J1099" s="18"/>
      <c r="K1099" s="13"/>
      <c r="L1099" s="27"/>
      <c r="M1099" s="27"/>
      <c r="N1099" s="27"/>
      <c r="O1099" s="27"/>
      <c r="P1099" s="27"/>
      <c r="Q1099" s="35"/>
      <c r="R1099" s="35"/>
      <c r="S1099" s="35"/>
      <c r="T1099" s="1"/>
      <c r="U1099" s="1"/>
      <c r="V1099" s="1"/>
    </row>
    <row r="1100" ht="15.75" hidden="1" customHeight="1">
      <c r="A1100" s="13"/>
      <c r="B1100" s="13" t="s">
        <v>574</v>
      </c>
      <c r="C1100" s="13" t="s">
        <v>711</v>
      </c>
      <c r="D1100" s="66" t="s">
        <v>22</v>
      </c>
      <c r="E1100" s="15"/>
      <c r="F1100" s="16">
        <v>0.0</v>
      </c>
      <c r="G1100" s="17">
        <v>350.0</v>
      </c>
      <c r="H1100" s="17">
        <f t="shared" si="27"/>
        <v>0</v>
      </c>
      <c r="I1100" s="18"/>
      <c r="J1100" s="18"/>
      <c r="K1100" s="13"/>
      <c r="L1100" s="13"/>
      <c r="M1100" s="13"/>
      <c r="N1100" s="13"/>
      <c r="O1100" s="13"/>
      <c r="P1100" s="13"/>
      <c r="Q1100" s="35"/>
      <c r="R1100" s="35"/>
      <c r="S1100" s="35"/>
      <c r="T1100" s="1"/>
      <c r="U1100" s="1"/>
      <c r="V1100" s="1"/>
    </row>
    <row r="1101" ht="15.75" customHeight="1">
      <c r="A1101" s="13"/>
      <c r="B1101" s="43" t="s">
        <v>56</v>
      </c>
      <c r="C1101" s="13" t="s">
        <v>712</v>
      </c>
      <c r="D1101" s="70" t="s">
        <v>24</v>
      </c>
      <c r="E1101" s="15"/>
      <c r="F1101" s="40">
        <v>1.0</v>
      </c>
      <c r="G1101" s="34">
        <v>250.0</v>
      </c>
      <c r="H1101" s="17">
        <f t="shared" si="27"/>
        <v>250</v>
      </c>
      <c r="I1101" s="18"/>
      <c r="J1101" s="18"/>
      <c r="K1101" s="13"/>
      <c r="L1101" s="63"/>
      <c r="M1101" s="63"/>
      <c r="N1101" s="63"/>
      <c r="O1101" s="63"/>
      <c r="P1101" s="63"/>
      <c r="Q1101" s="35"/>
      <c r="R1101" s="35"/>
      <c r="S1101" s="35"/>
      <c r="T1101" s="1"/>
      <c r="U1101" s="1"/>
      <c r="V1101" s="1"/>
    </row>
    <row r="1102" ht="15.75" hidden="1" customHeight="1">
      <c r="A1102" s="13"/>
      <c r="B1102" s="13"/>
      <c r="C1102" s="13" t="s">
        <v>713</v>
      </c>
      <c r="D1102" s="70" t="s">
        <v>24</v>
      </c>
      <c r="E1102" s="15"/>
      <c r="F1102" s="16">
        <v>0.0</v>
      </c>
      <c r="G1102" s="17">
        <v>115.0</v>
      </c>
      <c r="H1102" s="17">
        <f t="shared" si="27"/>
        <v>0</v>
      </c>
      <c r="I1102" s="18"/>
      <c r="J1102" s="18"/>
      <c r="K1102" s="13"/>
      <c r="L1102" s="13"/>
      <c r="M1102" s="13"/>
      <c r="N1102" s="13"/>
      <c r="O1102" s="13"/>
      <c r="P1102" s="13"/>
      <c r="Q1102" s="35"/>
      <c r="R1102" s="35"/>
      <c r="S1102" s="35"/>
      <c r="T1102" s="1"/>
      <c r="U1102" s="1"/>
      <c r="V1102" s="1"/>
    </row>
    <row r="1103" ht="15.75" customHeight="1">
      <c r="A1103" s="13"/>
      <c r="B1103" s="43" t="s">
        <v>538</v>
      </c>
      <c r="C1103" s="13" t="s">
        <v>263</v>
      </c>
      <c r="D1103" s="66" t="s">
        <v>22</v>
      </c>
      <c r="E1103" s="15"/>
      <c r="F1103" s="16">
        <v>2.0</v>
      </c>
      <c r="G1103" s="34">
        <v>110.0</v>
      </c>
      <c r="H1103" s="17">
        <f t="shared" si="27"/>
        <v>220</v>
      </c>
      <c r="I1103" s="18"/>
      <c r="J1103" s="18"/>
      <c r="K1103" s="13"/>
      <c r="L1103" s="13"/>
      <c r="M1103" s="13"/>
      <c r="N1103" s="13"/>
      <c r="O1103" s="13"/>
      <c r="P1103" s="13"/>
      <c r="Q1103" s="35"/>
      <c r="R1103" s="35"/>
      <c r="S1103" s="35"/>
      <c r="T1103" s="1"/>
      <c r="U1103" s="1"/>
      <c r="V1103" s="1"/>
    </row>
    <row r="1104" ht="15.75" customHeight="1">
      <c r="A1104" s="13"/>
      <c r="B1104" s="43" t="s">
        <v>56</v>
      </c>
      <c r="C1104" s="13" t="s">
        <v>67</v>
      </c>
      <c r="D1104" s="70" t="s">
        <v>24</v>
      </c>
      <c r="E1104" s="15"/>
      <c r="F1104" s="16">
        <v>2.0</v>
      </c>
      <c r="G1104" s="17">
        <v>18.0</v>
      </c>
      <c r="H1104" s="17">
        <f t="shared" si="27"/>
        <v>36</v>
      </c>
      <c r="I1104" s="18"/>
      <c r="J1104" s="18"/>
      <c r="K1104" s="13"/>
      <c r="L1104" s="13"/>
      <c r="M1104" s="13"/>
      <c r="N1104" s="13"/>
      <c r="O1104" s="13"/>
      <c r="P1104" s="13"/>
      <c r="Q1104" s="35"/>
      <c r="R1104" s="35"/>
      <c r="S1104" s="35"/>
      <c r="T1104" s="1"/>
      <c r="U1104" s="1"/>
      <c r="V1104" s="1"/>
    </row>
    <row r="1105" ht="15.75" customHeight="1">
      <c r="A1105" s="13"/>
      <c r="B1105" s="13" t="s">
        <v>18</v>
      </c>
      <c r="C1105" s="13" t="s">
        <v>714</v>
      </c>
      <c r="D1105" s="14" t="s">
        <v>20</v>
      </c>
      <c r="E1105" s="33" t="s">
        <v>715</v>
      </c>
      <c r="F1105" s="16">
        <v>1.0</v>
      </c>
      <c r="G1105" s="34">
        <v>54.0</v>
      </c>
      <c r="H1105" s="17">
        <f t="shared" si="27"/>
        <v>54</v>
      </c>
      <c r="I1105" s="18"/>
      <c r="J1105" s="18"/>
      <c r="K1105" s="13"/>
      <c r="L1105" s="27"/>
      <c r="M1105" s="28"/>
      <c r="N1105" s="27"/>
      <c r="O1105" s="28"/>
      <c r="P1105" s="28"/>
      <c r="Q1105" s="35"/>
      <c r="R1105" s="35"/>
      <c r="S1105" s="35"/>
      <c r="T1105" s="1"/>
      <c r="U1105" s="1"/>
      <c r="V1105" s="1"/>
    </row>
    <row r="1106" ht="15.75" customHeight="1">
      <c r="A1106" s="13"/>
      <c r="B1106" s="43" t="s">
        <v>56</v>
      </c>
      <c r="C1106" s="13" t="s">
        <v>716</v>
      </c>
      <c r="D1106" s="70" t="s">
        <v>24</v>
      </c>
      <c r="E1106" s="15"/>
      <c r="F1106" s="16">
        <v>2.0</v>
      </c>
      <c r="G1106" s="17">
        <v>95.0</v>
      </c>
      <c r="H1106" s="17">
        <f t="shared" si="27"/>
        <v>190</v>
      </c>
      <c r="I1106" s="18"/>
      <c r="J1106" s="18"/>
      <c r="K1106" s="13"/>
      <c r="L1106" s="63"/>
      <c r="M1106" s="63"/>
      <c r="N1106" s="63"/>
      <c r="O1106" s="63"/>
      <c r="P1106" s="63"/>
      <c r="Q1106" s="35"/>
      <c r="R1106" s="35"/>
      <c r="S1106" s="35"/>
      <c r="T1106" s="1"/>
      <c r="U1106" s="1"/>
      <c r="V1106" s="1"/>
    </row>
    <row r="1107" ht="15.75" customHeight="1">
      <c r="A1107" s="13"/>
      <c r="B1107" s="13" t="s">
        <v>717</v>
      </c>
      <c r="C1107" s="13" t="s">
        <v>718</v>
      </c>
      <c r="D1107" s="14" t="s">
        <v>20</v>
      </c>
      <c r="E1107" s="218" t="s">
        <v>719</v>
      </c>
      <c r="F1107" s="16">
        <v>2.0</v>
      </c>
      <c r="G1107" s="34">
        <v>192.0</v>
      </c>
      <c r="H1107" s="17">
        <f t="shared" si="27"/>
        <v>384</v>
      </c>
      <c r="I1107" s="18"/>
      <c r="J1107" s="18"/>
      <c r="K1107" s="43"/>
      <c r="L1107" s="13"/>
      <c r="M1107" s="19"/>
      <c r="N1107" s="13"/>
      <c r="O1107" s="19"/>
      <c r="P1107" s="13"/>
      <c r="Q1107" s="35"/>
      <c r="R1107" s="35"/>
      <c r="S1107" s="35"/>
      <c r="T1107" s="1"/>
      <c r="U1107" s="1"/>
      <c r="V1107" s="1"/>
    </row>
    <row r="1108" ht="15.75" customHeight="1">
      <c r="A1108" s="13"/>
      <c r="B1108" s="43" t="s">
        <v>56</v>
      </c>
      <c r="C1108" s="13" t="s">
        <v>720</v>
      </c>
      <c r="D1108" s="70" t="s">
        <v>24</v>
      </c>
      <c r="E1108" s="15"/>
      <c r="F1108" s="16">
        <v>2.0</v>
      </c>
      <c r="G1108" s="17">
        <v>150.0</v>
      </c>
      <c r="H1108" s="17">
        <f t="shared" si="27"/>
        <v>300</v>
      </c>
      <c r="I1108" s="18"/>
      <c r="J1108" s="18"/>
      <c r="K1108" s="13"/>
      <c r="L1108" s="63"/>
      <c r="M1108" s="63"/>
      <c r="N1108" s="63"/>
      <c r="O1108" s="63"/>
      <c r="P1108" s="63"/>
      <c r="Q1108" s="35"/>
      <c r="R1108" s="35"/>
      <c r="S1108" s="35"/>
      <c r="T1108" s="1"/>
      <c r="U1108" s="1"/>
      <c r="V1108" s="1"/>
    </row>
    <row r="1109" ht="15.75" customHeight="1">
      <c r="A1109" s="13"/>
      <c r="B1109" s="13" t="s">
        <v>18</v>
      </c>
      <c r="C1109" s="13" t="s">
        <v>721</v>
      </c>
      <c r="D1109" s="66" t="s">
        <v>22</v>
      </c>
      <c r="E1109" s="218" t="s">
        <v>722</v>
      </c>
      <c r="F1109" s="16">
        <v>1.0</v>
      </c>
      <c r="G1109" s="34">
        <v>25.0</v>
      </c>
      <c r="H1109" s="17">
        <f t="shared" si="27"/>
        <v>25</v>
      </c>
      <c r="I1109" s="18"/>
      <c r="J1109" s="18"/>
      <c r="K1109" s="13"/>
      <c r="L1109" s="13"/>
      <c r="M1109" s="13"/>
      <c r="N1109" s="13"/>
      <c r="O1109" s="13"/>
      <c r="P1109" s="13"/>
      <c r="Q1109" s="35"/>
      <c r="R1109" s="35"/>
      <c r="S1109" s="35"/>
      <c r="T1109" s="1"/>
      <c r="U1109" s="1"/>
      <c r="V1109" s="1"/>
    </row>
    <row r="1110" ht="15.75" customHeight="1">
      <c r="A1110" s="13"/>
      <c r="B1110" s="13" t="s">
        <v>18</v>
      </c>
      <c r="C1110" s="13" t="s">
        <v>721</v>
      </c>
      <c r="D1110" s="66" t="s">
        <v>22</v>
      </c>
      <c r="E1110" s="218" t="s">
        <v>723</v>
      </c>
      <c r="F1110" s="16">
        <v>1.0</v>
      </c>
      <c r="G1110" s="34">
        <v>10.0</v>
      </c>
      <c r="H1110" s="17">
        <f t="shared" si="27"/>
        <v>10</v>
      </c>
      <c r="I1110" s="18"/>
      <c r="J1110" s="18"/>
      <c r="K1110" s="13"/>
      <c r="L1110" s="13"/>
      <c r="M1110" s="13"/>
      <c r="N1110" s="13"/>
      <c r="O1110" s="13"/>
      <c r="P1110" s="13"/>
      <c r="Q1110" s="35"/>
      <c r="R1110" s="35"/>
      <c r="S1110" s="35"/>
      <c r="T1110" s="1"/>
      <c r="U1110" s="1"/>
      <c r="V1110" s="1"/>
    </row>
    <row r="1111" ht="15.75" hidden="1" customHeight="1">
      <c r="A1111" s="13"/>
      <c r="B1111" s="13"/>
      <c r="C1111" s="13" t="s">
        <v>724</v>
      </c>
      <c r="D1111" s="66" t="s">
        <v>22</v>
      </c>
      <c r="E1111" s="15"/>
      <c r="F1111" s="16">
        <v>0.0</v>
      </c>
      <c r="G1111" s="17">
        <v>100.0</v>
      </c>
      <c r="H1111" s="17">
        <f t="shared" si="27"/>
        <v>0</v>
      </c>
      <c r="I1111" s="18"/>
      <c r="J1111" s="18"/>
      <c r="K1111" s="13"/>
      <c r="L1111" s="63"/>
      <c r="M1111" s="63"/>
      <c r="N1111" s="63"/>
      <c r="O1111" s="63"/>
      <c r="P1111" s="63"/>
      <c r="Q1111" s="35"/>
      <c r="R1111" s="35"/>
      <c r="S1111" s="35"/>
      <c r="T1111" s="1"/>
      <c r="U1111" s="1"/>
      <c r="V1111" s="1"/>
    </row>
    <row r="1112" ht="15.75" hidden="1" customHeight="1">
      <c r="A1112" s="13"/>
      <c r="B1112" s="13"/>
      <c r="C1112" s="13" t="s">
        <v>67</v>
      </c>
      <c r="D1112" s="70" t="s">
        <v>24</v>
      </c>
      <c r="E1112" s="15"/>
      <c r="F1112" s="16">
        <v>0.0</v>
      </c>
      <c r="G1112" s="17">
        <v>17.0</v>
      </c>
      <c r="H1112" s="17">
        <f t="shared" si="27"/>
        <v>0</v>
      </c>
      <c r="I1112" s="18"/>
      <c r="J1112" s="18"/>
      <c r="K1112" s="13"/>
      <c r="L1112" s="63"/>
      <c r="M1112" s="63"/>
      <c r="N1112" s="63"/>
      <c r="O1112" s="63"/>
      <c r="P1112" s="63"/>
      <c r="Q1112" s="35"/>
      <c r="R1112" s="35"/>
      <c r="S1112" s="35"/>
      <c r="T1112" s="1"/>
      <c r="U1112" s="1"/>
      <c r="V1112" s="1"/>
    </row>
    <row r="1113" ht="15.75" hidden="1" customHeight="1">
      <c r="A1113" s="13"/>
      <c r="B1113" s="13" t="s">
        <v>574</v>
      </c>
      <c r="C1113" s="13" t="s">
        <v>725</v>
      </c>
      <c r="D1113" s="150" t="s">
        <v>22</v>
      </c>
      <c r="E1113" s="52"/>
      <c r="F1113" s="215">
        <v>0.0</v>
      </c>
      <c r="G1113" s="50">
        <v>200.0</v>
      </c>
      <c r="H1113" s="50">
        <f t="shared" si="27"/>
        <v>0</v>
      </c>
      <c r="I1113" s="50"/>
      <c r="J1113" s="18"/>
      <c r="K1113" s="13"/>
      <c r="L1113" s="63"/>
      <c r="M1113" s="63"/>
      <c r="N1113" s="63"/>
      <c r="O1113" s="63"/>
      <c r="P1113" s="63"/>
      <c r="Q1113" s="35"/>
      <c r="R1113" s="35"/>
      <c r="S1113" s="35"/>
      <c r="T1113" s="1"/>
      <c r="U1113" s="1"/>
      <c r="V1113" s="1"/>
    </row>
    <row r="1114" ht="15.75" customHeight="1">
      <c r="A1114" s="13"/>
      <c r="B1114" s="302"/>
      <c r="C1114" s="303" t="s">
        <v>726</v>
      </c>
      <c r="D1114" s="304" t="s">
        <v>22</v>
      </c>
      <c r="E1114" s="302"/>
      <c r="F1114" s="305">
        <v>1.0</v>
      </c>
      <c r="G1114" s="306">
        <v>10500.0</v>
      </c>
      <c r="H1114" s="307">
        <f t="shared" si="27"/>
        <v>10500</v>
      </c>
      <c r="I1114" s="50"/>
      <c r="J1114" s="51"/>
      <c r="K1114" s="52"/>
      <c r="L1114" s="308"/>
      <c r="M1114" s="308"/>
      <c r="N1114" s="308"/>
      <c r="O1114" s="308"/>
      <c r="P1114" s="308"/>
      <c r="Q1114" s="35"/>
      <c r="R1114" s="35"/>
      <c r="S1114" s="35"/>
      <c r="T1114" s="1"/>
      <c r="U1114" s="1"/>
      <c r="V1114" s="1"/>
    </row>
    <row r="1115" ht="15.75" customHeight="1">
      <c r="A1115" s="13"/>
      <c r="B1115" s="52"/>
      <c r="C1115" s="44" t="s">
        <v>727</v>
      </c>
      <c r="D1115" s="150" t="s">
        <v>22</v>
      </c>
      <c r="E1115" s="52"/>
      <c r="F1115" s="215">
        <v>1.0</v>
      </c>
      <c r="G1115" s="49">
        <v>9000.0</v>
      </c>
      <c r="H1115" s="50">
        <f t="shared" si="27"/>
        <v>9000</v>
      </c>
      <c r="I1115" s="50"/>
      <c r="J1115" s="51"/>
      <c r="K1115" s="44"/>
      <c r="L1115" s="308"/>
      <c r="M1115" s="308"/>
      <c r="N1115" s="308"/>
      <c r="O1115" s="308"/>
      <c r="P1115" s="308"/>
      <c r="Q1115" s="35"/>
      <c r="R1115" s="35"/>
      <c r="S1115" s="35"/>
      <c r="T1115" s="1"/>
      <c r="U1115" s="1"/>
      <c r="V1115" s="1"/>
    </row>
    <row r="1116" ht="32.25" customHeight="1">
      <c r="A1116" s="83"/>
      <c r="B1116" s="309" t="s">
        <v>728</v>
      </c>
      <c r="C1116" s="255">
        <f>SUM(H1117:H1208)</f>
        <v>22476.27</v>
      </c>
      <c r="D1116" s="256"/>
      <c r="E1116" s="256"/>
      <c r="F1116" s="256"/>
      <c r="G1116" s="257"/>
      <c r="H1116" s="257"/>
      <c r="I1116" s="257"/>
      <c r="J1116" s="257"/>
      <c r="K1116" s="256"/>
      <c r="L1116" s="256"/>
      <c r="M1116" s="256"/>
      <c r="N1116" s="256"/>
      <c r="O1116" s="256"/>
      <c r="P1116" s="256"/>
      <c r="Q1116" s="1"/>
      <c r="R1116" s="1"/>
      <c r="S1116" s="1"/>
      <c r="T1116" s="1"/>
      <c r="U1116" s="1"/>
      <c r="V1116" s="1"/>
    </row>
    <row r="1117" ht="15.75" hidden="1" customHeight="1">
      <c r="A1117" s="206"/>
      <c r="B1117" s="54" t="s">
        <v>320</v>
      </c>
      <c r="C1117" s="54" t="s">
        <v>729</v>
      </c>
      <c r="D1117" s="198" t="s">
        <v>22</v>
      </c>
      <c r="E1117" s="54"/>
      <c r="F1117" s="56">
        <v>0.0</v>
      </c>
      <c r="G1117" s="57">
        <v>50.0</v>
      </c>
      <c r="H1117" s="57">
        <f t="shared" ref="H1117:H1204" si="28">SUM(F1117*G1117)</f>
        <v>0</v>
      </c>
      <c r="I1117" s="58"/>
      <c r="J1117" s="58"/>
      <c r="K1117" s="54"/>
      <c r="L1117" s="54"/>
      <c r="M1117" s="54"/>
      <c r="N1117" s="54"/>
      <c r="O1117" s="54"/>
      <c r="P1117" s="54"/>
      <c r="Q1117" s="1"/>
      <c r="R1117" s="1"/>
      <c r="S1117" s="1"/>
      <c r="T1117" s="1"/>
      <c r="U1117" s="1"/>
      <c r="V1117" s="1"/>
    </row>
    <row r="1118" ht="15.75" hidden="1" customHeight="1">
      <c r="A1118" s="206"/>
      <c r="B1118" s="258" t="s">
        <v>234</v>
      </c>
      <c r="C1118" s="258" t="s">
        <v>730</v>
      </c>
      <c r="D1118" s="198" t="s">
        <v>22</v>
      </c>
      <c r="E1118" s="258" t="s">
        <v>731</v>
      </c>
      <c r="F1118" s="158">
        <v>0.0</v>
      </c>
      <c r="G1118" s="159">
        <v>2430.0</v>
      </c>
      <c r="H1118" s="57">
        <f t="shared" si="28"/>
        <v>0</v>
      </c>
      <c r="I1118" s="58"/>
      <c r="J1118" s="58"/>
      <c r="K1118" s="54"/>
      <c r="L1118" s="54"/>
      <c r="M1118" s="54"/>
      <c r="N1118" s="54"/>
      <c r="O1118" s="54"/>
      <c r="P1118" s="54"/>
      <c r="Q1118" s="1"/>
      <c r="R1118" s="1"/>
      <c r="S1118" s="1"/>
      <c r="T1118" s="1"/>
      <c r="U1118" s="1"/>
      <c r="V1118" s="1"/>
    </row>
    <row r="1119" ht="15.75" customHeight="1">
      <c r="A1119" s="206"/>
      <c r="B1119" s="258" t="s">
        <v>18</v>
      </c>
      <c r="C1119" s="258" t="s">
        <v>732</v>
      </c>
      <c r="D1119" s="198" t="s">
        <v>22</v>
      </c>
      <c r="E1119" s="157" t="s">
        <v>733</v>
      </c>
      <c r="F1119" s="158">
        <v>1.0</v>
      </c>
      <c r="G1119" s="159">
        <v>240.0</v>
      </c>
      <c r="H1119" s="57">
        <f t="shared" si="28"/>
        <v>240</v>
      </c>
      <c r="I1119" s="58"/>
      <c r="J1119" s="58"/>
      <c r="K1119" s="54"/>
      <c r="L1119" s="54"/>
      <c r="M1119" s="54"/>
      <c r="N1119" s="54"/>
      <c r="O1119" s="54"/>
      <c r="P1119" s="54"/>
      <c r="Q1119" s="1"/>
      <c r="R1119" s="1"/>
      <c r="S1119" s="1"/>
      <c r="T1119" s="1"/>
      <c r="U1119" s="1"/>
      <c r="V1119" s="1"/>
    </row>
    <row r="1120" ht="15.75" customHeight="1">
      <c r="A1120" s="206"/>
      <c r="B1120" s="258" t="s">
        <v>18</v>
      </c>
      <c r="C1120" s="258" t="s">
        <v>734</v>
      </c>
      <c r="D1120" s="198" t="s">
        <v>22</v>
      </c>
      <c r="E1120" s="204" t="s">
        <v>735</v>
      </c>
      <c r="F1120" s="158">
        <v>2.0</v>
      </c>
      <c r="G1120" s="159">
        <v>78.0</v>
      </c>
      <c r="H1120" s="57">
        <f t="shared" si="28"/>
        <v>156</v>
      </c>
      <c r="I1120" s="57"/>
      <c r="J1120" s="58"/>
      <c r="K1120" s="54"/>
      <c r="L1120" s="54"/>
      <c r="M1120" s="54"/>
      <c r="N1120" s="54"/>
      <c r="O1120" s="54"/>
      <c r="P1120" s="54"/>
      <c r="Q1120" s="1"/>
      <c r="R1120" s="1"/>
      <c r="S1120" s="1"/>
      <c r="T1120" s="1"/>
      <c r="U1120" s="1"/>
      <c r="V1120" s="1"/>
    </row>
    <row r="1121" ht="15.75" hidden="1" customHeight="1">
      <c r="A1121" s="206"/>
      <c r="B1121" s="54" t="s">
        <v>18</v>
      </c>
      <c r="C1121" s="54" t="s">
        <v>736</v>
      </c>
      <c r="D1121" s="198" t="s">
        <v>22</v>
      </c>
      <c r="E1121" s="205" t="s">
        <v>737</v>
      </c>
      <c r="F1121" s="158">
        <v>0.0</v>
      </c>
      <c r="G1121" s="57">
        <v>70.0</v>
      </c>
      <c r="H1121" s="57">
        <f t="shared" si="28"/>
        <v>0</v>
      </c>
      <c r="I1121" s="57"/>
      <c r="J1121" s="58"/>
      <c r="K1121" s="54"/>
      <c r="L1121" s="54"/>
      <c r="M1121" s="54"/>
      <c r="N1121" s="54"/>
      <c r="O1121" s="54"/>
      <c r="P1121" s="54"/>
      <c r="Q1121" s="1"/>
      <c r="R1121" s="1"/>
      <c r="S1121" s="1"/>
      <c r="T1121" s="1"/>
      <c r="U1121" s="1"/>
      <c r="V1121" s="1"/>
    </row>
    <row r="1122" ht="15.75" hidden="1" customHeight="1">
      <c r="A1122" s="206"/>
      <c r="B1122" s="13" t="s">
        <v>18</v>
      </c>
      <c r="C1122" s="52" t="s">
        <v>738</v>
      </c>
      <c r="D1122" s="150" t="s">
        <v>22</v>
      </c>
      <c r="E1122" s="310" t="s">
        <v>739</v>
      </c>
      <c r="F1122" s="215">
        <v>0.0</v>
      </c>
      <c r="G1122" s="50">
        <v>130.0</v>
      </c>
      <c r="H1122" s="57">
        <f t="shared" si="28"/>
        <v>0</v>
      </c>
      <c r="I1122" s="57"/>
      <c r="J1122" s="58"/>
      <c r="K1122" s="54"/>
      <c r="L1122" s="54"/>
      <c r="M1122" s="54"/>
      <c r="N1122" s="54"/>
      <c r="O1122" s="54"/>
      <c r="P1122" s="54"/>
      <c r="Q1122" s="1"/>
      <c r="R1122" s="1"/>
      <c r="S1122" s="1"/>
      <c r="T1122" s="1"/>
      <c r="U1122" s="1"/>
      <c r="V1122" s="1"/>
    </row>
    <row r="1123" ht="15.75" customHeight="1">
      <c r="A1123" s="206"/>
      <c r="B1123" s="206" t="s">
        <v>18</v>
      </c>
      <c r="C1123" s="258" t="s">
        <v>740</v>
      </c>
      <c r="D1123" s="150" t="s">
        <v>22</v>
      </c>
      <c r="E1123" s="260" t="s">
        <v>741</v>
      </c>
      <c r="F1123" s="48">
        <v>1.0</v>
      </c>
      <c r="G1123" s="49">
        <v>156.0</v>
      </c>
      <c r="H1123" s="50">
        <f t="shared" si="28"/>
        <v>156</v>
      </c>
      <c r="I1123" s="57"/>
      <c r="J1123" s="58"/>
      <c r="K1123" s="54"/>
      <c r="L1123" s="54"/>
      <c r="M1123" s="54"/>
      <c r="N1123" s="54"/>
      <c r="O1123" s="54"/>
      <c r="P1123" s="54"/>
      <c r="Q1123" s="1"/>
      <c r="R1123" s="1"/>
      <c r="S1123" s="1"/>
      <c r="T1123" s="1"/>
      <c r="U1123" s="1"/>
      <c r="V1123" s="1"/>
    </row>
    <row r="1124" ht="15.75" customHeight="1">
      <c r="A1124" s="206"/>
      <c r="B1124" s="156" t="s">
        <v>88</v>
      </c>
      <c r="C1124" s="258" t="s">
        <v>546</v>
      </c>
      <c r="D1124" s="198" t="s">
        <v>22</v>
      </c>
      <c r="E1124" s="261" t="s">
        <v>547</v>
      </c>
      <c r="F1124" s="56">
        <v>1.0</v>
      </c>
      <c r="G1124" s="159">
        <v>258.0</v>
      </c>
      <c r="H1124" s="57">
        <f t="shared" si="28"/>
        <v>258</v>
      </c>
      <c r="I1124" s="57"/>
      <c r="J1124" s="58"/>
      <c r="K1124" s="54"/>
      <c r="L1124" s="54"/>
      <c r="M1124" s="54"/>
      <c r="N1124" s="54"/>
      <c r="O1124" s="54"/>
      <c r="P1124" s="54"/>
      <c r="Q1124" s="1"/>
      <c r="R1124" s="1"/>
      <c r="S1124" s="1"/>
      <c r="T1124" s="1"/>
      <c r="U1124" s="1"/>
      <c r="V1124" s="1"/>
    </row>
    <row r="1125" ht="15.75" customHeight="1">
      <c r="A1125" s="206"/>
      <c r="B1125" s="206" t="s">
        <v>18</v>
      </c>
      <c r="C1125" s="54" t="s">
        <v>742</v>
      </c>
      <c r="D1125" s="198" t="s">
        <v>22</v>
      </c>
      <c r="E1125" s="155" t="s">
        <v>636</v>
      </c>
      <c r="F1125" s="158">
        <v>1.0</v>
      </c>
      <c r="G1125" s="57">
        <v>16.0</v>
      </c>
      <c r="H1125" s="57">
        <f t="shared" si="28"/>
        <v>16</v>
      </c>
      <c r="I1125" s="57"/>
      <c r="J1125" s="58"/>
      <c r="K1125" s="54"/>
      <c r="L1125" s="54"/>
      <c r="M1125" s="54"/>
      <c r="N1125" s="54"/>
      <c r="O1125" s="54"/>
      <c r="P1125" s="54"/>
      <c r="Q1125" s="1"/>
      <c r="R1125" s="1"/>
      <c r="S1125" s="1"/>
      <c r="T1125" s="1"/>
      <c r="U1125" s="1"/>
      <c r="V1125" s="1"/>
    </row>
    <row r="1126" ht="15.75" customHeight="1">
      <c r="A1126" s="206"/>
      <c r="B1126" s="54" t="s">
        <v>18</v>
      </c>
      <c r="C1126" s="258" t="s">
        <v>743</v>
      </c>
      <c r="D1126" s="198" t="s">
        <v>22</v>
      </c>
      <c r="E1126" s="261" t="s">
        <v>744</v>
      </c>
      <c r="F1126" s="158">
        <v>1.0</v>
      </c>
      <c r="G1126" s="159">
        <v>109.2</v>
      </c>
      <c r="H1126" s="57">
        <f t="shared" si="28"/>
        <v>109.2</v>
      </c>
      <c r="I1126" s="57"/>
      <c r="J1126" s="58"/>
      <c r="K1126" s="54"/>
      <c r="L1126" s="54"/>
      <c r="M1126" s="54"/>
      <c r="N1126" s="54"/>
      <c r="O1126" s="54"/>
      <c r="P1126" s="54"/>
      <c r="Q1126" s="1"/>
      <c r="R1126" s="1"/>
      <c r="S1126" s="1"/>
      <c r="T1126" s="1"/>
      <c r="U1126" s="1"/>
      <c r="V1126" s="1"/>
    </row>
    <row r="1127" ht="15.75" customHeight="1">
      <c r="A1127" s="206"/>
      <c r="B1127" s="258" t="s">
        <v>18</v>
      </c>
      <c r="C1127" s="258" t="s">
        <v>745</v>
      </c>
      <c r="D1127" s="198" t="s">
        <v>22</v>
      </c>
      <c r="E1127" s="311" t="s">
        <v>746</v>
      </c>
      <c r="F1127" s="158">
        <v>1.0</v>
      </c>
      <c r="G1127" s="159">
        <v>148.0</v>
      </c>
      <c r="H1127" s="57">
        <f t="shared" si="28"/>
        <v>148</v>
      </c>
      <c r="I1127" s="57"/>
      <c r="J1127" s="58"/>
      <c r="K1127" s="54"/>
      <c r="L1127" s="54"/>
      <c r="M1127" s="54"/>
      <c r="N1127" s="54"/>
      <c r="O1127" s="54"/>
      <c r="P1127" s="54"/>
      <c r="Q1127" s="1"/>
      <c r="R1127" s="1"/>
      <c r="S1127" s="1"/>
      <c r="T1127" s="1"/>
      <c r="U1127" s="1"/>
      <c r="V1127" s="1"/>
    </row>
    <row r="1128" ht="15.75" customHeight="1">
      <c r="A1128" s="206"/>
      <c r="B1128" s="258" t="s">
        <v>18</v>
      </c>
      <c r="C1128" s="258" t="s">
        <v>747</v>
      </c>
      <c r="D1128" s="198" t="s">
        <v>22</v>
      </c>
      <c r="E1128" s="261" t="s">
        <v>748</v>
      </c>
      <c r="F1128" s="158">
        <v>1.0</v>
      </c>
      <c r="G1128" s="159">
        <v>118.0</v>
      </c>
      <c r="H1128" s="57">
        <f t="shared" si="28"/>
        <v>118</v>
      </c>
      <c r="I1128" s="57"/>
      <c r="J1128" s="58"/>
      <c r="K1128" s="54"/>
      <c r="L1128" s="54"/>
      <c r="M1128" s="54"/>
      <c r="N1128" s="54"/>
      <c r="O1128" s="54"/>
      <c r="P1128" s="54"/>
      <c r="Q1128" s="1"/>
      <c r="R1128" s="1"/>
      <c r="S1128" s="1"/>
      <c r="T1128" s="1"/>
      <c r="U1128" s="1"/>
      <c r="V1128" s="1"/>
    </row>
    <row r="1129" ht="15.75" customHeight="1">
      <c r="A1129" s="206"/>
      <c r="B1129" s="258" t="s">
        <v>18</v>
      </c>
      <c r="C1129" s="54" t="s">
        <v>749</v>
      </c>
      <c r="D1129" s="198" t="s">
        <v>22</v>
      </c>
      <c r="E1129" s="261" t="s">
        <v>750</v>
      </c>
      <c r="F1129" s="158">
        <v>2.0</v>
      </c>
      <c r="G1129" s="159">
        <v>250.8</v>
      </c>
      <c r="H1129" s="57">
        <f t="shared" si="28"/>
        <v>501.6</v>
      </c>
      <c r="I1129" s="57"/>
      <c r="J1129" s="58"/>
      <c r="K1129" s="54"/>
      <c r="L1129" s="54"/>
      <c r="M1129" s="54"/>
      <c r="N1129" s="54"/>
      <c r="O1129" s="54"/>
      <c r="P1129" s="54"/>
      <c r="Q1129" s="1"/>
      <c r="R1129" s="1"/>
      <c r="S1129" s="1"/>
      <c r="T1129" s="1"/>
      <c r="U1129" s="1"/>
      <c r="V1129" s="1"/>
    </row>
    <row r="1130" ht="15.75" hidden="1" customHeight="1">
      <c r="A1130" s="206"/>
      <c r="B1130" s="54" t="s">
        <v>751</v>
      </c>
      <c r="C1130" s="54" t="s">
        <v>752</v>
      </c>
      <c r="D1130" s="198" t="s">
        <v>22</v>
      </c>
      <c r="E1130" s="291" t="s">
        <v>753</v>
      </c>
      <c r="F1130" s="158">
        <v>0.0</v>
      </c>
      <c r="G1130" s="57">
        <v>750.0</v>
      </c>
      <c r="H1130" s="57">
        <f t="shared" si="28"/>
        <v>0</v>
      </c>
      <c r="I1130" s="57"/>
      <c r="J1130" s="58"/>
      <c r="K1130" s="54"/>
      <c r="L1130" s="54"/>
      <c r="M1130" s="54"/>
      <c r="N1130" s="54"/>
      <c r="O1130" s="54"/>
      <c r="P1130" s="54"/>
      <c r="Q1130" s="1"/>
      <c r="R1130" s="1"/>
      <c r="S1130" s="1"/>
      <c r="T1130" s="1"/>
      <c r="U1130" s="1"/>
      <c r="V1130" s="1"/>
    </row>
    <row r="1131" ht="15.75" customHeight="1">
      <c r="A1131" s="206"/>
      <c r="B1131" s="43" t="s">
        <v>39</v>
      </c>
      <c r="C1131" s="54" t="s">
        <v>258</v>
      </c>
      <c r="D1131" s="198" t="s">
        <v>22</v>
      </c>
      <c r="E1131" s="208"/>
      <c r="F1131" s="56">
        <v>1.0</v>
      </c>
      <c r="G1131" s="159">
        <v>399.0</v>
      </c>
      <c r="H1131" s="57">
        <f t="shared" si="28"/>
        <v>399</v>
      </c>
      <c r="I1131" s="57"/>
      <c r="J1131" s="58"/>
      <c r="K1131" s="54"/>
      <c r="L1131" s="54"/>
      <c r="M1131" s="54"/>
      <c r="N1131" s="54"/>
      <c r="O1131" s="54"/>
      <c r="P1131" s="54"/>
      <c r="Q1131" s="1"/>
      <c r="R1131" s="1"/>
      <c r="S1131" s="1"/>
      <c r="T1131" s="1"/>
      <c r="U1131" s="1"/>
      <c r="V1131" s="1"/>
    </row>
    <row r="1132" ht="15.75" hidden="1" customHeight="1">
      <c r="A1132" s="206"/>
      <c r="B1132" s="54" t="s">
        <v>754</v>
      </c>
      <c r="C1132" s="54" t="s">
        <v>542</v>
      </c>
      <c r="D1132" s="198" t="s">
        <v>22</v>
      </c>
      <c r="E1132" s="201" t="s">
        <v>755</v>
      </c>
      <c r="F1132" s="56">
        <v>0.0</v>
      </c>
      <c r="G1132" s="57">
        <v>700.0</v>
      </c>
      <c r="H1132" s="57">
        <f t="shared" si="28"/>
        <v>0</v>
      </c>
      <c r="I1132" s="57"/>
      <c r="J1132" s="58"/>
      <c r="K1132" s="54"/>
      <c r="L1132" s="54"/>
      <c r="M1132" s="54"/>
      <c r="N1132" s="54"/>
      <c r="O1132" s="54"/>
      <c r="P1132" s="54"/>
      <c r="Q1132" s="1"/>
      <c r="R1132" s="1"/>
      <c r="S1132" s="1"/>
      <c r="T1132" s="1"/>
      <c r="U1132" s="1"/>
      <c r="V1132" s="1"/>
    </row>
    <row r="1133" ht="15.75" hidden="1" customHeight="1">
      <c r="A1133" s="206"/>
      <c r="B1133" s="54" t="s">
        <v>18</v>
      </c>
      <c r="C1133" s="54" t="s">
        <v>756</v>
      </c>
      <c r="D1133" s="198" t="s">
        <v>22</v>
      </c>
      <c r="E1133" s="157" t="s">
        <v>757</v>
      </c>
      <c r="F1133" s="158">
        <v>0.0</v>
      </c>
      <c r="G1133" s="159">
        <v>1070.0</v>
      </c>
      <c r="H1133" s="57">
        <f t="shared" si="28"/>
        <v>0</v>
      </c>
      <c r="I1133" s="57"/>
      <c r="J1133" s="58"/>
      <c r="K1133" s="54"/>
      <c r="L1133" s="54"/>
      <c r="M1133" s="54"/>
      <c r="N1133" s="54"/>
      <c r="O1133" s="54"/>
      <c r="P1133" s="54"/>
      <c r="Q1133" s="1"/>
      <c r="R1133" s="1"/>
      <c r="S1133" s="1"/>
      <c r="T1133" s="1"/>
      <c r="U1133" s="1"/>
      <c r="V1133" s="1"/>
    </row>
    <row r="1134" ht="15.75" hidden="1" customHeight="1">
      <c r="A1134" s="206"/>
      <c r="B1134" s="258" t="s">
        <v>18</v>
      </c>
      <c r="C1134" s="258" t="s">
        <v>758</v>
      </c>
      <c r="D1134" s="198" t="s">
        <v>22</v>
      </c>
      <c r="E1134" s="157" t="s">
        <v>759</v>
      </c>
      <c r="F1134" s="158">
        <v>0.0</v>
      </c>
      <c r="G1134" s="159">
        <v>630.0</v>
      </c>
      <c r="H1134" s="57">
        <f t="shared" si="28"/>
        <v>0</v>
      </c>
      <c r="I1134" s="57"/>
      <c r="J1134" s="58"/>
      <c r="K1134" s="54"/>
      <c r="L1134" s="54"/>
      <c r="M1134" s="54"/>
      <c r="N1134" s="54"/>
      <c r="O1134" s="54"/>
      <c r="P1134" s="54"/>
      <c r="Q1134" s="1"/>
      <c r="R1134" s="1"/>
      <c r="S1134" s="1"/>
      <c r="T1134" s="1"/>
      <c r="U1134" s="1"/>
      <c r="V1134" s="1"/>
    </row>
    <row r="1135" ht="15.75" hidden="1" customHeight="1">
      <c r="A1135" s="206"/>
      <c r="B1135" s="258"/>
      <c r="C1135" s="258" t="s">
        <v>760</v>
      </c>
      <c r="D1135" s="198" t="s">
        <v>22</v>
      </c>
      <c r="E1135" s="160"/>
      <c r="F1135" s="158">
        <v>0.0</v>
      </c>
      <c r="G1135" s="159">
        <v>0.0</v>
      </c>
      <c r="H1135" s="57">
        <f t="shared" si="28"/>
        <v>0</v>
      </c>
      <c r="I1135" s="57"/>
      <c r="J1135" s="58"/>
      <c r="K1135" s="54"/>
      <c r="L1135" s="54"/>
      <c r="M1135" s="54"/>
      <c r="N1135" s="54"/>
      <c r="O1135" s="54"/>
      <c r="P1135" s="54"/>
      <c r="Q1135" s="1"/>
      <c r="R1135" s="1"/>
      <c r="S1135" s="1"/>
      <c r="T1135" s="1"/>
      <c r="U1135" s="1"/>
      <c r="V1135" s="1"/>
    </row>
    <row r="1136" ht="15.75" customHeight="1">
      <c r="A1136" s="206"/>
      <c r="B1136" s="258" t="s">
        <v>264</v>
      </c>
      <c r="C1136" s="258" t="s">
        <v>761</v>
      </c>
      <c r="D1136" s="101" t="s">
        <v>32</v>
      </c>
      <c r="E1136" s="160">
        <v>100951.0</v>
      </c>
      <c r="F1136" s="158">
        <v>1.0</v>
      </c>
      <c r="G1136" s="159">
        <v>630.0</v>
      </c>
      <c r="H1136" s="57">
        <f t="shared" si="28"/>
        <v>630</v>
      </c>
      <c r="I1136" s="57"/>
      <c r="J1136" s="58"/>
      <c r="K1136" s="54"/>
      <c r="L1136" s="54"/>
      <c r="M1136" s="54"/>
      <c r="N1136" s="54"/>
      <c r="O1136" s="54"/>
      <c r="P1136" s="54"/>
      <c r="Q1136" s="1"/>
      <c r="R1136" s="1"/>
      <c r="S1136" s="1"/>
      <c r="T1136" s="1"/>
      <c r="U1136" s="1"/>
      <c r="V1136" s="1"/>
    </row>
    <row r="1137" ht="15.75" customHeight="1">
      <c r="A1137" s="206"/>
      <c r="B1137" s="312" t="s">
        <v>234</v>
      </c>
      <c r="C1137" s="312" t="s">
        <v>762</v>
      </c>
      <c r="D1137" s="101" t="s">
        <v>32</v>
      </c>
      <c r="E1137" s="160" t="s">
        <v>763</v>
      </c>
      <c r="F1137" s="158">
        <v>4.0</v>
      </c>
      <c r="G1137" s="159">
        <v>115.9</v>
      </c>
      <c r="H1137" s="57">
        <f t="shared" si="28"/>
        <v>463.6</v>
      </c>
      <c r="I1137" s="57"/>
      <c r="J1137" s="58"/>
      <c r="K1137" s="258" t="s">
        <v>764</v>
      </c>
      <c r="L1137" s="54"/>
      <c r="M1137" s="54"/>
      <c r="N1137" s="54"/>
      <c r="O1137" s="54"/>
      <c r="P1137" s="54"/>
      <c r="Q1137" s="1"/>
      <c r="R1137" s="1"/>
      <c r="S1137" s="1"/>
      <c r="T1137" s="1"/>
      <c r="U1137" s="1"/>
      <c r="V1137" s="1"/>
    </row>
    <row r="1138" ht="15.75" hidden="1" customHeight="1">
      <c r="A1138" s="206"/>
      <c r="B1138" s="54" t="s">
        <v>18</v>
      </c>
      <c r="C1138" s="54" t="s">
        <v>765</v>
      </c>
      <c r="D1138" s="198" t="s">
        <v>22</v>
      </c>
      <c r="E1138" s="201" t="s">
        <v>766</v>
      </c>
      <c r="F1138" s="158">
        <v>0.0</v>
      </c>
      <c r="G1138" s="57">
        <v>635.0</v>
      </c>
      <c r="H1138" s="57">
        <f t="shared" si="28"/>
        <v>0</v>
      </c>
      <c r="I1138" s="57"/>
      <c r="J1138" s="58"/>
      <c r="K1138" s="54"/>
      <c r="L1138" s="54"/>
      <c r="M1138" s="54"/>
      <c r="N1138" s="54"/>
      <c r="O1138" s="54"/>
      <c r="P1138" s="54"/>
      <c r="Q1138" s="1"/>
      <c r="R1138" s="1"/>
      <c r="S1138" s="1"/>
      <c r="T1138" s="1"/>
      <c r="U1138" s="1"/>
      <c r="V1138" s="1"/>
    </row>
    <row r="1139" ht="15.75" customHeight="1">
      <c r="A1139" s="206"/>
      <c r="B1139" s="54" t="s">
        <v>18</v>
      </c>
      <c r="C1139" s="54" t="s">
        <v>767</v>
      </c>
      <c r="D1139" s="198" t="s">
        <v>22</v>
      </c>
      <c r="E1139" s="201" t="s">
        <v>768</v>
      </c>
      <c r="F1139" s="56">
        <v>1.0</v>
      </c>
      <c r="G1139" s="159">
        <v>564.0</v>
      </c>
      <c r="H1139" s="57">
        <f t="shared" si="28"/>
        <v>564</v>
      </c>
      <c r="I1139" s="57"/>
      <c r="J1139" s="58"/>
      <c r="K1139" s="54"/>
      <c r="L1139" s="54"/>
      <c r="M1139" s="54"/>
      <c r="N1139" s="54"/>
      <c r="O1139" s="54"/>
      <c r="P1139" s="54"/>
      <c r="Q1139" s="1"/>
      <c r="R1139" s="1"/>
      <c r="S1139" s="1"/>
      <c r="T1139" s="1"/>
      <c r="U1139" s="1"/>
      <c r="V1139" s="1"/>
    </row>
    <row r="1140" ht="15.75" hidden="1" customHeight="1">
      <c r="A1140" s="206"/>
      <c r="B1140" s="54"/>
      <c r="C1140" s="54" t="s">
        <v>769</v>
      </c>
      <c r="D1140" s="198" t="s">
        <v>22</v>
      </c>
      <c r="E1140" s="201"/>
      <c r="F1140" s="56">
        <v>0.0</v>
      </c>
      <c r="G1140" s="57">
        <v>687.5</v>
      </c>
      <c r="H1140" s="57">
        <f t="shared" si="28"/>
        <v>0</v>
      </c>
      <c r="I1140" s="57"/>
      <c r="J1140" s="58"/>
      <c r="K1140" s="54"/>
      <c r="L1140" s="54"/>
      <c r="M1140" s="54"/>
      <c r="N1140" s="54"/>
      <c r="O1140" s="54"/>
      <c r="P1140" s="54"/>
      <c r="Q1140" s="1"/>
      <c r="R1140" s="1"/>
      <c r="S1140" s="1"/>
      <c r="T1140" s="1"/>
      <c r="U1140" s="1"/>
      <c r="V1140" s="1"/>
    </row>
    <row r="1141" ht="15.75" hidden="1" customHeight="1">
      <c r="A1141" s="206"/>
      <c r="B1141" s="54" t="s">
        <v>264</v>
      </c>
      <c r="C1141" s="54" t="s">
        <v>770</v>
      </c>
      <c r="D1141" s="198" t="s">
        <v>22</v>
      </c>
      <c r="E1141" s="201">
        <v>603191.0</v>
      </c>
      <c r="F1141" s="158">
        <v>0.0</v>
      </c>
      <c r="G1141" s="57">
        <v>522.0</v>
      </c>
      <c r="H1141" s="57">
        <f t="shared" si="28"/>
        <v>0</v>
      </c>
      <c r="I1141" s="57"/>
      <c r="J1141" s="58"/>
      <c r="K1141" s="54"/>
      <c r="L1141" s="54"/>
      <c r="M1141" s="54"/>
      <c r="N1141" s="54"/>
      <c r="O1141" s="54"/>
      <c r="P1141" s="54"/>
      <c r="Q1141" s="1"/>
      <c r="R1141" s="1"/>
      <c r="S1141" s="1"/>
      <c r="T1141" s="1"/>
      <c r="U1141" s="1"/>
      <c r="V1141" s="1"/>
    </row>
    <row r="1142" ht="15.75" customHeight="1">
      <c r="A1142" s="206"/>
      <c r="B1142" s="54" t="s">
        <v>18</v>
      </c>
      <c r="C1142" s="54" t="s">
        <v>444</v>
      </c>
      <c r="D1142" s="198" t="s">
        <v>22</v>
      </c>
      <c r="E1142" s="205" t="s">
        <v>771</v>
      </c>
      <c r="F1142" s="56">
        <v>1.0</v>
      </c>
      <c r="G1142" s="159">
        <v>480.0</v>
      </c>
      <c r="H1142" s="57">
        <f t="shared" si="28"/>
        <v>480</v>
      </c>
      <c r="I1142" s="57"/>
      <c r="J1142" s="58"/>
      <c r="K1142" s="54"/>
      <c r="L1142" s="54"/>
      <c r="M1142" s="54"/>
      <c r="N1142" s="54"/>
      <c r="O1142" s="54"/>
      <c r="P1142" s="54"/>
      <c r="Q1142" s="1"/>
      <c r="R1142" s="1"/>
      <c r="S1142" s="1"/>
      <c r="T1142" s="1"/>
      <c r="U1142" s="1"/>
      <c r="V1142" s="1"/>
    </row>
    <row r="1143" ht="15.75" hidden="1" customHeight="1">
      <c r="A1143" s="206"/>
      <c r="B1143" s="54" t="s">
        <v>18</v>
      </c>
      <c r="C1143" s="54" t="s">
        <v>772</v>
      </c>
      <c r="D1143" s="198" t="s">
        <v>22</v>
      </c>
      <c r="E1143" s="205" t="s">
        <v>773</v>
      </c>
      <c r="F1143" s="158">
        <v>0.0</v>
      </c>
      <c r="G1143" s="57">
        <v>40.0</v>
      </c>
      <c r="H1143" s="57">
        <f t="shared" si="28"/>
        <v>0</v>
      </c>
      <c r="I1143" s="57"/>
      <c r="J1143" s="58"/>
      <c r="K1143" s="313"/>
      <c r="L1143" s="54"/>
      <c r="M1143" s="54"/>
      <c r="N1143" s="54"/>
      <c r="O1143" s="54"/>
      <c r="P1143" s="54"/>
      <c r="Q1143" s="1"/>
      <c r="R1143" s="1"/>
      <c r="S1143" s="1"/>
      <c r="T1143" s="1"/>
      <c r="U1143" s="1"/>
      <c r="V1143" s="1"/>
    </row>
    <row r="1144" ht="15.75" hidden="1" customHeight="1">
      <c r="A1144" s="206"/>
      <c r="B1144" s="54" t="s">
        <v>320</v>
      </c>
      <c r="C1144" s="54" t="s">
        <v>774</v>
      </c>
      <c r="D1144" s="198" t="s">
        <v>22</v>
      </c>
      <c r="E1144" s="54"/>
      <c r="F1144" s="56">
        <v>0.0</v>
      </c>
      <c r="G1144" s="57">
        <v>320.0</v>
      </c>
      <c r="H1144" s="57">
        <f t="shared" si="28"/>
        <v>0</v>
      </c>
      <c r="I1144" s="57"/>
      <c r="J1144" s="58"/>
      <c r="K1144" s="54"/>
      <c r="L1144" s="54"/>
      <c r="M1144" s="54"/>
      <c r="N1144" s="54"/>
      <c r="O1144" s="54"/>
      <c r="P1144" s="54"/>
      <c r="Q1144" s="1"/>
      <c r="R1144" s="1"/>
      <c r="S1144" s="1"/>
      <c r="T1144" s="1"/>
      <c r="U1144" s="1"/>
      <c r="V1144" s="1"/>
    </row>
    <row r="1145" ht="15.75" customHeight="1">
      <c r="A1145" s="206"/>
      <c r="B1145" s="54" t="s">
        <v>277</v>
      </c>
      <c r="C1145" s="54" t="s">
        <v>775</v>
      </c>
      <c r="D1145" s="198" t="s">
        <v>22</v>
      </c>
      <c r="E1145" s="54"/>
      <c r="F1145" s="56">
        <v>1.0</v>
      </c>
      <c r="G1145" s="57">
        <v>560.0</v>
      </c>
      <c r="H1145" s="57">
        <f t="shared" si="28"/>
        <v>560</v>
      </c>
      <c r="I1145" s="58"/>
      <c r="J1145" s="58"/>
      <c r="K1145" s="54"/>
      <c r="L1145" s="54"/>
      <c r="M1145" s="54"/>
      <c r="N1145" s="54"/>
      <c r="O1145" s="54"/>
      <c r="P1145" s="54"/>
      <c r="Q1145" s="1"/>
      <c r="R1145" s="1"/>
      <c r="S1145" s="1"/>
      <c r="T1145" s="1"/>
      <c r="U1145" s="1"/>
      <c r="V1145" s="1"/>
    </row>
    <row r="1146" ht="15.75" customHeight="1">
      <c r="A1146" s="206"/>
      <c r="B1146" s="43" t="s">
        <v>88</v>
      </c>
      <c r="C1146" s="54" t="s">
        <v>411</v>
      </c>
      <c r="D1146" s="55" t="s">
        <v>20</v>
      </c>
      <c r="E1146" s="171" t="s">
        <v>412</v>
      </c>
      <c r="F1146" s="56">
        <v>1.0</v>
      </c>
      <c r="G1146" s="34">
        <v>334.0</v>
      </c>
      <c r="H1146" s="57">
        <f t="shared" si="28"/>
        <v>334</v>
      </c>
      <c r="I1146" s="57"/>
      <c r="J1146" s="58"/>
      <c r="K1146" s="54"/>
      <c r="L1146" s="54"/>
      <c r="M1146" s="54"/>
      <c r="N1146" s="54"/>
      <c r="O1146" s="54"/>
      <c r="P1146" s="54"/>
      <c r="Q1146" s="1"/>
      <c r="R1146" s="1"/>
      <c r="S1146" s="1"/>
      <c r="T1146" s="1"/>
      <c r="U1146" s="1"/>
      <c r="V1146" s="1"/>
    </row>
    <row r="1147" ht="15.75" hidden="1" customHeight="1">
      <c r="A1147" s="206"/>
      <c r="B1147" s="54" t="s">
        <v>277</v>
      </c>
      <c r="C1147" s="54" t="s">
        <v>776</v>
      </c>
      <c r="D1147" s="55" t="s">
        <v>20</v>
      </c>
      <c r="E1147" s="54"/>
      <c r="F1147" s="158">
        <v>0.0</v>
      </c>
      <c r="G1147" s="57">
        <v>750.0</v>
      </c>
      <c r="H1147" s="57">
        <f t="shared" si="28"/>
        <v>0</v>
      </c>
      <c r="I1147" s="57"/>
      <c r="J1147" s="58"/>
      <c r="K1147" s="54"/>
      <c r="L1147" s="54"/>
      <c r="M1147" s="54"/>
      <c r="N1147" s="54"/>
      <c r="O1147" s="54"/>
      <c r="P1147" s="54"/>
      <c r="Q1147" s="1"/>
      <c r="R1147" s="1"/>
      <c r="S1147" s="1"/>
      <c r="T1147" s="1"/>
      <c r="U1147" s="1"/>
      <c r="V1147" s="1"/>
    </row>
    <row r="1148" ht="15.75" hidden="1" customHeight="1">
      <c r="A1148" s="206"/>
      <c r="B1148" s="54" t="s">
        <v>539</v>
      </c>
      <c r="C1148" s="54" t="s">
        <v>777</v>
      </c>
      <c r="D1148" s="55" t="s">
        <v>20</v>
      </c>
      <c r="E1148" s="54" t="s">
        <v>778</v>
      </c>
      <c r="F1148" s="158">
        <v>0.0</v>
      </c>
      <c r="G1148" s="57">
        <v>0.0</v>
      </c>
      <c r="H1148" s="57">
        <f t="shared" si="28"/>
        <v>0</v>
      </c>
      <c r="I1148" s="57"/>
      <c r="J1148" s="58"/>
      <c r="K1148" s="54"/>
      <c r="L1148" s="54"/>
      <c r="M1148" s="54"/>
      <c r="N1148" s="54"/>
      <c r="O1148" s="54"/>
      <c r="P1148" s="54"/>
      <c r="Q1148" s="1"/>
      <c r="R1148" s="1"/>
      <c r="S1148" s="1"/>
      <c r="T1148" s="1"/>
      <c r="U1148" s="1"/>
      <c r="V1148" s="1"/>
    </row>
    <row r="1149" ht="15.75" hidden="1" customHeight="1">
      <c r="A1149" s="206"/>
      <c r="B1149" s="54" t="s">
        <v>18</v>
      </c>
      <c r="C1149" s="54" t="s">
        <v>779</v>
      </c>
      <c r="D1149" s="55" t="s">
        <v>20</v>
      </c>
      <c r="E1149" s="205" t="s">
        <v>780</v>
      </c>
      <c r="F1149" s="158">
        <v>0.0</v>
      </c>
      <c r="G1149" s="57">
        <v>150.0</v>
      </c>
      <c r="H1149" s="57">
        <f t="shared" si="28"/>
        <v>0</v>
      </c>
      <c r="I1149" s="57"/>
      <c r="J1149" s="58"/>
      <c r="K1149" s="54"/>
      <c r="L1149" s="54"/>
      <c r="M1149" s="54"/>
      <c r="N1149" s="54"/>
      <c r="O1149" s="54"/>
      <c r="P1149" s="54"/>
      <c r="Q1149" s="1"/>
      <c r="R1149" s="1"/>
      <c r="S1149" s="1"/>
      <c r="T1149" s="1"/>
      <c r="U1149" s="1"/>
      <c r="V1149" s="1"/>
    </row>
    <row r="1150" ht="15.75" customHeight="1">
      <c r="A1150" s="206"/>
      <c r="B1150" s="54" t="s">
        <v>18</v>
      </c>
      <c r="C1150" s="54" t="s">
        <v>781</v>
      </c>
      <c r="D1150" s="55" t="s">
        <v>20</v>
      </c>
      <c r="E1150" s="230" t="s">
        <v>782</v>
      </c>
      <c r="F1150" s="56">
        <v>1.0</v>
      </c>
      <c r="G1150" s="159">
        <v>107.88</v>
      </c>
      <c r="H1150" s="57">
        <f t="shared" si="28"/>
        <v>107.88</v>
      </c>
      <c r="I1150" s="57"/>
      <c r="J1150" s="58"/>
      <c r="K1150" s="54"/>
      <c r="L1150" s="54"/>
      <c r="M1150" s="54"/>
      <c r="N1150" s="54"/>
      <c r="O1150" s="54"/>
      <c r="P1150" s="54"/>
      <c r="Q1150" s="1"/>
      <c r="R1150" s="1"/>
      <c r="S1150" s="1"/>
      <c r="T1150" s="1"/>
      <c r="U1150" s="1"/>
      <c r="V1150" s="1"/>
    </row>
    <row r="1151" ht="15.75" customHeight="1">
      <c r="A1151" s="206"/>
      <c r="B1151" s="43" t="s">
        <v>39</v>
      </c>
      <c r="C1151" s="54" t="s">
        <v>783</v>
      </c>
      <c r="D1151" s="198" t="s">
        <v>22</v>
      </c>
      <c r="E1151" s="54"/>
      <c r="F1151" s="56">
        <v>1.0</v>
      </c>
      <c r="G1151" s="57">
        <v>10.0</v>
      </c>
      <c r="H1151" s="57">
        <f t="shared" si="28"/>
        <v>10</v>
      </c>
      <c r="I1151" s="57"/>
      <c r="J1151" s="58"/>
      <c r="K1151" s="54"/>
      <c r="L1151" s="54"/>
      <c r="M1151" s="54"/>
      <c r="N1151" s="54"/>
      <c r="O1151" s="54"/>
      <c r="P1151" s="54"/>
      <c r="Q1151" s="1"/>
      <c r="R1151" s="1"/>
      <c r="S1151" s="1"/>
      <c r="T1151" s="1"/>
      <c r="U1151" s="1"/>
      <c r="V1151" s="1"/>
    </row>
    <row r="1152" ht="15.75" customHeight="1">
      <c r="A1152" s="206"/>
      <c r="B1152" s="54" t="s">
        <v>18</v>
      </c>
      <c r="C1152" s="54" t="s">
        <v>784</v>
      </c>
      <c r="D1152" s="55" t="s">
        <v>20</v>
      </c>
      <c r="E1152" s="201" t="s">
        <v>785</v>
      </c>
      <c r="F1152" s="56">
        <v>1.0</v>
      </c>
      <c r="G1152" s="57">
        <v>9.0</v>
      </c>
      <c r="H1152" s="57">
        <f t="shared" si="28"/>
        <v>9</v>
      </c>
      <c r="I1152" s="57"/>
      <c r="J1152" s="58"/>
      <c r="K1152" s="54"/>
      <c r="L1152" s="54"/>
      <c r="M1152" s="54"/>
      <c r="N1152" s="54"/>
      <c r="O1152" s="54"/>
      <c r="P1152" s="54"/>
      <c r="Q1152" s="1"/>
      <c r="R1152" s="1"/>
      <c r="S1152" s="1"/>
      <c r="T1152" s="1"/>
      <c r="U1152" s="1"/>
      <c r="V1152" s="1"/>
    </row>
    <row r="1153" ht="15.75" customHeight="1">
      <c r="A1153" s="206"/>
      <c r="B1153" s="54" t="s">
        <v>277</v>
      </c>
      <c r="C1153" s="54" t="s">
        <v>786</v>
      </c>
      <c r="D1153" s="198" t="s">
        <v>22</v>
      </c>
      <c r="E1153" s="54"/>
      <c r="F1153" s="56">
        <v>1.0</v>
      </c>
      <c r="G1153" s="57">
        <v>69.99</v>
      </c>
      <c r="H1153" s="57">
        <f t="shared" si="28"/>
        <v>69.99</v>
      </c>
      <c r="I1153" s="57"/>
      <c r="J1153" s="58"/>
      <c r="K1153" s="54"/>
      <c r="L1153" s="54"/>
      <c r="M1153" s="54"/>
      <c r="N1153" s="54"/>
      <c r="O1153" s="54"/>
      <c r="P1153" s="54"/>
      <c r="Q1153" s="1"/>
      <c r="R1153" s="1"/>
      <c r="S1153" s="1"/>
      <c r="T1153" s="1"/>
      <c r="U1153" s="1"/>
      <c r="V1153" s="1"/>
    </row>
    <row r="1154" ht="15.75" customHeight="1">
      <c r="A1154" s="206"/>
      <c r="B1154" s="54" t="s">
        <v>18</v>
      </c>
      <c r="C1154" s="54" t="s">
        <v>787</v>
      </c>
      <c r="D1154" s="198" t="s">
        <v>22</v>
      </c>
      <c r="E1154" s="157" t="s">
        <v>788</v>
      </c>
      <c r="F1154" s="158">
        <v>2.0</v>
      </c>
      <c r="G1154" s="159">
        <v>108.0</v>
      </c>
      <c r="H1154" s="57">
        <f t="shared" si="28"/>
        <v>216</v>
      </c>
      <c r="I1154" s="57"/>
      <c r="J1154" s="58"/>
      <c r="K1154" s="54"/>
      <c r="L1154" s="54"/>
      <c r="M1154" s="54"/>
      <c r="N1154" s="54"/>
      <c r="O1154" s="54"/>
      <c r="P1154" s="54"/>
      <c r="Q1154" s="1"/>
      <c r="R1154" s="1"/>
      <c r="S1154" s="1"/>
      <c r="T1154" s="1"/>
      <c r="U1154" s="1"/>
      <c r="V1154" s="1"/>
    </row>
    <row r="1155" ht="15.75" customHeight="1">
      <c r="A1155" s="206"/>
      <c r="B1155" s="54" t="s">
        <v>18</v>
      </c>
      <c r="C1155" s="54" t="s">
        <v>285</v>
      </c>
      <c r="D1155" s="55" t="s">
        <v>20</v>
      </c>
      <c r="E1155" s="54" t="s">
        <v>286</v>
      </c>
      <c r="F1155" s="56">
        <v>2.0</v>
      </c>
      <c r="G1155" s="57">
        <v>3.0</v>
      </c>
      <c r="H1155" s="57">
        <f t="shared" si="28"/>
        <v>6</v>
      </c>
      <c r="I1155" s="57"/>
      <c r="J1155" s="58"/>
      <c r="K1155" s="13"/>
      <c r="L1155" s="54"/>
      <c r="M1155" s="54"/>
      <c r="N1155" s="54"/>
      <c r="O1155" s="54"/>
      <c r="P1155" s="54"/>
      <c r="Q1155" s="1"/>
      <c r="R1155" s="1"/>
      <c r="S1155" s="1"/>
      <c r="T1155" s="1"/>
      <c r="U1155" s="1"/>
      <c r="V1155" s="1"/>
    </row>
    <row r="1156" ht="15.75" hidden="1" customHeight="1">
      <c r="A1156" s="206"/>
      <c r="B1156" s="54" t="s">
        <v>18</v>
      </c>
      <c r="C1156" s="54" t="s">
        <v>789</v>
      </c>
      <c r="D1156" s="55" t="s">
        <v>20</v>
      </c>
      <c r="E1156" s="54" t="s">
        <v>790</v>
      </c>
      <c r="F1156" s="56">
        <v>0.0</v>
      </c>
      <c r="G1156" s="57">
        <v>14.0</v>
      </c>
      <c r="H1156" s="57">
        <f t="shared" si="28"/>
        <v>0</v>
      </c>
      <c r="I1156" s="57"/>
      <c r="J1156" s="58"/>
      <c r="K1156" s="54"/>
      <c r="L1156" s="54"/>
      <c r="M1156" s="54"/>
      <c r="N1156" s="54"/>
      <c r="O1156" s="54"/>
      <c r="P1156" s="54"/>
      <c r="Q1156" s="1"/>
      <c r="R1156" s="1"/>
      <c r="S1156" s="1"/>
      <c r="T1156" s="1"/>
      <c r="U1156" s="1"/>
      <c r="V1156" s="1"/>
    </row>
    <row r="1157" ht="15.75" hidden="1" customHeight="1">
      <c r="A1157" s="206"/>
      <c r="B1157" s="54" t="s">
        <v>463</v>
      </c>
      <c r="C1157" s="54" t="s">
        <v>791</v>
      </c>
      <c r="D1157" s="198" t="s">
        <v>22</v>
      </c>
      <c r="E1157" s="201" t="s">
        <v>792</v>
      </c>
      <c r="F1157" s="158">
        <v>0.0</v>
      </c>
      <c r="G1157" s="57">
        <v>23.0</v>
      </c>
      <c r="H1157" s="57">
        <f t="shared" si="28"/>
        <v>0</v>
      </c>
      <c r="I1157" s="57"/>
      <c r="J1157" s="58"/>
      <c r="K1157" s="54"/>
      <c r="L1157" s="54"/>
      <c r="M1157" s="54"/>
      <c r="N1157" s="54"/>
      <c r="O1157" s="54"/>
      <c r="P1157" s="54"/>
      <c r="Q1157" s="1"/>
      <c r="R1157" s="1"/>
      <c r="S1157" s="1"/>
      <c r="T1157" s="1"/>
      <c r="U1157" s="1"/>
      <c r="V1157" s="1"/>
    </row>
    <row r="1158" ht="15.75" hidden="1" customHeight="1">
      <c r="A1158" s="206"/>
      <c r="B1158" s="54" t="s">
        <v>463</v>
      </c>
      <c r="C1158" s="54" t="s">
        <v>793</v>
      </c>
      <c r="D1158" s="198" t="s">
        <v>22</v>
      </c>
      <c r="E1158" s="201" t="s">
        <v>794</v>
      </c>
      <c r="F1158" s="158">
        <v>0.0</v>
      </c>
      <c r="G1158" s="57">
        <v>23.0</v>
      </c>
      <c r="H1158" s="57">
        <f t="shared" si="28"/>
        <v>0</v>
      </c>
      <c r="I1158" s="57"/>
      <c r="J1158" s="58"/>
      <c r="K1158" s="54"/>
      <c r="L1158" s="54"/>
      <c r="M1158" s="54"/>
      <c r="N1158" s="54"/>
      <c r="O1158" s="54"/>
      <c r="P1158" s="54"/>
      <c r="Q1158" s="1"/>
      <c r="R1158" s="1"/>
      <c r="S1158" s="1"/>
      <c r="T1158" s="1"/>
      <c r="U1158" s="1"/>
      <c r="V1158" s="1"/>
    </row>
    <row r="1159" ht="15.75" hidden="1" customHeight="1">
      <c r="A1159" s="206"/>
      <c r="B1159" s="54" t="s">
        <v>463</v>
      </c>
      <c r="C1159" s="54" t="s">
        <v>795</v>
      </c>
      <c r="D1159" s="198" t="s">
        <v>22</v>
      </c>
      <c r="E1159" s="205" t="s">
        <v>796</v>
      </c>
      <c r="F1159" s="158">
        <v>0.0</v>
      </c>
      <c r="G1159" s="57">
        <v>23.0</v>
      </c>
      <c r="H1159" s="57">
        <f t="shared" si="28"/>
        <v>0</v>
      </c>
      <c r="I1159" s="57"/>
      <c r="J1159" s="58"/>
      <c r="K1159" s="54"/>
      <c r="L1159" s="54"/>
      <c r="M1159" s="54"/>
      <c r="N1159" s="54"/>
      <c r="O1159" s="54"/>
      <c r="P1159" s="54"/>
      <c r="Q1159" s="1"/>
      <c r="R1159" s="1"/>
      <c r="S1159" s="1"/>
      <c r="T1159" s="1"/>
      <c r="U1159" s="1"/>
      <c r="V1159" s="1"/>
    </row>
    <row r="1160" ht="15.75" hidden="1" customHeight="1">
      <c r="A1160" s="206"/>
      <c r="B1160" s="54" t="s">
        <v>463</v>
      </c>
      <c r="C1160" s="54" t="s">
        <v>797</v>
      </c>
      <c r="D1160" s="198" t="s">
        <v>22</v>
      </c>
      <c r="E1160" s="205" t="s">
        <v>798</v>
      </c>
      <c r="F1160" s="158">
        <v>0.0</v>
      </c>
      <c r="G1160" s="57">
        <v>23.0</v>
      </c>
      <c r="H1160" s="57">
        <f t="shared" si="28"/>
        <v>0</v>
      </c>
      <c r="I1160" s="57"/>
      <c r="J1160" s="58"/>
      <c r="K1160" s="54"/>
      <c r="L1160" s="54"/>
      <c r="M1160" s="54"/>
      <c r="N1160" s="54"/>
      <c r="O1160" s="54"/>
      <c r="P1160" s="54"/>
      <c r="Q1160" s="1"/>
      <c r="R1160" s="1"/>
      <c r="S1160" s="1"/>
      <c r="T1160" s="1"/>
      <c r="U1160" s="1"/>
      <c r="V1160" s="1"/>
    </row>
    <row r="1161" ht="15.75" hidden="1" customHeight="1">
      <c r="A1161" s="206"/>
      <c r="B1161" s="54" t="s">
        <v>463</v>
      </c>
      <c r="C1161" s="54" t="s">
        <v>799</v>
      </c>
      <c r="D1161" s="198" t="s">
        <v>22</v>
      </c>
      <c r="E1161" s="205" t="s">
        <v>800</v>
      </c>
      <c r="F1161" s="158">
        <v>0.0</v>
      </c>
      <c r="G1161" s="57">
        <v>23.0</v>
      </c>
      <c r="H1161" s="57">
        <f t="shared" si="28"/>
        <v>0</v>
      </c>
      <c r="I1161" s="57"/>
      <c r="J1161" s="58"/>
      <c r="K1161" s="54"/>
      <c r="L1161" s="54"/>
      <c r="M1161" s="54"/>
      <c r="N1161" s="54"/>
      <c r="O1161" s="54"/>
      <c r="P1161" s="54"/>
      <c r="Q1161" s="1"/>
      <c r="R1161" s="1"/>
      <c r="S1161" s="1"/>
      <c r="T1161" s="1"/>
      <c r="U1161" s="1"/>
      <c r="V1161" s="1"/>
    </row>
    <row r="1162" ht="15.75" hidden="1" customHeight="1">
      <c r="A1162" s="206"/>
      <c r="B1162" s="54" t="s">
        <v>463</v>
      </c>
      <c r="C1162" s="54" t="s">
        <v>801</v>
      </c>
      <c r="D1162" s="198" t="s">
        <v>22</v>
      </c>
      <c r="E1162" s="205" t="s">
        <v>802</v>
      </c>
      <c r="F1162" s="158">
        <v>0.0</v>
      </c>
      <c r="G1162" s="57">
        <v>23.0</v>
      </c>
      <c r="H1162" s="57">
        <f t="shared" si="28"/>
        <v>0</v>
      </c>
      <c r="I1162" s="57"/>
      <c r="J1162" s="58"/>
      <c r="K1162" s="54"/>
      <c r="L1162" s="54"/>
      <c r="M1162" s="54"/>
      <c r="N1162" s="54"/>
      <c r="O1162" s="54"/>
      <c r="P1162" s="54"/>
      <c r="Q1162" s="1"/>
      <c r="R1162" s="1"/>
      <c r="S1162" s="1"/>
      <c r="T1162" s="1"/>
      <c r="U1162" s="1"/>
      <c r="V1162" s="1"/>
    </row>
    <row r="1163" ht="15.75" hidden="1" customHeight="1">
      <c r="A1163" s="206"/>
      <c r="B1163" s="54" t="s">
        <v>803</v>
      </c>
      <c r="C1163" s="54" t="s">
        <v>804</v>
      </c>
      <c r="D1163" s="198" t="s">
        <v>22</v>
      </c>
      <c r="E1163" s="205" t="s">
        <v>805</v>
      </c>
      <c r="F1163" s="158">
        <v>0.0</v>
      </c>
      <c r="G1163" s="57">
        <v>35.0</v>
      </c>
      <c r="H1163" s="57">
        <f t="shared" si="28"/>
        <v>0</v>
      </c>
      <c r="I1163" s="57"/>
      <c r="J1163" s="58"/>
      <c r="K1163" s="54"/>
      <c r="L1163" s="54"/>
      <c r="M1163" s="54"/>
      <c r="N1163" s="54"/>
      <c r="O1163" s="54"/>
      <c r="P1163" s="54"/>
      <c r="Q1163" s="1"/>
      <c r="R1163" s="1"/>
      <c r="S1163" s="1"/>
      <c r="T1163" s="1"/>
      <c r="U1163" s="1"/>
      <c r="V1163" s="1"/>
    </row>
    <row r="1164" ht="15.75" hidden="1" customHeight="1">
      <c r="A1164" s="206"/>
      <c r="B1164" s="54" t="s">
        <v>803</v>
      </c>
      <c r="C1164" s="54" t="s">
        <v>806</v>
      </c>
      <c r="D1164" s="198" t="s">
        <v>22</v>
      </c>
      <c r="E1164" s="201" t="s">
        <v>807</v>
      </c>
      <c r="F1164" s="158">
        <v>0.0</v>
      </c>
      <c r="G1164" s="57">
        <v>35.0</v>
      </c>
      <c r="H1164" s="57">
        <f t="shared" si="28"/>
        <v>0</v>
      </c>
      <c r="I1164" s="57"/>
      <c r="J1164" s="58"/>
      <c r="K1164" s="54"/>
      <c r="L1164" s="54"/>
      <c r="M1164" s="54"/>
      <c r="N1164" s="54"/>
      <c r="O1164" s="54"/>
      <c r="P1164" s="54"/>
      <c r="Q1164" s="1"/>
      <c r="R1164" s="1"/>
      <c r="S1164" s="1"/>
      <c r="T1164" s="1"/>
      <c r="U1164" s="1"/>
      <c r="V1164" s="1"/>
    </row>
    <row r="1165" ht="15.75" hidden="1" customHeight="1">
      <c r="A1165" s="206"/>
      <c r="B1165" s="54" t="s">
        <v>808</v>
      </c>
      <c r="C1165" s="54" t="s">
        <v>809</v>
      </c>
      <c r="D1165" s="198" t="s">
        <v>22</v>
      </c>
      <c r="E1165" s="201" t="s">
        <v>810</v>
      </c>
      <c r="F1165" s="158">
        <v>0.0</v>
      </c>
      <c r="G1165" s="57">
        <v>20.0</v>
      </c>
      <c r="H1165" s="57">
        <f t="shared" si="28"/>
        <v>0</v>
      </c>
      <c r="I1165" s="57"/>
      <c r="J1165" s="58"/>
      <c r="K1165" s="54"/>
      <c r="L1165" s="54"/>
      <c r="M1165" s="54"/>
      <c r="N1165" s="54"/>
      <c r="O1165" s="54"/>
      <c r="P1165" s="54"/>
      <c r="Q1165" s="1"/>
      <c r="R1165" s="1"/>
      <c r="S1165" s="1"/>
      <c r="T1165" s="1"/>
      <c r="U1165" s="1"/>
      <c r="V1165" s="1"/>
    </row>
    <row r="1166" ht="15.75" hidden="1" customHeight="1">
      <c r="A1166" s="206"/>
      <c r="B1166" s="54" t="s">
        <v>18</v>
      </c>
      <c r="C1166" s="54" t="s">
        <v>811</v>
      </c>
      <c r="D1166" s="198" t="s">
        <v>22</v>
      </c>
      <c r="E1166" s="205" t="s">
        <v>812</v>
      </c>
      <c r="F1166" s="158">
        <v>0.0</v>
      </c>
      <c r="G1166" s="57">
        <v>16.0</v>
      </c>
      <c r="H1166" s="57">
        <f t="shared" si="28"/>
        <v>0</v>
      </c>
      <c r="I1166" s="57"/>
      <c r="J1166" s="58"/>
      <c r="K1166" s="54"/>
      <c r="L1166" s="54"/>
      <c r="M1166" s="54"/>
      <c r="N1166" s="54"/>
      <c r="O1166" s="54"/>
      <c r="P1166" s="54"/>
      <c r="Q1166" s="1"/>
      <c r="R1166" s="1"/>
      <c r="S1166" s="1"/>
      <c r="T1166" s="1"/>
      <c r="U1166" s="1"/>
      <c r="V1166" s="1"/>
    </row>
    <row r="1167" ht="15.75" hidden="1" customHeight="1">
      <c r="A1167" s="206"/>
      <c r="B1167" s="54" t="s">
        <v>18</v>
      </c>
      <c r="C1167" s="54" t="s">
        <v>813</v>
      </c>
      <c r="D1167" s="198" t="s">
        <v>22</v>
      </c>
      <c r="E1167" s="201" t="s">
        <v>814</v>
      </c>
      <c r="F1167" s="158">
        <v>0.0</v>
      </c>
      <c r="G1167" s="57">
        <v>12.0</v>
      </c>
      <c r="H1167" s="57">
        <f t="shared" si="28"/>
        <v>0</v>
      </c>
      <c r="I1167" s="57"/>
      <c r="J1167" s="58"/>
      <c r="K1167" s="54"/>
      <c r="L1167" s="54"/>
      <c r="M1167" s="54"/>
      <c r="N1167" s="54"/>
      <c r="O1167" s="54"/>
      <c r="P1167" s="54"/>
      <c r="Q1167" s="1"/>
      <c r="R1167" s="1"/>
      <c r="S1167" s="1"/>
      <c r="T1167" s="1"/>
      <c r="U1167" s="1"/>
      <c r="V1167" s="1"/>
    </row>
    <row r="1168" ht="15.75" hidden="1" customHeight="1">
      <c r="A1168" s="206"/>
      <c r="B1168" s="54" t="s">
        <v>18</v>
      </c>
      <c r="C1168" s="54" t="s">
        <v>815</v>
      </c>
      <c r="D1168" s="198" t="s">
        <v>22</v>
      </c>
      <c r="E1168" s="205" t="s">
        <v>816</v>
      </c>
      <c r="F1168" s="158">
        <v>0.0</v>
      </c>
      <c r="G1168" s="57">
        <v>18.0</v>
      </c>
      <c r="H1168" s="57">
        <f t="shared" si="28"/>
        <v>0</v>
      </c>
      <c r="I1168" s="57"/>
      <c r="J1168" s="58"/>
      <c r="K1168" s="54"/>
      <c r="L1168" s="54"/>
      <c r="M1168" s="54"/>
      <c r="N1168" s="54"/>
      <c r="O1168" s="54"/>
      <c r="P1168" s="54"/>
      <c r="Q1168" s="1"/>
      <c r="R1168" s="1"/>
      <c r="S1168" s="1"/>
      <c r="T1168" s="1"/>
      <c r="U1168" s="1"/>
      <c r="V1168" s="1"/>
    </row>
    <row r="1169" ht="15.75" hidden="1" customHeight="1">
      <c r="A1169" s="206"/>
      <c r="B1169" s="54" t="s">
        <v>817</v>
      </c>
      <c r="C1169" s="54" t="s">
        <v>818</v>
      </c>
      <c r="D1169" s="55" t="s">
        <v>20</v>
      </c>
      <c r="E1169" s="54"/>
      <c r="F1169" s="158">
        <v>0.0</v>
      </c>
      <c r="G1169" s="57">
        <v>5000.0</v>
      </c>
      <c r="H1169" s="57">
        <f t="shared" si="28"/>
        <v>0</v>
      </c>
      <c r="I1169" s="58"/>
      <c r="J1169" s="58"/>
      <c r="K1169" s="54"/>
      <c r="L1169" s="271"/>
      <c r="M1169" s="271"/>
      <c r="N1169" s="271"/>
      <c r="O1169" s="271"/>
      <c r="P1169" s="271"/>
      <c r="Q1169" s="1"/>
      <c r="R1169" s="1"/>
      <c r="S1169" s="1"/>
      <c r="T1169" s="1"/>
      <c r="U1169" s="1"/>
      <c r="V1169" s="1"/>
    </row>
    <row r="1170" ht="15.75" hidden="1" customHeight="1">
      <c r="A1170" s="206"/>
      <c r="B1170" s="54"/>
      <c r="C1170" s="54" t="s">
        <v>819</v>
      </c>
      <c r="D1170" s="55" t="s">
        <v>20</v>
      </c>
      <c r="E1170" s="54"/>
      <c r="F1170" s="56">
        <v>0.0</v>
      </c>
      <c r="G1170" s="57">
        <v>300.0</v>
      </c>
      <c r="H1170" s="57">
        <f t="shared" si="28"/>
        <v>0</v>
      </c>
      <c r="I1170" s="58"/>
      <c r="J1170" s="58"/>
      <c r="K1170" s="54"/>
      <c r="L1170" s="271"/>
      <c r="M1170" s="271"/>
      <c r="N1170" s="271"/>
      <c r="O1170" s="271"/>
      <c r="P1170" s="271"/>
      <c r="Q1170" s="1"/>
      <c r="R1170" s="1"/>
      <c r="S1170" s="1"/>
      <c r="T1170" s="1"/>
      <c r="U1170" s="1"/>
      <c r="V1170" s="1"/>
    </row>
    <row r="1171" ht="15.75" hidden="1" customHeight="1">
      <c r="A1171" s="206"/>
      <c r="B1171" s="54" t="s">
        <v>18</v>
      </c>
      <c r="C1171" s="54" t="s">
        <v>283</v>
      </c>
      <c r="D1171" s="55" t="s">
        <v>20</v>
      </c>
      <c r="E1171" s="54" t="s">
        <v>284</v>
      </c>
      <c r="F1171" s="56">
        <v>0.0</v>
      </c>
      <c r="G1171" s="57">
        <v>12.0</v>
      </c>
      <c r="H1171" s="57">
        <f t="shared" si="28"/>
        <v>0</v>
      </c>
      <c r="I1171" s="58"/>
      <c r="J1171" s="57"/>
      <c r="K1171" s="54"/>
      <c r="L1171" s="271"/>
      <c r="M1171" s="271"/>
      <c r="N1171" s="271"/>
      <c r="O1171" s="271"/>
      <c r="P1171" s="271"/>
      <c r="Q1171" s="1"/>
      <c r="R1171" s="1"/>
      <c r="S1171" s="1"/>
      <c r="T1171" s="1"/>
      <c r="U1171" s="1"/>
      <c r="V1171" s="1"/>
    </row>
    <row r="1172" ht="15.75" hidden="1" customHeight="1">
      <c r="A1172" s="206"/>
      <c r="B1172" s="54" t="s">
        <v>18</v>
      </c>
      <c r="C1172" s="54" t="s">
        <v>820</v>
      </c>
      <c r="D1172" s="55" t="s">
        <v>20</v>
      </c>
      <c r="E1172" s="54"/>
      <c r="F1172" s="56">
        <v>0.0</v>
      </c>
      <c r="G1172" s="57">
        <v>956.0</v>
      </c>
      <c r="H1172" s="57">
        <f t="shared" si="28"/>
        <v>0</v>
      </c>
      <c r="I1172" s="58"/>
      <c r="J1172" s="57"/>
      <c r="K1172" s="54"/>
      <c r="L1172" s="271"/>
      <c r="M1172" s="271"/>
      <c r="N1172" s="271"/>
      <c r="O1172" s="271"/>
      <c r="P1172" s="271"/>
      <c r="Q1172" s="1"/>
      <c r="R1172" s="1"/>
      <c r="S1172" s="1"/>
      <c r="T1172" s="1"/>
      <c r="U1172" s="1"/>
      <c r="V1172" s="1"/>
    </row>
    <row r="1173" ht="15.75" hidden="1" customHeight="1">
      <c r="A1173" s="206"/>
      <c r="B1173" s="54"/>
      <c r="C1173" s="54" t="s">
        <v>821</v>
      </c>
      <c r="D1173" s="314" t="s">
        <v>26</v>
      </c>
      <c r="E1173" s="54"/>
      <c r="F1173" s="56">
        <v>0.0</v>
      </c>
      <c r="G1173" s="57">
        <v>900.0</v>
      </c>
      <c r="H1173" s="57">
        <f t="shared" si="28"/>
        <v>0</v>
      </c>
      <c r="I1173" s="58"/>
      <c r="J1173" s="57"/>
      <c r="K1173" s="54"/>
      <c r="L1173" s="271"/>
      <c r="M1173" s="271"/>
      <c r="N1173" s="271"/>
      <c r="O1173" s="271"/>
      <c r="P1173" s="271"/>
      <c r="Q1173" s="1"/>
      <c r="R1173" s="1"/>
      <c r="S1173" s="1"/>
      <c r="T1173" s="1"/>
      <c r="U1173" s="1"/>
      <c r="V1173" s="1"/>
    </row>
    <row r="1174" ht="15.75" hidden="1" customHeight="1">
      <c r="A1174" s="206"/>
      <c r="B1174" s="54" t="s">
        <v>18</v>
      </c>
      <c r="C1174" s="54" t="s">
        <v>822</v>
      </c>
      <c r="D1174" s="55" t="s">
        <v>20</v>
      </c>
      <c r="E1174" s="205" t="s">
        <v>823</v>
      </c>
      <c r="F1174" s="158">
        <v>0.0</v>
      </c>
      <c r="G1174" s="57">
        <v>150.0</v>
      </c>
      <c r="H1174" s="57">
        <f t="shared" si="28"/>
        <v>0</v>
      </c>
      <c r="I1174" s="58"/>
      <c r="J1174" s="57"/>
      <c r="K1174" s="315"/>
      <c r="L1174" s="271"/>
      <c r="M1174" s="271"/>
      <c r="N1174" s="271"/>
      <c r="O1174" s="271"/>
      <c r="P1174" s="271"/>
      <c r="Q1174" s="1"/>
      <c r="R1174" s="1"/>
      <c r="S1174" s="1"/>
      <c r="T1174" s="1"/>
      <c r="U1174" s="1"/>
      <c r="V1174" s="1"/>
    </row>
    <row r="1175" ht="15.75" hidden="1" customHeight="1">
      <c r="A1175" s="206"/>
      <c r="B1175" s="54" t="s">
        <v>18</v>
      </c>
      <c r="C1175" s="54" t="s">
        <v>824</v>
      </c>
      <c r="D1175" s="55" t="s">
        <v>20</v>
      </c>
      <c r="E1175" s="54"/>
      <c r="F1175" s="158">
        <v>0.0</v>
      </c>
      <c r="G1175" s="57">
        <v>150.0</v>
      </c>
      <c r="H1175" s="57">
        <f t="shared" si="28"/>
        <v>0</v>
      </c>
      <c r="I1175" s="58"/>
      <c r="J1175" s="57"/>
      <c r="K1175" s="54"/>
      <c r="L1175" s="271"/>
      <c r="M1175" s="271"/>
      <c r="N1175" s="271"/>
      <c r="O1175" s="271"/>
      <c r="P1175" s="271"/>
      <c r="Q1175" s="1"/>
      <c r="R1175" s="1"/>
      <c r="S1175" s="1"/>
      <c r="T1175" s="1"/>
      <c r="U1175" s="1"/>
      <c r="V1175" s="1"/>
    </row>
    <row r="1176" ht="15.75" hidden="1" customHeight="1">
      <c r="A1176" s="206"/>
      <c r="B1176" s="54" t="s">
        <v>18</v>
      </c>
      <c r="C1176" s="54" t="s">
        <v>825</v>
      </c>
      <c r="D1176" s="55" t="s">
        <v>20</v>
      </c>
      <c r="E1176" s="54"/>
      <c r="F1176" s="56">
        <v>0.0</v>
      </c>
      <c r="G1176" s="57">
        <v>27.99</v>
      </c>
      <c r="H1176" s="57">
        <f t="shared" si="28"/>
        <v>0</v>
      </c>
      <c r="I1176" s="58"/>
      <c r="J1176" s="58"/>
      <c r="K1176" s="54"/>
      <c r="L1176" s="252"/>
      <c r="M1176" s="252"/>
      <c r="N1176" s="252"/>
      <c r="O1176" s="252"/>
      <c r="P1176" s="252"/>
      <c r="Q1176" s="1"/>
      <c r="R1176" s="1"/>
      <c r="S1176" s="1"/>
      <c r="T1176" s="1"/>
      <c r="U1176" s="1"/>
      <c r="V1176" s="1"/>
    </row>
    <row r="1177" ht="15.75" hidden="1" customHeight="1">
      <c r="A1177" s="206"/>
      <c r="B1177" s="54" t="s">
        <v>18</v>
      </c>
      <c r="C1177" s="54" t="s">
        <v>309</v>
      </c>
      <c r="D1177" s="55" t="s">
        <v>20</v>
      </c>
      <c r="E1177" s="54"/>
      <c r="F1177" s="56">
        <v>0.0</v>
      </c>
      <c r="G1177" s="57">
        <v>20.0</v>
      </c>
      <c r="H1177" s="57">
        <f t="shared" si="28"/>
        <v>0</v>
      </c>
      <c r="I1177" s="58"/>
      <c r="J1177" s="58"/>
      <c r="K1177" s="54"/>
      <c r="L1177" s="54"/>
      <c r="M1177" s="54"/>
      <c r="N1177" s="54"/>
      <c r="O1177" s="54"/>
      <c r="P1177" s="54"/>
      <c r="Q1177" s="1"/>
      <c r="R1177" s="1"/>
      <c r="S1177" s="1"/>
      <c r="T1177" s="1"/>
      <c r="U1177" s="1"/>
      <c r="V1177" s="1"/>
    </row>
    <row r="1178" ht="15.75" hidden="1" customHeight="1">
      <c r="A1178" s="206"/>
      <c r="B1178" s="54" t="s">
        <v>18</v>
      </c>
      <c r="C1178" s="54" t="s">
        <v>826</v>
      </c>
      <c r="D1178" s="55" t="s">
        <v>20</v>
      </c>
      <c r="E1178" s="208" t="s">
        <v>827</v>
      </c>
      <c r="F1178" s="56">
        <v>0.0</v>
      </c>
      <c r="G1178" s="57">
        <v>71.5</v>
      </c>
      <c r="H1178" s="57">
        <f t="shared" si="28"/>
        <v>0</v>
      </c>
      <c r="I1178" s="58"/>
      <c r="J1178" s="58"/>
      <c r="K1178" s="54"/>
      <c r="L1178" s="54"/>
      <c r="M1178" s="54"/>
      <c r="N1178" s="54"/>
      <c r="O1178" s="54"/>
      <c r="P1178" s="54"/>
      <c r="Q1178" s="1"/>
      <c r="R1178" s="1"/>
      <c r="S1178" s="1"/>
      <c r="T1178" s="1"/>
      <c r="U1178" s="1"/>
      <c r="V1178" s="1"/>
    </row>
    <row r="1179" ht="15.75" hidden="1" customHeight="1">
      <c r="A1179" s="206"/>
      <c r="B1179" s="54" t="s">
        <v>18</v>
      </c>
      <c r="C1179" s="54" t="s">
        <v>828</v>
      </c>
      <c r="D1179" s="55" t="s">
        <v>20</v>
      </c>
      <c r="E1179" s="54" t="s">
        <v>475</v>
      </c>
      <c r="F1179" s="56">
        <v>0.0</v>
      </c>
      <c r="G1179" s="57">
        <v>25.0</v>
      </c>
      <c r="H1179" s="57">
        <f t="shared" si="28"/>
        <v>0</v>
      </c>
      <c r="I1179" s="58"/>
      <c r="J1179" s="58"/>
      <c r="K1179" s="54"/>
      <c r="L1179" s="54"/>
      <c r="M1179" s="54"/>
      <c r="N1179" s="54"/>
      <c r="O1179" s="54"/>
      <c r="P1179" s="54"/>
      <c r="Q1179" s="1"/>
      <c r="R1179" s="1"/>
      <c r="S1179" s="1"/>
      <c r="T1179" s="1"/>
      <c r="U1179" s="1"/>
      <c r="V1179" s="1"/>
    </row>
    <row r="1180" ht="15.75" hidden="1" customHeight="1">
      <c r="A1180" s="206"/>
      <c r="B1180" s="54" t="s">
        <v>18</v>
      </c>
      <c r="C1180" s="54" t="s">
        <v>500</v>
      </c>
      <c r="D1180" s="55" t="s">
        <v>20</v>
      </c>
      <c r="E1180" s="54" t="s">
        <v>829</v>
      </c>
      <c r="F1180" s="56">
        <v>0.0</v>
      </c>
      <c r="G1180" s="57">
        <v>6.0</v>
      </c>
      <c r="H1180" s="57">
        <f t="shared" si="28"/>
        <v>0</v>
      </c>
      <c r="I1180" s="58"/>
      <c r="J1180" s="58"/>
      <c r="K1180" s="54"/>
      <c r="L1180" s="252"/>
      <c r="M1180" s="252"/>
      <c r="N1180" s="252"/>
      <c r="O1180" s="252"/>
      <c r="P1180" s="252"/>
      <c r="Q1180" s="1"/>
      <c r="R1180" s="1"/>
      <c r="S1180" s="1"/>
      <c r="T1180" s="1"/>
      <c r="U1180" s="1"/>
      <c r="V1180" s="1"/>
    </row>
    <row r="1181" ht="15.75" customHeight="1">
      <c r="A1181" s="206"/>
      <c r="B1181" s="54" t="s">
        <v>18</v>
      </c>
      <c r="C1181" s="54" t="s">
        <v>280</v>
      </c>
      <c r="D1181" s="55" t="s">
        <v>20</v>
      </c>
      <c r="E1181" s="15" t="s">
        <v>830</v>
      </c>
      <c r="F1181" s="56">
        <v>1.0</v>
      </c>
      <c r="G1181" s="34">
        <v>20.0</v>
      </c>
      <c r="H1181" s="57">
        <f t="shared" si="28"/>
        <v>20</v>
      </c>
      <c r="I1181" s="58"/>
      <c r="J1181" s="54"/>
      <c r="K1181" s="54"/>
      <c r="L1181" s="271"/>
      <c r="M1181" s="271"/>
      <c r="N1181" s="271"/>
      <c r="O1181" s="271"/>
      <c r="P1181" s="271"/>
      <c r="Q1181" s="1"/>
      <c r="R1181" s="1"/>
      <c r="S1181" s="1"/>
      <c r="T1181" s="1"/>
      <c r="U1181" s="1"/>
      <c r="V1181" s="1"/>
    </row>
    <row r="1182" ht="15.75" customHeight="1">
      <c r="A1182" s="206"/>
      <c r="B1182" s="258" t="s">
        <v>539</v>
      </c>
      <c r="C1182" s="258" t="s">
        <v>831</v>
      </c>
      <c r="D1182" s="198" t="s">
        <v>22</v>
      </c>
      <c r="E1182" s="208"/>
      <c r="F1182" s="158">
        <v>1.0</v>
      </c>
      <c r="G1182" s="159">
        <v>500.0</v>
      </c>
      <c r="H1182" s="57">
        <f t="shared" si="28"/>
        <v>500</v>
      </c>
      <c r="I1182" s="58"/>
      <c r="J1182" s="54"/>
      <c r="K1182" s="54"/>
      <c r="L1182" s="271"/>
      <c r="M1182" s="271"/>
      <c r="N1182" s="271"/>
      <c r="O1182" s="271"/>
      <c r="P1182" s="271"/>
      <c r="Q1182" s="1"/>
      <c r="R1182" s="1"/>
      <c r="S1182" s="1"/>
      <c r="T1182" s="1"/>
      <c r="U1182" s="1"/>
      <c r="V1182" s="1"/>
    </row>
    <row r="1183" ht="15.75" customHeight="1">
      <c r="A1183" s="206"/>
      <c r="B1183" s="258" t="s">
        <v>18</v>
      </c>
      <c r="C1183" s="258" t="s">
        <v>832</v>
      </c>
      <c r="D1183" s="198" t="s">
        <v>22</v>
      </c>
      <c r="E1183" s="316" t="s">
        <v>833</v>
      </c>
      <c r="F1183" s="158">
        <v>2.0</v>
      </c>
      <c r="G1183" s="159">
        <v>50.0</v>
      </c>
      <c r="H1183" s="57">
        <f t="shared" si="28"/>
        <v>100</v>
      </c>
      <c r="I1183" s="58"/>
      <c r="J1183" s="54"/>
      <c r="K1183" s="54"/>
      <c r="L1183" s="271"/>
      <c r="M1183" s="271"/>
      <c r="N1183" s="271"/>
      <c r="O1183" s="271"/>
      <c r="P1183" s="271"/>
      <c r="Q1183" s="1"/>
      <c r="R1183" s="1"/>
      <c r="S1183" s="1"/>
      <c r="T1183" s="1"/>
      <c r="U1183" s="1"/>
      <c r="V1183" s="1"/>
    </row>
    <row r="1184" ht="15.75" customHeight="1">
      <c r="A1184" s="206"/>
      <c r="B1184" s="258" t="s">
        <v>18</v>
      </c>
      <c r="C1184" s="258" t="s">
        <v>834</v>
      </c>
      <c r="D1184" s="198" t="s">
        <v>22</v>
      </c>
      <c r="E1184" s="316" t="s">
        <v>835</v>
      </c>
      <c r="F1184" s="158">
        <v>2.0</v>
      </c>
      <c r="G1184" s="159">
        <v>204.0</v>
      </c>
      <c r="H1184" s="57">
        <f t="shared" si="28"/>
        <v>408</v>
      </c>
      <c r="I1184" s="58"/>
      <c r="J1184" s="54"/>
      <c r="K1184" s="54"/>
      <c r="L1184" s="271"/>
      <c r="M1184" s="271"/>
      <c r="N1184" s="271"/>
      <c r="O1184" s="271"/>
      <c r="P1184" s="271"/>
      <c r="Q1184" s="1"/>
      <c r="R1184" s="1"/>
      <c r="S1184" s="1"/>
      <c r="T1184" s="1"/>
      <c r="U1184" s="1"/>
      <c r="V1184" s="1"/>
    </row>
    <row r="1185" ht="15.75" customHeight="1">
      <c r="A1185" s="206"/>
      <c r="B1185" s="258" t="s">
        <v>18</v>
      </c>
      <c r="C1185" s="258" t="s">
        <v>836</v>
      </c>
      <c r="D1185" s="198" t="s">
        <v>22</v>
      </c>
      <c r="E1185" s="316" t="s">
        <v>837</v>
      </c>
      <c r="F1185" s="158">
        <v>1.0</v>
      </c>
      <c r="G1185" s="159">
        <v>72.0</v>
      </c>
      <c r="H1185" s="57">
        <f t="shared" si="28"/>
        <v>72</v>
      </c>
      <c r="I1185" s="58"/>
      <c r="J1185" s="54"/>
      <c r="K1185" s="54"/>
      <c r="L1185" s="271"/>
      <c r="M1185" s="271"/>
      <c r="N1185" s="271"/>
      <c r="O1185" s="271"/>
      <c r="P1185" s="271"/>
      <c r="Q1185" s="1"/>
      <c r="R1185" s="1"/>
      <c r="S1185" s="1"/>
      <c r="T1185" s="1"/>
      <c r="U1185" s="1"/>
      <c r="V1185" s="1"/>
    </row>
    <row r="1186" ht="15.75" customHeight="1">
      <c r="A1186" s="206"/>
      <c r="B1186" s="258" t="s">
        <v>88</v>
      </c>
      <c r="C1186" s="258" t="s">
        <v>838</v>
      </c>
      <c r="D1186" s="198" t="s">
        <v>22</v>
      </c>
      <c r="E1186" s="316" t="s">
        <v>839</v>
      </c>
      <c r="F1186" s="158">
        <v>1.0</v>
      </c>
      <c r="G1186" s="159">
        <v>78.0</v>
      </c>
      <c r="H1186" s="57">
        <f t="shared" si="28"/>
        <v>78</v>
      </c>
      <c r="I1186" s="58"/>
      <c r="J1186" s="54"/>
      <c r="K1186" s="54"/>
      <c r="L1186" s="271"/>
      <c r="M1186" s="271"/>
      <c r="N1186" s="271"/>
      <c r="O1186" s="271"/>
      <c r="P1186" s="271"/>
      <c r="Q1186" s="1"/>
      <c r="R1186" s="1"/>
      <c r="S1186" s="1"/>
      <c r="T1186" s="1"/>
      <c r="U1186" s="1"/>
      <c r="V1186" s="1"/>
    </row>
    <row r="1187" ht="15.75" customHeight="1">
      <c r="A1187" s="206"/>
      <c r="B1187" s="258" t="s">
        <v>840</v>
      </c>
      <c r="C1187" s="258" t="s">
        <v>841</v>
      </c>
      <c r="D1187" s="198" t="s">
        <v>22</v>
      </c>
      <c r="E1187" s="317"/>
      <c r="F1187" s="158">
        <v>1.0</v>
      </c>
      <c r="G1187" s="159">
        <v>220.0</v>
      </c>
      <c r="H1187" s="57">
        <f t="shared" si="28"/>
        <v>220</v>
      </c>
      <c r="I1187" s="58"/>
      <c r="J1187" s="54"/>
      <c r="K1187" s="54"/>
      <c r="L1187" s="271"/>
      <c r="M1187" s="271"/>
      <c r="N1187" s="271"/>
      <c r="O1187" s="271"/>
      <c r="P1187" s="271"/>
      <c r="Q1187" s="1"/>
      <c r="R1187" s="1"/>
      <c r="S1187" s="1"/>
      <c r="T1187" s="1"/>
      <c r="U1187" s="1"/>
      <c r="V1187" s="1"/>
    </row>
    <row r="1188" ht="15.75" customHeight="1">
      <c r="A1188" s="206"/>
      <c r="B1188" s="258" t="s">
        <v>88</v>
      </c>
      <c r="C1188" s="258" t="s">
        <v>842</v>
      </c>
      <c r="D1188" s="198" t="s">
        <v>22</v>
      </c>
      <c r="E1188" s="316" t="s">
        <v>843</v>
      </c>
      <c r="F1188" s="158">
        <v>1.0</v>
      </c>
      <c r="G1188" s="159">
        <v>228.0</v>
      </c>
      <c r="H1188" s="57">
        <f t="shared" si="28"/>
        <v>228</v>
      </c>
      <c r="I1188" s="58"/>
      <c r="J1188" s="54"/>
      <c r="K1188" s="54"/>
      <c r="L1188" s="271"/>
      <c r="M1188" s="271"/>
      <c r="N1188" s="271"/>
      <c r="O1188" s="271"/>
      <c r="P1188" s="271"/>
      <c r="Q1188" s="1"/>
      <c r="R1188" s="1"/>
      <c r="S1188" s="1"/>
      <c r="T1188" s="1"/>
      <c r="U1188" s="1"/>
      <c r="V1188" s="1"/>
    </row>
    <row r="1189" ht="15.75" customHeight="1">
      <c r="A1189" s="206"/>
      <c r="B1189" s="258" t="s">
        <v>840</v>
      </c>
      <c r="C1189" s="258" t="s">
        <v>844</v>
      </c>
      <c r="D1189" s="198" t="s">
        <v>22</v>
      </c>
      <c r="E1189" s="317"/>
      <c r="F1189" s="158">
        <v>1.0</v>
      </c>
      <c r="G1189" s="159">
        <v>220.0</v>
      </c>
      <c r="H1189" s="57">
        <f t="shared" si="28"/>
        <v>220</v>
      </c>
      <c r="I1189" s="58"/>
      <c r="J1189" s="54"/>
      <c r="K1189" s="54"/>
      <c r="L1189" s="271"/>
      <c r="M1189" s="271"/>
      <c r="N1189" s="271"/>
      <c r="O1189" s="271"/>
      <c r="P1189" s="271"/>
      <c r="Q1189" s="1"/>
      <c r="R1189" s="1"/>
      <c r="S1189" s="1"/>
      <c r="T1189" s="1"/>
      <c r="U1189" s="1"/>
      <c r="V1189" s="1"/>
    </row>
    <row r="1190" ht="15.75" customHeight="1">
      <c r="A1190" s="206"/>
      <c r="B1190" s="258" t="s">
        <v>18</v>
      </c>
      <c r="C1190" s="258" t="s">
        <v>772</v>
      </c>
      <c r="D1190" s="198" t="s">
        <v>22</v>
      </c>
      <c r="E1190" s="261" t="s">
        <v>845</v>
      </c>
      <c r="F1190" s="158">
        <v>1.0</v>
      </c>
      <c r="G1190" s="159">
        <v>78.0</v>
      </c>
      <c r="H1190" s="57">
        <f t="shared" si="28"/>
        <v>78</v>
      </c>
      <c r="I1190" s="58"/>
      <c r="J1190" s="54"/>
      <c r="K1190" s="54"/>
      <c r="L1190" s="271"/>
      <c r="M1190" s="271"/>
      <c r="N1190" s="271"/>
      <c r="O1190" s="271"/>
      <c r="P1190" s="271"/>
      <c r="Q1190" s="1"/>
      <c r="R1190" s="1"/>
      <c r="S1190" s="1"/>
      <c r="T1190" s="1"/>
      <c r="U1190" s="1"/>
      <c r="V1190" s="1"/>
    </row>
    <row r="1191" ht="15.75" customHeight="1">
      <c r="A1191" s="206"/>
      <c r="B1191" s="258" t="s">
        <v>383</v>
      </c>
      <c r="C1191" s="258" t="s">
        <v>846</v>
      </c>
      <c r="D1191" s="314" t="s">
        <v>26</v>
      </c>
      <c r="E1191" s="54"/>
      <c r="F1191" s="56">
        <v>1.0</v>
      </c>
      <c r="G1191" s="159">
        <v>15000.0</v>
      </c>
      <c r="H1191" s="57">
        <f t="shared" si="28"/>
        <v>15000</v>
      </c>
      <c r="I1191" s="58"/>
      <c r="J1191" s="58"/>
      <c r="K1191" s="13"/>
      <c r="L1191" s="271"/>
      <c r="M1191" s="271"/>
      <c r="N1191" s="271"/>
      <c r="O1191" s="271"/>
      <c r="P1191" s="271"/>
      <c r="Q1191" s="1"/>
      <c r="R1191" s="1"/>
      <c r="S1191" s="1"/>
      <c r="T1191" s="1"/>
      <c r="U1191" s="1"/>
      <c r="V1191" s="1"/>
    </row>
    <row r="1192" ht="15.75" hidden="1" customHeight="1">
      <c r="A1192" s="206"/>
      <c r="B1192" s="258" t="s">
        <v>383</v>
      </c>
      <c r="C1192" s="54" t="s">
        <v>847</v>
      </c>
      <c r="D1192" s="55" t="s">
        <v>20</v>
      </c>
      <c r="E1192" s="54"/>
      <c r="F1192" s="158">
        <v>0.0</v>
      </c>
      <c r="G1192" s="57">
        <v>5000.0</v>
      </c>
      <c r="H1192" s="57">
        <f t="shared" si="28"/>
        <v>0</v>
      </c>
      <c r="I1192" s="58"/>
      <c r="J1192" s="58"/>
      <c r="K1192" s="54"/>
      <c r="L1192" s="271"/>
      <c r="M1192" s="271"/>
      <c r="N1192" s="271"/>
      <c r="O1192" s="271"/>
      <c r="P1192" s="271"/>
      <c r="Q1192" s="1"/>
      <c r="R1192" s="1"/>
      <c r="S1192" s="1"/>
      <c r="T1192" s="1"/>
      <c r="U1192" s="1"/>
      <c r="V1192" s="1"/>
    </row>
    <row r="1193" ht="15.75" hidden="1" customHeight="1">
      <c r="A1193" s="206"/>
      <c r="B1193" s="54"/>
      <c r="C1193" s="13" t="s">
        <v>848</v>
      </c>
      <c r="D1193" s="318" t="s">
        <v>26</v>
      </c>
      <c r="E1193" s="52"/>
      <c r="F1193" s="48">
        <v>0.0</v>
      </c>
      <c r="G1193" s="50">
        <v>11000.0</v>
      </c>
      <c r="H1193" s="50">
        <f t="shared" si="28"/>
        <v>0</v>
      </c>
      <c r="I1193" s="58"/>
      <c r="J1193" s="58"/>
      <c r="K1193" s="54"/>
      <c r="L1193" s="271"/>
      <c r="M1193" s="271"/>
      <c r="N1193" s="271"/>
      <c r="O1193" s="271"/>
      <c r="P1193" s="271"/>
      <c r="Q1193" s="1"/>
      <c r="R1193" s="1"/>
      <c r="S1193" s="1"/>
      <c r="T1193" s="1"/>
      <c r="U1193" s="1"/>
      <c r="V1193" s="1"/>
    </row>
    <row r="1194" ht="15.75" hidden="1" customHeight="1">
      <c r="A1194" s="206"/>
      <c r="B1194" s="54"/>
      <c r="C1194" s="206" t="s">
        <v>849</v>
      </c>
      <c r="D1194" s="55" t="s">
        <v>20</v>
      </c>
      <c r="E1194" s="54"/>
      <c r="F1194" s="56">
        <v>0.0</v>
      </c>
      <c r="G1194" s="57">
        <v>6000.0</v>
      </c>
      <c r="H1194" s="57">
        <f t="shared" si="28"/>
        <v>0</v>
      </c>
      <c r="I1194" s="58"/>
      <c r="J1194" s="58"/>
      <c r="K1194" s="54"/>
      <c r="L1194" s="271"/>
      <c r="M1194" s="271"/>
      <c r="N1194" s="271"/>
      <c r="O1194" s="271"/>
      <c r="P1194" s="271"/>
      <c r="Q1194" s="1"/>
      <c r="R1194" s="1"/>
      <c r="S1194" s="1"/>
      <c r="T1194" s="1"/>
      <c r="U1194" s="1"/>
      <c r="V1194" s="1"/>
    </row>
    <row r="1195" ht="15.75" hidden="1" customHeight="1">
      <c r="A1195" s="206"/>
      <c r="B1195" s="54" t="s">
        <v>18</v>
      </c>
      <c r="C1195" s="54" t="s">
        <v>850</v>
      </c>
      <c r="D1195" s="55" t="s">
        <v>20</v>
      </c>
      <c r="E1195" s="54" t="s">
        <v>851</v>
      </c>
      <c r="F1195" s="56">
        <v>0.0</v>
      </c>
      <c r="G1195" s="57">
        <v>36.49</v>
      </c>
      <c r="H1195" s="57">
        <f t="shared" si="28"/>
        <v>0</v>
      </c>
      <c r="I1195" s="58"/>
      <c r="J1195" s="58"/>
      <c r="K1195" s="54"/>
      <c r="L1195" s="54"/>
      <c r="M1195" s="54"/>
      <c r="N1195" s="54"/>
      <c r="O1195" s="54"/>
      <c r="P1195" s="54"/>
      <c r="Q1195" s="1"/>
      <c r="R1195" s="1"/>
      <c r="S1195" s="1"/>
      <c r="T1195" s="1"/>
      <c r="U1195" s="1"/>
      <c r="V1195" s="1"/>
    </row>
    <row r="1196" ht="15.75" hidden="1" customHeight="1">
      <c r="A1196" s="206"/>
      <c r="B1196" s="54" t="s">
        <v>18</v>
      </c>
      <c r="C1196" s="54" t="s">
        <v>852</v>
      </c>
      <c r="D1196" s="55" t="s">
        <v>20</v>
      </c>
      <c r="E1196" s="54" t="s">
        <v>853</v>
      </c>
      <c r="F1196" s="56">
        <v>0.0</v>
      </c>
      <c r="G1196" s="57">
        <v>55.99</v>
      </c>
      <c r="H1196" s="57">
        <f t="shared" si="28"/>
        <v>0</v>
      </c>
      <c r="I1196" s="58"/>
      <c r="J1196" s="58"/>
      <c r="K1196" s="54"/>
      <c r="L1196" s="252"/>
      <c r="M1196" s="252"/>
      <c r="N1196" s="252"/>
      <c r="O1196" s="252"/>
      <c r="P1196" s="252"/>
      <c r="Q1196" s="1"/>
      <c r="R1196" s="1"/>
      <c r="S1196" s="1"/>
      <c r="T1196" s="1"/>
      <c r="U1196" s="1"/>
      <c r="V1196" s="1"/>
    </row>
    <row r="1197" ht="15.75" hidden="1" customHeight="1">
      <c r="A1197" s="206"/>
      <c r="B1197" s="54" t="s">
        <v>18</v>
      </c>
      <c r="C1197" s="54" t="s">
        <v>854</v>
      </c>
      <c r="D1197" s="55" t="s">
        <v>20</v>
      </c>
      <c r="E1197" s="54" t="s">
        <v>855</v>
      </c>
      <c r="F1197" s="56">
        <v>0.0</v>
      </c>
      <c r="G1197" s="57">
        <v>98.16</v>
      </c>
      <c r="H1197" s="57">
        <f t="shared" si="28"/>
        <v>0</v>
      </c>
      <c r="I1197" s="58"/>
      <c r="J1197" s="58"/>
      <c r="K1197" s="54"/>
      <c r="L1197" s="252"/>
      <c r="M1197" s="252"/>
      <c r="N1197" s="252"/>
      <c r="O1197" s="252"/>
      <c r="P1197" s="252"/>
      <c r="Q1197" s="1"/>
      <c r="R1197" s="1"/>
      <c r="S1197" s="1"/>
      <c r="T1197" s="1"/>
      <c r="U1197" s="1"/>
      <c r="V1197" s="1"/>
    </row>
    <row r="1198" ht="15.75" hidden="1" customHeight="1">
      <c r="A1198" s="206"/>
      <c r="B1198" s="54" t="s">
        <v>18</v>
      </c>
      <c r="C1198" s="54" t="s">
        <v>856</v>
      </c>
      <c r="D1198" s="55" t="s">
        <v>20</v>
      </c>
      <c r="E1198" s="54" t="s">
        <v>857</v>
      </c>
      <c r="F1198" s="56">
        <v>0.0</v>
      </c>
      <c r="G1198" s="57">
        <v>36.99</v>
      </c>
      <c r="H1198" s="57">
        <f t="shared" si="28"/>
        <v>0</v>
      </c>
      <c r="I1198" s="58"/>
      <c r="J1198" s="58"/>
      <c r="K1198" s="54"/>
      <c r="L1198" s="252"/>
      <c r="M1198" s="252"/>
      <c r="N1198" s="252"/>
      <c r="O1198" s="252"/>
      <c r="P1198" s="252"/>
      <c r="Q1198" s="1"/>
      <c r="R1198" s="1"/>
      <c r="S1198" s="1"/>
      <c r="T1198" s="1"/>
      <c r="U1198" s="1"/>
      <c r="V1198" s="1"/>
    </row>
    <row r="1199" ht="15.75" hidden="1" customHeight="1">
      <c r="A1199" s="206"/>
      <c r="B1199" s="54" t="s">
        <v>574</v>
      </c>
      <c r="C1199" s="54" t="s">
        <v>736</v>
      </c>
      <c r="D1199" s="55" t="s">
        <v>20</v>
      </c>
      <c r="E1199" s="54"/>
      <c r="F1199" s="56">
        <v>0.0</v>
      </c>
      <c r="G1199" s="57">
        <v>0.0</v>
      </c>
      <c r="H1199" s="57">
        <f t="shared" si="28"/>
        <v>0</v>
      </c>
      <c r="I1199" s="58"/>
      <c r="J1199" s="58"/>
      <c r="K1199" s="54"/>
      <c r="L1199" s="252"/>
      <c r="M1199" s="252"/>
      <c r="N1199" s="252"/>
      <c r="O1199" s="252"/>
      <c r="P1199" s="252"/>
      <c r="Q1199" s="1"/>
      <c r="R1199" s="1"/>
      <c r="S1199" s="1"/>
      <c r="T1199" s="1"/>
      <c r="U1199" s="1"/>
      <c r="V1199" s="1"/>
    </row>
    <row r="1200" ht="15.75" hidden="1" customHeight="1">
      <c r="A1200" s="206"/>
      <c r="B1200" s="54"/>
      <c r="C1200" s="54" t="s">
        <v>858</v>
      </c>
      <c r="D1200" s="55" t="s">
        <v>20</v>
      </c>
      <c r="E1200" s="54"/>
      <c r="F1200" s="56">
        <v>0.0</v>
      </c>
      <c r="G1200" s="57">
        <v>1000.0</v>
      </c>
      <c r="H1200" s="57">
        <f t="shared" si="28"/>
        <v>0</v>
      </c>
      <c r="I1200" s="58"/>
      <c r="J1200" s="58"/>
      <c r="K1200" s="54"/>
      <c r="L1200" s="252"/>
      <c r="M1200" s="252"/>
      <c r="N1200" s="252"/>
      <c r="O1200" s="252"/>
      <c r="P1200" s="252"/>
      <c r="Q1200" s="1"/>
      <c r="R1200" s="1"/>
      <c r="S1200" s="1"/>
      <c r="T1200" s="1"/>
      <c r="U1200" s="1"/>
      <c r="V1200" s="1"/>
    </row>
    <row r="1201" ht="15.75" hidden="1" customHeight="1">
      <c r="A1201" s="206"/>
      <c r="B1201" s="54" t="s">
        <v>18</v>
      </c>
      <c r="C1201" s="54" t="s">
        <v>781</v>
      </c>
      <c r="D1201" s="55" t="s">
        <v>20</v>
      </c>
      <c r="E1201" s="54" t="s">
        <v>859</v>
      </c>
      <c r="F1201" s="56">
        <v>0.0</v>
      </c>
      <c r="G1201" s="57">
        <v>240.0</v>
      </c>
      <c r="H1201" s="57">
        <f t="shared" si="28"/>
        <v>0</v>
      </c>
      <c r="I1201" s="58"/>
      <c r="J1201" s="58"/>
      <c r="K1201" s="54"/>
      <c r="L1201" s="252"/>
      <c r="M1201" s="252"/>
      <c r="N1201" s="252"/>
      <c r="O1201" s="252"/>
      <c r="P1201" s="252"/>
      <c r="Q1201" s="1"/>
      <c r="R1201" s="1"/>
      <c r="S1201" s="1"/>
      <c r="T1201" s="1"/>
      <c r="U1201" s="1"/>
      <c r="V1201" s="1"/>
    </row>
    <row r="1202" ht="15.75" hidden="1" customHeight="1">
      <c r="A1202" s="206"/>
      <c r="B1202" s="54" t="s">
        <v>18</v>
      </c>
      <c r="C1202" s="54" t="s">
        <v>860</v>
      </c>
      <c r="D1202" s="55" t="s">
        <v>20</v>
      </c>
      <c r="E1202" s="54" t="s">
        <v>861</v>
      </c>
      <c r="F1202" s="56">
        <v>0.0</v>
      </c>
      <c r="G1202" s="57">
        <v>59.39</v>
      </c>
      <c r="H1202" s="57">
        <f t="shared" si="28"/>
        <v>0</v>
      </c>
      <c r="I1202" s="58"/>
      <c r="J1202" s="58"/>
      <c r="K1202" s="54"/>
      <c r="L1202" s="252"/>
      <c r="M1202" s="252"/>
      <c r="N1202" s="252"/>
      <c r="O1202" s="252"/>
      <c r="P1202" s="252"/>
      <c r="Q1202" s="1"/>
      <c r="R1202" s="1"/>
      <c r="S1202" s="1"/>
      <c r="T1202" s="1"/>
      <c r="U1202" s="1"/>
      <c r="V1202" s="1"/>
    </row>
    <row r="1203" ht="15.75" hidden="1" customHeight="1">
      <c r="A1203" s="206"/>
      <c r="B1203" s="54" t="s">
        <v>18</v>
      </c>
      <c r="C1203" s="54" t="s">
        <v>862</v>
      </c>
      <c r="D1203" s="55" t="s">
        <v>20</v>
      </c>
      <c r="E1203" s="54" t="s">
        <v>863</v>
      </c>
      <c r="F1203" s="56">
        <v>0.0</v>
      </c>
      <c r="G1203" s="57">
        <v>19.99</v>
      </c>
      <c r="H1203" s="57">
        <f t="shared" si="28"/>
        <v>0</v>
      </c>
      <c r="I1203" s="58"/>
      <c r="J1203" s="58"/>
      <c r="K1203" s="54"/>
      <c r="L1203" s="54"/>
      <c r="M1203" s="54"/>
      <c r="N1203" s="54"/>
      <c r="O1203" s="54"/>
      <c r="P1203" s="54"/>
      <c r="Q1203" s="1"/>
      <c r="R1203" s="1"/>
      <c r="S1203" s="1"/>
      <c r="T1203" s="1"/>
      <c r="U1203" s="1"/>
      <c r="V1203" s="1"/>
    </row>
    <row r="1204" ht="15.75" hidden="1" customHeight="1">
      <c r="A1204" s="206"/>
      <c r="B1204" s="54"/>
      <c r="C1204" s="54" t="s">
        <v>864</v>
      </c>
      <c r="D1204" s="216" t="s">
        <v>24</v>
      </c>
      <c r="E1204" s="54"/>
      <c r="F1204" s="56">
        <v>0.0</v>
      </c>
      <c r="G1204" s="57">
        <v>1500.0</v>
      </c>
      <c r="H1204" s="57">
        <f t="shared" si="28"/>
        <v>0</v>
      </c>
      <c r="I1204" s="58"/>
      <c r="J1204" s="58"/>
      <c r="K1204" s="54"/>
      <c r="L1204" s="54"/>
      <c r="M1204" s="54"/>
      <c r="N1204" s="54"/>
      <c r="O1204" s="54"/>
      <c r="P1204" s="54"/>
      <c r="Q1204" s="1"/>
      <c r="R1204" s="1"/>
      <c r="S1204" s="1"/>
      <c r="T1204" s="1"/>
      <c r="U1204" s="1"/>
      <c r="V1204" s="1"/>
    </row>
    <row r="1205" ht="15.75" hidden="1" customHeight="1">
      <c r="A1205" s="206"/>
      <c r="B1205" s="54"/>
      <c r="C1205" s="54" t="s">
        <v>865</v>
      </c>
      <c r="D1205" s="55" t="s">
        <v>20</v>
      </c>
      <c r="E1205" s="54"/>
      <c r="F1205" s="56">
        <v>0.0</v>
      </c>
      <c r="G1205" s="57">
        <v>0.0</v>
      </c>
      <c r="H1205" s="57">
        <v>0.0</v>
      </c>
      <c r="I1205" s="58"/>
      <c r="J1205" s="58"/>
      <c r="K1205" s="54"/>
      <c r="L1205" s="54"/>
      <c r="M1205" s="54"/>
      <c r="N1205" s="54"/>
      <c r="O1205" s="54"/>
      <c r="P1205" s="54"/>
      <c r="Q1205" s="1"/>
      <c r="R1205" s="1"/>
      <c r="S1205" s="1"/>
      <c r="T1205" s="1"/>
      <c r="U1205" s="1"/>
      <c r="V1205" s="1"/>
    </row>
    <row r="1206" ht="15.75" hidden="1" customHeight="1">
      <c r="A1206" s="206"/>
      <c r="B1206" s="54"/>
      <c r="C1206" s="54" t="s">
        <v>866</v>
      </c>
      <c r="D1206" s="216" t="s">
        <v>24</v>
      </c>
      <c r="E1206" s="54"/>
      <c r="F1206" s="56">
        <v>0.0</v>
      </c>
      <c r="G1206" s="57">
        <v>0.0</v>
      </c>
      <c r="H1206" s="57">
        <v>0.0</v>
      </c>
      <c r="I1206" s="58"/>
      <c r="J1206" s="58"/>
      <c r="K1206" s="54"/>
      <c r="L1206" s="54"/>
      <c r="M1206" s="54"/>
      <c r="N1206" s="54"/>
      <c r="O1206" s="54"/>
      <c r="P1206" s="54"/>
      <c r="Q1206" s="1"/>
      <c r="R1206" s="1"/>
      <c r="S1206" s="1"/>
      <c r="T1206" s="1"/>
      <c r="U1206" s="1"/>
      <c r="V1206" s="1"/>
    </row>
    <row r="1207" ht="15.75" hidden="1" customHeight="1">
      <c r="A1207" s="206"/>
      <c r="B1207" s="54"/>
      <c r="C1207" s="54" t="s">
        <v>867</v>
      </c>
      <c r="D1207" s="216" t="s">
        <v>24</v>
      </c>
      <c r="E1207" s="54"/>
      <c r="F1207" s="56">
        <v>0.0</v>
      </c>
      <c r="G1207" s="57">
        <v>0.0</v>
      </c>
      <c r="H1207" s="57">
        <v>0.0</v>
      </c>
      <c r="I1207" s="58"/>
      <c r="J1207" s="58"/>
      <c r="K1207" s="54"/>
      <c r="L1207" s="271"/>
      <c r="M1207" s="271"/>
      <c r="N1207" s="271"/>
      <c r="O1207" s="271"/>
      <c r="P1207" s="271"/>
      <c r="Q1207" s="1"/>
      <c r="R1207" s="1"/>
      <c r="S1207" s="1"/>
      <c r="T1207" s="1"/>
      <c r="U1207" s="1"/>
      <c r="V1207" s="1"/>
    </row>
    <row r="1208" ht="15.75" hidden="1" customHeight="1">
      <c r="A1208" s="206"/>
      <c r="B1208" s="54"/>
      <c r="C1208" s="54" t="s">
        <v>868</v>
      </c>
      <c r="D1208" s="55" t="s">
        <v>20</v>
      </c>
      <c r="E1208" s="54"/>
      <c r="F1208" s="56">
        <v>0.0</v>
      </c>
      <c r="G1208" s="57">
        <v>0.0</v>
      </c>
      <c r="H1208" s="57">
        <v>0.0</v>
      </c>
      <c r="I1208" s="58"/>
      <c r="J1208" s="58"/>
      <c r="K1208" s="54"/>
      <c r="L1208" s="252"/>
      <c r="M1208" s="252"/>
      <c r="N1208" s="252"/>
      <c r="O1208" s="252"/>
      <c r="P1208" s="252"/>
      <c r="Q1208" s="1"/>
      <c r="R1208" s="1"/>
      <c r="S1208" s="1"/>
      <c r="T1208" s="1"/>
      <c r="U1208" s="1"/>
      <c r="V1208" s="1"/>
    </row>
    <row r="1209" ht="15.75" hidden="1" customHeight="1">
      <c r="A1209" s="206"/>
      <c r="B1209" s="54" t="s">
        <v>18</v>
      </c>
      <c r="C1209" s="13" t="s">
        <v>869</v>
      </c>
      <c r="D1209" s="46" t="s">
        <v>20</v>
      </c>
      <c r="E1209" s="207" t="s">
        <v>870</v>
      </c>
      <c r="F1209" s="48">
        <v>0.0</v>
      </c>
      <c r="G1209" s="50">
        <v>51.0</v>
      </c>
      <c r="H1209" s="50">
        <f>SUM(F1209*G1209)</f>
        <v>0</v>
      </c>
      <c r="I1209" s="58"/>
      <c r="J1209" s="58"/>
      <c r="K1209" s="54"/>
      <c r="L1209" s="252"/>
      <c r="M1209" s="252"/>
      <c r="N1209" s="252"/>
      <c r="O1209" s="252"/>
      <c r="P1209" s="252"/>
      <c r="Q1209" s="1"/>
      <c r="R1209" s="1"/>
      <c r="S1209" s="1"/>
      <c r="T1209" s="1"/>
      <c r="U1209" s="1"/>
      <c r="V1209" s="1"/>
    </row>
    <row r="1210" ht="32.25" customHeight="1">
      <c r="A1210" s="83"/>
      <c r="B1210" s="309" t="s">
        <v>871</v>
      </c>
      <c r="C1210" s="255">
        <f>SUM(H1211:H1306)</f>
        <v>28255.6</v>
      </c>
      <c r="D1210" s="256"/>
      <c r="E1210" s="256"/>
      <c r="F1210" s="256"/>
      <c r="G1210" s="257"/>
      <c r="H1210" s="257"/>
      <c r="I1210" s="257"/>
      <c r="J1210" s="257"/>
      <c r="K1210" s="256"/>
      <c r="L1210" s="256"/>
      <c r="M1210" s="256"/>
      <c r="N1210" s="256"/>
      <c r="O1210" s="256"/>
      <c r="P1210" s="256"/>
      <c r="Q1210" s="1"/>
      <c r="R1210" s="1"/>
      <c r="S1210" s="1"/>
      <c r="T1210" s="1"/>
      <c r="U1210" s="1"/>
      <c r="V1210" s="1"/>
    </row>
    <row r="1211" ht="15.75" hidden="1" customHeight="1">
      <c r="A1211" s="206"/>
      <c r="B1211" s="54" t="s">
        <v>320</v>
      </c>
      <c r="C1211" s="54" t="s">
        <v>729</v>
      </c>
      <c r="D1211" s="198" t="s">
        <v>22</v>
      </c>
      <c r="E1211" s="54"/>
      <c r="F1211" s="56">
        <v>0.0</v>
      </c>
      <c r="G1211" s="57">
        <v>50.0</v>
      </c>
      <c r="H1211" s="57">
        <f t="shared" ref="H1211:H1302" si="29">SUM(F1211*G1211)</f>
        <v>0</v>
      </c>
      <c r="I1211" s="58"/>
      <c r="J1211" s="58"/>
      <c r="K1211" s="54"/>
      <c r="L1211" s="54"/>
      <c r="M1211" s="54"/>
      <c r="N1211" s="54"/>
      <c r="O1211" s="54"/>
      <c r="P1211" s="54"/>
      <c r="Q1211" s="1"/>
      <c r="R1211" s="1"/>
      <c r="S1211" s="1"/>
      <c r="T1211" s="1"/>
      <c r="U1211" s="1"/>
      <c r="V1211" s="1"/>
    </row>
    <row r="1212" ht="15.75" customHeight="1">
      <c r="A1212" s="206"/>
      <c r="B1212" s="258" t="s">
        <v>18</v>
      </c>
      <c r="C1212" s="258" t="s">
        <v>872</v>
      </c>
      <c r="D1212" s="198" t="s">
        <v>22</v>
      </c>
      <c r="E1212" s="319" t="s">
        <v>873</v>
      </c>
      <c r="F1212" s="320">
        <v>1.0</v>
      </c>
      <c r="G1212" s="321">
        <v>252.0</v>
      </c>
      <c r="H1212" s="322">
        <f t="shared" si="29"/>
        <v>252</v>
      </c>
      <c r="I1212" s="58"/>
      <c r="J1212" s="58"/>
      <c r="K1212" s="258" t="s">
        <v>874</v>
      </c>
      <c r="L1212" s="54"/>
      <c r="M1212" s="54"/>
      <c r="N1212" s="54"/>
      <c r="O1212" s="54"/>
      <c r="P1212" s="54"/>
      <c r="Q1212" s="1"/>
      <c r="R1212" s="1"/>
      <c r="S1212" s="1"/>
      <c r="T1212" s="1"/>
      <c r="U1212" s="1"/>
      <c r="V1212" s="1"/>
    </row>
    <row r="1213" ht="15.75" customHeight="1">
      <c r="A1213" s="206"/>
      <c r="B1213" s="43" t="s">
        <v>39</v>
      </c>
      <c r="C1213" s="258" t="s">
        <v>875</v>
      </c>
      <c r="D1213" s="198" t="s">
        <v>22</v>
      </c>
      <c r="E1213" s="160"/>
      <c r="F1213" s="158">
        <v>1.0</v>
      </c>
      <c r="G1213" s="159">
        <v>50.0</v>
      </c>
      <c r="H1213" s="57">
        <f t="shared" si="29"/>
        <v>50</v>
      </c>
      <c r="I1213" s="58"/>
      <c r="J1213" s="58"/>
      <c r="K1213" s="54"/>
      <c r="L1213" s="54"/>
      <c r="M1213" s="54"/>
      <c r="N1213" s="54"/>
      <c r="O1213" s="54"/>
      <c r="P1213" s="54"/>
      <c r="Q1213" s="1"/>
      <c r="R1213" s="1"/>
      <c r="S1213" s="1"/>
      <c r="T1213" s="1"/>
      <c r="U1213" s="1"/>
      <c r="V1213" s="1"/>
    </row>
    <row r="1214" ht="15.75" hidden="1" customHeight="1">
      <c r="A1214" s="206"/>
      <c r="B1214" s="54" t="s">
        <v>876</v>
      </c>
      <c r="C1214" s="54" t="s">
        <v>877</v>
      </c>
      <c r="D1214" s="198" t="s">
        <v>22</v>
      </c>
      <c r="E1214" s="201" t="s">
        <v>878</v>
      </c>
      <c r="F1214" s="56">
        <v>0.0</v>
      </c>
      <c r="G1214" s="57">
        <v>50.0</v>
      </c>
      <c r="H1214" s="57">
        <f t="shared" si="29"/>
        <v>0</v>
      </c>
      <c r="I1214" s="57"/>
      <c r="J1214" s="58"/>
      <c r="K1214" s="54"/>
      <c r="L1214" s="54"/>
      <c r="M1214" s="54"/>
      <c r="N1214" s="54"/>
      <c r="O1214" s="54"/>
      <c r="P1214" s="54"/>
      <c r="Q1214" s="1"/>
      <c r="R1214" s="1"/>
      <c r="S1214" s="1"/>
      <c r="T1214" s="1"/>
      <c r="U1214" s="1"/>
      <c r="V1214" s="1"/>
    </row>
    <row r="1215" ht="15.75" customHeight="1">
      <c r="A1215" s="206"/>
      <c r="B1215" s="258" t="s">
        <v>385</v>
      </c>
      <c r="C1215" s="258" t="s">
        <v>879</v>
      </c>
      <c r="D1215" s="101" t="s">
        <v>32</v>
      </c>
      <c r="E1215" s="157" t="s">
        <v>880</v>
      </c>
      <c r="F1215" s="158">
        <v>2.0</v>
      </c>
      <c r="G1215" s="159">
        <v>216.0</v>
      </c>
      <c r="H1215" s="57">
        <f t="shared" si="29"/>
        <v>432</v>
      </c>
      <c r="I1215" s="57"/>
      <c r="J1215" s="58"/>
      <c r="K1215" s="54"/>
      <c r="L1215" s="54"/>
      <c r="M1215" s="54"/>
      <c r="N1215" s="54"/>
      <c r="O1215" s="54"/>
      <c r="P1215" s="54"/>
      <c r="Q1215" s="1"/>
      <c r="R1215" s="1"/>
      <c r="S1215" s="1"/>
      <c r="T1215" s="1"/>
      <c r="U1215" s="1"/>
      <c r="V1215" s="1"/>
    </row>
    <row r="1216" ht="15.75" hidden="1" customHeight="1">
      <c r="A1216" s="206"/>
      <c r="B1216" s="54" t="s">
        <v>18</v>
      </c>
      <c r="C1216" s="54" t="s">
        <v>736</v>
      </c>
      <c r="D1216" s="198" t="s">
        <v>22</v>
      </c>
      <c r="E1216" s="205" t="s">
        <v>737</v>
      </c>
      <c r="F1216" s="158">
        <v>0.0</v>
      </c>
      <c r="G1216" s="57">
        <v>70.0</v>
      </c>
      <c r="H1216" s="57">
        <f t="shared" si="29"/>
        <v>0</v>
      </c>
      <c r="I1216" s="57"/>
      <c r="J1216" s="58"/>
      <c r="K1216" s="54"/>
      <c r="L1216" s="54"/>
      <c r="M1216" s="54"/>
      <c r="N1216" s="54"/>
      <c r="O1216" s="54"/>
      <c r="P1216" s="54"/>
      <c r="Q1216" s="1"/>
      <c r="R1216" s="1"/>
      <c r="S1216" s="1"/>
      <c r="T1216" s="1"/>
      <c r="U1216" s="1"/>
      <c r="V1216" s="1"/>
    </row>
    <row r="1217" ht="15.75" hidden="1" customHeight="1">
      <c r="A1217" s="206"/>
      <c r="B1217" s="13" t="s">
        <v>18</v>
      </c>
      <c r="C1217" s="52" t="s">
        <v>738</v>
      </c>
      <c r="D1217" s="150" t="s">
        <v>22</v>
      </c>
      <c r="E1217" s="310" t="s">
        <v>739</v>
      </c>
      <c r="F1217" s="215">
        <v>0.0</v>
      </c>
      <c r="G1217" s="50">
        <v>130.0</v>
      </c>
      <c r="H1217" s="57">
        <f t="shared" si="29"/>
        <v>0</v>
      </c>
      <c r="I1217" s="57"/>
      <c r="J1217" s="58"/>
      <c r="K1217" s="54"/>
      <c r="L1217" s="54"/>
      <c r="M1217" s="54"/>
      <c r="N1217" s="54"/>
      <c r="O1217" s="54"/>
      <c r="P1217" s="54"/>
      <c r="Q1217" s="1"/>
      <c r="R1217" s="1"/>
      <c r="S1217" s="1"/>
      <c r="T1217" s="1"/>
      <c r="U1217" s="1"/>
      <c r="V1217" s="1"/>
    </row>
    <row r="1218" ht="15.75" hidden="1" customHeight="1">
      <c r="A1218" s="206"/>
      <c r="B1218" s="206" t="s">
        <v>18</v>
      </c>
      <c r="C1218" s="258" t="s">
        <v>542</v>
      </c>
      <c r="D1218" s="150" t="s">
        <v>22</v>
      </c>
      <c r="E1218" s="260" t="s">
        <v>543</v>
      </c>
      <c r="F1218" s="215">
        <v>0.0</v>
      </c>
      <c r="G1218" s="49">
        <v>156.0</v>
      </c>
      <c r="H1218" s="50">
        <f t="shared" si="29"/>
        <v>0</v>
      </c>
      <c r="I1218" s="57"/>
      <c r="J1218" s="58"/>
      <c r="K1218" s="54"/>
      <c r="L1218" s="54"/>
      <c r="M1218" s="54"/>
      <c r="N1218" s="54"/>
      <c r="O1218" s="54"/>
      <c r="P1218" s="54"/>
      <c r="Q1218" s="1"/>
      <c r="R1218" s="1"/>
      <c r="S1218" s="1"/>
      <c r="T1218" s="1"/>
      <c r="U1218" s="1"/>
      <c r="V1218" s="1"/>
    </row>
    <row r="1219" ht="15.75" hidden="1" customHeight="1">
      <c r="A1219" s="206"/>
      <c r="B1219" s="156" t="s">
        <v>88</v>
      </c>
      <c r="C1219" s="258" t="s">
        <v>546</v>
      </c>
      <c r="D1219" s="198" t="s">
        <v>22</v>
      </c>
      <c r="E1219" s="261" t="s">
        <v>547</v>
      </c>
      <c r="F1219" s="158">
        <v>0.0</v>
      </c>
      <c r="G1219" s="159">
        <v>258.0</v>
      </c>
      <c r="H1219" s="57">
        <f t="shared" si="29"/>
        <v>0</v>
      </c>
      <c r="I1219" s="57"/>
      <c r="J1219" s="58"/>
      <c r="K1219" s="54"/>
      <c r="L1219" s="54"/>
      <c r="M1219" s="54"/>
      <c r="N1219" s="54"/>
      <c r="O1219" s="54"/>
      <c r="P1219" s="54"/>
      <c r="Q1219" s="1"/>
      <c r="R1219" s="1"/>
      <c r="S1219" s="1"/>
      <c r="T1219" s="1"/>
      <c r="U1219" s="1"/>
      <c r="V1219" s="1"/>
    </row>
    <row r="1220" ht="15.75" hidden="1" customHeight="1">
      <c r="A1220" s="206"/>
      <c r="B1220" s="206" t="s">
        <v>18</v>
      </c>
      <c r="C1220" s="54" t="s">
        <v>742</v>
      </c>
      <c r="D1220" s="198" t="s">
        <v>22</v>
      </c>
      <c r="E1220" s="155" t="s">
        <v>636</v>
      </c>
      <c r="F1220" s="158">
        <v>0.0</v>
      </c>
      <c r="G1220" s="57">
        <v>16.0</v>
      </c>
      <c r="H1220" s="57">
        <f t="shared" si="29"/>
        <v>0</v>
      </c>
      <c r="I1220" s="57"/>
      <c r="J1220" s="58"/>
      <c r="K1220" s="54"/>
      <c r="L1220" s="54"/>
      <c r="M1220" s="54"/>
      <c r="N1220" s="54"/>
      <c r="O1220" s="54"/>
      <c r="P1220" s="54"/>
      <c r="Q1220" s="1"/>
      <c r="R1220" s="1"/>
      <c r="S1220" s="1"/>
      <c r="T1220" s="1"/>
      <c r="U1220" s="1"/>
      <c r="V1220" s="1"/>
    </row>
    <row r="1221" ht="15.75" hidden="1" customHeight="1">
      <c r="A1221" s="206"/>
      <c r="B1221" s="54" t="s">
        <v>18</v>
      </c>
      <c r="C1221" s="54" t="s">
        <v>881</v>
      </c>
      <c r="D1221" s="198" t="s">
        <v>22</v>
      </c>
      <c r="E1221" s="291" t="s">
        <v>882</v>
      </c>
      <c r="F1221" s="158">
        <v>0.0</v>
      </c>
      <c r="G1221" s="57">
        <v>14.0</v>
      </c>
      <c r="H1221" s="57">
        <f t="shared" si="29"/>
        <v>0</v>
      </c>
      <c r="I1221" s="57"/>
      <c r="J1221" s="58"/>
      <c r="K1221" s="54"/>
      <c r="L1221" s="54"/>
      <c r="M1221" s="54"/>
      <c r="N1221" s="54"/>
      <c r="O1221" s="54"/>
      <c r="P1221" s="54"/>
      <c r="Q1221" s="1"/>
      <c r="R1221" s="1"/>
      <c r="S1221" s="1"/>
      <c r="T1221" s="1"/>
      <c r="U1221" s="1"/>
      <c r="V1221" s="1"/>
    </row>
    <row r="1222" ht="15.75" hidden="1" customHeight="1">
      <c r="A1222" s="206"/>
      <c r="B1222" s="54" t="s">
        <v>539</v>
      </c>
      <c r="C1222" s="54" t="s">
        <v>749</v>
      </c>
      <c r="D1222" s="198" t="s">
        <v>22</v>
      </c>
      <c r="E1222" s="208" t="s">
        <v>778</v>
      </c>
      <c r="F1222" s="158">
        <v>0.0</v>
      </c>
      <c r="G1222" s="57">
        <v>0.0</v>
      </c>
      <c r="H1222" s="57">
        <f t="shared" si="29"/>
        <v>0</v>
      </c>
      <c r="I1222" s="57"/>
      <c r="J1222" s="58"/>
      <c r="K1222" s="54"/>
      <c r="L1222" s="54"/>
      <c r="M1222" s="54"/>
      <c r="N1222" s="54"/>
      <c r="O1222" s="54"/>
      <c r="P1222" s="54"/>
      <c r="Q1222" s="1"/>
      <c r="R1222" s="1"/>
      <c r="S1222" s="1"/>
      <c r="T1222" s="1"/>
      <c r="U1222" s="1"/>
      <c r="V1222" s="1"/>
    </row>
    <row r="1223" ht="15.75" hidden="1" customHeight="1">
      <c r="A1223" s="206"/>
      <c r="B1223" s="54" t="s">
        <v>751</v>
      </c>
      <c r="C1223" s="54" t="s">
        <v>752</v>
      </c>
      <c r="D1223" s="198" t="s">
        <v>22</v>
      </c>
      <c r="E1223" s="291" t="s">
        <v>753</v>
      </c>
      <c r="F1223" s="158">
        <v>0.0</v>
      </c>
      <c r="G1223" s="57">
        <v>750.0</v>
      </c>
      <c r="H1223" s="57">
        <f t="shared" si="29"/>
        <v>0</v>
      </c>
      <c r="I1223" s="57"/>
      <c r="J1223" s="58"/>
      <c r="K1223" s="54"/>
      <c r="L1223" s="54"/>
      <c r="M1223" s="54"/>
      <c r="N1223" s="54"/>
      <c r="O1223" s="54"/>
      <c r="P1223" s="54"/>
      <c r="Q1223" s="1"/>
      <c r="R1223" s="1"/>
      <c r="S1223" s="1"/>
      <c r="T1223" s="1"/>
      <c r="U1223" s="1"/>
      <c r="V1223" s="1"/>
    </row>
    <row r="1224" ht="15.75" customHeight="1">
      <c r="A1224" s="206"/>
      <c r="B1224" s="43" t="s">
        <v>39</v>
      </c>
      <c r="C1224" s="54" t="s">
        <v>258</v>
      </c>
      <c r="D1224" s="198" t="s">
        <v>22</v>
      </c>
      <c r="E1224" s="208"/>
      <c r="F1224" s="158">
        <v>1.0</v>
      </c>
      <c r="G1224" s="159">
        <v>1332.0</v>
      </c>
      <c r="H1224" s="57">
        <f t="shared" si="29"/>
        <v>1332</v>
      </c>
      <c r="I1224" s="57"/>
      <c r="J1224" s="58"/>
      <c r="K1224" s="54"/>
      <c r="L1224" s="54"/>
      <c r="M1224" s="54"/>
      <c r="N1224" s="54"/>
      <c r="O1224" s="54"/>
      <c r="P1224" s="54"/>
      <c r="Q1224" s="1"/>
      <c r="R1224" s="1"/>
      <c r="S1224" s="1"/>
      <c r="T1224" s="1"/>
      <c r="U1224" s="1"/>
      <c r="V1224" s="1"/>
    </row>
    <row r="1225" ht="15.75" customHeight="1">
      <c r="A1225" s="206"/>
      <c r="B1225" s="258" t="s">
        <v>574</v>
      </c>
      <c r="C1225" s="258" t="s">
        <v>258</v>
      </c>
      <c r="D1225" s="198" t="s">
        <v>22</v>
      </c>
      <c r="E1225" s="316" t="s">
        <v>883</v>
      </c>
      <c r="F1225" s="158">
        <v>1.0</v>
      </c>
      <c r="G1225" s="159">
        <v>102.0</v>
      </c>
      <c r="H1225" s="57">
        <f t="shared" si="29"/>
        <v>102</v>
      </c>
      <c r="I1225" s="57"/>
      <c r="J1225" s="58"/>
      <c r="K1225" s="54"/>
      <c r="L1225" s="54"/>
      <c r="M1225" s="54"/>
      <c r="N1225" s="54"/>
      <c r="O1225" s="54"/>
      <c r="P1225" s="54"/>
      <c r="Q1225" s="1"/>
      <c r="R1225" s="1"/>
      <c r="S1225" s="1"/>
      <c r="T1225" s="1"/>
      <c r="U1225" s="1"/>
      <c r="V1225" s="1"/>
    </row>
    <row r="1226" ht="15.75" customHeight="1">
      <c r="A1226" s="206"/>
      <c r="B1226" s="258" t="s">
        <v>385</v>
      </c>
      <c r="C1226" s="258" t="s">
        <v>258</v>
      </c>
      <c r="D1226" s="198" t="s">
        <v>22</v>
      </c>
      <c r="E1226" s="316" t="s">
        <v>884</v>
      </c>
      <c r="F1226" s="158">
        <v>1.0</v>
      </c>
      <c r="G1226" s="159">
        <v>84.0</v>
      </c>
      <c r="H1226" s="57">
        <f t="shared" si="29"/>
        <v>84</v>
      </c>
      <c r="I1226" s="57"/>
      <c r="J1226" s="58"/>
      <c r="K1226" s="54"/>
      <c r="L1226" s="54"/>
      <c r="M1226" s="54"/>
      <c r="N1226" s="54"/>
      <c r="O1226" s="54"/>
      <c r="P1226" s="54"/>
      <c r="Q1226" s="1"/>
      <c r="R1226" s="1"/>
      <c r="S1226" s="1"/>
      <c r="T1226" s="1"/>
      <c r="U1226" s="1"/>
      <c r="V1226" s="1"/>
    </row>
    <row r="1227" ht="15.75" customHeight="1">
      <c r="A1227" s="206"/>
      <c r="B1227" s="258" t="s">
        <v>885</v>
      </c>
      <c r="C1227" s="258" t="s">
        <v>258</v>
      </c>
      <c r="D1227" s="198" t="s">
        <v>22</v>
      </c>
      <c r="E1227" s="316" t="s">
        <v>886</v>
      </c>
      <c r="F1227" s="158">
        <v>1.0</v>
      </c>
      <c r="G1227" s="159">
        <v>78.0</v>
      </c>
      <c r="H1227" s="57">
        <f t="shared" si="29"/>
        <v>78</v>
      </c>
      <c r="I1227" s="57"/>
      <c r="J1227" s="58"/>
      <c r="K1227" s="54"/>
      <c r="L1227" s="54"/>
      <c r="M1227" s="54"/>
      <c r="N1227" s="54"/>
      <c r="O1227" s="54"/>
      <c r="P1227" s="54"/>
      <c r="Q1227" s="1"/>
      <c r="R1227" s="1"/>
      <c r="S1227" s="1"/>
      <c r="T1227" s="1"/>
      <c r="U1227" s="1"/>
      <c r="V1227" s="1"/>
    </row>
    <row r="1228" ht="15.75" customHeight="1">
      <c r="A1228" s="206"/>
      <c r="B1228" s="258" t="s">
        <v>18</v>
      </c>
      <c r="C1228" s="258" t="s">
        <v>258</v>
      </c>
      <c r="D1228" s="198" t="s">
        <v>22</v>
      </c>
      <c r="E1228" s="316" t="s">
        <v>887</v>
      </c>
      <c r="F1228" s="158">
        <v>1.0</v>
      </c>
      <c r="G1228" s="159">
        <v>114.0</v>
      </c>
      <c r="H1228" s="57">
        <f t="shared" si="29"/>
        <v>114</v>
      </c>
      <c r="I1228" s="57"/>
      <c r="J1228" s="58"/>
      <c r="K1228" s="54"/>
      <c r="L1228" s="54"/>
      <c r="M1228" s="54"/>
      <c r="N1228" s="54"/>
      <c r="O1228" s="54"/>
      <c r="P1228" s="54"/>
      <c r="Q1228" s="1"/>
      <c r="R1228" s="1"/>
      <c r="S1228" s="1"/>
      <c r="T1228" s="1"/>
      <c r="U1228" s="1"/>
      <c r="V1228" s="1"/>
    </row>
    <row r="1229" ht="15.75" customHeight="1">
      <c r="A1229" s="206"/>
      <c r="B1229" s="258" t="s">
        <v>18</v>
      </c>
      <c r="C1229" s="258" t="s">
        <v>888</v>
      </c>
      <c r="D1229" s="198" t="s">
        <v>22</v>
      </c>
      <c r="E1229" s="316" t="s">
        <v>889</v>
      </c>
      <c r="F1229" s="158">
        <v>1.0</v>
      </c>
      <c r="G1229" s="159">
        <v>468.0</v>
      </c>
      <c r="H1229" s="57">
        <f t="shared" si="29"/>
        <v>468</v>
      </c>
      <c r="I1229" s="57"/>
      <c r="J1229" s="58"/>
      <c r="K1229" s="54"/>
      <c r="L1229" s="54"/>
      <c r="M1229" s="54"/>
      <c r="N1229" s="54"/>
      <c r="O1229" s="54"/>
      <c r="P1229" s="54"/>
      <c r="Q1229" s="1"/>
      <c r="R1229" s="1"/>
      <c r="S1229" s="1"/>
      <c r="T1229" s="1"/>
      <c r="U1229" s="1"/>
      <c r="V1229" s="1"/>
    </row>
    <row r="1230" ht="15.75" customHeight="1">
      <c r="A1230" s="206"/>
      <c r="B1230" s="258" t="s">
        <v>18</v>
      </c>
      <c r="C1230" s="258" t="s">
        <v>47</v>
      </c>
      <c r="D1230" s="198" t="s">
        <v>22</v>
      </c>
      <c r="E1230" s="316" t="s">
        <v>890</v>
      </c>
      <c r="F1230" s="158">
        <v>3.0</v>
      </c>
      <c r="G1230" s="159">
        <v>108.0</v>
      </c>
      <c r="H1230" s="57">
        <f t="shared" si="29"/>
        <v>324</v>
      </c>
      <c r="I1230" s="57"/>
      <c r="J1230" s="58"/>
      <c r="K1230" s="54"/>
      <c r="L1230" s="54"/>
      <c r="M1230" s="54"/>
      <c r="N1230" s="54"/>
      <c r="O1230" s="54"/>
      <c r="P1230" s="54"/>
      <c r="Q1230" s="1"/>
      <c r="R1230" s="1"/>
      <c r="S1230" s="1"/>
      <c r="T1230" s="1"/>
      <c r="U1230" s="1"/>
      <c r="V1230" s="1"/>
    </row>
    <row r="1231" ht="15.75" customHeight="1">
      <c r="A1231" s="206"/>
      <c r="B1231" s="258" t="s">
        <v>18</v>
      </c>
      <c r="C1231" s="258" t="s">
        <v>777</v>
      </c>
      <c r="D1231" s="198" t="s">
        <v>22</v>
      </c>
      <c r="E1231" s="261" t="s">
        <v>891</v>
      </c>
      <c r="F1231" s="158">
        <v>3.0</v>
      </c>
      <c r="G1231" s="159">
        <v>84.0</v>
      </c>
      <c r="H1231" s="57">
        <f t="shared" si="29"/>
        <v>252</v>
      </c>
      <c r="I1231" s="57"/>
      <c r="J1231" s="58"/>
      <c r="K1231" s="54"/>
      <c r="L1231" s="54"/>
      <c r="M1231" s="54"/>
      <c r="N1231" s="54"/>
      <c r="O1231" s="54"/>
      <c r="P1231" s="54"/>
      <c r="Q1231" s="1"/>
      <c r="R1231" s="1"/>
      <c r="S1231" s="1"/>
      <c r="T1231" s="1"/>
      <c r="U1231" s="1"/>
      <c r="V1231" s="1"/>
    </row>
    <row r="1232" ht="15.75" customHeight="1">
      <c r="A1232" s="206"/>
      <c r="B1232" s="258" t="s">
        <v>892</v>
      </c>
      <c r="C1232" s="258" t="s">
        <v>893</v>
      </c>
      <c r="D1232" s="198" t="s">
        <v>22</v>
      </c>
      <c r="E1232" s="323" t="s">
        <v>894</v>
      </c>
      <c r="F1232" s="158">
        <v>4.0</v>
      </c>
      <c r="G1232" s="159">
        <v>66.0</v>
      </c>
      <c r="H1232" s="57">
        <f t="shared" si="29"/>
        <v>264</v>
      </c>
      <c r="I1232" s="57"/>
      <c r="J1232" s="58"/>
      <c r="K1232" s="258" t="s">
        <v>895</v>
      </c>
      <c r="L1232" s="54"/>
      <c r="M1232" s="54"/>
      <c r="N1232" s="54"/>
      <c r="O1232" s="54"/>
      <c r="P1232" s="54"/>
      <c r="Q1232" s="1"/>
      <c r="R1232" s="1"/>
      <c r="S1232" s="1"/>
      <c r="T1232" s="1"/>
      <c r="U1232" s="1"/>
      <c r="V1232" s="1"/>
    </row>
    <row r="1233" ht="15.75" hidden="1" customHeight="1">
      <c r="A1233" s="206"/>
      <c r="B1233" s="54" t="s">
        <v>754</v>
      </c>
      <c r="C1233" s="54" t="s">
        <v>542</v>
      </c>
      <c r="D1233" s="198" t="s">
        <v>22</v>
      </c>
      <c r="E1233" s="201" t="s">
        <v>755</v>
      </c>
      <c r="F1233" s="56">
        <v>0.0</v>
      </c>
      <c r="G1233" s="57">
        <v>700.0</v>
      </c>
      <c r="H1233" s="57">
        <f t="shared" si="29"/>
        <v>0</v>
      </c>
      <c r="I1233" s="57"/>
      <c r="J1233" s="58"/>
      <c r="K1233" s="54"/>
      <c r="L1233" s="54"/>
      <c r="M1233" s="54"/>
      <c r="N1233" s="54"/>
      <c r="O1233" s="54"/>
      <c r="P1233" s="54"/>
      <c r="Q1233" s="1"/>
      <c r="R1233" s="1"/>
      <c r="S1233" s="1"/>
      <c r="T1233" s="1"/>
      <c r="U1233" s="1"/>
      <c r="V1233" s="1"/>
    </row>
    <row r="1234" ht="15.75" hidden="1" customHeight="1">
      <c r="A1234" s="206"/>
      <c r="B1234" s="54" t="s">
        <v>18</v>
      </c>
      <c r="C1234" s="258" t="s">
        <v>896</v>
      </c>
      <c r="D1234" s="198" t="s">
        <v>22</v>
      </c>
      <c r="E1234" s="157" t="s">
        <v>897</v>
      </c>
      <c r="F1234" s="158">
        <v>0.0</v>
      </c>
      <c r="G1234" s="159">
        <v>1228.8</v>
      </c>
      <c r="H1234" s="57">
        <f t="shared" si="29"/>
        <v>0</v>
      </c>
      <c r="I1234" s="57"/>
      <c r="J1234" s="58"/>
      <c r="K1234" s="54"/>
      <c r="L1234" s="54"/>
      <c r="M1234" s="54"/>
      <c r="N1234" s="54"/>
      <c r="O1234" s="54"/>
      <c r="P1234" s="54"/>
      <c r="Q1234" s="1"/>
      <c r="R1234" s="1"/>
      <c r="S1234" s="1"/>
      <c r="T1234" s="1"/>
      <c r="U1234" s="1"/>
      <c r="V1234" s="1"/>
    </row>
    <row r="1235" ht="15.75" customHeight="1">
      <c r="A1235" s="206"/>
      <c r="B1235" s="258" t="s">
        <v>18</v>
      </c>
      <c r="C1235" s="258" t="s">
        <v>758</v>
      </c>
      <c r="D1235" s="198" t="s">
        <v>22</v>
      </c>
      <c r="E1235" s="319" t="s">
        <v>759</v>
      </c>
      <c r="F1235" s="320">
        <v>1.0</v>
      </c>
      <c r="G1235" s="321">
        <v>630.0</v>
      </c>
      <c r="H1235" s="322">
        <f t="shared" si="29"/>
        <v>630</v>
      </c>
      <c r="I1235" s="57"/>
      <c r="J1235" s="58"/>
      <c r="K1235" s="54"/>
      <c r="L1235" s="54"/>
      <c r="M1235" s="54"/>
      <c r="N1235" s="54"/>
      <c r="O1235" s="54"/>
      <c r="P1235" s="54"/>
      <c r="Q1235" s="1"/>
      <c r="R1235" s="1"/>
      <c r="S1235" s="1"/>
      <c r="T1235" s="1"/>
      <c r="U1235" s="1"/>
      <c r="V1235" s="1"/>
    </row>
    <row r="1236" ht="15.75" customHeight="1">
      <c r="A1236" s="206"/>
      <c r="B1236" s="258"/>
      <c r="C1236" s="258" t="s">
        <v>760</v>
      </c>
      <c r="D1236" s="198" t="s">
        <v>22</v>
      </c>
      <c r="E1236" s="160"/>
      <c r="F1236" s="158">
        <v>1.0</v>
      </c>
      <c r="G1236" s="159">
        <v>200.0</v>
      </c>
      <c r="H1236" s="57">
        <f t="shared" si="29"/>
        <v>200</v>
      </c>
      <c r="I1236" s="57"/>
      <c r="J1236" s="58"/>
      <c r="K1236" s="54"/>
      <c r="L1236" s="54"/>
      <c r="M1236" s="54"/>
      <c r="N1236" s="54"/>
      <c r="O1236" s="54"/>
      <c r="P1236" s="54"/>
      <c r="Q1236" s="1"/>
      <c r="R1236" s="1"/>
      <c r="S1236" s="1"/>
      <c r="T1236" s="1"/>
      <c r="U1236" s="1"/>
      <c r="V1236" s="1"/>
    </row>
    <row r="1237" ht="15.75" hidden="1" customHeight="1">
      <c r="A1237" s="206"/>
      <c r="B1237" s="54" t="s">
        <v>18</v>
      </c>
      <c r="C1237" s="54" t="s">
        <v>767</v>
      </c>
      <c r="D1237" s="198" t="s">
        <v>22</v>
      </c>
      <c r="E1237" s="54" t="s">
        <v>898</v>
      </c>
      <c r="F1237" s="56">
        <v>0.0</v>
      </c>
      <c r="G1237" s="57">
        <v>500.0</v>
      </c>
      <c r="H1237" s="57">
        <f t="shared" si="29"/>
        <v>0</v>
      </c>
      <c r="I1237" s="57"/>
      <c r="J1237" s="58"/>
      <c r="K1237" s="324">
        <v>44928.0</v>
      </c>
      <c r="L1237" s="54"/>
      <c r="M1237" s="54"/>
      <c r="N1237" s="54"/>
      <c r="O1237" s="54"/>
      <c r="P1237" s="54"/>
      <c r="Q1237" s="1"/>
      <c r="R1237" s="1"/>
      <c r="S1237" s="1"/>
      <c r="T1237" s="1"/>
      <c r="U1237" s="1"/>
      <c r="V1237" s="1"/>
    </row>
    <row r="1238" ht="15.75" hidden="1" customHeight="1">
      <c r="A1238" s="206"/>
      <c r="B1238" s="54" t="s">
        <v>18</v>
      </c>
      <c r="C1238" s="54" t="s">
        <v>765</v>
      </c>
      <c r="D1238" s="198" t="s">
        <v>22</v>
      </c>
      <c r="E1238" s="201" t="s">
        <v>766</v>
      </c>
      <c r="F1238" s="158">
        <v>0.0</v>
      </c>
      <c r="G1238" s="57">
        <v>635.0</v>
      </c>
      <c r="H1238" s="57">
        <f t="shared" si="29"/>
        <v>0</v>
      </c>
      <c r="I1238" s="57"/>
      <c r="J1238" s="58"/>
      <c r="K1238" s="54"/>
      <c r="L1238" s="54"/>
      <c r="M1238" s="54"/>
      <c r="N1238" s="54"/>
      <c r="O1238" s="54"/>
      <c r="P1238" s="54"/>
      <c r="Q1238" s="1"/>
      <c r="R1238" s="1"/>
      <c r="S1238" s="1"/>
      <c r="T1238" s="1"/>
      <c r="U1238" s="1"/>
      <c r="V1238" s="1"/>
    </row>
    <row r="1239" ht="15.75" hidden="1" customHeight="1">
      <c r="A1239" s="206"/>
      <c r="B1239" s="54" t="s">
        <v>18</v>
      </c>
      <c r="C1239" s="54" t="s">
        <v>767</v>
      </c>
      <c r="D1239" s="198" t="s">
        <v>22</v>
      </c>
      <c r="E1239" s="201" t="s">
        <v>768</v>
      </c>
      <c r="F1239" s="158">
        <v>0.0</v>
      </c>
      <c r="G1239" s="57">
        <v>410.0</v>
      </c>
      <c r="H1239" s="57">
        <f t="shared" si="29"/>
        <v>0</v>
      </c>
      <c r="I1239" s="57"/>
      <c r="J1239" s="58"/>
      <c r="K1239" s="54"/>
      <c r="L1239" s="54"/>
      <c r="M1239" s="54"/>
      <c r="N1239" s="54"/>
      <c r="O1239" s="54"/>
      <c r="P1239" s="54"/>
      <c r="Q1239" s="1"/>
      <c r="R1239" s="1"/>
      <c r="S1239" s="1"/>
      <c r="T1239" s="1"/>
      <c r="U1239" s="1"/>
      <c r="V1239" s="1"/>
    </row>
    <row r="1240" ht="15.75" hidden="1" customHeight="1">
      <c r="A1240" s="206"/>
      <c r="B1240" s="54"/>
      <c r="C1240" s="54" t="s">
        <v>769</v>
      </c>
      <c r="D1240" s="198" t="s">
        <v>22</v>
      </c>
      <c r="E1240" s="201"/>
      <c r="F1240" s="56">
        <v>0.0</v>
      </c>
      <c r="G1240" s="57">
        <v>687.5</v>
      </c>
      <c r="H1240" s="57">
        <f t="shared" si="29"/>
        <v>0</v>
      </c>
      <c r="I1240" s="57"/>
      <c r="J1240" s="58"/>
      <c r="K1240" s="54"/>
      <c r="L1240" s="54"/>
      <c r="M1240" s="54"/>
      <c r="N1240" s="54"/>
      <c r="O1240" s="54"/>
      <c r="P1240" s="54"/>
      <c r="Q1240" s="1"/>
      <c r="R1240" s="1"/>
      <c r="S1240" s="1"/>
      <c r="T1240" s="1"/>
      <c r="U1240" s="1"/>
      <c r="V1240" s="1"/>
    </row>
    <row r="1241" ht="15.75" hidden="1" customHeight="1">
      <c r="A1241" s="206"/>
      <c r="B1241" s="54" t="s">
        <v>264</v>
      </c>
      <c r="C1241" s="54" t="s">
        <v>770</v>
      </c>
      <c r="D1241" s="198" t="s">
        <v>22</v>
      </c>
      <c r="E1241" s="201">
        <v>603191.0</v>
      </c>
      <c r="F1241" s="158">
        <v>0.0</v>
      </c>
      <c r="G1241" s="57">
        <v>522.0</v>
      </c>
      <c r="H1241" s="57">
        <f t="shared" si="29"/>
        <v>0</v>
      </c>
      <c r="I1241" s="57"/>
      <c r="J1241" s="58"/>
      <c r="K1241" s="54"/>
      <c r="L1241" s="54"/>
      <c r="M1241" s="54"/>
      <c r="N1241" s="54"/>
      <c r="O1241" s="54"/>
      <c r="P1241" s="54"/>
      <c r="Q1241" s="1"/>
      <c r="R1241" s="1"/>
      <c r="S1241" s="1"/>
      <c r="T1241" s="1"/>
      <c r="U1241" s="1"/>
      <c r="V1241" s="1"/>
    </row>
    <row r="1242" ht="15.75" hidden="1" customHeight="1">
      <c r="A1242" s="206"/>
      <c r="B1242" s="54" t="s">
        <v>18</v>
      </c>
      <c r="C1242" s="54" t="s">
        <v>444</v>
      </c>
      <c r="D1242" s="198" t="s">
        <v>22</v>
      </c>
      <c r="E1242" s="205" t="s">
        <v>771</v>
      </c>
      <c r="F1242" s="158">
        <v>0.0</v>
      </c>
      <c r="G1242" s="57">
        <v>500.0</v>
      </c>
      <c r="H1242" s="57">
        <f t="shared" si="29"/>
        <v>0</v>
      </c>
      <c r="I1242" s="57"/>
      <c r="J1242" s="58"/>
      <c r="K1242" s="54"/>
      <c r="L1242" s="54"/>
      <c r="M1242" s="54"/>
      <c r="N1242" s="54"/>
      <c r="O1242" s="54"/>
      <c r="P1242" s="54"/>
      <c r="Q1242" s="1"/>
      <c r="R1242" s="1"/>
      <c r="S1242" s="1"/>
      <c r="T1242" s="1"/>
      <c r="U1242" s="1"/>
      <c r="V1242" s="1"/>
    </row>
    <row r="1243" ht="15.75" hidden="1" customHeight="1">
      <c r="A1243" s="206"/>
      <c r="B1243" s="54" t="s">
        <v>18</v>
      </c>
      <c r="C1243" s="54" t="s">
        <v>772</v>
      </c>
      <c r="D1243" s="198" t="s">
        <v>22</v>
      </c>
      <c r="E1243" s="205" t="s">
        <v>773</v>
      </c>
      <c r="F1243" s="158">
        <v>0.0</v>
      </c>
      <c r="G1243" s="57">
        <v>40.0</v>
      </c>
      <c r="H1243" s="57">
        <f t="shared" si="29"/>
        <v>0</v>
      </c>
      <c r="I1243" s="57"/>
      <c r="J1243" s="58"/>
      <c r="K1243" s="313"/>
      <c r="L1243" s="54"/>
      <c r="M1243" s="54"/>
      <c r="N1243" s="54"/>
      <c r="O1243" s="54"/>
      <c r="P1243" s="54"/>
      <c r="Q1243" s="1"/>
      <c r="R1243" s="1"/>
      <c r="S1243" s="1"/>
      <c r="T1243" s="1"/>
      <c r="U1243" s="1"/>
      <c r="V1243" s="1"/>
    </row>
    <row r="1244" ht="15.75" hidden="1" customHeight="1">
      <c r="A1244" s="206"/>
      <c r="B1244" s="54" t="s">
        <v>320</v>
      </c>
      <c r="C1244" s="54" t="s">
        <v>774</v>
      </c>
      <c r="D1244" s="198" t="s">
        <v>22</v>
      </c>
      <c r="E1244" s="54"/>
      <c r="F1244" s="56">
        <v>0.0</v>
      </c>
      <c r="G1244" s="57">
        <v>320.0</v>
      </c>
      <c r="H1244" s="57">
        <f t="shared" si="29"/>
        <v>0</v>
      </c>
      <c r="I1244" s="57"/>
      <c r="J1244" s="58"/>
      <c r="K1244" s="54"/>
      <c r="L1244" s="54"/>
      <c r="M1244" s="54"/>
      <c r="N1244" s="54"/>
      <c r="O1244" s="54"/>
      <c r="P1244" s="54"/>
      <c r="Q1244" s="1"/>
      <c r="R1244" s="1"/>
      <c r="S1244" s="1"/>
      <c r="T1244" s="1"/>
      <c r="U1244" s="1"/>
      <c r="V1244" s="1"/>
    </row>
    <row r="1245" ht="15.75" hidden="1" customHeight="1">
      <c r="A1245" s="206"/>
      <c r="B1245" s="54" t="s">
        <v>277</v>
      </c>
      <c r="C1245" s="54" t="s">
        <v>775</v>
      </c>
      <c r="D1245" s="198" t="s">
        <v>22</v>
      </c>
      <c r="E1245" s="54"/>
      <c r="F1245" s="158">
        <v>0.0</v>
      </c>
      <c r="G1245" s="57">
        <v>560.0</v>
      </c>
      <c r="H1245" s="57">
        <f t="shared" si="29"/>
        <v>0</v>
      </c>
      <c r="I1245" s="58"/>
      <c r="J1245" s="58"/>
      <c r="K1245" s="54"/>
      <c r="L1245" s="54"/>
      <c r="M1245" s="54"/>
      <c r="N1245" s="54"/>
      <c r="O1245" s="54"/>
      <c r="P1245" s="54"/>
      <c r="Q1245" s="1"/>
      <c r="R1245" s="1"/>
      <c r="S1245" s="1"/>
      <c r="T1245" s="1"/>
      <c r="U1245" s="1"/>
      <c r="V1245" s="1"/>
    </row>
    <row r="1246" ht="15.75" hidden="1" customHeight="1">
      <c r="A1246" s="206"/>
      <c r="B1246" s="43" t="s">
        <v>88</v>
      </c>
      <c r="C1246" s="54" t="s">
        <v>411</v>
      </c>
      <c r="D1246" s="55" t="s">
        <v>20</v>
      </c>
      <c r="E1246" s="171" t="s">
        <v>412</v>
      </c>
      <c r="F1246" s="158">
        <v>0.0</v>
      </c>
      <c r="G1246" s="34">
        <v>334.0</v>
      </c>
      <c r="H1246" s="57">
        <f t="shared" si="29"/>
        <v>0</v>
      </c>
      <c r="I1246" s="57"/>
      <c r="J1246" s="58"/>
      <c r="K1246" s="54"/>
      <c r="L1246" s="54"/>
      <c r="M1246" s="54"/>
      <c r="N1246" s="54"/>
      <c r="O1246" s="54"/>
      <c r="P1246" s="54"/>
      <c r="Q1246" s="1"/>
      <c r="R1246" s="1"/>
      <c r="S1246" s="1"/>
      <c r="T1246" s="1"/>
      <c r="U1246" s="1"/>
      <c r="V1246" s="1"/>
    </row>
    <row r="1247" ht="15.75" hidden="1" customHeight="1">
      <c r="A1247" s="206"/>
      <c r="B1247" s="54" t="s">
        <v>277</v>
      </c>
      <c r="C1247" s="258" t="s">
        <v>899</v>
      </c>
      <c r="D1247" s="55" t="s">
        <v>20</v>
      </c>
      <c r="E1247" s="54"/>
      <c r="F1247" s="158">
        <v>0.0</v>
      </c>
      <c r="G1247" s="159">
        <v>1000.0</v>
      </c>
      <c r="H1247" s="57">
        <f t="shared" si="29"/>
        <v>0</v>
      </c>
      <c r="I1247" s="57"/>
      <c r="J1247" s="58"/>
      <c r="K1247" s="54"/>
      <c r="L1247" s="54"/>
      <c r="M1247" s="54"/>
      <c r="N1247" s="54"/>
      <c r="O1247" s="54"/>
      <c r="P1247" s="54"/>
      <c r="Q1247" s="1"/>
      <c r="R1247" s="1"/>
      <c r="S1247" s="1"/>
      <c r="T1247" s="1"/>
      <c r="U1247" s="1"/>
      <c r="V1247" s="1"/>
    </row>
    <row r="1248" ht="15.75" customHeight="1">
      <c r="A1248" s="206"/>
      <c r="B1248" s="43" t="s">
        <v>88</v>
      </c>
      <c r="C1248" s="258" t="s">
        <v>899</v>
      </c>
      <c r="D1248" s="55" t="s">
        <v>20</v>
      </c>
      <c r="E1248" s="171" t="s">
        <v>900</v>
      </c>
      <c r="F1248" s="158">
        <v>1.0</v>
      </c>
      <c r="G1248" s="34">
        <v>1002.0</v>
      </c>
      <c r="H1248" s="57">
        <f t="shared" si="29"/>
        <v>1002</v>
      </c>
      <c r="I1248" s="57"/>
      <c r="J1248" s="58"/>
      <c r="K1248" s="54"/>
      <c r="L1248" s="54"/>
      <c r="M1248" s="54"/>
      <c r="N1248" s="54"/>
      <c r="O1248" s="54"/>
      <c r="P1248" s="54"/>
      <c r="Q1248" s="1"/>
      <c r="R1248" s="1"/>
      <c r="S1248" s="1"/>
      <c r="T1248" s="1"/>
      <c r="U1248" s="1"/>
      <c r="V1248" s="1"/>
    </row>
    <row r="1249" ht="15.75" hidden="1" customHeight="1">
      <c r="A1249" s="206"/>
      <c r="B1249" s="54" t="s">
        <v>539</v>
      </c>
      <c r="C1249" s="54" t="s">
        <v>777</v>
      </c>
      <c r="D1249" s="55" t="s">
        <v>20</v>
      </c>
      <c r="E1249" s="54" t="s">
        <v>778</v>
      </c>
      <c r="F1249" s="158">
        <v>0.0</v>
      </c>
      <c r="G1249" s="57">
        <v>0.0</v>
      </c>
      <c r="H1249" s="57">
        <f t="shared" si="29"/>
        <v>0</v>
      </c>
      <c r="I1249" s="57"/>
      <c r="J1249" s="58"/>
      <c r="K1249" s="54"/>
      <c r="L1249" s="54"/>
      <c r="M1249" s="54"/>
      <c r="N1249" s="54"/>
      <c r="O1249" s="54"/>
      <c r="P1249" s="54"/>
      <c r="Q1249" s="1"/>
      <c r="R1249" s="1"/>
      <c r="S1249" s="1"/>
      <c r="T1249" s="1"/>
      <c r="U1249" s="1"/>
      <c r="V1249" s="1"/>
    </row>
    <row r="1250" ht="15.75" hidden="1" customHeight="1">
      <c r="A1250" s="206"/>
      <c r="B1250" s="54" t="s">
        <v>18</v>
      </c>
      <c r="C1250" s="54" t="s">
        <v>779</v>
      </c>
      <c r="D1250" s="55" t="s">
        <v>20</v>
      </c>
      <c r="E1250" s="205" t="s">
        <v>780</v>
      </c>
      <c r="F1250" s="158">
        <v>0.0</v>
      </c>
      <c r="G1250" s="57">
        <v>150.0</v>
      </c>
      <c r="H1250" s="57">
        <f t="shared" si="29"/>
        <v>0</v>
      </c>
      <c r="I1250" s="57"/>
      <c r="J1250" s="58"/>
      <c r="K1250" s="54"/>
      <c r="L1250" s="54"/>
      <c r="M1250" s="54"/>
      <c r="N1250" s="54"/>
      <c r="O1250" s="54"/>
      <c r="P1250" s="54"/>
      <c r="Q1250" s="1"/>
      <c r="R1250" s="1"/>
      <c r="S1250" s="1"/>
      <c r="T1250" s="1"/>
      <c r="U1250" s="1"/>
      <c r="V1250" s="1"/>
    </row>
    <row r="1251" ht="15.75" hidden="1" customHeight="1">
      <c r="A1251" s="206"/>
      <c r="B1251" s="54" t="s">
        <v>18</v>
      </c>
      <c r="C1251" s="54" t="s">
        <v>781</v>
      </c>
      <c r="D1251" s="55" t="s">
        <v>20</v>
      </c>
      <c r="E1251" s="205" t="s">
        <v>901</v>
      </c>
      <c r="F1251" s="158">
        <v>0.0</v>
      </c>
      <c r="G1251" s="57">
        <v>230.0</v>
      </c>
      <c r="H1251" s="57">
        <f t="shared" si="29"/>
        <v>0</v>
      </c>
      <c r="I1251" s="57"/>
      <c r="J1251" s="58"/>
      <c r="K1251" s="54"/>
      <c r="L1251" s="54"/>
      <c r="M1251" s="54"/>
      <c r="N1251" s="54"/>
      <c r="O1251" s="54"/>
      <c r="P1251" s="54"/>
      <c r="Q1251" s="1"/>
      <c r="R1251" s="1"/>
      <c r="S1251" s="1"/>
      <c r="T1251" s="1"/>
      <c r="U1251" s="1"/>
      <c r="V1251" s="1"/>
    </row>
    <row r="1252" ht="15.75" hidden="1" customHeight="1">
      <c r="A1252" s="206"/>
      <c r="B1252" s="54" t="s">
        <v>228</v>
      </c>
      <c r="C1252" s="54" t="s">
        <v>783</v>
      </c>
      <c r="D1252" s="55" t="s">
        <v>20</v>
      </c>
      <c r="E1252" s="54"/>
      <c r="F1252" s="158">
        <v>0.0</v>
      </c>
      <c r="G1252" s="57">
        <v>10.0</v>
      </c>
      <c r="H1252" s="57">
        <f t="shared" si="29"/>
        <v>0</v>
      </c>
      <c r="I1252" s="57"/>
      <c r="J1252" s="58"/>
      <c r="K1252" s="54"/>
      <c r="L1252" s="54"/>
      <c r="M1252" s="54"/>
      <c r="N1252" s="54"/>
      <c r="O1252" s="54"/>
      <c r="P1252" s="54"/>
      <c r="Q1252" s="1"/>
      <c r="R1252" s="1"/>
      <c r="S1252" s="1"/>
      <c r="T1252" s="1"/>
      <c r="U1252" s="1"/>
      <c r="V1252" s="1"/>
    </row>
    <row r="1253" ht="15.75" hidden="1" customHeight="1">
      <c r="A1253" s="206"/>
      <c r="B1253" s="54" t="s">
        <v>18</v>
      </c>
      <c r="C1253" s="54" t="s">
        <v>784</v>
      </c>
      <c r="D1253" s="55" t="s">
        <v>20</v>
      </c>
      <c r="E1253" s="201" t="s">
        <v>785</v>
      </c>
      <c r="F1253" s="158">
        <v>0.0</v>
      </c>
      <c r="G1253" s="57">
        <v>9.0</v>
      </c>
      <c r="H1253" s="57">
        <f t="shared" si="29"/>
        <v>0</v>
      </c>
      <c r="I1253" s="57"/>
      <c r="J1253" s="58"/>
      <c r="K1253" s="54"/>
      <c r="L1253" s="54"/>
      <c r="M1253" s="54"/>
      <c r="N1253" s="54"/>
      <c r="O1253" s="54"/>
      <c r="P1253" s="54"/>
      <c r="Q1253" s="1"/>
      <c r="R1253" s="1"/>
      <c r="S1253" s="1"/>
      <c r="T1253" s="1"/>
      <c r="U1253" s="1"/>
      <c r="V1253" s="1"/>
    </row>
    <row r="1254" ht="15.75" hidden="1" customHeight="1">
      <c r="A1254" s="206"/>
      <c r="B1254" s="54" t="s">
        <v>277</v>
      </c>
      <c r="C1254" s="54" t="s">
        <v>786</v>
      </c>
      <c r="D1254" s="198" t="s">
        <v>22</v>
      </c>
      <c r="E1254" s="54"/>
      <c r="F1254" s="158">
        <v>0.0</v>
      </c>
      <c r="G1254" s="57">
        <v>69.99</v>
      </c>
      <c r="H1254" s="57">
        <f t="shared" si="29"/>
        <v>0</v>
      </c>
      <c r="I1254" s="57"/>
      <c r="J1254" s="58"/>
      <c r="K1254" s="54"/>
      <c r="L1254" s="54"/>
      <c r="M1254" s="54"/>
      <c r="N1254" s="54"/>
      <c r="O1254" s="54"/>
      <c r="P1254" s="54"/>
      <c r="Q1254" s="1"/>
      <c r="R1254" s="1"/>
      <c r="S1254" s="1"/>
      <c r="T1254" s="1"/>
      <c r="U1254" s="1"/>
      <c r="V1254" s="1"/>
    </row>
    <row r="1255" ht="15.75" hidden="1" customHeight="1">
      <c r="A1255" s="206"/>
      <c r="B1255" s="54" t="s">
        <v>18</v>
      </c>
      <c r="C1255" s="54" t="s">
        <v>787</v>
      </c>
      <c r="D1255" s="198" t="s">
        <v>22</v>
      </c>
      <c r="E1255" s="205" t="s">
        <v>902</v>
      </c>
      <c r="F1255" s="56">
        <v>0.0</v>
      </c>
      <c r="G1255" s="57">
        <v>255.0</v>
      </c>
      <c r="H1255" s="57">
        <f t="shared" si="29"/>
        <v>0</v>
      </c>
      <c r="I1255" s="57"/>
      <c r="J1255" s="58"/>
      <c r="K1255" s="54"/>
      <c r="L1255" s="54"/>
      <c r="M1255" s="54"/>
      <c r="N1255" s="54"/>
      <c r="O1255" s="54"/>
      <c r="P1255" s="54"/>
      <c r="Q1255" s="1"/>
      <c r="R1255" s="1"/>
      <c r="S1255" s="1"/>
      <c r="T1255" s="1"/>
      <c r="U1255" s="1"/>
      <c r="V1255" s="1"/>
    </row>
    <row r="1256" ht="15.75" hidden="1" customHeight="1">
      <c r="A1256" s="206"/>
      <c r="B1256" s="54" t="s">
        <v>18</v>
      </c>
      <c r="C1256" s="54" t="s">
        <v>285</v>
      </c>
      <c r="D1256" s="55" t="s">
        <v>20</v>
      </c>
      <c r="E1256" s="54" t="s">
        <v>286</v>
      </c>
      <c r="F1256" s="158">
        <v>0.0</v>
      </c>
      <c r="G1256" s="57">
        <v>3.0</v>
      </c>
      <c r="H1256" s="57">
        <f t="shared" si="29"/>
        <v>0</v>
      </c>
      <c r="I1256" s="57"/>
      <c r="J1256" s="58"/>
      <c r="K1256" s="13"/>
      <c r="L1256" s="54"/>
      <c r="M1256" s="54"/>
      <c r="N1256" s="54"/>
      <c r="O1256" s="54"/>
      <c r="P1256" s="54"/>
      <c r="Q1256" s="1"/>
      <c r="R1256" s="1"/>
      <c r="S1256" s="1"/>
      <c r="T1256" s="1"/>
      <c r="U1256" s="1"/>
      <c r="V1256" s="1"/>
    </row>
    <row r="1257" ht="15.75" hidden="1" customHeight="1">
      <c r="A1257" s="206"/>
      <c r="B1257" s="54" t="s">
        <v>18</v>
      </c>
      <c r="C1257" s="54" t="s">
        <v>789</v>
      </c>
      <c r="D1257" s="55" t="s">
        <v>20</v>
      </c>
      <c r="E1257" s="54" t="s">
        <v>790</v>
      </c>
      <c r="F1257" s="56">
        <v>0.0</v>
      </c>
      <c r="G1257" s="57">
        <v>14.0</v>
      </c>
      <c r="H1257" s="57">
        <f t="shared" si="29"/>
        <v>0</v>
      </c>
      <c r="I1257" s="57"/>
      <c r="J1257" s="58"/>
      <c r="K1257" s="54"/>
      <c r="L1257" s="54"/>
      <c r="M1257" s="54"/>
      <c r="N1257" s="54"/>
      <c r="O1257" s="54"/>
      <c r="P1257" s="54"/>
      <c r="Q1257" s="1"/>
      <c r="R1257" s="1"/>
      <c r="S1257" s="1"/>
      <c r="T1257" s="1"/>
      <c r="U1257" s="1"/>
      <c r="V1257" s="1"/>
    </row>
    <row r="1258" ht="15.75" hidden="1" customHeight="1">
      <c r="A1258" s="206"/>
      <c r="B1258" s="54" t="s">
        <v>463</v>
      </c>
      <c r="C1258" s="54" t="s">
        <v>791</v>
      </c>
      <c r="D1258" s="198" t="s">
        <v>22</v>
      </c>
      <c r="E1258" s="201" t="s">
        <v>792</v>
      </c>
      <c r="F1258" s="158">
        <v>0.0</v>
      </c>
      <c r="G1258" s="57">
        <v>23.0</v>
      </c>
      <c r="H1258" s="57">
        <f t="shared" si="29"/>
        <v>0</v>
      </c>
      <c r="I1258" s="57"/>
      <c r="J1258" s="58"/>
      <c r="K1258" s="54"/>
      <c r="L1258" s="54"/>
      <c r="M1258" s="54"/>
      <c r="N1258" s="54"/>
      <c r="O1258" s="54"/>
      <c r="P1258" s="54"/>
      <c r="Q1258" s="1"/>
      <c r="R1258" s="1"/>
      <c r="S1258" s="1"/>
      <c r="T1258" s="1"/>
      <c r="U1258" s="1"/>
      <c r="V1258" s="1"/>
    </row>
    <row r="1259" ht="15.75" hidden="1" customHeight="1">
      <c r="A1259" s="206"/>
      <c r="B1259" s="54" t="s">
        <v>463</v>
      </c>
      <c r="C1259" s="54" t="s">
        <v>793</v>
      </c>
      <c r="D1259" s="198" t="s">
        <v>22</v>
      </c>
      <c r="E1259" s="201" t="s">
        <v>794</v>
      </c>
      <c r="F1259" s="158">
        <v>0.0</v>
      </c>
      <c r="G1259" s="57">
        <v>23.0</v>
      </c>
      <c r="H1259" s="57">
        <f t="shared" si="29"/>
        <v>0</v>
      </c>
      <c r="I1259" s="57"/>
      <c r="J1259" s="58"/>
      <c r="K1259" s="54"/>
      <c r="L1259" s="54"/>
      <c r="M1259" s="54"/>
      <c r="N1259" s="54"/>
      <c r="O1259" s="54"/>
      <c r="P1259" s="54"/>
      <c r="Q1259" s="1"/>
      <c r="R1259" s="1"/>
      <c r="S1259" s="1"/>
      <c r="T1259" s="1"/>
      <c r="U1259" s="1"/>
      <c r="V1259" s="1"/>
    </row>
    <row r="1260" ht="15.75" hidden="1" customHeight="1">
      <c r="A1260" s="206"/>
      <c r="B1260" s="54" t="s">
        <v>463</v>
      </c>
      <c r="C1260" s="54" t="s">
        <v>795</v>
      </c>
      <c r="D1260" s="198" t="s">
        <v>22</v>
      </c>
      <c r="E1260" s="205" t="s">
        <v>796</v>
      </c>
      <c r="F1260" s="158">
        <v>0.0</v>
      </c>
      <c r="G1260" s="57">
        <v>23.0</v>
      </c>
      <c r="H1260" s="57">
        <f t="shared" si="29"/>
        <v>0</v>
      </c>
      <c r="I1260" s="57"/>
      <c r="J1260" s="58"/>
      <c r="K1260" s="54"/>
      <c r="L1260" s="54"/>
      <c r="M1260" s="54"/>
      <c r="N1260" s="54"/>
      <c r="O1260" s="54"/>
      <c r="P1260" s="54"/>
      <c r="Q1260" s="1"/>
      <c r="R1260" s="1"/>
      <c r="S1260" s="1"/>
      <c r="T1260" s="1"/>
      <c r="U1260" s="1"/>
      <c r="V1260" s="1"/>
    </row>
    <row r="1261" ht="15.75" hidden="1" customHeight="1">
      <c r="A1261" s="206"/>
      <c r="B1261" s="54" t="s">
        <v>463</v>
      </c>
      <c r="C1261" s="54" t="s">
        <v>797</v>
      </c>
      <c r="D1261" s="198" t="s">
        <v>22</v>
      </c>
      <c r="E1261" s="205" t="s">
        <v>798</v>
      </c>
      <c r="F1261" s="158">
        <v>0.0</v>
      </c>
      <c r="G1261" s="57">
        <v>23.0</v>
      </c>
      <c r="H1261" s="57">
        <f t="shared" si="29"/>
        <v>0</v>
      </c>
      <c r="I1261" s="57"/>
      <c r="J1261" s="58"/>
      <c r="K1261" s="54"/>
      <c r="L1261" s="54"/>
      <c r="M1261" s="54"/>
      <c r="N1261" s="54"/>
      <c r="O1261" s="54"/>
      <c r="P1261" s="54"/>
      <c r="Q1261" s="1"/>
      <c r="R1261" s="1"/>
      <c r="S1261" s="1"/>
      <c r="T1261" s="1"/>
      <c r="U1261" s="1"/>
      <c r="V1261" s="1"/>
    </row>
    <row r="1262" ht="15.75" hidden="1" customHeight="1">
      <c r="A1262" s="206"/>
      <c r="B1262" s="54" t="s">
        <v>463</v>
      </c>
      <c r="C1262" s="54" t="s">
        <v>799</v>
      </c>
      <c r="D1262" s="198" t="s">
        <v>22</v>
      </c>
      <c r="E1262" s="205" t="s">
        <v>800</v>
      </c>
      <c r="F1262" s="158">
        <v>0.0</v>
      </c>
      <c r="G1262" s="57">
        <v>23.0</v>
      </c>
      <c r="H1262" s="57">
        <f t="shared" si="29"/>
        <v>0</v>
      </c>
      <c r="I1262" s="57"/>
      <c r="J1262" s="58"/>
      <c r="K1262" s="54"/>
      <c r="L1262" s="54"/>
      <c r="M1262" s="54"/>
      <c r="N1262" s="54"/>
      <c r="O1262" s="54"/>
      <c r="P1262" s="54"/>
      <c r="Q1262" s="1"/>
      <c r="R1262" s="1"/>
      <c r="S1262" s="1"/>
      <c r="T1262" s="1"/>
      <c r="U1262" s="1"/>
      <c r="V1262" s="1"/>
    </row>
    <row r="1263" ht="15.75" hidden="1" customHeight="1">
      <c r="A1263" s="206"/>
      <c r="B1263" s="54" t="s">
        <v>463</v>
      </c>
      <c r="C1263" s="54" t="s">
        <v>801</v>
      </c>
      <c r="D1263" s="198" t="s">
        <v>22</v>
      </c>
      <c r="E1263" s="205" t="s">
        <v>802</v>
      </c>
      <c r="F1263" s="158">
        <v>0.0</v>
      </c>
      <c r="G1263" s="57">
        <v>23.0</v>
      </c>
      <c r="H1263" s="57">
        <f t="shared" si="29"/>
        <v>0</v>
      </c>
      <c r="I1263" s="57"/>
      <c r="J1263" s="58"/>
      <c r="K1263" s="54"/>
      <c r="L1263" s="54"/>
      <c r="M1263" s="54"/>
      <c r="N1263" s="54"/>
      <c r="O1263" s="54"/>
      <c r="P1263" s="54"/>
      <c r="Q1263" s="1"/>
      <c r="R1263" s="1"/>
      <c r="S1263" s="1"/>
      <c r="T1263" s="1"/>
      <c r="U1263" s="1"/>
      <c r="V1263" s="1"/>
    </row>
    <row r="1264" ht="15.75" hidden="1" customHeight="1">
      <c r="A1264" s="206"/>
      <c r="B1264" s="54" t="s">
        <v>803</v>
      </c>
      <c r="C1264" s="54" t="s">
        <v>804</v>
      </c>
      <c r="D1264" s="198" t="s">
        <v>22</v>
      </c>
      <c r="E1264" s="205" t="s">
        <v>805</v>
      </c>
      <c r="F1264" s="158">
        <v>0.0</v>
      </c>
      <c r="G1264" s="57">
        <v>35.0</v>
      </c>
      <c r="H1264" s="57">
        <f t="shared" si="29"/>
        <v>0</v>
      </c>
      <c r="I1264" s="57"/>
      <c r="J1264" s="58"/>
      <c r="K1264" s="54"/>
      <c r="L1264" s="54"/>
      <c r="M1264" s="54"/>
      <c r="N1264" s="54"/>
      <c r="O1264" s="54"/>
      <c r="P1264" s="54"/>
      <c r="Q1264" s="1"/>
      <c r="R1264" s="1"/>
      <c r="S1264" s="1"/>
      <c r="T1264" s="1"/>
      <c r="U1264" s="1"/>
      <c r="V1264" s="1"/>
    </row>
    <row r="1265" ht="15.75" hidden="1" customHeight="1">
      <c r="A1265" s="206"/>
      <c r="B1265" s="54" t="s">
        <v>803</v>
      </c>
      <c r="C1265" s="54" t="s">
        <v>806</v>
      </c>
      <c r="D1265" s="198" t="s">
        <v>22</v>
      </c>
      <c r="E1265" s="201" t="s">
        <v>807</v>
      </c>
      <c r="F1265" s="158">
        <v>0.0</v>
      </c>
      <c r="G1265" s="57">
        <v>35.0</v>
      </c>
      <c r="H1265" s="57">
        <f t="shared" si="29"/>
        <v>0</v>
      </c>
      <c r="I1265" s="57"/>
      <c r="J1265" s="58"/>
      <c r="K1265" s="54"/>
      <c r="L1265" s="54"/>
      <c r="M1265" s="54"/>
      <c r="N1265" s="54"/>
      <c r="O1265" s="54"/>
      <c r="P1265" s="54"/>
      <c r="Q1265" s="1"/>
      <c r="R1265" s="1"/>
      <c r="S1265" s="1"/>
      <c r="T1265" s="1"/>
      <c r="U1265" s="1"/>
      <c r="V1265" s="1"/>
    </row>
    <row r="1266" ht="15.75" hidden="1" customHeight="1">
      <c r="A1266" s="206"/>
      <c r="B1266" s="54" t="s">
        <v>808</v>
      </c>
      <c r="C1266" s="54" t="s">
        <v>809</v>
      </c>
      <c r="D1266" s="198" t="s">
        <v>22</v>
      </c>
      <c r="E1266" s="201" t="s">
        <v>810</v>
      </c>
      <c r="F1266" s="158">
        <v>0.0</v>
      </c>
      <c r="G1266" s="57">
        <v>20.0</v>
      </c>
      <c r="H1266" s="57">
        <f t="shared" si="29"/>
        <v>0</v>
      </c>
      <c r="I1266" s="57"/>
      <c r="J1266" s="58"/>
      <c r="K1266" s="54"/>
      <c r="L1266" s="54"/>
      <c r="M1266" s="54"/>
      <c r="N1266" s="54"/>
      <c r="O1266" s="54"/>
      <c r="P1266" s="54"/>
      <c r="Q1266" s="1"/>
      <c r="R1266" s="1"/>
      <c r="S1266" s="1"/>
      <c r="T1266" s="1"/>
      <c r="U1266" s="1"/>
      <c r="V1266" s="1"/>
    </row>
    <row r="1267" ht="15.75" hidden="1" customHeight="1">
      <c r="A1267" s="206"/>
      <c r="B1267" s="54" t="s">
        <v>18</v>
      </c>
      <c r="C1267" s="54" t="s">
        <v>811</v>
      </c>
      <c r="D1267" s="198" t="s">
        <v>22</v>
      </c>
      <c r="E1267" s="205" t="s">
        <v>812</v>
      </c>
      <c r="F1267" s="158">
        <v>0.0</v>
      </c>
      <c r="G1267" s="57">
        <v>16.0</v>
      </c>
      <c r="H1267" s="57">
        <f t="shared" si="29"/>
        <v>0</v>
      </c>
      <c r="I1267" s="57"/>
      <c r="J1267" s="58"/>
      <c r="K1267" s="54"/>
      <c r="L1267" s="54"/>
      <c r="M1267" s="54"/>
      <c r="N1267" s="54"/>
      <c r="O1267" s="54"/>
      <c r="P1267" s="54"/>
      <c r="Q1267" s="1"/>
      <c r="R1267" s="1"/>
      <c r="S1267" s="1"/>
      <c r="T1267" s="1"/>
      <c r="U1267" s="1"/>
      <c r="V1267" s="1"/>
    </row>
    <row r="1268" ht="15.75" hidden="1" customHeight="1">
      <c r="A1268" s="206"/>
      <c r="B1268" s="54" t="s">
        <v>18</v>
      </c>
      <c r="C1268" s="54" t="s">
        <v>813</v>
      </c>
      <c r="D1268" s="198" t="s">
        <v>22</v>
      </c>
      <c r="E1268" s="201" t="s">
        <v>814</v>
      </c>
      <c r="F1268" s="158">
        <v>0.0</v>
      </c>
      <c r="G1268" s="57">
        <v>12.0</v>
      </c>
      <c r="H1268" s="57">
        <f t="shared" si="29"/>
        <v>0</v>
      </c>
      <c r="I1268" s="57"/>
      <c r="J1268" s="58"/>
      <c r="K1268" s="54"/>
      <c r="L1268" s="54"/>
      <c r="M1268" s="54"/>
      <c r="N1268" s="54"/>
      <c r="O1268" s="54"/>
      <c r="P1268" s="54"/>
      <c r="Q1268" s="1"/>
      <c r="R1268" s="1"/>
      <c r="S1268" s="1"/>
      <c r="T1268" s="1"/>
      <c r="U1268" s="1"/>
      <c r="V1268" s="1"/>
    </row>
    <row r="1269" ht="15.75" hidden="1" customHeight="1">
      <c r="A1269" s="206"/>
      <c r="B1269" s="54" t="s">
        <v>18</v>
      </c>
      <c r="C1269" s="54" t="s">
        <v>815</v>
      </c>
      <c r="D1269" s="198" t="s">
        <v>22</v>
      </c>
      <c r="E1269" s="205" t="s">
        <v>816</v>
      </c>
      <c r="F1269" s="158">
        <v>0.0</v>
      </c>
      <c r="G1269" s="57">
        <v>18.0</v>
      </c>
      <c r="H1269" s="57">
        <f t="shared" si="29"/>
        <v>0</v>
      </c>
      <c r="I1269" s="57"/>
      <c r="J1269" s="58"/>
      <c r="K1269" s="54"/>
      <c r="L1269" s="54"/>
      <c r="M1269" s="54"/>
      <c r="N1269" s="54"/>
      <c r="O1269" s="54"/>
      <c r="P1269" s="54"/>
      <c r="Q1269" s="1"/>
      <c r="R1269" s="1"/>
      <c r="S1269" s="1"/>
      <c r="T1269" s="1"/>
      <c r="U1269" s="1"/>
      <c r="V1269" s="1"/>
    </row>
    <row r="1270" ht="15.75" hidden="1" customHeight="1">
      <c r="A1270" s="206"/>
      <c r="B1270" s="54" t="s">
        <v>817</v>
      </c>
      <c r="C1270" s="54" t="s">
        <v>818</v>
      </c>
      <c r="D1270" s="55" t="s">
        <v>20</v>
      </c>
      <c r="E1270" s="54"/>
      <c r="F1270" s="158">
        <v>0.0</v>
      </c>
      <c r="G1270" s="57">
        <v>5000.0</v>
      </c>
      <c r="H1270" s="57">
        <f t="shared" si="29"/>
        <v>0</v>
      </c>
      <c r="I1270" s="58"/>
      <c r="J1270" s="58"/>
      <c r="K1270" s="54"/>
      <c r="L1270" s="271"/>
      <c r="M1270" s="271"/>
      <c r="N1270" s="271"/>
      <c r="O1270" s="271"/>
      <c r="P1270" s="271"/>
      <c r="Q1270" s="1"/>
      <c r="R1270" s="1"/>
      <c r="S1270" s="1"/>
      <c r="T1270" s="1"/>
      <c r="U1270" s="1"/>
      <c r="V1270" s="1"/>
    </row>
    <row r="1271" ht="15.75" hidden="1" customHeight="1">
      <c r="A1271" s="206"/>
      <c r="B1271" s="54"/>
      <c r="C1271" s="54" t="s">
        <v>819</v>
      </c>
      <c r="D1271" s="55" t="s">
        <v>20</v>
      </c>
      <c r="E1271" s="54"/>
      <c r="F1271" s="158">
        <v>0.0</v>
      </c>
      <c r="G1271" s="159">
        <v>300.0</v>
      </c>
      <c r="H1271" s="57">
        <f t="shared" si="29"/>
        <v>0</v>
      </c>
      <c r="I1271" s="58"/>
      <c r="J1271" s="58"/>
      <c r="K1271" s="54"/>
      <c r="L1271" s="271"/>
      <c r="M1271" s="271"/>
      <c r="N1271" s="271"/>
      <c r="O1271" s="271"/>
      <c r="P1271" s="271"/>
      <c r="Q1271" s="1"/>
      <c r="R1271" s="1"/>
      <c r="S1271" s="1"/>
      <c r="T1271" s="1"/>
      <c r="U1271" s="1"/>
      <c r="V1271" s="1"/>
    </row>
    <row r="1272" ht="15.75" customHeight="1">
      <c r="A1272" s="206"/>
      <c r="B1272" s="54" t="s">
        <v>18</v>
      </c>
      <c r="C1272" s="54" t="s">
        <v>283</v>
      </c>
      <c r="D1272" s="55" t="s">
        <v>20</v>
      </c>
      <c r="E1272" s="54" t="s">
        <v>284</v>
      </c>
      <c r="F1272" s="158">
        <v>1.0</v>
      </c>
      <c r="G1272" s="159">
        <v>20.0</v>
      </c>
      <c r="H1272" s="57">
        <f t="shared" si="29"/>
        <v>20</v>
      </c>
      <c r="I1272" s="58"/>
      <c r="J1272" s="57"/>
      <c r="K1272" s="54"/>
      <c r="L1272" s="271"/>
      <c r="M1272" s="271"/>
      <c r="N1272" s="271"/>
      <c r="O1272" s="271"/>
      <c r="P1272" s="271"/>
      <c r="Q1272" s="1"/>
      <c r="R1272" s="1"/>
      <c r="S1272" s="1"/>
      <c r="T1272" s="1"/>
      <c r="U1272" s="1"/>
      <c r="V1272" s="1"/>
    </row>
    <row r="1273" ht="15.75" customHeight="1">
      <c r="A1273" s="206"/>
      <c r="B1273" s="54"/>
      <c r="C1273" s="54" t="s">
        <v>820</v>
      </c>
      <c r="D1273" s="55" t="s">
        <v>20</v>
      </c>
      <c r="E1273" s="325"/>
      <c r="F1273" s="320">
        <v>1.0</v>
      </c>
      <c r="G1273" s="322">
        <v>956.0</v>
      </c>
      <c r="H1273" s="322">
        <f t="shared" si="29"/>
        <v>956</v>
      </c>
      <c r="I1273" s="58"/>
      <c r="J1273" s="57"/>
      <c r="K1273" s="54"/>
      <c r="L1273" s="271"/>
      <c r="M1273" s="271"/>
      <c r="N1273" s="271"/>
      <c r="O1273" s="271"/>
      <c r="P1273" s="271"/>
      <c r="Q1273" s="1"/>
      <c r="R1273" s="1"/>
      <c r="S1273" s="1"/>
      <c r="T1273" s="1"/>
      <c r="U1273" s="1"/>
      <c r="V1273" s="1"/>
    </row>
    <row r="1274" ht="15.75" customHeight="1">
      <c r="A1274" s="206"/>
      <c r="B1274" s="54"/>
      <c r="C1274" s="54" t="s">
        <v>821</v>
      </c>
      <c r="D1274" s="314" t="s">
        <v>26</v>
      </c>
      <c r="E1274" s="325"/>
      <c r="F1274" s="320">
        <v>1.0</v>
      </c>
      <c r="G1274" s="322">
        <v>900.0</v>
      </c>
      <c r="H1274" s="322">
        <f t="shared" si="29"/>
        <v>900</v>
      </c>
      <c r="I1274" s="58"/>
      <c r="J1274" s="57"/>
      <c r="K1274" s="54"/>
      <c r="L1274" s="271"/>
      <c r="M1274" s="271"/>
      <c r="N1274" s="271"/>
      <c r="O1274" s="271"/>
      <c r="P1274" s="271"/>
      <c r="Q1274" s="1"/>
      <c r="R1274" s="1"/>
      <c r="S1274" s="1"/>
      <c r="T1274" s="1"/>
      <c r="U1274" s="1"/>
      <c r="V1274" s="1"/>
    </row>
    <row r="1275" ht="15.75" hidden="1" customHeight="1">
      <c r="A1275" s="206"/>
      <c r="B1275" s="54" t="s">
        <v>18</v>
      </c>
      <c r="C1275" s="258" t="s">
        <v>903</v>
      </c>
      <c r="D1275" s="55" t="s">
        <v>20</v>
      </c>
      <c r="E1275" s="54"/>
      <c r="F1275" s="158">
        <v>0.0</v>
      </c>
      <c r="G1275" s="159">
        <v>200.0</v>
      </c>
      <c r="H1275" s="57">
        <f t="shared" si="29"/>
        <v>0</v>
      </c>
      <c r="I1275" s="58"/>
      <c r="J1275" s="57"/>
      <c r="K1275" s="315"/>
      <c r="L1275" s="271"/>
      <c r="M1275" s="271"/>
      <c r="N1275" s="271"/>
      <c r="O1275" s="271"/>
      <c r="P1275" s="271"/>
      <c r="Q1275" s="1"/>
      <c r="R1275" s="1"/>
      <c r="S1275" s="1"/>
      <c r="T1275" s="1"/>
      <c r="U1275" s="1"/>
      <c r="V1275" s="1"/>
    </row>
    <row r="1276" ht="15.75" hidden="1" customHeight="1">
      <c r="A1276" s="206"/>
      <c r="B1276" s="54" t="s">
        <v>18</v>
      </c>
      <c r="C1276" s="54" t="s">
        <v>824</v>
      </c>
      <c r="D1276" s="55" t="s">
        <v>20</v>
      </c>
      <c r="E1276" s="54"/>
      <c r="F1276" s="158">
        <v>0.0</v>
      </c>
      <c r="G1276" s="57">
        <v>150.0</v>
      </c>
      <c r="H1276" s="57">
        <f t="shared" si="29"/>
        <v>0</v>
      </c>
      <c r="I1276" s="58"/>
      <c r="J1276" s="57"/>
      <c r="K1276" s="54"/>
      <c r="L1276" s="271"/>
      <c r="M1276" s="271"/>
      <c r="N1276" s="271"/>
      <c r="O1276" s="271"/>
      <c r="P1276" s="271"/>
      <c r="Q1276" s="1"/>
      <c r="R1276" s="1"/>
      <c r="S1276" s="1"/>
      <c r="T1276" s="1"/>
      <c r="U1276" s="1"/>
      <c r="V1276" s="1"/>
    </row>
    <row r="1277" ht="15.75" hidden="1" customHeight="1">
      <c r="A1277" s="206"/>
      <c r="B1277" s="54" t="s">
        <v>18</v>
      </c>
      <c r="C1277" s="54" t="s">
        <v>825</v>
      </c>
      <c r="D1277" s="55" t="s">
        <v>20</v>
      </c>
      <c r="E1277" s="54"/>
      <c r="F1277" s="56">
        <v>0.0</v>
      </c>
      <c r="G1277" s="57">
        <v>27.99</v>
      </c>
      <c r="H1277" s="57">
        <f t="shared" si="29"/>
        <v>0</v>
      </c>
      <c r="I1277" s="58"/>
      <c r="J1277" s="58"/>
      <c r="K1277" s="54"/>
      <c r="L1277" s="252"/>
      <c r="M1277" s="252"/>
      <c r="N1277" s="252"/>
      <c r="O1277" s="252"/>
      <c r="P1277" s="252"/>
      <c r="Q1277" s="1"/>
      <c r="R1277" s="1"/>
      <c r="S1277" s="1"/>
      <c r="T1277" s="1"/>
      <c r="U1277" s="1"/>
      <c r="V1277" s="1"/>
    </row>
    <row r="1278" ht="15.75" hidden="1" customHeight="1">
      <c r="A1278" s="206"/>
      <c r="B1278" s="54" t="s">
        <v>18</v>
      </c>
      <c r="C1278" s="54" t="s">
        <v>309</v>
      </c>
      <c r="D1278" s="55" t="s">
        <v>20</v>
      </c>
      <c r="E1278" s="54"/>
      <c r="F1278" s="56">
        <v>0.0</v>
      </c>
      <c r="G1278" s="57">
        <v>20.0</v>
      </c>
      <c r="H1278" s="57">
        <f t="shared" si="29"/>
        <v>0</v>
      </c>
      <c r="I1278" s="58"/>
      <c r="J1278" s="58"/>
      <c r="K1278" s="54"/>
      <c r="L1278" s="54"/>
      <c r="M1278" s="54"/>
      <c r="N1278" s="54"/>
      <c r="O1278" s="54"/>
      <c r="P1278" s="54"/>
      <c r="Q1278" s="1"/>
      <c r="R1278" s="1"/>
      <c r="S1278" s="1"/>
      <c r="T1278" s="1"/>
      <c r="U1278" s="1"/>
      <c r="V1278" s="1"/>
    </row>
    <row r="1279" ht="15.75" hidden="1" customHeight="1">
      <c r="A1279" s="206"/>
      <c r="B1279" s="54" t="s">
        <v>18</v>
      </c>
      <c r="C1279" s="54" t="s">
        <v>826</v>
      </c>
      <c r="D1279" s="55" t="s">
        <v>20</v>
      </c>
      <c r="E1279" s="208" t="s">
        <v>827</v>
      </c>
      <c r="F1279" s="56">
        <v>0.0</v>
      </c>
      <c r="G1279" s="57">
        <v>71.5</v>
      </c>
      <c r="H1279" s="57">
        <f t="shared" si="29"/>
        <v>0</v>
      </c>
      <c r="I1279" s="58"/>
      <c r="J1279" s="58"/>
      <c r="K1279" s="54"/>
      <c r="L1279" s="54"/>
      <c r="M1279" s="54"/>
      <c r="N1279" s="54"/>
      <c r="O1279" s="54"/>
      <c r="P1279" s="54"/>
      <c r="Q1279" s="1"/>
      <c r="R1279" s="1"/>
      <c r="S1279" s="1"/>
      <c r="T1279" s="1"/>
      <c r="U1279" s="1"/>
      <c r="V1279" s="1"/>
    </row>
    <row r="1280" ht="15.75" hidden="1" customHeight="1">
      <c r="A1280" s="206"/>
      <c r="B1280" s="54" t="s">
        <v>18</v>
      </c>
      <c r="C1280" s="54" t="s">
        <v>828</v>
      </c>
      <c r="D1280" s="55" t="s">
        <v>20</v>
      </c>
      <c r="E1280" s="54" t="s">
        <v>475</v>
      </c>
      <c r="F1280" s="56">
        <v>0.0</v>
      </c>
      <c r="G1280" s="57">
        <v>25.0</v>
      </c>
      <c r="H1280" s="57">
        <f t="shared" si="29"/>
        <v>0</v>
      </c>
      <c r="I1280" s="58"/>
      <c r="J1280" s="58"/>
      <c r="K1280" s="54"/>
      <c r="L1280" s="54"/>
      <c r="M1280" s="54"/>
      <c r="N1280" s="54"/>
      <c r="O1280" s="54"/>
      <c r="P1280" s="54"/>
      <c r="Q1280" s="1"/>
      <c r="R1280" s="1"/>
      <c r="S1280" s="1"/>
      <c r="T1280" s="1"/>
      <c r="U1280" s="1"/>
      <c r="V1280" s="1"/>
    </row>
    <row r="1281" ht="15.75" hidden="1" customHeight="1">
      <c r="A1281" s="206"/>
      <c r="B1281" s="54" t="s">
        <v>18</v>
      </c>
      <c r="C1281" s="54" t="s">
        <v>500</v>
      </c>
      <c r="D1281" s="55" t="s">
        <v>20</v>
      </c>
      <c r="E1281" s="54" t="s">
        <v>829</v>
      </c>
      <c r="F1281" s="56">
        <v>0.0</v>
      </c>
      <c r="G1281" s="57">
        <v>6.0</v>
      </c>
      <c r="H1281" s="57">
        <f t="shared" si="29"/>
        <v>0</v>
      </c>
      <c r="I1281" s="58"/>
      <c r="J1281" s="58"/>
      <c r="K1281" s="54"/>
      <c r="L1281" s="252"/>
      <c r="M1281" s="252"/>
      <c r="N1281" s="252"/>
      <c r="O1281" s="252"/>
      <c r="P1281" s="252"/>
      <c r="Q1281" s="1"/>
      <c r="R1281" s="1"/>
      <c r="S1281" s="1"/>
      <c r="T1281" s="1"/>
      <c r="U1281" s="1"/>
      <c r="V1281" s="1"/>
    </row>
    <row r="1282" ht="15.75" hidden="1" customHeight="1">
      <c r="A1282" s="206"/>
      <c r="B1282" s="54" t="s">
        <v>18</v>
      </c>
      <c r="C1282" s="54" t="s">
        <v>280</v>
      </c>
      <c r="D1282" s="55" t="s">
        <v>20</v>
      </c>
      <c r="E1282" s="15" t="s">
        <v>830</v>
      </c>
      <c r="F1282" s="158">
        <v>0.0</v>
      </c>
      <c r="G1282" s="34">
        <v>20.0</v>
      </c>
      <c r="H1282" s="57">
        <f t="shared" si="29"/>
        <v>0</v>
      </c>
      <c r="I1282" s="58"/>
      <c r="J1282" s="54"/>
      <c r="K1282" s="54"/>
      <c r="L1282" s="271"/>
      <c r="M1282" s="271"/>
      <c r="N1282" s="271"/>
      <c r="O1282" s="271"/>
      <c r="P1282" s="271"/>
      <c r="Q1282" s="1"/>
      <c r="R1282" s="1"/>
      <c r="S1282" s="1"/>
      <c r="T1282" s="1"/>
      <c r="U1282" s="1"/>
      <c r="V1282" s="1"/>
    </row>
    <row r="1283" ht="15.75" customHeight="1">
      <c r="A1283" s="206"/>
      <c r="B1283" s="258" t="s">
        <v>383</v>
      </c>
      <c r="C1283" s="258" t="s">
        <v>904</v>
      </c>
      <c r="D1283" s="314" t="s">
        <v>26</v>
      </c>
      <c r="E1283" s="54"/>
      <c r="F1283" s="56">
        <v>1.0</v>
      </c>
      <c r="G1283" s="159">
        <v>13000.0</v>
      </c>
      <c r="H1283" s="57">
        <f t="shared" si="29"/>
        <v>13000</v>
      </c>
      <c r="I1283" s="58"/>
      <c r="J1283" s="58"/>
      <c r="K1283" s="13"/>
      <c r="L1283" s="271"/>
      <c r="M1283" s="271"/>
      <c r="N1283" s="271"/>
      <c r="O1283" s="271"/>
      <c r="P1283" s="271"/>
      <c r="Q1283" s="1"/>
      <c r="R1283" s="1"/>
      <c r="S1283" s="1"/>
      <c r="T1283" s="1"/>
      <c r="U1283" s="1"/>
      <c r="V1283" s="1"/>
    </row>
    <row r="1284" ht="15.75" hidden="1" customHeight="1">
      <c r="A1284" s="206"/>
      <c r="B1284" s="54" t="s">
        <v>18</v>
      </c>
      <c r="C1284" s="258" t="s">
        <v>905</v>
      </c>
      <c r="D1284" s="55" t="s">
        <v>20</v>
      </c>
      <c r="E1284" s="54"/>
      <c r="F1284" s="158">
        <v>0.0</v>
      </c>
      <c r="G1284" s="159">
        <v>4000.0</v>
      </c>
      <c r="H1284" s="57">
        <f t="shared" si="29"/>
        <v>0</v>
      </c>
      <c r="I1284" s="58"/>
      <c r="J1284" s="58"/>
      <c r="K1284" s="54"/>
      <c r="L1284" s="271"/>
      <c r="M1284" s="271"/>
      <c r="N1284" s="271"/>
      <c r="O1284" s="271"/>
      <c r="P1284" s="271"/>
      <c r="Q1284" s="1"/>
      <c r="R1284" s="1"/>
      <c r="S1284" s="1"/>
      <c r="T1284" s="1"/>
      <c r="U1284" s="1"/>
      <c r="V1284" s="1"/>
    </row>
    <row r="1285" ht="15.75" hidden="1" customHeight="1">
      <c r="A1285" s="206"/>
      <c r="B1285" s="54"/>
      <c r="C1285" s="13" t="s">
        <v>848</v>
      </c>
      <c r="D1285" s="318" t="s">
        <v>26</v>
      </c>
      <c r="E1285" s="52"/>
      <c r="F1285" s="48">
        <v>0.0</v>
      </c>
      <c r="G1285" s="50">
        <v>11000.0</v>
      </c>
      <c r="H1285" s="50">
        <f t="shared" si="29"/>
        <v>0</v>
      </c>
      <c r="I1285" s="58"/>
      <c r="J1285" s="58"/>
      <c r="K1285" s="54"/>
      <c r="L1285" s="271"/>
      <c r="M1285" s="271"/>
      <c r="N1285" s="271"/>
      <c r="O1285" s="271"/>
      <c r="P1285" s="271"/>
      <c r="Q1285" s="1"/>
      <c r="R1285" s="1"/>
      <c r="S1285" s="1"/>
      <c r="T1285" s="1"/>
      <c r="U1285" s="1"/>
      <c r="V1285" s="1"/>
    </row>
    <row r="1286" ht="15.75" hidden="1" customHeight="1">
      <c r="A1286" s="206"/>
      <c r="B1286" s="54"/>
      <c r="C1286" s="206" t="s">
        <v>849</v>
      </c>
      <c r="D1286" s="55" t="s">
        <v>20</v>
      </c>
      <c r="E1286" s="54"/>
      <c r="F1286" s="56">
        <v>0.0</v>
      </c>
      <c r="G1286" s="57">
        <v>6000.0</v>
      </c>
      <c r="H1286" s="57">
        <f t="shared" si="29"/>
        <v>0</v>
      </c>
      <c r="I1286" s="58"/>
      <c r="J1286" s="58"/>
      <c r="K1286" s="54"/>
      <c r="L1286" s="271"/>
      <c r="M1286" s="271"/>
      <c r="N1286" s="271"/>
      <c r="O1286" s="271"/>
      <c r="P1286" s="271"/>
      <c r="Q1286" s="1"/>
      <c r="R1286" s="1"/>
      <c r="S1286" s="1"/>
      <c r="T1286" s="1"/>
      <c r="U1286" s="1"/>
      <c r="V1286" s="1"/>
    </row>
    <row r="1287" ht="15.75" hidden="1" customHeight="1">
      <c r="A1287" s="206"/>
      <c r="B1287" s="54" t="s">
        <v>18</v>
      </c>
      <c r="C1287" s="54" t="s">
        <v>850</v>
      </c>
      <c r="D1287" s="55" t="s">
        <v>20</v>
      </c>
      <c r="E1287" s="54" t="s">
        <v>851</v>
      </c>
      <c r="F1287" s="56">
        <v>0.0</v>
      </c>
      <c r="G1287" s="57">
        <v>36.49</v>
      </c>
      <c r="H1287" s="57">
        <f t="shared" si="29"/>
        <v>0</v>
      </c>
      <c r="I1287" s="58"/>
      <c r="J1287" s="58"/>
      <c r="K1287" s="54"/>
      <c r="L1287" s="54"/>
      <c r="M1287" s="54"/>
      <c r="N1287" s="54"/>
      <c r="O1287" s="54"/>
      <c r="P1287" s="54"/>
      <c r="Q1287" s="1"/>
      <c r="R1287" s="1"/>
      <c r="S1287" s="1"/>
      <c r="T1287" s="1"/>
      <c r="U1287" s="1"/>
      <c r="V1287" s="1"/>
    </row>
    <row r="1288" ht="15.75" customHeight="1">
      <c r="A1288" s="206"/>
      <c r="B1288" s="54" t="s">
        <v>18</v>
      </c>
      <c r="C1288" s="54" t="s">
        <v>852</v>
      </c>
      <c r="D1288" s="55" t="s">
        <v>20</v>
      </c>
      <c r="E1288" s="230" t="s">
        <v>906</v>
      </c>
      <c r="F1288" s="158">
        <v>1.0</v>
      </c>
      <c r="G1288" s="159">
        <v>63.0</v>
      </c>
      <c r="H1288" s="57">
        <f t="shared" si="29"/>
        <v>63</v>
      </c>
      <c r="I1288" s="58"/>
      <c r="J1288" s="58"/>
      <c r="K1288" s="54"/>
      <c r="L1288" s="252"/>
      <c r="M1288" s="252"/>
      <c r="N1288" s="252"/>
      <c r="O1288" s="252"/>
      <c r="P1288" s="252"/>
      <c r="Q1288" s="1"/>
      <c r="R1288" s="1"/>
      <c r="S1288" s="1"/>
      <c r="T1288" s="1"/>
      <c r="U1288" s="1"/>
      <c r="V1288" s="1"/>
    </row>
    <row r="1289" ht="15.75" hidden="1" customHeight="1">
      <c r="A1289" s="206"/>
      <c r="B1289" s="54" t="s">
        <v>18</v>
      </c>
      <c r="C1289" s="54" t="s">
        <v>854</v>
      </c>
      <c r="D1289" s="55" t="s">
        <v>20</v>
      </c>
      <c r="E1289" s="54" t="s">
        <v>855</v>
      </c>
      <c r="F1289" s="56">
        <v>0.0</v>
      </c>
      <c r="G1289" s="57">
        <v>98.16</v>
      </c>
      <c r="H1289" s="57">
        <f t="shared" si="29"/>
        <v>0</v>
      </c>
      <c r="I1289" s="58"/>
      <c r="J1289" s="58"/>
      <c r="K1289" s="54"/>
      <c r="L1289" s="252"/>
      <c r="M1289" s="252"/>
      <c r="N1289" s="252"/>
      <c r="O1289" s="252"/>
      <c r="P1289" s="252"/>
      <c r="Q1289" s="1"/>
      <c r="R1289" s="1"/>
      <c r="S1289" s="1"/>
      <c r="T1289" s="1"/>
      <c r="U1289" s="1"/>
      <c r="V1289" s="1"/>
    </row>
    <row r="1290" ht="15.75" hidden="1" customHeight="1">
      <c r="A1290" s="206"/>
      <c r="B1290" s="54" t="s">
        <v>18</v>
      </c>
      <c r="C1290" s="54" t="s">
        <v>856</v>
      </c>
      <c r="D1290" s="55" t="s">
        <v>20</v>
      </c>
      <c r="E1290" s="54" t="s">
        <v>857</v>
      </c>
      <c r="F1290" s="56">
        <v>0.0</v>
      </c>
      <c r="G1290" s="57">
        <v>36.99</v>
      </c>
      <c r="H1290" s="57">
        <f t="shared" si="29"/>
        <v>0</v>
      </c>
      <c r="I1290" s="58"/>
      <c r="J1290" s="58"/>
      <c r="K1290" s="54"/>
      <c r="L1290" s="252"/>
      <c r="M1290" s="252"/>
      <c r="N1290" s="252"/>
      <c r="O1290" s="252"/>
      <c r="P1290" s="252"/>
      <c r="Q1290" s="1"/>
      <c r="R1290" s="1"/>
      <c r="S1290" s="1"/>
      <c r="T1290" s="1"/>
      <c r="U1290" s="1"/>
      <c r="V1290" s="1"/>
    </row>
    <row r="1291" ht="15.75" hidden="1" customHeight="1">
      <c r="A1291" s="206"/>
      <c r="B1291" s="54" t="s">
        <v>574</v>
      </c>
      <c r="C1291" s="54" t="s">
        <v>736</v>
      </c>
      <c r="D1291" s="55" t="s">
        <v>20</v>
      </c>
      <c r="E1291" s="54"/>
      <c r="F1291" s="56">
        <v>0.0</v>
      </c>
      <c r="G1291" s="57">
        <v>0.0</v>
      </c>
      <c r="H1291" s="57">
        <f t="shared" si="29"/>
        <v>0</v>
      </c>
      <c r="I1291" s="58"/>
      <c r="J1291" s="58"/>
      <c r="K1291" s="54"/>
      <c r="L1291" s="252"/>
      <c r="M1291" s="252"/>
      <c r="N1291" s="252"/>
      <c r="O1291" s="252"/>
      <c r="P1291" s="252"/>
      <c r="Q1291" s="1"/>
      <c r="R1291" s="1"/>
      <c r="S1291" s="1"/>
      <c r="T1291" s="1"/>
      <c r="U1291" s="1"/>
      <c r="V1291" s="1"/>
    </row>
    <row r="1292" ht="15.75" hidden="1" customHeight="1">
      <c r="A1292" s="206"/>
      <c r="B1292" s="54"/>
      <c r="C1292" s="54" t="s">
        <v>858</v>
      </c>
      <c r="D1292" s="55" t="s">
        <v>20</v>
      </c>
      <c r="E1292" s="54"/>
      <c r="F1292" s="56">
        <v>0.0</v>
      </c>
      <c r="G1292" s="57">
        <v>1000.0</v>
      </c>
      <c r="H1292" s="57">
        <f t="shared" si="29"/>
        <v>0</v>
      </c>
      <c r="I1292" s="58"/>
      <c r="J1292" s="58"/>
      <c r="K1292" s="54"/>
      <c r="L1292" s="252"/>
      <c r="M1292" s="252"/>
      <c r="N1292" s="252"/>
      <c r="O1292" s="252"/>
      <c r="P1292" s="252"/>
      <c r="Q1292" s="1"/>
      <c r="R1292" s="1"/>
      <c r="S1292" s="1"/>
      <c r="T1292" s="1"/>
      <c r="U1292" s="1"/>
      <c r="V1292" s="1"/>
    </row>
    <row r="1293" ht="15.75" hidden="1" customHeight="1">
      <c r="A1293" s="206"/>
      <c r="B1293" s="54" t="s">
        <v>18</v>
      </c>
      <c r="C1293" s="54" t="s">
        <v>781</v>
      </c>
      <c r="D1293" s="55" t="s">
        <v>20</v>
      </c>
      <c r="E1293" s="54" t="s">
        <v>859</v>
      </c>
      <c r="F1293" s="56">
        <v>0.0</v>
      </c>
      <c r="G1293" s="57">
        <v>240.0</v>
      </c>
      <c r="H1293" s="57">
        <f t="shared" si="29"/>
        <v>0</v>
      </c>
      <c r="I1293" s="58"/>
      <c r="J1293" s="58"/>
      <c r="K1293" s="54"/>
      <c r="L1293" s="252"/>
      <c r="M1293" s="252"/>
      <c r="N1293" s="252"/>
      <c r="O1293" s="252"/>
      <c r="P1293" s="252"/>
      <c r="Q1293" s="1"/>
      <c r="R1293" s="1"/>
      <c r="S1293" s="1"/>
      <c r="T1293" s="1"/>
      <c r="U1293" s="1"/>
      <c r="V1293" s="1"/>
    </row>
    <row r="1294" ht="15.75" customHeight="1">
      <c r="A1294" s="206"/>
      <c r="B1294" s="54" t="s">
        <v>18</v>
      </c>
      <c r="C1294" s="54" t="s">
        <v>860</v>
      </c>
      <c r="D1294" s="55" t="s">
        <v>20</v>
      </c>
      <c r="E1294" s="157" t="s">
        <v>907</v>
      </c>
      <c r="F1294" s="158">
        <v>1.0</v>
      </c>
      <c r="G1294" s="159">
        <v>63.6</v>
      </c>
      <c r="H1294" s="57">
        <f t="shared" si="29"/>
        <v>63.6</v>
      </c>
      <c r="I1294" s="58"/>
      <c r="J1294" s="58"/>
      <c r="K1294" s="54"/>
      <c r="L1294" s="252"/>
      <c r="M1294" s="252"/>
      <c r="N1294" s="252"/>
      <c r="O1294" s="252"/>
      <c r="P1294" s="252"/>
      <c r="Q1294" s="1"/>
      <c r="R1294" s="1"/>
      <c r="S1294" s="1"/>
      <c r="T1294" s="1"/>
      <c r="U1294" s="1"/>
      <c r="V1294" s="1"/>
    </row>
    <row r="1295" ht="15.75" customHeight="1">
      <c r="A1295" s="206"/>
      <c r="B1295" s="258" t="s">
        <v>18</v>
      </c>
      <c r="C1295" s="258" t="s">
        <v>908</v>
      </c>
      <c r="D1295" s="55" t="s">
        <v>20</v>
      </c>
      <c r="E1295" s="157" t="s">
        <v>909</v>
      </c>
      <c r="F1295" s="158">
        <v>1.0</v>
      </c>
      <c r="G1295" s="159">
        <v>84.0</v>
      </c>
      <c r="H1295" s="57">
        <f t="shared" si="29"/>
        <v>84</v>
      </c>
      <c r="I1295" s="58"/>
      <c r="J1295" s="58"/>
      <c r="K1295" s="54"/>
      <c r="L1295" s="326"/>
      <c r="M1295" s="326"/>
      <c r="N1295" s="326"/>
      <c r="O1295" s="326"/>
      <c r="P1295" s="326"/>
      <c r="Q1295" s="1"/>
      <c r="R1295" s="1"/>
      <c r="S1295" s="1"/>
      <c r="T1295" s="1"/>
      <c r="U1295" s="1"/>
      <c r="V1295" s="1"/>
    </row>
    <row r="1296" ht="15.75" customHeight="1">
      <c r="A1296" s="206"/>
      <c r="B1296" s="258" t="s">
        <v>18</v>
      </c>
      <c r="C1296" s="258" t="s">
        <v>910</v>
      </c>
      <c r="D1296" s="55" t="s">
        <v>20</v>
      </c>
      <c r="E1296" s="157" t="s">
        <v>911</v>
      </c>
      <c r="F1296" s="158">
        <v>1.0</v>
      </c>
      <c r="G1296" s="159">
        <v>25.0</v>
      </c>
      <c r="H1296" s="57">
        <f t="shared" si="29"/>
        <v>25</v>
      </c>
      <c r="I1296" s="58"/>
      <c r="J1296" s="58"/>
      <c r="K1296" s="54"/>
      <c r="L1296" s="326"/>
      <c r="M1296" s="326"/>
      <c r="N1296" s="326"/>
      <c r="O1296" s="326"/>
      <c r="P1296" s="326"/>
      <c r="Q1296" s="1"/>
      <c r="R1296" s="1"/>
      <c r="S1296" s="1"/>
      <c r="T1296" s="1"/>
      <c r="U1296" s="1"/>
      <c r="V1296" s="1"/>
    </row>
    <row r="1297" ht="15.75" customHeight="1">
      <c r="A1297" s="206"/>
      <c r="B1297" s="258" t="s">
        <v>383</v>
      </c>
      <c r="C1297" s="258" t="s">
        <v>912</v>
      </c>
      <c r="D1297" s="327" t="s">
        <v>24</v>
      </c>
      <c r="E1297" s="160"/>
      <c r="F1297" s="158">
        <v>1.0</v>
      </c>
      <c r="G1297" s="159">
        <v>3200.0</v>
      </c>
      <c r="H1297" s="57">
        <f t="shared" si="29"/>
        <v>3200</v>
      </c>
      <c r="I1297" s="58"/>
      <c r="J1297" s="58"/>
      <c r="K1297" s="258" t="s">
        <v>913</v>
      </c>
      <c r="L1297" s="326"/>
      <c r="M1297" s="326"/>
      <c r="N1297" s="326"/>
      <c r="O1297" s="326"/>
      <c r="P1297" s="326"/>
      <c r="Q1297" s="1"/>
      <c r="R1297" s="1"/>
      <c r="S1297" s="1"/>
      <c r="T1297" s="1"/>
      <c r="U1297" s="1"/>
      <c r="V1297" s="1"/>
    </row>
    <row r="1298" ht="15.75" customHeight="1">
      <c r="A1298" s="206"/>
      <c r="B1298" s="258" t="s">
        <v>383</v>
      </c>
      <c r="C1298" s="258" t="s">
        <v>914</v>
      </c>
      <c r="D1298" s="55" t="s">
        <v>20</v>
      </c>
      <c r="E1298" s="160"/>
      <c r="F1298" s="158">
        <v>1.0</v>
      </c>
      <c r="G1298" s="159">
        <v>2300.0</v>
      </c>
      <c r="H1298" s="57">
        <f t="shared" si="29"/>
        <v>2300</v>
      </c>
      <c r="I1298" s="58"/>
      <c r="J1298" s="58"/>
      <c r="K1298" s="258" t="s">
        <v>915</v>
      </c>
      <c r="L1298" s="326"/>
      <c r="M1298" s="326"/>
      <c r="N1298" s="326"/>
      <c r="O1298" s="326"/>
      <c r="P1298" s="326"/>
      <c r="Q1298" s="1"/>
      <c r="R1298" s="1"/>
      <c r="S1298" s="1"/>
      <c r="T1298" s="1"/>
      <c r="U1298" s="1"/>
      <c r="V1298" s="1"/>
    </row>
    <row r="1299" ht="15.75" customHeight="1">
      <c r="A1299" s="206"/>
      <c r="B1299" s="258" t="s">
        <v>18</v>
      </c>
      <c r="C1299" s="258" t="s">
        <v>916</v>
      </c>
      <c r="D1299" s="55" t="s">
        <v>20</v>
      </c>
      <c r="E1299" s="157" t="s">
        <v>917</v>
      </c>
      <c r="F1299" s="158">
        <v>1.0</v>
      </c>
      <c r="G1299" s="159">
        <v>1360.0</v>
      </c>
      <c r="H1299" s="57">
        <f t="shared" si="29"/>
        <v>1360</v>
      </c>
      <c r="I1299" s="58"/>
      <c r="J1299" s="58"/>
      <c r="K1299" s="258"/>
      <c r="L1299" s="326"/>
      <c r="M1299" s="326"/>
      <c r="N1299" s="326"/>
      <c r="O1299" s="326"/>
      <c r="P1299" s="326"/>
      <c r="Q1299" s="1"/>
      <c r="R1299" s="1"/>
      <c r="S1299" s="1"/>
      <c r="T1299" s="1"/>
      <c r="U1299" s="1"/>
      <c r="V1299" s="1"/>
    </row>
    <row r="1300" ht="15.75" customHeight="1">
      <c r="A1300" s="206"/>
      <c r="B1300" s="258"/>
      <c r="C1300" s="258" t="s">
        <v>918</v>
      </c>
      <c r="D1300" s="327" t="s">
        <v>24</v>
      </c>
      <c r="E1300" s="160"/>
      <c r="F1300" s="158">
        <v>1.0</v>
      </c>
      <c r="G1300" s="159">
        <v>700.0</v>
      </c>
      <c r="H1300" s="57">
        <f t="shared" si="29"/>
        <v>700</v>
      </c>
      <c r="I1300" s="58"/>
      <c r="J1300" s="58"/>
      <c r="K1300" s="258" t="s">
        <v>919</v>
      </c>
      <c r="L1300" s="326"/>
      <c r="M1300" s="326"/>
      <c r="N1300" s="326"/>
      <c r="O1300" s="326"/>
      <c r="P1300" s="326"/>
      <c r="Q1300" s="1"/>
      <c r="R1300" s="1"/>
      <c r="S1300" s="1"/>
      <c r="T1300" s="1"/>
      <c r="U1300" s="1"/>
      <c r="V1300" s="1"/>
    </row>
    <row r="1301" ht="15.75" hidden="1" customHeight="1">
      <c r="A1301" s="206"/>
      <c r="B1301" s="54" t="s">
        <v>18</v>
      </c>
      <c r="C1301" s="54" t="s">
        <v>862</v>
      </c>
      <c r="D1301" s="55" t="s">
        <v>20</v>
      </c>
      <c r="E1301" s="54" t="s">
        <v>863</v>
      </c>
      <c r="F1301" s="56">
        <v>0.0</v>
      </c>
      <c r="G1301" s="57">
        <v>19.99</v>
      </c>
      <c r="H1301" s="57">
        <f t="shared" si="29"/>
        <v>0</v>
      </c>
      <c r="I1301" s="58"/>
      <c r="J1301" s="58"/>
      <c r="K1301" s="54"/>
      <c r="L1301" s="54"/>
      <c r="M1301" s="54"/>
      <c r="N1301" s="54"/>
      <c r="O1301" s="54"/>
      <c r="P1301" s="54"/>
      <c r="Q1301" s="1"/>
      <c r="R1301" s="1"/>
      <c r="S1301" s="1"/>
      <c r="T1301" s="1"/>
      <c r="U1301" s="1"/>
      <c r="V1301" s="1"/>
    </row>
    <row r="1302" ht="15.75" hidden="1" customHeight="1">
      <c r="A1302" s="206"/>
      <c r="B1302" s="54"/>
      <c r="C1302" s="54" t="s">
        <v>864</v>
      </c>
      <c r="D1302" s="216" t="s">
        <v>24</v>
      </c>
      <c r="E1302" s="54"/>
      <c r="F1302" s="56">
        <v>0.0</v>
      </c>
      <c r="G1302" s="57">
        <v>1500.0</v>
      </c>
      <c r="H1302" s="57">
        <f t="shared" si="29"/>
        <v>0</v>
      </c>
      <c r="I1302" s="58"/>
      <c r="J1302" s="58"/>
      <c r="K1302" s="54"/>
      <c r="L1302" s="54"/>
      <c r="M1302" s="54"/>
      <c r="N1302" s="54"/>
      <c r="O1302" s="54"/>
      <c r="P1302" s="54"/>
      <c r="Q1302" s="1"/>
      <c r="R1302" s="1"/>
      <c r="S1302" s="1"/>
      <c r="T1302" s="1"/>
      <c r="U1302" s="1"/>
      <c r="V1302" s="1"/>
    </row>
    <row r="1303" ht="15.75" hidden="1" customHeight="1">
      <c r="A1303" s="206"/>
      <c r="B1303" s="54"/>
      <c r="C1303" s="54" t="s">
        <v>865</v>
      </c>
      <c r="D1303" s="55" t="s">
        <v>20</v>
      </c>
      <c r="E1303" s="54"/>
      <c r="F1303" s="56">
        <v>0.0</v>
      </c>
      <c r="G1303" s="57">
        <v>0.0</v>
      </c>
      <c r="H1303" s="57">
        <v>0.0</v>
      </c>
      <c r="I1303" s="58"/>
      <c r="J1303" s="58"/>
      <c r="K1303" s="54"/>
      <c r="L1303" s="54"/>
      <c r="M1303" s="54"/>
      <c r="N1303" s="54"/>
      <c r="O1303" s="54"/>
      <c r="P1303" s="54"/>
      <c r="Q1303" s="1"/>
      <c r="R1303" s="1"/>
      <c r="S1303" s="1"/>
      <c r="T1303" s="1"/>
      <c r="U1303" s="1"/>
      <c r="V1303" s="1"/>
    </row>
    <row r="1304" ht="15.75" hidden="1" customHeight="1">
      <c r="A1304" s="206"/>
      <c r="B1304" s="54"/>
      <c r="C1304" s="54" t="s">
        <v>866</v>
      </c>
      <c r="D1304" s="216" t="s">
        <v>24</v>
      </c>
      <c r="E1304" s="54"/>
      <c r="F1304" s="56">
        <v>0.0</v>
      </c>
      <c r="G1304" s="57">
        <v>0.0</v>
      </c>
      <c r="H1304" s="57">
        <v>0.0</v>
      </c>
      <c r="I1304" s="58"/>
      <c r="J1304" s="58"/>
      <c r="K1304" s="54"/>
      <c r="L1304" s="54"/>
      <c r="M1304" s="54"/>
      <c r="N1304" s="54"/>
      <c r="O1304" s="54"/>
      <c r="P1304" s="54"/>
      <c r="Q1304" s="1"/>
      <c r="R1304" s="1"/>
      <c r="S1304" s="1"/>
      <c r="T1304" s="1"/>
      <c r="U1304" s="1"/>
      <c r="V1304" s="1"/>
    </row>
    <row r="1305" ht="15.75" hidden="1" customHeight="1">
      <c r="A1305" s="206"/>
      <c r="B1305" s="54"/>
      <c r="C1305" s="54" t="s">
        <v>867</v>
      </c>
      <c r="D1305" s="216" t="s">
        <v>24</v>
      </c>
      <c r="E1305" s="54"/>
      <c r="F1305" s="56">
        <v>0.0</v>
      </c>
      <c r="G1305" s="57">
        <v>0.0</v>
      </c>
      <c r="H1305" s="57">
        <v>0.0</v>
      </c>
      <c r="I1305" s="58"/>
      <c r="J1305" s="58"/>
      <c r="K1305" s="54"/>
      <c r="L1305" s="271"/>
      <c r="M1305" s="271"/>
      <c r="N1305" s="271"/>
      <c r="O1305" s="271"/>
      <c r="P1305" s="271"/>
      <c r="Q1305" s="1"/>
      <c r="R1305" s="1"/>
      <c r="S1305" s="1"/>
      <c r="T1305" s="1"/>
      <c r="U1305" s="1"/>
      <c r="V1305" s="1"/>
    </row>
    <row r="1306" ht="15.75" hidden="1" customHeight="1">
      <c r="A1306" s="206"/>
      <c r="B1306" s="54"/>
      <c r="C1306" s="54" t="s">
        <v>868</v>
      </c>
      <c r="D1306" s="55" t="s">
        <v>20</v>
      </c>
      <c r="E1306" s="54"/>
      <c r="F1306" s="56">
        <v>0.0</v>
      </c>
      <c r="G1306" s="57">
        <v>0.0</v>
      </c>
      <c r="H1306" s="57">
        <v>0.0</v>
      </c>
      <c r="I1306" s="58"/>
      <c r="J1306" s="58"/>
      <c r="K1306" s="54"/>
      <c r="L1306" s="252"/>
      <c r="M1306" s="252"/>
      <c r="N1306" s="252"/>
      <c r="O1306" s="252"/>
      <c r="P1306" s="252"/>
      <c r="Q1306" s="1"/>
      <c r="R1306" s="1"/>
      <c r="S1306" s="1"/>
      <c r="T1306" s="1"/>
      <c r="U1306" s="1"/>
      <c r="V1306" s="1"/>
    </row>
    <row r="1307" ht="15.75" hidden="1" customHeight="1">
      <c r="A1307" s="206"/>
      <c r="B1307" s="54" t="s">
        <v>18</v>
      </c>
      <c r="C1307" s="13" t="s">
        <v>869</v>
      </c>
      <c r="D1307" s="46" t="s">
        <v>20</v>
      </c>
      <c r="E1307" s="207" t="s">
        <v>870</v>
      </c>
      <c r="F1307" s="48">
        <v>0.0</v>
      </c>
      <c r="G1307" s="50">
        <v>51.0</v>
      </c>
      <c r="H1307" s="50">
        <f>SUM(F1307*G1307)</f>
        <v>0</v>
      </c>
      <c r="I1307" s="58"/>
      <c r="J1307" s="58"/>
      <c r="K1307" s="54"/>
      <c r="L1307" s="252"/>
      <c r="M1307" s="252"/>
      <c r="N1307" s="252"/>
      <c r="O1307" s="252"/>
      <c r="P1307" s="252"/>
      <c r="Q1307" s="1"/>
      <c r="R1307" s="1"/>
      <c r="S1307" s="1"/>
      <c r="T1307" s="1"/>
      <c r="U1307" s="1"/>
      <c r="V1307" s="1"/>
    </row>
    <row r="1308" ht="26.25" customHeight="1">
      <c r="A1308" s="6"/>
      <c r="B1308" s="6" t="s">
        <v>30</v>
      </c>
      <c r="C1308" s="7">
        <f>SUM(H1309:H1335)</f>
        <v>34339.28</v>
      </c>
      <c r="D1308" s="148"/>
      <c r="E1308" s="148"/>
      <c r="F1308" s="81"/>
      <c r="G1308" s="82"/>
      <c r="H1308" s="328"/>
      <c r="I1308" s="329"/>
      <c r="J1308" s="82"/>
      <c r="K1308" s="81"/>
      <c r="L1308" s="83"/>
      <c r="M1308" s="83"/>
      <c r="N1308" s="83"/>
      <c r="O1308" s="83"/>
      <c r="P1308" s="83"/>
      <c r="Q1308" s="35"/>
      <c r="R1308" s="35"/>
      <c r="S1308" s="35"/>
      <c r="T1308" s="1"/>
      <c r="U1308" s="1"/>
      <c r="V1308" s="1"/>
    </row>
    <row r="1309" ht="15.75" customHeight="1">
      <c r="A1309" s="15"/>
      <c r="B1309" s="52" t="s">
        <v>18</v>
      </c>
      <c r="C1309" s="196" t="s">
        <v>920</v>
      </c>
      <c r="D1309" s="46" t="s">
        <v>20</v>
      </c>
      <c r="E1309" s="52" t="s">
        <v>921</v>
      </c>
      <c r="F1309" s="48">
        <v>1.0</v>
      </c>
      <c r="G1309" s="49">
        <v>45.6</v>
      </c>
      <c r="H1309" s="50">
        <f t="shared" ref="H1309:H1334" si="30">SUM(F1309*G1309)</f>
        <v>45.6</v>
      </c>
      <c r="I1309" s="51"/>
      <c r="J1309" s="51"/>
      <c r="K1309" s="52"/>
      <c r="L1309" s="52"/>
      <c r="M1309" s="52"/>
      <c r="N1309" s="52"/>
      <c r="O1309" s="52"/>
      <c r="P1309" s="52"/>
      <c r="Q1309" s="1"/>
      <c r="R1309" s="1"/>
      <c r="S1309" s="1"/>
      <c r="T1309" s="1"/>
      <c r="U1309" s="1"/>
      <c r="V1309" s="1"/>
    </row>
    <row r="1310" ht="15.75" hidden="1" customHeight="1">
      <c r="A1310" s="15"/>
      <c r="B1310" s="52"/>
      <c r="C1310" s="196" t="s">
        <v>922</v>
      </c>
      <c r="D1310" s="46" t="s">
        <v>20</v>
      </c>
      <c r="E1310" s="52"/>
      <c r="F1310" s="48">
        <v>0.0</v>
      </c>
      <c r="G1310" s="50">
        <v>5000.0</v>
      </c>
      <c r="H1310" s="50">
        <f t="shared" si="30"/>
        <v>0</v>
      </c>
      <c r="I1310" s="51"/>
      <c r="J1310" s="51"/>
      <c r="K1310" s="52"/>
      <c r="L1310" s="52"/>
      <c r="M1310" s="52"/>
      <c r="N1310" s="52"/>
      <c r="O1310" s="52"/>
      <c r="P1310" s="52"/>
      <c r="Q1310" s="1"/>
      <c r="R1310" s="1"/>
      <c r="S1310" s="1"/>
      <c r="T1310" s="1"/>
      <c r="U1310" s="1"/>
      <c r="V1310" s="1"/>
    </row>
    <row r="1311" ht="15.75" customHeight="1">
      <c r="A1311" s="183"/>
      <c r="B1311" s="330" t="s">
        <v>58</v>
      </c>
      <c r="C1311" s="43" t="s">
        <v>59</v>
      </c>
      <c r="D1311" s="327" t="s">
        <v>24</v>
      </c>
      <c r="E1311" s="331"/>
      <c r="F1311" s="332">
        <v>1.0</v>
      </c>
      <c r="G1311" s="333">
        <v>19137.18</v>
      </c>
      <c r="H1311" s="50">
        <f t="shared" si="30"/>
        <v>19137.18</v>
      </c>
      <c r="I1311" s="334"/>
      <c r="J1311" s="334"/>
      <c r="K1311" s="331"/>
      <c r="L1311" s="331"/>
      <c r="M1311" s="331"/>
      <c r="N1311" s="331"/>
      <c r="O1311" s="331"/>
      <c r="P1311" s="331"/>
      <c r="Q1311" s="182"/>
      <c r="R1311" s="182"/>
      <c r="S1311" s="182"/>
      <c r="T1311" s="182"/>
      <c r="U1311" s="182"/>
      <c r="V1311" s="182"/>
    </row>
    <row r="1312" ht="15.75" customHeight="1">
      <c r="A1312" s="183"/>
      <c r="B1312" s="330" t="s">
        <v>923</v>
      </c>
      <c r="C1312" s="231" t="s">
        <v>924</v>
      </c>
      <c r="D1312" s="46" t="s">
        <v>20</v>
      </c>
      <c r="E1312" s="331"/>
      <c r="F1312" s="335">
        <v>1.0</v>
      </c>
      <c r="G1312" s="333">
        <v>7026.5</v>
      </c>
      <c r="H1312" s="50">
        <f t="shared" si="30"/>
        <v>7026.5</v>
      </c>
      <c r="I1312" s="334"/>
      <c r="J1312" s="334"/>
      <c r="K1312" s="331"/>
      <c r="L1312" s="331"/>
      <c r="M1312" s="331"/>
      <c r="N1312" s="331"/>
      <c r="O1312" s="331"/>
      <c r="P1312" s="331"/>
      <c r="Q1312" s="182"/>
      <c r="R1312" s="182"/>
      <c r="S1312" s="182"/>
      <c r="T1312" s="182"/>
      <c r="U1312" s="182"/>
      <c r="V1312" s="182"/>
    </row>
    <row r="1313" ht="15.75" customHeight="1">
      <c r="A1313" s="183"/>
      <c r="B1313" s="43" t="s">
        <v>56</v>
      </c>
      <c r="C1313" s="231" t="s">
        <v>925</v>
      </c>
      <c r="D1313" s="185" t="s">
        <v>24</v>
      </c>
      <c r="E1313" s="130"/>
      <c r="F1313" s="184">
        <v>4.0</v>
      </c>
      <c r="G1313" s="179">
        <v>600.0</v>
      </c>
      <c r="H1313" s="50">
        <f t="shared" si="30"/>
        <v>2400</v>
      </c>
      <c r="I1313" s="175"/>
      <c r="J1313" s="175"/>
      <c r="K1313" s="130"/>
      <c r="L1313" s="130"/>
      <c r="M1313" s="130"/>
      <c r="N1313" s="130"/>
      <c r="O1313" s="130"/>
      <c r="P1313" s="130"/>
      <c r="Q1313" s="182"/>
      <c r="R1313" s="182"/>
      <c r="S1313" s="182"/>
      <c r="T1313" s="182"/>
      <c r="U1313" s="182"/>
      <c r="V1313" s="182"/>
    </row>
    <row r="1314" ht="15.75" customHeight="1">
      <c r="A1314" s="183"/>
      <c r="B1314" s="231" t="s">
        <v>239</v>
      </c>
      <c r="C1314" s="231" t="s">
        <v>926</v>
      </c>
      <c r="D1314" s="185" t="s">
        <v>24</v>
      </c>
      <c r="E1314" s="130"/>
      <c r="F1314" s="184">
        <v>1.0</v>
      </c>
      <c r="G1314" s="336">
        <v>400.0</v>
      </c>
      <c r="H1314" s="50">
        <f t="shared" si="30"/>
        <v>400</v>
      </c>
      <c r="I1314" s="175"/>
      <c r="J1314" s="175"/>
      <c r="K1314" s="130"/>
      <c r="L1314" s="130"/>
      <c r="M1314" s="130"/>
      <c r="N1314" s="130"/>
      <c r="O1314" s="130"/>
      <c r="P1314" s="130"/>
      <c r="Q1314" s="182"/>
      <c r="R1314" s="182"/>
      <c r="S1314" s="182"/>
      <c r="T1314" s="182"/>
      <c r="U1314" s="182"/>
      <c r="V1314" s="182"/>
    </row>
    <row r="1315" ht="15.75" hidden="1" customHeight="1">
      <c r="A1315" s="13"/>
      <c r="B1315" s="13"/>
      <c r="C1315" s="169" t="s">
        <v>927</v>
      </c>
      <c r="D1315" s="14" t="s">
        <v>20</v>
      </c>
      <c r="E1315" s="15"/>
      <c r="F1315" s="16">
        <v>0.0</v>
      </c>
      <c r="G1315" s="17">
        <v>6000.0</v>
      </c>
      <c r="H1315" s="50">
        <f t="shared" si="30"/>
        <v>0</v>
      </c>
      <c r="I1315" s="18"/>
      <c r="J1315" s="18"/>
      <c r="K1315" s="13"/>
      <c r="L1315" s="13"/>
      <c r="M1315" s="13"/>
      <c r="N1315" s="13"/>
      <c r="O1315" s="13"/>
      <c r="P1315" s="13"/>
      <c r="Q1315" s="35"/>
      <c r="R1315" s="35"/>
      <c r="S1315" s="35"/>
      <c r="T1315" s="1"/>
      <c r="U1315" s="1"/>
      <c r="V1315" s="1"/>
    </row>
    <row r="1316" ht="15.75" hidden="1" customHeight="1">
      <c r="A1316" s="13"/>
      <c r="B1316" s="13"/>
      <c r="C1316" s="169" t="s">
        <v>928</v>
      </c>
      <c r="D1316" s="14" t="s">
        <v>20</v>
      </c>
      <c r="E1316" s="15"/>
      <c r="F1316" s="16">
        <v>0.0</v>
      </c>
      <c r="G1316" s="17">
        <v>400.0</v>
      </c>
      <c r="H1316" s="50">
        <f t="shared" si="30"/>
        <v>0</v>
      </c>
      <c r="I1316" s="18"/>
      <c r="J1316" s="18"/>
      <c r="K1316" s="13"/>
      <c r="L1316" s="13"/>
      <c r="M1316" s="13"/>
      <c r="N1316" s="13"/>
      <c r="O1316" s="13"/>
      <c r="P1316" s="13"/>
      <c r="Q1316" s="35"/>
      <c r="R1316" s="35"/>
      <c r="S1316" s="35"/>
      <c r="T1316" s="1"/>
      <c r="U1316" s="1"/>
      <c r="V1316" s="1"/>
    </row>
    <row r="1317" ht="15.75" hidden="1" customHeight="1">
      <c r="A1317" s="13"/>
      <c r="B1317" s="13" t="s">
        <v>320</v>
      </c>
      <c r="C1317" s="169" t="s">
        <v>929</v>
      </c>
      <c r="D1317" s="337" t="s">
        <v>30</v>
      </c>
      <c r="E1317" s="15"/>
      <c r="F1317" s="16">
        <v>0.0</v>
      </c>
      <c r="G1317" s="17">
        <v>50.0</v>
      </c>
      <c r="H1317" s="50">
        <f t="shared" si="30"/>
        <v>0</v>
      </c>
      <c r="I1317" s="18"/>
      <c r="J1317" s="18"/>
      <c r="K1317" s="13"/>
      <c r="L1317" s="13"/>
      <c r="M1317" s="13"/>
      <c r="N1317" s="13"/>
      <c r="O1317" s="13"/>
      <c r="P1317" s="13"/>
      <c r="Q1317" s="35"/>
      <c r="R1317" s="35"/>
      <c r="S1317" s="35"/>
      <c r="T1317" s="1"/>
      <c r="U1317" s="1"/>
      <c r="V1317" s="1"/>
    </row>
    <row r="1318" ht="15.75" customHeight="1">
      <c r="A1318" s="13"/>
      <c r="B1318" s="258" t="s">
        <v>930</v>
      </c>
      <c r="C1318" s="13" t="s">
        <v>931</v>
      </c>
      <c r="D1318" s="337" t="s">
        <v>30</v>
      </c>
      <c r="E1318" s="15"/>
      <c r="F1318" s="16">
        <v>1.0</v>
      </c>
      <c r="G1318" s="34">
        <v>100.0</v>
      </c>
      <c r="H1318" s="50">
        <f t="shared" si="30"/>
        <v>100</v>
      </c>
      <c r="I1318" s="18"/>
      <c r="J1318" s="18"/>
      <c r="K1318" s="13"/>
      <c r="L1318" s="13"/>
      <c r="M1318" s="13"/>
      <c r="N1318" s="13"/>
      <c r="O1318" s="13"/>
      <c r="P1318" s="13"/>
      <c r="Q1318" s="35"/>
      <c r="R1318" s="35"/>
      <c r="S1318" s="35"/>
      <c r="T1318" s="1"/>
      <c r="U1318" s="1"/>
      <c r="V1318" s="1"/>
    </row>
    <row r="1319" ht="15.75" customHeight="1">
      <c r="A1319" s="13"/>
      <c r="B1319" s="258" t="s">
        <v>932</v>
      </c>
      <c r="C1319" s="43" t="s">
        <v>931</v>
      </c>
      <c r="D1319" s="337" t="s">
        <v>30</v>
      </c>
      <c r="E1319" s="15"/>
      <c r="F1319" s="40">
        <v>1.0</v>
      </c>
      <c r="G1319" s="34">
        <v>150.0</v>
      </c>
      <c r="H1319" s="50">
        <f t="shared" si="30"/>
        <v>150</v>
      </c>
      <c r="I1319" s="18"/>
      <c r="J1319" s="18"/>
      <c r="K1319" s="13"/>
      <c r="L1319" s="13"/>
      <c r="M1319" s="13"/>
      <c r="N1319" s="13"/>
      <c r="O1319" s="13"/>
      <c r="P1319" s="13"/>
      <c r="Q1319" s="35"/>
      <c r="R1319" s="35"/>
      <c r="S1319" s="35"/>
      <c r="T1319" s="1"/>
      <c r="U1319" s="1"/>
      <c r="V1319" s="1"/>
    </row>
    <row r="1320" ht="15.75" hidden="1" customHeight="1">
      <c r="A1320" s="13"/>
      <c r="B1320" s="54"/>
      <c r="C1320" s="13" t="s">
        <v>933</v>
      </c>
      <c r="D1320" s="14" t="s">
        <v>20</v>
      </c>
      <c r="E1320" s="15"/>
      <c r="F1320" s="40">
        <v>0.0</v>
      </c>
      <c r="G1320" s="17">
        <v>80.0</v>
      </c>
      <c r="H1320" s="50">
        <f t="shared" si="30"/>
        <v>0</v>
      </c>
      <c r="I1320" s="18"/>
      <c r="J1320" s="18"/>
      <c r="K1320" s="13"/>
      <c r="L1320" s="13"/>
      <c r="M1320" s="13"/>
      <c r="N1320" s="13"/>
      <c r="O1320" s="13"/>
      <c r="P1320" s="13"/>
      <c r="Q1320" s="35"/>
      <c r="R1320" s="35"/>
      <c r="S1320" s="35"/>
      <c r="T1320" s="1"/>
      <c r="U1320" s="1"/>
      <c r="V1320" s="1"/>
    </row>
    <row r="1321" ht="15.75" customHeight="1">
      <c r="A1321" s="13"/>
      <c r="B1321" s="43" t="s">
        <v>56</v>
      </c>
      <c r="C1321" s="13" t="s">
        <v>934</v>
      </c>
      <c r="D1321" s="14" t="s">
        <v>20</v>
      </c>
      <c r="E1321" s="15"/>
      <c r="F1321" s="16">
        <v>1.0</v>
      </c>
      <c r="G1321" s="34">
        <v>2000.0</v>
      </c>
      <c r="H1321" s="50">
        <f t="shared" si="30"/>
        <v>2000</v>
      </c>
      <c r="I1321" s="18"/>
      <c r="J1321" s="18"/>
      <c r="K1321" s="13"/>
      <c r="L1321" s="13"/>
      <c r="M1321" s="13"/>
      <c r="N1321" s="13"/>
      <c r="O1321" s="13"/>
      <c r="P1321" s="13"/>
      <c r="Q1321" s="35"/>
      <c r="R1321" s="35"/>
      <c r="S1321" s="35"/>
      <c r="T1321" s="1"/>
      <c r="U1321" s="1"/>
      <c r="V1321" s="1"/>
    </row>
    <row r="1322" ht="15.75" hidden="1" customHeight="1">
      <c r="A1322" s="13"/>
      <c r="B1322" s="54"/>
      <c r="C1322" s="13" t="s">
        <v>935</v>
      </c>
      <c r="D1322" s="14" t="s">
        <v>20</v>
      </c>
      <c r="E1322" s="15"/>
      <c r="F1322" s="40">
        <v>0.0</v>
      </c>
      <c r="G1322" s="17">
        <v>50.0</v>
      </c>
      <c r="H1322" s="50">
        <f t="shared" si="30"/>
        <v>0</v>
      </c>
      <c r="I1322" s="18"/>
      <c r="J1322" s="18"/>
      <c r="K1322" s="13"/>
      <c r="L1322" s="13"/>
      <c r="M1322" s="13"/>
      <c r="N1322" s="13"/>
      <c r="O1322" s="13"/>
      <c r="P1322" s="13"/>
      <c r="Q1322" s="35"/>
      <c r="R1322" s="35"/>
      <c r="S1322" s="35"/>
      <c r="T1322" s="1"/>
      <c r="U1322" s="1"/>
      <c r="V1322" s="1"/>
    </row>
    <row r="1323" ht="15.75" customHeight="1">
      <c r="A1323" s="13"/>
      <c r="B1323" s="43" t="s">
        <v>56</v>
      </c>
      <c r="C1323" s="13" t="s">
        <v>936</v>
      </c>
      <c r="D1323" s="70" t="s">
        <v>24</v>
      </c>
      <c r="E1323" s="15"/>
      <c r="F1323" s="16">
        <v>1.0</v>
      </c>
      <c r="G1323" s="17">
        <v>250.0</v>
      </c>
      <c r="H1323" s="50">
        <f t="shared" si="30"/>
        <v>250</v>
      </c>
      <c r="I1323" s="18"/>
      <c r="J1323" s="18"/>
      <c r="K1323" s="13"/>
      <c r="L1323" s="13"/>
      <c r="M1323" s="13"/>
      <c r="N1323" s="13"/>
      <c r="O1323" s="13"/>
      <c r="P1323" s="13"/>
      <c r="Q1323" s="35"/>
      <c r="R1323" s="35"/>
      <c r="S1323" s="35"/>
      <c r="T1323" s="1"/>
      <c r="U1323" s="1"/>
      <c r="V1323" s="1"/>
    </row>
    <row r="1324" ht="15.75" hidden="1" customHeight="1">
      <c r="A1324" s="13"/>
      <c r="B1324" s="13"/>
      <c r="C1324" s="13" t="s">
        <v>937</v>
      </c>
      <c r="D1324" s="70" t="s">
        <v>24</v>
      </c>
      <c r="E1324" s="15"/>
      <c r="F1324" s="16">
        <v>0.0</v>
      </c>
      <c r="G1324" s="17">
        <v>600.0</v>
      </c>
      <c r="H1324" s="50">
        <f t="shared" si="30"/>
        <v>0</v>
      </c>
      <c r="I1324" s="18"/>
      <c r="J1324" s="18"/>
      <c r="K1324" s="13"/>
      <c r="L1324" s="13"/>
      <c r="M1324" s="13"/>
      <c r="N1324" s="13"/>
      <c r="O1324" s="13"/>
      <c r="P1324" s="13"/>
      <c r="Q1324" s="35"/>
      <c r="R1324" s="35"/>
      <c r="S1324" s="35"/>
      <c r="T1324" s="1"/>
      <c r="U1324" s="1"/>
      <c r="V1324" s="1"/>
    </row>
    <row r="1325" ht="15.75" customHeight="1">
      <c r="A1325" s="13"/>
      <c r="B1325" s="13" t="s">
        <v>938</v>
      </c>
      <c r="C1325" s="13" t="s">
        <v>939</v>
      </c>
      <c r="D1325" s="337" t="s">
        <v>30</v>
      </c>
      <c r="E1325" s="15"/>
      <c r="F1325" s="16">
        <v>1.0</v>
      </c>
      <c r="G1325" s="34">
        <v>350.0</v>
      </c>
      <c r="H1325" s="17">
        <f t="shared" si="30"/>
        <v>350</v>
      </c>
      <c r="I1325" s="18"/>
      <c r="J1325" s="18"/>
      <c r="K1325" s="13"/>
      <c r="L1325" s="13"/>
      <c r="M1325" s="13"/>
      <c r="N1325" s="13"/>
      <c r="O1325" s="13"/>
      <c r="P1325" s="13"/>
      <c r="Q1325" s="35"/>
      <c r="R1325" s="35"/>
      <c r="S1325" s="35"/>
      <c r="T1325" s="1"/>
      <c r="U1325" s="1"/>
      <c r="V1325" s="1"/>
    </row>
    <row r="1326" ht="15.75" hidden="1" customHeight="1">
      <c r="A1326" s="15"/>
      <c r="B1326" s="13" t="s">
        <v>940</v>
      </c>
      <c r="C1326" s="52" t="s">
        <v>941</v>
      </c>
      <c r="D1326" s="338" t="s">
        <v>30</v>
      </c>
      <c r="E1326" s="52"/>
      <c r="F1326" s="48">
        <v>0.0</v>
      </c>
      <c r="G1326" s="50">
        <v>390.0</v>
      </c>
      <c r="H1326" s="50">
        <f t="shared" si="30"/>
        <v>0</v>
      </c>
      <c r="I1326" s="51"/>
      <c r="J1326" s="51"/>
      <c r="K1326" s="52"/>
      <c r="L1326" s="52"/>
      <c r="M1326" s="52"/>
      <c r="N1326" s="52"/>
      <c r="O1326" s="52"/>
      <c r="P1326" s="52"/>
      <c r="Q1326" s="1"/>
      <c r="R1326" s="1"/>
      <c r="S1326" s="1"/>
      <c r="T1326" s="1"/>
      <c r="U1326" s="1"/>
      <c r="V1326" s="1"/>
    </row>
    <row r="1327" ht="15.75" customHeight="1">
      <c r="A1327" s="13"/>
      <c r="B1327" s="13" t="s">
        <v>940</v>
      </c>
      <c r="C1327" s="166" t="s">
        <v>942</v>
      </c>
      <c r="D1327" s="339" t="s">
        <v>30</v>
      </c>
      <c r="E1327" s="219"/>
      <c r="F1327" s="222">
        <v>1.0</v>
      </c>
      <c r="G1327" s="192">
        <v>500.0</v>
      </c>
      <c r="H1327" s="17">
        <f t="shared" si="30"/>
        <v>500</v>
      </c>
      <c r="I1327" s="193"/>
      <c r="J1327" s="18"/>
      <c r="K1327" s="13"/>
      <c r="L1327" s="13"/>
      <c r="M1327" s="13"/>
      <c r="N1327" s="13"/>
      <c r="O1327" s="13"/>
      <c r="P1327" s="13"/>
      <c r="Q1327" s="35"/>
      <c r="R1327" s="35"/>
      <c r="S1327" s="35"/>
      <c r="T1327" s="1"/>
      <c r="U1327" s="1"/>
      <c r="V1327" s="1"/>
    </row>
    <row r="1328" ht="15.75" hidden="1" customHeight="1">
      <c r="A1328" s="13"/>
      <c r="B1328" s="13" t="s">
        <v>940</v>
      </c>
      <c r="C1328" s="166" t="s">
        <v>943</v>
      </c>
      <c r="D1328" s="339" t="s">
        <v>30</v>
      </c>
      <c r="E1328" s="219"/>
      <c r="F1328" s="190">
        <v>0.0</v>
      </c>
      <c r="G1328" s="192">
        <v>550.0</v>
      </c>
      <c r="H1328" s="17">
        <f t="shared" si="30"/>
        <v>0</v>
      </c>
      <c r="I1328" s="193"/>
      <c r="J1328" s="18"/>
      <c r="K1328" s="13"/>
      <c r="L1328" s="13"/>
      <c r="M1328" s="13"/>
      <c r="N1328" s="13"/>
      <c r="O1328" s="13"/>
      <c r="P1328" s="13"/>
      <c r="Q1328" s="35"/>
      <c r="R1328" s="35"/>
      <c r="S1328" s="35"/>
      <c r="T1328" s="1"/>
      <c r="U1328" s="1"/>
      <c r="V1328" s="1"/>
    </row>
    <row r="1329" ht="15.75" hidden="1" customHeight="1">
      <c r="A1329" s="13"/>
      <c r="B1329" s="13" t="s">
        <v>940</v>
      </c>
      <c r="C1329" s="166" t="s">
        <v>944</v>
      </c>
      <c r="D1329" s="339" t="s">
        <v>30</v>
      </c>
      <c r="E1329" s="219"/>
      <c r="F1329" s="190">
        <v>0.0</v>
      </c>
      <c r="G1329" s="192">
        <v>610.0</v>
      </c>
      <c r="H1329" s="17">
        <f t="shared" si="30"/>
        <v>0</v>
      </c>
      <c r="I1329" s="193"/>
      <c r="J1329" s="18"/>
      <c r="K1329" s="13"/>
      <c r="L1329" s="13"/>
      <c r="M1329" s="13"/>
      <c r="N1329" s="13"/>
      <c r="O1329" s="13"/>
      <c r="P1329" s="13"/>
      <c r="Q1329" s="35"/>
      <c r="R1329" s="35"/>
      <c r="S1329" s="35"/>
      <c r="T1329" s="1"/>
      <c r="U1329" s="1"/>
      <c r="V1329" s="1"/>
    </row>
    <row r="1330" ht="15.75" hidden="1" customHeight="1">
      <c r="A1330" s="15"/>
      <c r="B1330" s="52"/>
      <c r="C1330" s="52" t="s">
        <v>945</v>
      </c>
      <c r="D1330" s="338" t="s">
        <v>30</v>
      </c>
      <c r="E1330" s="52"/>
      <c r="F1330" s="48">
        <v>0.0</v>
      </c>
      <c r="G1330" s="50">
        <v>1440.0</v>
      </c>
      <c r="H1330" s="50">
        <f t="shared" si="30"/>
        <v>0</v>
      </c>
      <c r="I1330" s="51"/>
      <c r="J1330" s="51"/>
      <c r="K1330" s="52"/>
      <c r="L1330" s="52"/>
      <c r="M1330" s="52"/>
      <c r="N1330" s="52"/>
      <c r="O1330" s="52"/>
      <c r="P1330" s="52"/>
      <c r="Q1330" s="1"/>
      <c r="R1330" s="1"/>
      <c r="S1330" s="1"/>
      <c r="T1330" s="1"/>
      <c r="U1330" s="1"/>
      <c r="V1330" s="1"/>
    </row>
    <row r="1331" ht="15.75" customHeight="1">
      <c r="A1331" s="13"/>
      <c r="B1331" s="13"/>
      <c r="C1331" s="166" t="s">
        <v>946</v>
      </c>
      <c r="D1331" s="339" t="s">
        <v>30</v>
      </c>
      <c r="E1331" s="219"/>
      <c r="F1331" s="190">
        <v>1.0</v>
      </c>
      <c r="G1331" s="192">
        <v>1380.0</v>
      </c>
      <c r="H1331" s="17">
        <f t="shared" si="30"/>
        <v>1380</v>
      </c>
      <c r="I1331" s="193"/>
      <c r="J1331" s="18"/>
      <c r="K1331" s="13"/>
      <c r="L1331" s="13"/>
      <c r="M1331" s="13"/>
      <c r="N1331" s="13"/>
      <c r="O1331" s="13"/>
      <c r="P1331" s="13"/>
      <c r="Q1331" s="35"/>
      <c r="R1331" s="35"/>
      <c r="S1331" s="35"/>
      <c r="T1331" s="1"/>
      <c r="U1331" s="1"/>
      <c r="V1331" s="1"/>
    </row>
    <row r="1332" ht="15.75" hidden="1" customHeight="1">
      <c r="A1332" s="13"/>
      <c r="B1332" s="13"/>
      <c r="C1332" s="166" t="s">
        <v>947</v>
      </c>
      <c r="D1332" s="339" t="s">
        <v>30</v>
      </c>
      <c r="E1332" s="219"/>
      <c r="F1332" s="190">
        <v>0.0</v>
      </c>
      <c r="G1332" s="192">
        <v>1740.0</v>
      </c>
      <c r="H1332" s="17">
        <f t="shared" si="30"/>
        <v>0</v>
      </c>
      <c r="I1332" s="193"/>
      <c r="J1332" s="18"/>
      <c r="K1332" s="13"/>
      <c r="L1332" s="13"/>
      <c r="M1332" s="13"/>
      <c r="N1332" s="13"/>
      <c r="O1332" s="13"/>
      <c r="P1332" s="13"/>
      <c r="Q1332" s="35"/>
      <c r="R1332" s="35"/>
      <c r="S1332" s="35"/>
      <c r="T1332" s="1"/>
      <c r="U1332" s="1"/>
      <c r="V1332" s="1"/>
    </row>
    <row r="1333" ht="15.75" hidden="1" customHeight="1">
      <c r="A1333" s="13"/>
      <c r="B1333" s="13"/>
      <c r="C1333" s="166" t="s">
        <v>948</v>
      </c>
      <c r="D1333" s="339" t="s">
        <v>30</v>
      </c>
      <c r="E1333" s="219"/>
      <c r="F1333" s="190">
        <v>0.0</v>
      </c>
      <c r="G1333" s="192">
        <v>2100.0</v>
      </c>
      <c r="H1333" s="17">
        <f t="shared" si="30"/>
        <v>0</v>
      </c>
      <c r="I1333" s="193"/>
      <c r="J1333" s="18"/>
      <c r="K1333" s="13"/>
      <c r="L1333" s="13"/>
      <c r="M1333" s="13"/>
      <c r="N1333" s="13"/>
      <c r="O1333" s="13"/>
      <c r="P1333" s="13"/>
      <c r="Q1333" s="35"/>
      <c r="R1333" s="35"/>
      <c r="S1333" s="35"/>
      <c r="T1333" s="1"/>
      <c r="U1333" s="1"/>
      <c r="V1333" s="1"/>
    </row>
    <row r="1334" ht="15.75" customHeight="1">
      <c r="A1334" s="13"/>
      <c r="B1334" s="13"/>
      <c r="C1334" s="166" t="s">
        <v>949</v>
      </c>
      <c r="D1334" s="339" t="s">
        <v>30</v>
      </c>
      <c r="E1334" s="219"/>
      <c r="F1334" s="222">
        <v>3.0</v>
      </c>
      <c r="G1334" s="191">
        <v>200.0</v>
      </c>
      <c r="H1334" s="17">
        <f t="shared" si="30"/>
        <v>600</v>
      </c>
      <c r="I1334" s="193"/>
      <c r="J1334" s="18"/>
      <c r="K1334" s="13"/>
      <c r="L1334" s="340"/>
      <c r="M1334" s="340"/>
      <c r="N1334" s="340"/>
      <c r="O1334" s="340"/>
      <c r="P1334" s="340"/>
      <c r="Q1334" s="35"/>
      <c r="R1334" s="35"/>
      <c r="S1334" s="35"/>
      <c r="T1334" s="1"/>
      <c r="U1334" s="1"/>
      <c r="V1334" s="1"/>
    </row>
    <row r="1335" ht="15.75" customHeight="1">
      <c r="A1335" s="13"/>
      <c r="B1335" s="13"/>
      <c r="C1335" s="166" t="s">
        <v>950</v>
      </c>
      <c r="D1335" s="338" t="s">
        <v>30</v>
      </c>
      <c r="E1335" s="341" t="s">
        <v>951</v>
      </c>
      <c r="F1335" s="342">
        <v>1.0</v>
      </c>
      <c r="G1335" s="343">
        <v>0.0</v>
      </c>
      <c r="H1335" s="343">
        <v>0.0</v>
      </c>
      <c r="I1335" s="193"/>
      <c r="J1335" s="18"/>
      <c r="K1335" s="13"/>
      <c r="L1335" s="340"/>
      <c r="M1335" s="340"/>
      <c r="N1335" s="340"/>
      <c r="O1335" s="340"/>
      <c r="P1335" s="340"/>
      <c r="Q1335" s="35"/>
      <c r="R1335" s="35"/>
      <c r="S1335" s="35"/>
      <c r="T1335" s="1"/>
      <c r="U1335" s="1"/>
      <c r="V1335" s="1"/>
    </row>
    <row r="1336" ht="15.75" customHeight="1">
      <c r="A1336" s="340"/>
      <c r="B1336" s="340"/>
      <c r="C1336" s="340"/>
      <c r="D1336" s="344"/>
      <c r="E1336" s="344"/>
      <c r="F1336" s="340"/>
      <c r="G1336" s="340"/>
      <c r="H1336" s="340"/>
      <c r="I1336" s="340"/>
      <c r="J1336" s="340"/>
      <c r="K1336" s="340"/>
      <c r="L1336" s="340"/>
      <c r="M1336" s="340"/>
      <c r="N1336" s="340"/>
      <c r="O1336" s="340"/>
      <c r="P1336" s="340"/>
      <c r="Q1336" s="35"/>
      <c r="R1336" s="35"/>
      <c r="S1336" s="35"/>
      <c r="T1336" s="1"/>
      <c r="U1336" s="1"/>
      <c r="V1336" s="1"/>
    </row>
    <row r="1337" ht="15.75" customHeight="1">
      <c r="A1337" s="340"/>
      <c r="B1337" s="340"/>
      <c r="C1337" s="340"/>
      <c r="D1337" s="344"/>
      <c r="E1337" s="344"/>
      <c r="F1337" s="340"/>
      <c r="G1337" s="340"/>
      <c r="H1337" s="340"/>
      <c r="I1337" s="340"/>
      <c r="J1337" s="340"/>
      <c r="K1337" s="340"/>
      <c r="L1337" s="340"/>
      <c r="M1337" s="340"/>
      <c r="N1337" s="340"/>
      <c r="O1337" s="340"/>
      <c r="P1337" s="340"/>
      <c r="Q1337" s="35"/>
      <c r="R1337" s="35"/>
      <c r="S1337" s="35"/>
      <c r="T1337" s="1"/>
      <c r="U1337" s="1"/>
      <c r="V1337" s="1"/>
    </row>
    <row r="1338" ht="15.75" customHeight="1">
      <c r="A1338" s="340"/>
      <c r="B1338" s="340"/>
      <c r="C1338" s="340"/>
      <c r="D1338" s="344"/>
      <c r="E1338" s="344"/>
      <c r="F1338" s="340"/>
      <c r="G1338" s="340"/>
      <c r="H1338" s="340"/>
      <c r="I1338" s="340"/>
      <c r="J1338" s="340"/>
      <c r="K1338" s="340"/>
      <c r="L1338" s="340"/>
      <c r="M1338" s="340"/>
      <c r="N1338" s="340"/>
      <c r="O1338" s="340"/>
      <c r="P1338" s="340"/>
      <c r="Q1338" s="35"/>
      <c r="R1338" s="35"/>
      <c r="S1338" s="35"/>
      <c r="T1338" s="1"/>
      <c r="U1338" s="1"/>
      <c r="V1338" s="1"/>
    </row>
    <row r="1339" ht="15.75" customHeight="1">
      <c r="A1339" s="340"/>
      <c r="B1339" s="340"/>
      <c r="C1339" s="340"/>
      <c r="D1339" s="344"/>
      <c r="E1339" s="344"/>
      <c r="F1339" s="340"/>
      <c r="G1339" s="340"/>
      <c r="H1339" s="340"/>
      <c r="I1339" s="340"/>
      <c r="J1339" s="340"/>
      <c r="K1339" s="340"/>
      <c r="L1339" s="340"/>
      <c r="M1339" s="340"/>
      <c r="N1339" s="340"/>
      <c r="O1339" s="340"/>
      <c r="P1339" s="340"/>
      <c r="Q1339" s="35"/>
      <c r="R1339" s="35"/>
      <c r="S1339" s="35"/>
      <c r="T1339" s="1"/>
      <c r="U1339" s="1"/>
      <c r="V1339" s="1"/>
    </row>
    <row r="1340" ht="15.75" customHeight="1">
      <c r="A1340" s="340"/>
      <c r="B1340" s="340"/>
      <c r="C1340" s="340"/>
      <c r="D1340" s="344"/>
      <c r="E1340" s="344"/>
      <c r="F1340" s="340"/>
      <c r="G1340" s="340"/>
      <c r="H1340" s="340"/>
      <c r="I1340" s="340"/>
      <c r="J1340" s="340"/>
      <c r="K1340" s="340"/>
      <c r="L1340" s="340"/>
      <c r="M1340" s="340"/>
      <c r="N1340" s="340"/>
      <c r="O1340" s="340"/>
      <c r="P1340" s="340"/>
      <c r="Q1340" s="35"/>
      <c r="R1340" s="35"/>
      <c r="S1340" s="35"/>
      <c r="T1340" s="1"/>
      <c r="U1340" s="1"/>
      <c r="V1340" s="1"/>
    </row>
    <row r="1341" ht="15.75" customHeight="1">
      <c r="A1341" s="340"/>
      <c r="B1341" s="340"/>
      <c r="C1341" s="340"/>
      <c r="D1341" s="344"/>
      <c r="E1341" s="344"/>
      <c r="F1341" s="340"/>
      <c r="G1341" s="340"/>
      <c r="H1341" s="340"/>
      <c r="I1341" s="340"/>
      <c r="J1341" s="340"/>
      <c r="K1341" s="340"/>
      <c r="L1341" s="340"/>
      <c r="M1341" s="340"/>
      <c r="N1341" s="340"/>
      <c r="O1341" s="340"/>
      <c r="P1341" s="340"/>
      <c r="Q1341" s="35"/>
      <c r="R1341" s="35"/>
      <c r="S1341" s="35"/>
      <c r="T1341" s="1"/>
      <c r="U1341" s="1"/>
      <c r="V1341" s="1"/>
    </row>
    <row r="1342" ht="15.75" customHeight="1">
      <c r="A1342" s="340"/>
      <c r="B1342" s="340"/>
      <c r="C1342" s="340"/>
      <c r="D1342" s="344"/>
      <c r="E1342" s="344"/>
      <c r="F1342" s="340"/>
      <c r="G1342" s="340"/>
      <c r="H1342" s="340"/>
      <c r="I1342" s="340"/>
      <c r="J1342" s="340"/>
      <c r="K1342" s="340"/>
      <c r="L1342" s="340"/>
      <c r="M1342" s="340"/>
      <c r="N1342" s="340"/>
      <c r="O1342" s="340"/>
      <c r="P1342" s="340"/>
      <c r="Q1342" s="35"/>
      <c r="R1342" s="35"/>
      <c r="S1342" s="35"/>
      <c r="T1342" s="1"/>
      <c r="U1342" s="1"/>
      <c r="V1342" s="1"/>
    </row>
    <row r="1343" ht="15.75" customHeight="1">
      <c r="A1343" s="340"/>
      <c r="B1343" s="340"/>
      <c r="C1343" s="340"/>
      <c r="D1343" s="344"/>
      <c r="E1343" s="344"/>
      <c r="F1343" s="340"/>
      <c r="G1343" s="340"/>
      <c r="H1343" s="340"/>
      <c r="I1343" s="340"/>
      <c r="J1343" s="340"/>
      <c r="K1343" s="340"/>
      <c r="L1343" s="340"/>
      <c r="M1343" s="340"/>
      <c r="N1343" s="340"/>
      <c r="O1343" s="340"/>
      <c r="P1343" s="340"/>
      <c r="Q1343" s="35"/>
      <c r="R1343" s="35"/>
      <c r="S1343" s="35"/>
      <c r="T1343" s="1"/>
      <c r="U1343" s="1"/>
      <c r="V1343" s="1"/>
    </row>
    <row r="1344" ht="15.75" customHeight="1">
      <c r="A1344" s="340"/>
      <c r="B1344" s="340"/>
      <c r="C1344" s="340"/>
      <c r="D1344" s="344"/>
      <c r="E1344" s="344"/>
      <c r="F1344" s="340"/>
      <c r="G1344" s="340"/>
      <c r="H1344" s="340"/>
      <c r="I1344" s="340"/>
      <c r="J1344" s="340"/>
      <c r="K1344" s="340"/>
      <c r="L1344" s="340"/>
      <c r="M1344" s="340"/>
      <c r="N1344" s="340"/>
      <c r="O1344" s="340"/>
      <c r="P1344" s="340"/>
      <c r="Q1344" s="35"/>
      <c r="R1344" s="35"/>
      <c r="S1344" s="35"/>
      <c r="T1344" s="1"/>
      <c r="U1344" s="1"/>
      <c r="V1344" s="1"/>
    </row>
    <row r="1345" ht="15.75" customHeight="1">
      <c r="A1345" s="340"/>
      <c r="B1345" s="340"/>
      <c r="C1345" s="340"/>
      <c r="D1345" s="344"/>
      <c r="E1345" s="344"/>
      <c r="F1345" s="340"/>
      <c r="G1345" s="340"/>
      <c r="H1345" s="340"/>
      <c r="I1345" s="340"/>
      <c r="J1345" s="340"/>
      <c r="K1345" s="340"/>
      <c r="L1345" s="340"/>
      <c r="M1345" s="340"/>
      <c r="N1345" s="340"/>
      <c r="O1345" s="340"/>
      <c r="P1345" s="340"/>
      <c r="Q1345" s="35"/>
      <c r="R1345" s="35"/>
      <c r="S1345" s="35"/>
      <c r="T1345" s="1"/>
      <c r="U1345" s="1"/>
      <c r="V1345" s="1"/>
    </row>
    <row r="1346" ht="15.75" customHeight="1">
      <c r="A1346" s="340"/>
      <c r="B1346" s="340"/>
      <c r="C1346" s="340"/>
      <c r="D1346" s="344"/>
      <c r="E1346" s="344"/>
      <c r="F1346" s="340"/>
      <c r="G1346" s="340"/>
      <c r="H1346" s="340"/>
      <c r="I1346" s="340"/>
      <c r="J1346" s="340"/>
      <c r="K1346" s="340"/>
      <c r="L1346" s="340"/>
      <c r="M1346" s="340"/>
      <c r="N1346" s="340"/>
      <c r="O1346" s="340"/>
      <c r="P1346" s="340"/>
      <c r="Q1346" s="35"/>
      <c r="R1346" s="35"/>
      <c r="S1346" s="35"/>
      <c r="T1346" s="1"/>
      <c r="U1346" s="1"/>
      <c r="V1346" s="1"/>
    </row>
    <row r="1347" ht="15.75" customHeight="1">
      <c r="A1347" s="340"/>
      <c r="B1347" s="340"/>
      <c r="C1347" s="340"/>
      <c r="D1347" s="344"/>
      <c r="E1347" s="344"/>
      <c r="F1347" s="340"/>
      <c r="G1347" s="340"/>
      <c r="H1347" s="340"/>
      <c r="I1347" s="340"/>
      <c r="J1347" s="340"/>
      <c r="K1347" s="340"/>
      <c r="L1347" s="340"/>
      <c r="M1347" s="340"/>
      <c r="N1347" s="340"/>
      <c r="O1347" s="340"/>
      <c r="P1347" s="340"/>
      <c r="Q1347" s="35"/>
      <c r="R1347" s="35"/>
      <c r="S1347" s="35"/>
      <c r="T1347" s="1"/>
      <c r="U1347" s="1"/>
      <c r="V1347" s="1"/>
    </row>
    <row r="1348" ht="15.75" customHeight="1">
      <c r="A1348" s="340"/>
      <c r="B1348" s="340"/>
      <c r="C1348" s="340"/>
      <c r="D1348" s="344"/>
      <c r="E1348" s="344"/>
      <c r="F1348" s="340"/>
      <c r="G1348" s="340"/>
      <c r="H1348" s="340"/>
      <c r="I1348" s="340"/>
      <c r="J1348" s="340"/>
      <c r="K1348" s="340"/>
      <c r="L1348" s="340"/>
      <c r="M1348" s="340"/>
      <c r="N1348" s="340"/>
      <c r="O1348" s="340"/>
      <c r="P1348" s="340"/>
      <c r="Q1348" s="35"/>
      <c r="R1348" s="35"/>
      <c r="S1348" s="35"/>
      <c r="T1348" s="1"/>
      <c r="U1348" s="1"/>
      <c r="V1348" s="1"/>
    </row>
    <row r="1349" ht="15.75" customHeight="1">
      <c r="A1349" s="340"/>
      <c r="B1349" s="340"/>
      <c r="C1349" s="340"/>
      <c r="D1349" s="344"/>
      <c r="E1349" s="344"/>
      <c r="F1349" s="340"/>
      <c r="G1349" s="340"/>
      <c r="H1349" s="340"/>
      <c r="I1349" s="340"/>
      <c r="J1349" s="340"/>
      <c r="K1349" s="340"/>
      <c r="L1349" s="340"/>
      <c r="M1349" s="340"/>
      <c r="N1349" s="340"/>
      <c r="O1349" s="340"/>
      <c r="P1349" s="340"/>
      <c r="Q1349" s="35"/>
      <c r="R1349" s="35"/>
      <c r="S1349" s="35"/>
      <c r="T1349" s="1"/>
      <c r="U1349" s="1"/>
      <c r="V1349" s="1"/>
    </row>
    <row r="1350" ht="15.75" customHeight="1">
      <c r="A1350" s="340"/>
      <c r="B1350" s="340"/>
      <c r="C1350" s="340"/>
      <c r="D1350" s="344"/>
      <c r="E1350" s="344"/>
      <c r="F1350" s="340"/>
      <c r="G1350" s="340"/>
      <c r="H1350" s="340"/>
      <c r="I1350" s="340"/>
      <c r="J1350" s="340"/>
      <c r="K1350" s="340"/>
      <c r="L1350" s="340"/>
      <c r="M1350" s="340"/>
      <c r="N1350" s="340"/>
      <c r="O1350" s="340"/>
      <c r="P1350" s="340"/>
      <c r="Q1350" s="35"/>
      <c r="R1350" s="35"/>
      <c r="S1350" s="35"/>
      <c r="T1350" s="1"/>
      <c r="U1350" s="1"/>
      <c r="V1350" s="1"/>
    </row>
    <row r="1351" ht="15.75" customHeight="1">
      <c r="A1351" s="340"/>
      <c r="B1351" s="340"/>
      <c r="C1351" s="340"/>
      <c r="D1351" s="344"/>
      <c r="E1351" s="344"/>
      <c r="F1351" s="340"/>
      <c r="G1351" s="340"/>
      <c r="H1351" s="340"/>
      <c r="I1351" s="340"/>
      <c r="J1351" s="340"/>
      <c r="K1351" s="340"/>
      <c r="L1351" s="340"/>
      <c r="M1351" s="340"/>
      <c r="N1351" s="340"/>
      <c r="O1351" s="340"/>
      <c r="P1351" s="340"/>
      <c r="Q1351" s="35"/>
      <c r="R1351" s="35"/>
      <c r="S1351" s="35"/>
      <c r="T1351" s="1"/>
      <c r="U1351" s="1"/>
      <c r="V1351" s="1"/>
    </row>
    <row r="1352" ht="15.75" customHeight="1">
      <c r="A1352" s="340"/>
      <c r="B1352" s="340"/>
      <c r="C1352" s="340"/>
      <c r="D1352" s="344"/>
      <c r="E1352" s="344"/>
      <c r="F1352" s="340"/>
      <c r="G1352" s="340"/>
      <c r="H1352" s="340"/>
      <c r="I1352" s="340"/>
      <c r="J1352" s="340"/>
      <c r="K1352" s="340"/>
      <c r="L1352" s="340"/>
      <c r="M1352" s="340"/>
      <c r="N1352" s="340"/>
      <c r="O1352" s="340"/>
      <c r="P1352" s="340"/>
      <c r="Q1352" s="35"/>
      <c r="R1352" s="35"/>
      <c r="S1352" s="35"/>
      <c r="T1352" s="1"/>
      <c r="U1352" s="1"/>
      <c r="V1352" s="1"/>
    </row>
    <row r="1353" ht="15.75" customHeight="1">
      <c r="A1353" s="340"/>
      <c r="B1353" s="340"/>
      <c r="C1353" s="340"/>
      <c r="D1353" s="344"/>
      <c r="E1353" s="344"/>
      <c r="F1353" s="340"/>
      <c r="G1353" s="340"/>
      <c r="H1353" s="340"/>
      <c r="I1353" s="340"/>
      <c r="J1353" s="340"/>
      <c r="K1353" s="340"/>
      <c r="L1353" s="340"/>
      <c r="M1353" s="340"/>
      <c r="N1353" s="340"/>
      <c r="O1353" s="340"/>
      <c r="P1353" s="340"/>
      <c r="Q1353" s="35"/>
      <c r="R1353" s="35"/>
      <c r="S1353" s="35"/>
      <c r="T1353" s="1"/>
      <c r="U1353" s="1"/>
      <c r="V1353" s="1"/>
    </row>
    <row r="1354" ht="15.75" customHeight="1">
      <c r="A1354" s="340"/>
      <c r="B1354" s="340"/>
      <c r="C1354" s="340"/>
      <c r="D1354" s="344"/>
      <c r="E1354" s="344"/>
      <c r="F1354" s="340"/>
      <c r="G1354" s="340"/>
      <c r="H1354" s="340"/>
      <c r="I1354" s="340"/>
      <c r="J1354" s="340"/>
      <c r="K1354" s="340"/>
      <c r="L1354" s="340"/>
      <c r="M1354" s="340"/>
      <c r="N1354" s="340"/>
      <c r="O1354" s="340"/>
      <c r="P1354" s="340"/>
      <c r="Q1354" s="35"/>
      <c r="R1354" s="35"/>
      <c r="S1354" s="35"/>
      <c r="T1354" s="1"/>
      <c r="U1354" s="1"/>
      <c r="V1354" s="1"/>
    </row>
    <row r="1355" ht="15.75" customHeight="1">
      <c r="A1355" s="340"/>
      <c r="B1355" s="340"/>
      <c r="C1355" s="340"/>
      <c r="D1355" s="344"/>
      <c r="E1355" s="344"/>
      <c r="F1355" s="340"/>
      <c r="G1355" s="340"/>
      <c r="H1355" s="340"/>
      <c r="I1355" s="340"/>
      <c r="J1355" s="340"/>
      <c r="K1355" s="340"/>
      <c r="L1355" s="340"/>
      <c r="M1355" s="340"/>
      <c r="N1355" s="340"/>
      <c r="O1355" s="340"/>
      <c r="P1355" s="340"/>
      <c r="Q1355" s="35"/>
      <c r="R1355" s="35"/>
      <c r="S1355" s="35"/>
      <c r="T1355" s="1"/>
      <c r="U1355" s="1"/>
      <c r="V1355" s="1"/>
    </row>
    <row r="1356" ht="15.75" customHeight="1">
      <c r="A1356" s="340"/>
      <c r="B1356" s="340"/>
      <c r="C1356" s="340"/>
      <c r="D1356" s="344"/>
      <c r="E1356" s="344"/>
      <c r="F1356" s="340"/>
      <c r="G1356" s="340"/>
      <c r="H1356" s="340"/>
      <c r="I1356" s="340"/>
      <c r="J1356" s="340"/>
      <c r="K1356" s="340"/>
      <c r="L1356" s="340"/>
      <c r="M1356" s="340"/>
      <c r="N1356" s="340"/>
      <c r="O1356" s="340"/>
      <c r="P1356" s="340"/>
      <c r="Q1356" s="35"/>
      <c r="R1356" s="35"/>
      <c r="S1356" s="35"/>
      <c r="T1356" s="1"/>
      <c r="U1356" s="1"/>
      <c r="V1356" s="1"/>
    </row>
    <row r="1357" ht="15.75" customHeight="1">
      <c r="A1357" s="340"/>
      <c r="B1357" s="340"/>
      <c r="C1357" s="340"/>
      <c r="D1357" s="344"/>
      <c r="E1357" s="344"/>
      <c r="F1357" s="340"/>
      <c r="G1357" s="340"/>
      <c r="H1357" s="340"/>
      <c r="I1357" s="340"/>
      <c r="J1357" s="340"/>
      <c r="K1357" s="340"/>
      <c r="L1357" s="340"/>
      <c r="M1357" s="340"/>
      <c r="N1357" s="340"/>
      <c r="O1357" s="340"/>
      <c r="P1357" s="340"/>
      <c r="Q1357" s="35"/>
      <c r="R1357" s="35"/>
      <c r="S1357" s="35"/>
      <c r="T1357" s="1"/>
      <c r="U1357" s="1"/>
      <c r="V1357" s="1"/>
    </row>
    <row r="1358" ht="15.75" customHeight="1">
      <c r="A1358" s="340"/>
      <c r="B1358" s="340"/>
      <c r="C1358" s="340"/>
      <c r="D1358" s="344"/>
      <c r="E1358" s="344"/>
      <c r="F1358" s="340"/>
      <c r="G1358" s="340"/>
      <c r="H1358" s="340"/>
      <c r="I1358" s="340"/>
      <c r="J1358" s="340"/>
      <c r="K1358" s="340"/>
      <c r="L1358" s="340"/>
      <c r="M1358" s="340"/>
      <c r="N1358" s="340"/>
      <c r="O1358" s="340"/>
      <c r="P1358" s="340"/>
      <c r="Q1358" s="35"/>
      <c r="R1358" s="35"/>
      <c r="S1358" s="35"/>
      <c r="T1358" s="1"/>
      <c r="U1358" s="1"/>
      <c r="V1358" s="1"/>
    </row>
    <row r="1359" ht="15.75" customHeight="1">
      <c r="A1359" s="340"/>
      <c r="B1359" s="340"/>
      <c r="C1359" s="340"/>
      <c r="D1359" s="344"/>
      <c r="E1359" s="344"/>
      <c r="F1359" s="340"/>
      <c r="G1359" s="340"/>
      <c r="H1359" s="340"/>
      <c r="I1359" s="340"/>
      <c r="J1359" s="340"/>
      <c r="K1359" s="340"/>
      <c r="L1359" s="340"/>
      <c r="M1359" s="340"/>
      <c r="N1359" s="340"/>
      <c r="O1359" s="340"/>
      <c r="P1359" s="340"/>
      <c r="Q1359" s="35"/>
      <c r="R1359" s="35"/>
      <c r="S1359" s="35"/>
      <c r="T1359" s="1"/>
      <c r="U1359" s="1"/>
      <c r="V1359" s="1"/>
    </row>
    <row r="1360" ht="15.75" customHeight="1">
      <c r="A1360" s="340"/>
      <c r="B1360" s="340"/>
      <c r="C1360" s="340"/>
      <c r="D1360" s="344"/>
      <c r="E1360" s="344"/>
      <c r="F1360" s="340"/>
      <c r="G1360" s="340"/>
      <c r="H1360" s="340"/>
      <c r="I1360" s="340"/>
      <c r="J1360" s="340"/>
      <c r="K1360" s="340"/>
      <c r="L1360" s="340"/>
      <c r="M1360" s="340"/>
      <c r="N1360" s="340"/>
      <c r="O1360" s="340"/>
      <c r="P1360" s="340"/>
      <c r="Q1360" s="35"/>
      <c r="R1360" s="35"/>
      <c r="S1360" s="35"/>
      <c r="T1360" s="1"/>
      <c r="U1360" s="1"/>
      <c r="V1360" s="1"/>
    </row>
    <row r="1361" ht="15.75" customHeight="1">
      <c r="A1361" s="340"/>
      <c r="B1361" s="340"/>
      <c r="C1361" s="340"/>
      <c r="D1361" s="344"/>
      <c r="E1361" s="344"/>
      <c r="F1361" s="340"/>
      <c r="G1361" s="340"/>
      <c r="H1361" s="340"/>
      <c r="I1361" s="340"/>
      <c r="J1361" s="340"/>
      <c r="K1361" s="340"/>
      <c r="L1361" s="340"/>
      <c r="M1361" s="340"/>
      <c r="N1361" s="340"/>
      <c r="O1361" s="340"/>
      <c r="P1361" s="340"/>
      <c r="Q1361" s="35"/>
      <c r="R1361" s="35"/>
      <c r="S1361" s="35"/>
      <c r="T1361" s="1"/>
      <c r="U1361" s="1"/>
      <c r="V1361" s="1"/>
    </row>
    <row r="1362" ht="15.75" customHeight="1">
      <c r="A1362" s="340"/>
      <c r="B1362" s="340"/>
      <c r="C1362" s="340"/>
      <c r="D1362" s="344"/>
      <c r="E1362" s="344"/>
      <c r="F1362" s="340"/>
      <c r="G1362" s="340"/>
      <c r="H1362" s="340"/>
      <c r="I1362" s="340"/>
      <c r="J1362" s="340"/>
      <c r="K1362" s="340"/>
      <c r="L1362" s="340"/>
      <c r="M1362" s="340"/>
      <c r="N1362" s="340"/>
      <c r="O1362" s="340"/>
      <c r="P1362" s="340"/>
      <c r="Q1362" s="35"/>
      <c r="R1362" s="35"/>
      <c r="S1362" s="35"/>
      <c r="T1362" s="1"/>
      <c r="U1362" s="1"/>
      <c r="V1362" s="1"/>
    </row>
    <row r="1363" ht="15.75" customHeight="1">
      <c r="A1363" s="340"/>
      <c r="B1363" s="340"/>
      <c r="C1363" s="340"/>
      <c r="D1363" s="344"/>
      <c r="E1363" s="344"/>
      <c r="F1363" s="340"/>
      <c r="G1363" s="340"/>
      <c r="H1363" s="340"/>
      <c r="I1363" s="340"/>
      <c r="J1363" s="340"/>
      <c r="K1363" s="340"/>
      <c r="L1363" s="340"/>
      <c r="M1363" s="340"/>
      <c r="N1363" s="340"/>
      <c r="O1363" s="340"/>
      <c r="P1363" s="340"/>
      <c r="Q1363" s="35"/>
      <c r="R1363" s="35"/>
      <c r="S1363" s="35"/>
      <c r="T1363" s="1"/>
      <c r="U1363" s="1"/>
      <c r="V1363" s="1"/>
    </row>
    <row r="1364" ht="15.75" customHeight="1">
      <c r="A1364" s="340"/>
      <c r="B1364" s="340"/>
      <c r="C1364" s="340"/>
      <c r="D1364" s="344"/>
      <c r="E1364" s="344"/>
      <c r="F1364" s="340"/>
      <c r="G1364" s="340"/>
      <c r="H1364" s="340"/>
      <c r="I1364" s="340"/>
      <c r="J1364" s="340"/>
      <c r="K1364" s="340"/>
      <c r="L1364" s="340"/>
      <c r="M1364" s="340"/>
      <c r="N1364" s="340"/>
      <c r="O1364" s="340"/>
      <c r="P1364" s="340"/>
      <c r="Q1364" s="35"/>
      <c r="R1364" s="35"/>
      <c r="S1364" s="35"/>
      <c r="T1364" s="1"/>
      <c r="U1364" s="1"/>
      <c r="V1364" s="1"/>
    </row>
    <row r="1365" ht="15.75" customHeight="1">
      <c r="A1365" s="340"/>
      <c r="B1365" s="340"/>
      <c r="C1365" s="340"/>
      <c r="D1365" s="344"/>
      <c r="E1365" s="344"/>
      <c r="F1365" s="340"/>
      <c r="G1365" s="340"/>
      <c r="H1365" s="340"/>
      <c r="I1365" s="340"/>
      <c r="J1365" s="340"/>
      <c r="K1365" s="340"/>
      <c r="L1365" s="340"/>
      <c r="M1365" s="340"/>
      <c r="N1365" s="340"/>
      <c r="O1365" s="340"/>
      <c r="P1365" s="340"/>
      <c r="Q1365" s="35"/>
      <c r="R1365" s="35"/>
      <c r="S1365" s="35"/>
      <c r="T1365" s="1"/>
      <c r="U1365" s="1"/>
      <c r="V1365" s="1"/>
    </row>
    <row r="1366" ht="15.75" customHeight="1">
      <c r="A1366" s="340"/>
      <c r="B1366" s="340"/>
      <c r="C1366" s="340"/>
      <c r="D1366" s="344"/>
      <c r="E1366" s="344"/>
      <c r="F1366" s="340"/>
      <c r="G1366" s="340"/>
      <c r="H1366" s="340"/>
      <c r="I1366" s="340"/>
      <c r="J1366" s="340"/>
      <c r="K1366" s="340"/>
      <c r="L1366" s="340"/>
      <c r="M1366" s="340"/>
      <c r="N1366" s="340"/>
      <c r="O1366" s="340"/>
      <c r="P1366" s="340"/>
      <c r="Q1366" s="35"/>
      <c r="R1366" s="35"/>
      <c r="S1366" s="35"/>
      <c r="T1366" s="1"/>
      <c r="U1366" s="1"/>
      <c r="V1366" s="1"/>
    </row>
    <row r="1367" ht="15.75" customHeight="1">
      <c r="A1367" s="340"/>
      <c r="B1367" s="340"/>
      <c r="C1367" s="340"/>
      <c r="D1367" s="344"/>
      <c r="E1367" s="344"/>
      <c r="F1367" s="340"/>
      <c r="G1367" s="340"/>
      <c r="H1367" s="340"/>
      <c r="I1367" s="340"/>
      <c r="J1367" s="340"/>
      <c r="K1367" s="340"/>
      <c r="L1367" s="340"/>
      <c r="M1367" s="340"/>
      <c r="N1367" s="340"/>
      <c r="O1367" s="340"/>
      <c r="P1367" s="340"/>
      <c r="Q1367" s="35"/>
      <c r="R1367" s="35"/>
      <c r="S1367" s="35"/>
      <c r="T1367" s="1"/>
      <c r="U1367" s="1"/>
      <c r="V1367" s="1"/>
    </row>
    <row r="1368" ht="15.75" customHeight="1">
      <c r="A1368" s="340"/>
      <c r="B1368" s="340"/>
      <c r="C1368" s="340"/>
      <c r="D1368" s="344"/>
      <c r="E1368" s="344"/>
      <c r="F1368" s="340"/>
      <c r="G1368" s="340"/>
      <c r="H1368" s="340"/>
      <c r="I1368" s="340"/>
      <c r="J1368" s="340"/>
      <c r="K1368" s="340"/>
      <c r="L1368" s="340"/>
      <c r="M1368" s="340"/>
      <c r="N1368" s="340"/>
      <c r="O1368" s="340"/>
      <c r="P1368" s="340"/>
      <c r="Q1368" s="35"/>
      <c r="R1368" s="35"/>
      <c r="S1368" s="35"/>
      <c r="T1368" s="1"/>
      <c r="U1368" s="1"/>
      <c r="V1368" s="1"/>
    </row>
    <row r="1369" ht="15.75" customHeight="1">
      <c r="A1369" s="340"/>
      <c r="B1369" s="340"/>
      <c r="C1369" s="340"/>
      <c r="D1369" s="344"/>
      <c r="E1369" s="344"/>
      <c r="F1369" s="340"/>
      <c r="G1369" s="340"/>
      <c r="H1369" s="340"/>
      <c r="I1369" s="340"/>
      <c r="J1369" s="340"/>
      <c r="K1369" s="340"/>
      <c r="L1369" s="340"/>
      <c r="M1369" s="340"/>
      <c r="N1369" s="340"/>
      <c r="O1369" s="340"/>
      <c r="P1369" s="340"/>
      <c r="Q1369" s="35"/>
      <c r="R1369" s="35"/>
      <c r="S1369" s="35"/>
      <c r="T1369" s="1"/>
      <c r="U1369" s="1"/>
      <c r="V1369" s="1"/>
    </row>
    <row r="1370" ht="15.75" customHeight="1">
      <c r="A1370" s="340"/>
      <c r="B1370" s="340"/>
      <c r="C1370" s="340"/>
      <c r="D1370" s="344"/>
      <c r="E1370" s="344"/>
      <c r="F1370" s="340"/>
      <c r="G1370" s="340"/>
      <c r="H1370" s="340"/>
      <c r="I1370" s="340"/>
      <c r="J1370" s="340"/>
      <c r="K1370" s="340"/>
      <c r="L1370" s="340"/>
      <c r="M1370" s="340"/>
      <c r="N1370" s="340"/>
      <c r="O1370" s="340"/>
      <c r="P1370" s="340"/>
      <c r="Q1370" s="35"/>
      <c r="R1370" s="35"/>
      <c r="S1370" s="35"/>
      <c r="T1370" s="1"/>
      <c r="U1370" s="1"/>
      <c r="V1370" s="1"/>
    </row>
    <row r="1371" ht="15.75" customHeight="1">
      <c r="A1371" s="340"/>
      <c r="B1371" s="340"/>
      <c r="C1371" s="340"/>
      <c r="D1371" s="344"/>
      <c r="E1371" s="344"/>
      <c r="F1371" s="340"/>
      <c r="G1371" s="340"/>
      <c r="H1371" s="340"/>
      <c r="I1371" s="340"/>
      <c r="J1371" s="340"/>
      <c r="K1371" s="340"/>
      <c r="L1371" s="340"/>
      <c r="M1371" s="340"/>
      <c r="N1371" s="340"/>
      <c r="O1371" s="340"/>
      <c r="P1371" s="340"/>
      <c r="Q1371" s="35"/>
      <c r="R1371" s="35"/>
      <c r="S1371" s="35"/>
      <c r="T1371" s="1"/>
      <c r="U1371" s="1"/>
      <c r="V1371" s="1"/>
    </row>
    <row r="1372" ht="15.75" customHeight="1">
      <c r="A1372" s="340"/>
      <c r="B1372" s="340"/>
      <c r="C1372" s="340"/>
      <c r="D1372" s="344"/>
      <c r="E1372" s="344"/>
      <c r="F1372" s="340"/>
      <c r="G1372" s="340"/>
      <c r="H1372" s="340"/>
      <c r="I1372" s="340"/>
      <c r="J1372" s="340"/>
      <c r="K1372" s="340"/>
      <c r="L1372" s="340"/>
      <c r="M1372" s="340"/>
      <c r="N1372" s="340"/>
      <c r="O1372" s="340"/>
      <c r="P1372" s="340"/>
      <c r="Q1372" s="35"/>
      <c r="R1372" s="35"/>
      <c r="S1372" s="35"/>
      <c r="T1372" s="1"/>
      <c r="U1372" s="1"/>
      <c r="V1372" s="1"/>
    </row>
    <row r="1373" ht="15.75" customHeight="1">
      <c r="A1373" s="340"/>
      <c r="B1373" s="340"/>
      <c r="C1373" s="340"/>
      <c r="D1373" s="344"/>
      <c r="E1373" s="344"/>
      <c r="F1373" s="340"/>
      <c r="G1373" s="340"/>
      <c r="H1373" s="340"/>
      <c r="I1373" s="340"/>
      <c r="J1373" s="340"/>
      <c r="K1373" s="340"/>
      <c r="L1373" s="340"/>
      <c r="M1373" s="340"/>
      <c r="N1373" s="340"/>
      <c r="O1373" s="340"/>
      <c r="P1373" s="340"/>
      <c r="Q1373" s="35"/>
      <c r="R1373" s="35"/>
      <c r="S1373" s="35"/>
      <c r="T1373" s="1"/>
      <c r="U1373" s="1"/>
      <c r="V1373" s="1"/>
    </row>
    <row r="1374" ht="15.75" customHeight="1">
      <c r="A1374" s="340"/>
      <c r="B1374" s="340"/>
      <c r="C1374" s="340"/>
      <c r="D1374" s="344"/>
      <c r="E1374" s="344"/>
      <c r="F1374" s="340"/>
      <c r="G1374" s="340"/>
      <c r="H1374" s="340"/>
      <c r="I1374" s="340"/>
      <c r="J1374" s="340"/>
      <c r="K1374" s="340"/>
      <c r="L1374" s="340"/>
      <c r="M1374" s="340"/>
      <c r="N1374" s="340"/>
      <c r="O1374" s="340"/>
      <c r="P1374" s="340"/>
      <c r="Q1374" s="35"/>
      <c r="R1374" s="35"/>
      <c r="S1374" s="35"/>
      <c r="T1374" s="1"/>
      <c r="U1374" s="1"/>
      <c r="V1374" s="1"/>
    </row>
    <row r="1375" ht="15.75" customHeight="1">
      <c r="A1375" s="340"/>
      <c r="B1375" s="340"/>
      <c r="C1375" s="340"/>
      <c r="D1375" s="344"/>
      <c r="E1375" s="344"/>
      <c r="F1375" s="340"/>
      <c r="G1375" s="340"/>
      <c r="H1375" s="340"/>
      <c r="I1375" s="340"/>
      <c r="J1375" s="340"/>
      <c r="K1375" s="340"/>
      <c r="L1375" s="340"/>
      <c r="M1375" s="340"/>
      <c r="N1375" s="340"/>
      <c r="O1375" s="340"/>
      <c r="P1375" s="340"/>
      <c r="Q1375" s="35"/>
      <c r="R1375" s="35"/>
      <c r="S1375" s="35"/>
      <c r="T1375" s="1"/>
      <c r="U1375" s="1"/>
      <c r="V1375" s="1"/>
    </row>
    <row r="1376" ht="15.75" customHeight="1">
      <c r="A1376" s="340"/>
      <c r="B1376" s="340"/>
      <c r="C1376" s="340"/>
      <c r="D1376" s="344"/>
      <c r="E1376" s="344"/>
      <c r="F1376" s="340"/>
      <c r="G1376" s="340"/>
      <c r="H1376" s="340"/>
      <c r="I1376" s="340"/>
      <c r="J1376" s="340"/>
      <c r="K1376" s="340"/>
      <c r="L1376" s="340"/>
      <c r="M1376" s="340"/>
      <c r="N1376" s="340"/>
      <c r="O1376" s="340"/>
      <c r="P1376" s="340"/>
      <c r="Q1376" s="35"/>
      <c r="R1376" s="35"/>
      <c r="S1376" s="35"/>
      <c r="T1376" s="1"/>
      <c r="U1376" s="1"/>
      <c r="V1376" s="1"/>
    </row>
    <row r="1377" ht="15.75" customHeight="1">
      <c r="A1377" s="340"/>
      <c r="B1377" s="340"/>
      <c r="C1377" s="340"/>
      <c r="D1377" s="344"/>
      <c r="E1377" s="344"/>
      <c r="F1377" s="340"/>
      <c r="G1377" s="340"/>
      <c r="H1377" s="340"/>
      <c r="I1377" s="340"/>
      <c r="J1377" s="340"/>
      <c r="K1377" s="340"/>
      <c r="L1377" s="340"/>
      <c r="M1377" s="340"/>
      <c r="N1377" s="340"/>
      <c r="O1377" s="340"/>
      <c r="P1377" s="340"/>
      <c r="Q1377" s="35"/>
      <c r="R1377" s="35"/>
      <c r="S1377" s="35"/>
      <c r="T1377" s="1"/>
      <c r="U1377" s="1"/>
      <c r="V1377" s="1"/>
    </row>
    <row r="1378" ht="15.75" customHeight="1">
      <c r="A1378" s="340"/>
      <c r="B1378" s="340"/>
      <c r="C1378" s="340"/>
      <c r="D1378" s="344"/>
      <c r="E1378" s="344"/>
      <c r="F1378" s="340"/>
      <c r="G1378" s="340"/>
      <c r="H1378" s="340"/>
      <c r="I1378" s="340"/>
      <c r="J1378" s="340"/>
      <c r="K1378" s="340"/>
      <c r="L1378" s="340"/>
      <c r="M1378" s="340"/>
      <c r="N1378" s="340"/>
      <c r="O1378" s="340"/>
      <c r="P1378" s="340"/>
      <c r="Q1378" s="35"/>
      <c r="R1378" s="35"/>
      <c r="S1378" s="35"/>
      <c r="T1378" s="1"/>
      <c r="U1378" s="1"/>
      <c r="V1378" s="1"/>
    </row>
    <row r="1379" ht="15.75" customHeight="1">
      <c r="A1379" s="340"/>
      <c r="B1379" s="340"/>
      <c r="C1379" s="340"/>
      <c r="D1379" s="344"/>
      <c r="E1379" s="344"/>
      <c r="F1379" s="340"/>
      <c r="G1379" s="340"/>
      <c r="H1379" s="340"/>
      <c r="I1379" s="340"/>
      <c r="J1379" s="340"/>
      <c r="K1379" s="340"/>
      <c r="L1379" s="340"/>
      <c r="M1379" s="340"/>
      <c r="N1379" s="340"/>
      <c r="O1379" s="340"/>
      <c r="P1379" s="340"/>
      <c r="Q1379" s="35"/>
      <c r="R1379" s="35"/>
      <c r="S1379" s="35"/>
      <c r="T1379" s="1"/>
      <c r="U1379" s="1"/>
      <c r="V1379" s="1"/>
    </row>
    <row r="1380" ht="15.75" customHeight="1">
      <c r="A1380" s="340"/>
      <c r="B1380" s="340"/>
      <c r="C1380" s="340"/>
      <c r="D1380" s="344"/>
      <c r="E1380" s="344"/>
      <c r="F1380" s="340"/>
      <c r="G1380" s="340"/>
      <c r="H1380" s="340"/>
      <c r="I1380" s="340"/>
      <c r="J1380" s="340"/>
      <c r="K1380" s="340"/>
      <c r="L1380" s="340"/>
      <c r="M1380" s="340"/>
      <c r="N1380" s="340"/>
      <c r="O1380" s="340"/>
      <c r="P1380" s="340"/>
      <c r="Q1380" s="35"/>
      <c r="R1380" s="35"/>
      <c r="S1380" s="35"/>
      <c r="T1380" s="1"/>
      <c r="U1380" s="1"/>
      <c r="V1380" s="1"/>
    </row>
    <row r="1381" ht="15.75" customHeight="1">
      <c r="A1381" s="340"/>
      <c r="B1381" s="340"/>
      <c r="C1381" s="340"/>
      <c r="D1381" s="344"/>
      <c r="E1381" s="344"/>
      <c r="F1381" s="340"/>
      <c r="G1381" s="340"/>
      <c r="H1381" s="340"/>
      <c r="I1381" s="340"/>
      <c r="J1381" s="340"/>
      <c r="K1381" s="340"/>
      <c r="L1381" s="340"/>
      <c r="M1381" s="340"/>
      <c r="N1381" s="340"/>
      <c r="O1381" s="340"/>
      <c r="P1381" s="340"/>
      <c r="Q1381" s="35"/>
      <c r="R1381" s="35"/>
      <c r="S1381" s="35"/>
      <c r="T1381" s="1"/>
      <c r="U1381" s="1"/>
      <c r="V1381" s="1"/>
    </row>
    <row r="1382" ht="15.75" customHeight="1">
      <c r="A1382" s="340"/>
      <c r="B1382" s="340"/>
      <c r="C1382" s="340"/>
      <c r="D1382" s="344"/>
      <c r="E1382" s="344"/>
      <c r="F1382" s="340"/>
      <c r="G1382" s="340"/>
      <c r="H1382" s="340"/>
      <c r="I1382" s="340"/>
      <c r="J1382" s="340"/>
      <c r="K1382" s="340"/>
      <c r="L1382" s="340"/>
      <c r="M1382" s="340"/>
      <c r="N1382" s="340"/>
      <c r="O1382" s="340"/>
      <c r="P1382" s="340"/>
      <c r="Q1382" s="35"/>
      <c r="R1382" s="35"/>
      <c r="S1382" s="35"/>
      <c r="T1382" s="1"/>
      <c r="U1382" s="1"/>
      <c r="V1382" s="1"/>
    </row>
    <row r="1383" ht="15.75" customHeight="1">
      <c r="A1383" s="340"/>
      <c r="B1383" s="340"/>
      <c r="C1383" s="340"/>
      <c r="D1383" s="344"/>
      <c r="E1383" s="344"/>
      <c r="F1383" s="340"/>
      <c r="G1383" s="340"/>
      <c r="H1383" s="340"/>
      <c r="I1383" s="340"/>
      <c r="J1383" s="340"/>
      <c r="K1383" s="340"/>
      <c r="L1383" s="340"/>
      <c r="M1383" s="340"/>
      <c r="N1383" s="340"/>
      <c r="O1383" s="340"/>
      <c r="P1383" s="340"/>
      <c r="Q1383" s="35"/>
      <c r="R1383" s="35"/>
      <c r="S1383" s="35"/>
      <c r="T1383" s="1"/>
      <c r="U1383" s="1"/>
      <c r="V1383" s="1"/>
    </row>
    <row r="1384" ht="15.75" customHeight="1">
      <c r="A1384" s="340"/>
      <c r="B1384" s="340"/>
      <c r="C1384" s="340"/>
      <c r="D1384" s="344"/>
      <c r="E1384" s="344"/>
      <c r="F1384" s="340"/>
      <c r="G1384" s="340"/>
      <c r="H1384" s="340"/>
      <c r="I1384" s="340"/>
      <c r="J1384" s="340"/>
      <c r="K1384" s="340"/>
      <c r="L1384" s="340"/>
      <c r="M1384" s="340"/>
      <c r="N1384" s="340"/>
      <c r="O1384" s="340"/>
      <c r="P1384" s="340"/>
      <c r="Q1384" s="35"/>
      <c r="R1384" s="35"/>
      <c r="S1384" s="35"/>
      <c r="T1384" s="1"/>
      <c r="U1384" s="1"/>
      <c r="V1384" s="1"/>
    </row>
    <row r="1385" ht="15.75" customHeight="1">
      <c r="A1385" s="340"/>
      <c r="B1385" s="340"/>
      <c r="C1385" s="340"/>
      <c r="D1385" s="344"/>
      <c r="E1385" s="344"/>
      <c r="F1385" s="340"/>
      <c r="G1385" s="340"/>
      <c r="H1385" s="340"/>
      <c r="I1385" s="340"/>
      <c r="J1385" s="340"/>
      <c r="K1385" s="340"/>
      <c r="L1385" s="340"/>
      <c r="M1385" s="340"/>
      <c r="N1385" s="340"/>
      <c r="O1385" s="340"/>
      <c r="P1385" s="340"/>
      <c r="Q1385" s="35"/>
      <c r="R1385" s="35"/>
      <c r="S1385" s="35"/>
      <c r="T1385" s="1"/>
      <c r="U1385" s="1"/>
      <c r="V1385" s="1"/>
    </row>
    <row r="1386" ht="15.75" customHeight="1">
      <c r="A1386" s="340"/>
      <c r="B1386" s="340"/>
      <c r="C1386" s="340"/>
      <c r="D1386" s="344"/>
      <c r="E1386" s="344"/>
      <c r="F1386" s="340"/>
      <c r="G1386" s="340"/>
      <c r="H1386" s="340"/>
      <c r="I1386" s="340"/>
      <c r="J1386" s="340"/>
      <c r="K1386" s="340"/>
      <c r="L1386" s="340"/>
      <c r="M1386" s="340"/>
      <c r="N1386" s="340"/>
      <c r="O1386" s="340"/>
      <c r="P1386" s="340"/>
      <c r="Q1386" s="35"/>
      <c r="R1386" s="35"/>
      <c r="S1386" s="35"/>
      <c r="T1386" s="1"/>
      <c r="U1386" s="1"/>
      <c r="V1386" s="1"/>
    </row>
    <row r="1387" ht="15.75" customHeight="1">
      <c r="A1387" s="340"/>
      <c r="B1387" s="340"/>
      <c r="C1387" s="340"/>
      <c r="D1387" s="344"/>
      <c r="E1387" s="344"/>
      <c r="F1387" s="340"/>
      <c r="G1387" s="340"/>
      <c r="H1387" s="340"/>
      <c r="I1387" s="340"/>
      <c r="J1387" s="340"/>
      <c r="K1387" s="340"/>
      <c r="L1387" s="340"/>
      <c r="M1387" s="340"/>
      <c r="N1387" s="340"/>
      <c r="O1387" s="340"/>
      <c r="P1387" s="340"/>
      <c r="Q1387" s="35"/>
      <c r="R1387" s="35"/>
      <c r="S1387" s="35"/>
      <c r="T1387" s="1"/>
      <c r="U1387" s="1"/>
      <c r="V1387" s="1"/>
    </row>
    <row r="1388" ht="15.75" customHeight="1">
      <c r="A1388" s="340"/>
      <c r="B1388" s="340"/>
      <c r="C1388" s="340"/>
      <c r="D1388" s="344"/>
      <c r="E1388" s="344"/>
      <c r="F1388" s="340"/>
      <c r="G1388" s="340"/>
      <c r="H1388" s="340"/>
      <c r="I1388" s="340"/>
      <c r="J1388" s="340"/>
      <c r="K1388" s="340"/>
      <c r="L1388" s="340"/>
      <c r="M1388" s="340"/>
      <c r="N1388" s="340"/>
      <c r="O1388" s="340"/>
      <c r="P1388" s="340"/>
      <c r="Q1388" s="35"/>
      <c r="R1388" s="35"/>
      <c r="S1388" s="35"/>
      <c r="T1388" s="1"/>
      <c r="U1388" s="1"/>
      <c r="V1388" s="1"/>
    </row>
    <row r="1389" ht="15.75" customHeight="1">
      <c r="A1389" s="340"/>
      <c r="B1389" s="340"/>
      <c r="C1389" s="340"/>
      <c r="D1389" s="344"/>
      <c r="E1389" s="344"/>
      <c r="F1389" s="340"/>
      <c r="G1389" s="340"/>
      <c r="H1389" s="340"/>
      <c r="I1389" s="340"/>
      <c r="J1389" s="340"/>
      <c r="K1389" s="340"/>
      <c r="L1389" s="340"/>
      <c r="M1389" s="340"/>
      <c r="N1389" s="340"/>
      <c r="O1389" s="340"/>
      <c r="P1389" s="340"/>
      <c r="Q1389" s="35"/>
      <c r="R1389" s="35"/>
      <c r="S1389" s="35"/>
      <c r="T1389" s="1"/>
      <c r="U1389" s="1"/>
      <c r="V1389" s="1"/>
    </row>
    <row r="1390" ht="15.75" customHeight="1">
      <c r="A1390" s="340"/>
      <c r="B1390" s="340"/>
      <c r="C1390" s="340"/>
      <c r="D1390" s="344"/>
      <c r="E1390" s="344"/>
      <c r="F1390" s="340"/>
      <c r="G1390" s="340"/>
      <c r="H1390" s="340"/>
      <c r="I1390" s="340"/>
      <c r="J1390" s="340"/>
      <c r="K1390" s="340"/>
      <c r="L1390" s="340"/>
      <c r="M1390" s="340"/>
      <c r="N1390" s="340"/>
      <c r="O1390" s="340"/>
      <c r="P1390" s="340"/>
      <c r="Q1390" s="35"/>
      <c r="R1390" s="35"/>
      <c r="S1390" s="35"/>
      <c r="T1390" s="1"/>
      <c r="U1390" s="1"/>
      <c r="V1390" s="1"/>
    </row>
    <row r="1391" ht="15.75" customHeight="1">
      <c r="A1391" s="340"/>
      <c r="B1391" s="340"/>
      <c r="C1391" s="340"/>
      <c r="D1391" s="344"/>
      <c r="E1391" s="344"/>
      <c r="F1391" s="340"/>
      <c r="G1391" s="340"/>
      <c r="H1391" s="340"/>
      <c r="I1391" s="340"/>
      <c r="J1391" s="340"/>
      <c r="K1391" s="340"/>
      <c r="L1391" s="340"/>
      <c r="M1391" s="340"/>
      <c r="N1391" s="340"/>
      <c r="O1391" s="340"/>
      <c r="P1391" s="340"/>
      <c r="Q1391" s="35"/>
      <c r="R1391" s="35"/>
      <c r="S1391" s="35"/>
      <c r="T1391" s="1"/>
      <c r="U1391" s="1"/>
      <c r="V1391" s="1"/>
    </row>
    <row r="1392" ht="15.75" customHeight="1">
      <c r="A1392" s="340"/>
      <c r="B1392" s="340"/>
      <c r="C1392" s="340"/>
      <c r="D1392" s="344"/>
      <c r="E1392" s="344"/>
      <c r="F1392" s="340"/>
      <c r="G1392" s="340"/>
      <c r="H1392" s="340"/>
      <c r="I1392" s="340"/>
      <c r="J1392" s="340"/>
      <c r="K1392" s="340"/>
      <c r="L1392" s="340"/>
      <c r="M1392" s="340"/>
      <c r="N1392" s="340"/>
      <c r="O1392" s="340"/>
      <c r="P1392" s="340"/>
      <c r="Q1392" s="35"/>
      <c r="R1392" s="35"/>
      <c r="S1392" s="35"/>
      <c r="T1392" s="1"/>
      <c r="U1392" s="1"/>
      <c r="V1392" s="1"/>
    </row>
    <row r="1393" ht="15.75" customHeight="1">
      <c r="A1393" s="340"/>
      <c r="B1393" s="340"/>
      <c r="C1393" s="340"/>
      <c r="D1393" s="344"/>
      <c r="E1393" s="344"/>
      <c r="F1393" s="340"/>
      <c r="G1393" s="340"/>
      <c r="H1393" s="340"/>
      <c r="I1393" s="340"/>
      <c r="J1393" s="340"/>
      <c r="K1393" s="340"/>
      <c r="L1393" s="340"/>
      <c r="M1393" s="340"/>
      <c r="N1393" s="340"/>
      <c r="O1393" s="340"/>
      <c r="P1393" s="340"/>
      <c r="Q1393" s="35"/>
      <c r="R1393" s="35"/>
      <c r="S1393" s="35"/>
      <c r="T1393" s="1"/>
      <c r="U1393" s="1"/>
      <c r="V1393" s="1"/>
    </row>
    <row r="1394" ht="15.75" customHeight="1">
      <c r="A1394" s="340"/>
      <c r="B1394" s="340"/>
      <c r="C1394" s="340"/>
      <c r="D1394" s="344"/>
      <c r="E1394" s="344"/>
      <c r="F1394" s="340"/>
      <c r="G1394" s="340"/>
      <c r="H1394" s="340"/>
      <c r="I1394" s="340"/>
      <c r="J1394" s="340"/>
      <c r="K1394" s="340"/>
      <c r="L1394" s="340"/>
      <c r="M1394" s="340"/>
      <c r="N1394" s="340"/>
      <c r="O1394" s="340"/>
      <c r="P1394" s="340"/>
      <c r="Q1394" s="35"/>
      <c r="R1394" s="35"/>
      <c r="S1394" s="35"/>
      <c r="T1394" s="1"/>
      <c r="U1394" s="1"/>
      <c r="V1394" s="1"/>
    </row>
    <row r="1395" ht="15.75" customHeight="1">
      <c r="A1395" s="340"/>
      <c r="B1395" s="340"/>
      <c r="C1395" s="340"/>
      <c r="D1395" s="344"/>
      <c r="E1395" s="344"/>
      <c r="F1395" s="340"/>
      <c r="G1395" s="340"/>
      <c r="H1395" s="340"/>
      <c r="I1395" s="340"/>
      <c r="J1395" s="340"/>
      <c r="K1395" s="340"/>
      <c r="L1395" s="340"/>
      <c r="M1395" s="340"/>
      <c r="N1395" s="340"/>
      <c r="O1395" s="340"/>
      <c r="P1395" s="340"/>
      <c r="Q1395" s="35"/>
      <c r="R1395" s="35"/>
      <c r="S1395" s="35"/>
      <c r="T1395" s="1"/>
      <c r="U1395" s="1"/>
      <c r="V1395" s="1"/>
    </row>
    <row r="1396" ht="15.75" customHeight="1">
      <c r="A1396" s="340"/>
      <c r="B1396" s="340"/>
      <c r="C1396" s="340"/>
      <c r="D1396" s="344"/>
      <c r="E1396" s="344"/>
      <c r="F1396" s="340"/>
      <c r="G1396" s="340"/>
      <c r="H1396" s="340"/>
      <c r="I1396" s="340"/>
      <c r="J1396" s="340"/>
      <c r="K1396" s="340"/>
      <c r="L1396" s="340"/>
      <c r="M1396" s="340"/>
      <c r="N1396" s="340"/>
      <c r="O1396" s="340"/>
      <c r="P1396" s="340"/>
      <c r="Q1396" s="35"/>
      <c r="R1396" s="35"/>
      <c r="S1396" s="35"/>
      <c r="T1396" s="1"/>
      <c r="U1396" s="1"/>
      <c r="V1396" s="1"/>
    </row>
    <row r="1397" ht="15.75" customHeight="1">
      <c r="A1397" s="340"/>
      <c r="B1397" s="340"/>
      <c r="C1397" s="340"/>
      <c r="D1397" s="344"/>
      <c r="E1397" s="344"/>
      <c r="F1397" s="340"/>
      <c r="G1397" s="340"/>
      <c r="H1397" s="340"/>
      <c r="I1397" s="340"/>
      <c r="J1397" s="340"/>
      <c r="K1397" s="340"/>
      <c r="L1397" s="340"/>
      <c r="M1397" s="340"/>
      <c r="N1397" s="340"/>
      <c r="O1397" s="340"/>
      <c r="P1397" s="340"/>
      <c r="Q1397" s="35"/>
      <c r="R1397" s="35"/>
      <c r="S1397" s="35"/>
      <c r="T1397" s="1"/>
      <c r="U1397" s="1"/>
      <c r="V1397" s="1"/>
    </row>
    <row r="1398" ht="15.75" customHeight="1">
      <c r="A1398" s="340"/>
      <c r="B1398" s="340"/>
      <c r="C1398" s="340"/>
      <c r="D1398" s="344"/>
      <c r="E1398" s="344"/>
      <c r="F1398" s="340"/>
      <c r="G1398" s="340"/>
      <c r="H1398" s="340"/>
      <c r="I1398" s="340"/>
      <c r="J1398" s="340"/>
      <c r="K1398" s="340"/>
      <c r="L1398" s="340"/>
      <c r="M1398" s="340"/>
      <c r="N1398" s="340"/>
      <c r="O1398" s="340"/>
      <c r="P1398" s="340"/>
      <c r="Q1398" s="35"/>
      <c r="R1398" s="35"/>
      <c r="S1398" s="35"/>
      <c r="T1398" s="1"/>
      <c r="U1398" s="1"/>
      <c r="V1398" s="1"/>
    </row>
    <row r="1399" ht="15.75" customHeight="1">
      <c r="A1399" s="340"/>
      <c r="B1399" s="340"/>
      <c r="C1399" s="340"/>
      <c r="D1399" s="344"/>
      <c r="E1399" s="344"/>
      <c r="F1399" s="340"/>
      <c r="G1399" s="340"/>
      <c r="H1399" s="340"/>
      <c r="I1399" s="340"/>
      <c r="J1399" s="340"/>
      <c r="K1399" s="340"/>
      <c r="L1399" s="340"/>
      <c r="M1399" s="340"/>
      <c r="N1399" s="340"/>
      <c r="O1399" s="340"/>
      <c r="P1399" s="340"/>
      <c r="Q1399" s="35"/>
      <c r="R1399" s="35"/>
      <c r="S1399" s="35"/>
      <c r="T1399" s="1"/>
      <c r="U1399" s="1"/>
      <c r="V1399" s="1"/>
    </row>
    <row r="1400" ht="15.75" customHeight="1">
      <c r="A1400" s="340"/>
      <c r="B1400" s="340"/>
      <c r="C1400" s="340"/>
      <c r="D1400" s="344"/>
      <c r="E1400" s="344"/>
      <c r="F1400" s="340"/>
      <c r="G1400" s="340"/>
      <c r="H1400" s="340"/>
      <c r="I1400" s="340"/>
      <c r="J1400" s="340"/>
      <c r="K1400" s="340"/>
      <c r="L1400" s="340"/>
      <c r="M1400" s="340"/>
      <c r="N1400" s="340"/>
      <c r="O1400" s="340"/>
      <c r="P1400" s="340"/>
      <c r="Q1400" s="35"/>
      <c r="R1400" s="35"/>
      <c r="S1400" s="35"/>
      <c r="T1400" s="1"/>
      <c r="U1400" s="1"/>
      <c r="V1400" s="1"/>
    </row>
    <row r="1401" ht="15.75" customHeight="1">
      <c r="A1401" s="340"/>
      <c r="B1401" s="340"/>
      <c r="C1401" s="340"/>
      <c r="D1401" s="344"/>
      <c r="E1401" s="344"/>
      <c r="F1401" s="340"/>
      <c r="G1401" s="340"/>
      <c r="H1401" s="340"/>
      <c r="I1401" s="340"/>
      <c r="J1401" s="340"/>
      <c r="K1401" s="340"/>
      <c r="L1401" s="340"/>
      <c r="M1401" s="340"/>
      <c r="N1401" s="340"/>
      <c r="O1401" s="340"/>
      <c r="P1401" s="340"/>
      <c r="Q1401" s="35"/>
      <c r="R1401" s="35"/>
      <c r="S1401" s="35"/>
      <c r="T1401" s="1"/>
      <c r="U1401" s="1"/>
      <c r="V1401" s="1"/>
    </row>
    <row r="1402" ht="15.75" customHeight="1">
      <c r="A1402" s="340"/>
      <c r="B1402" s="340"/>
      <c r="C1402" s="340"/>
      <c r="D1402" s="344"/>
      <c r="E1402" s="344"/>
      <c r="F1402" s="340"/>
      <c r="G1402" s="340"/>
      <c r="H1402" s="340"/>
      <c r="I1402" s="340"/>
      <c r="J1402" s="340"/>
      <c r="K1402" s="340"/>
      <c r="L1402" s="340"/>
      <c r="M1402" s="340"/>
      <c r="N1402" s="340"/>
      <c r="O1402" s="340"/>
      <c r="P1402" s="340"/>
      <c r="Q1402" s="35"/>
      <c r="R1402" s="35"/>
      <c r="S1402" s="35"/>
      <c r="T1402" s="1"/>
      <c r="U1402" s="1"/>
      <c r="V1402" s="1"/>
    </row>
    <row r="1403" ht="15.75" customHeight="1">
      <c r="A1403" s="340"/>
      <c r="B1403" s="340"/>
      <c r="C1403" s="340"/>
      <c r="D1403" s="344"/>
      <c r="E1403" s="344"/>
      <c r="F1403" s="340"/>
      <c r="G1403" s="340"/>
      <c r="H1403" s="340"/>
      <c r="I1403" s="340"/>
      <c r="J1403" s="340"/>
      <c r="K1403" s="340"/>
      <c r="L1403" s="340"/>
      <c r="M1403" s="340"/>
      <c r="N1403" s="340"/>
      <c r="O1403" s="340"/>
      <c r="P1403" s="340"/>
      <c r="Q1403" s="35"/>
      <c r="R1403" s="35"/>
      <c r="S1403" s="35"/>
      <c r="T1403" s="1"/>
      <c r="U1403" s="1"/>
      <c r="V1403" s="1"/>
    </row>
    <row r="1404" ht="15.75" customHeight="1">
      <c r="A1404" s="340"/>
      <c r="B1404" s="340"/>
      <c r="C1404" s="340"/>
      <c r="D1404" s="344"/>
      <c r="E1404" s="344"/>
      <c r="F1404" s="340"/>
      <c r="G1404" s="340"/>
      <c r="H1404" s="340"/>
      <c r="I1404" s="340"/>
      <c r="J1404" s="340"/>
      <c r="K1404" s="340"/>
      <c r="L1404" s="340"/>
      <c r="M1404" s="340"/>
      <c r="N1404" s="340"/>
      <c r="O1404" s="340"/>
      <c r="P1404" s="340"/>
      <c r="Q1404" s="35"/>
      <c r="R1404" s="35"/>
      <c r="S1404" s="35"/>
      <c r="T1404" s="1"/>
      <c r="U1404" s="1"/>
      <c r="V1404" s="1"/>
    </row>
    <row r="1405" ht="15.75" customHeight="1">
      <c r="A1405" s="340"/>
      <c r="B1405" s="340"/>
      <c r="C1405" s="340"/>
      <c r="D1405" s="344"/>
      <c r="E1405" s="344"/>
      <c r="F1405" s="340"/>
      <c r="G1405" s="340"/>
      <c r="H1405" s="340"/>
      <c r="I1405" s="340"/>
      <c r="J1405" s="340"/>
      <c r="K1405" s="340"/>
      <c r="L1405" s="340"/>
      <c r="M1405" s="340"/>
      <c r="N1405" s="340"/>
      <c r="O1405" s="340"/>
      <c r="P1405" s="340"/>
      <c r="Q1405" s="35"/>
      <c r="R1405" s="35"/>
      <c r="S1405" s="35"/>
      <c r="T1405" s="1"/>
      <c r="U1405" s="1"/>
      <c r="V1405" s="1"/>
    </row>
    <row r="1406" ht="15.75" customHeight="1">
      <c r="A1406" s="340"/>
      <c r="B1406" s="340"/>
      <c r="C1406" s="340"/>
      <c r="D1406" s="344"/>
      <c r="E1406" s="344"/>
      <c r="F1406" s="340"/>
      <c r="G1406" s="340"/>
      <c r="H1406" s="340"/>
      <c r="I1406" s="340"/>
      <c r="J1406" s="340"/>
      <c r="K1406" s="340"/>
      <c r="L1406" s="340"/>
      <c r="M1406" s="340"/>
      <c r="N1406" s="340"/>
      <c r="O1406" s="340"/>
      <c r="P1406" s="340"/>
      <c r="Q1406" s="35"/>
      <c r="R1406" s="35"/>
      <c r="S1406" s="35"/>
      <c r="T1406" s="1"/>
      <c r="U1406" s="1"/>
      <c r="V1406" s="1"/>
    </row>
    <row r="1407" ht="15.75" customHeight="1">
      <c r="A1407" s="340"/>
      <c r="B1407" s="340"/>
      <c r="C1407" s="340"/>
      <c r="D1407" s="344"/>
      <c r="E1407" s="344"/>
      <c r="F1407" s="340"/>
      <c r="G1407" s="340"/>
      <c r="H1407" s="340"/>
      <c r="I1407" s="340"/>
      <c r="J1407" s="340"/>
      <c r="K1407" s="340"/>
      <c r="L1407" s="340"/>
      <c r="M1407" s="340"/>
      <c r="N1407" s="340"/>
      <c r="O1407" s="340"/>
      <c r="P1407" s="340"/>
      <c r="Q1407" s="35"/>
      <c r="R1407" s="35"/>
      <c r="S1407" s="35"/>
      <c r="T1407" s="1"/>
      <c r="U1407" s="1"/>
      <c r="V1407" s="1"/>
    </row>
    <row r="1408" ht="15.75" customHeight="1">
      <c r="A1408" s="340"/>
      <c r="B1408" s="340"/>
      <c r="C1408" s="340"/>
      <c r="D1408" s="344"/>
      <c r="E1408" s="344"/>
      <c r="F1408" s="340"/>
      <c r="G1408" s="340"/>
      <c r="H1408" s="340"/>
      <c r="I1408" s="340"/>
      <c r="J1408" s="340"/>
      <c r="K1408" s="340"/>
      <c r="L1408" s="340"/>
      <c r="M1408" s="340"/>
      <c r="N1408" s="340"/>
      <c r="O1408" s="340"/>
      <c r="P1408" s="340"/>
      <c r="Q1408" s="35"/>
      <c r="R1408" s="35"/>
      <c r="S1408" s="35"/>
      <c r="T1408" s="1"/>
      <c r="U1408" s="1"/>
      <c r="V1408" s="1"/>
    </row>
    <row r="1409" ht="15.75" customHeight="1">
      <c r="A1409" s="340"/>
      <c r="B1409" s="340"/>
      <c r="C1409" s="340"/>
      <c r="D1409" s="344"/>
      <c r="E1409" s="344"/>
      <c r="F1409" s="340"/>
      <c r="G1409" s="340"/>
      <c r="H1409" s="340"/>
      <c r="I1409" s="340"/>
      <c r="J1409" s="340"/>
      <c r="K1409" s="340"/>
      <c r="L1409" s="340"/>
      <c r="M1409" s="340"/>
      <c r="N1409" s="340"/>
      <c r="O1409" s="340"/>
      <c r="P1409" s="340"/>
      <c r="Q1409" s="35"/>
      <c r="R1409" s="35"/>
      <c r="S1409" s="35"/>
      <c r="T1409" s="1"/>
      <c r="U1409" s="1"/>
      <c r="V1409" s="1"/>
    </row>
    <row r="1410" ht="15.75" customHeight="1">
      <c r="A1410" s="340"/>
      <c r="B1410" s="340"/>
      <c r="C1410" s="340"/>
      <c r="D1410" s="344"/>
      <c r="E1410" s="344"/>
      <c r="F1410" s="340"/>
      <c r="G1410" s="340"/>
      <c r="H1410" s="340"/>
      <c r="I1410" s="340"/>
      <c r="J1410" s="340"/>
      <c r="K1410" s="340"/>
      <c r="L1410" s="340"/>
      <c r="M1410" s="340"/>
      <c r="N1410" s="340"/>
      <c r="O1410" s="340"/>
      <c r="P1410" s="340"/>
      <c r="Q1410" s="35"/>
      <c r="R1410" s="35"/>
      <c r="S1410" s="35"/>
      <c r="T1410" s="1"/>
      <c r="U1410" s="1"/>
      <c r="V1410" s="1"/>
    </row>
    <row r="1411" ht="15.75" customHeight="1">
      <c r="A1411" s="340"/>
      <c r="B1411" s="340"/>
      <c r="C1411" s="340"/>
      <c r="D1411" s="344"/>
      <c r="E1411" s="344"/>
      <c r="F1411" s="340"/>
      <c r="G1411" s="340"/>
      <c r="H1411" s="340"/>
      <c r="I1411" s="340"/>
      <c r="J1411" s="340"/>
      <c r="K1411" s="340"/>
      <c r="L1411" s="340"/>
      <c r="M1411" s="340"/>
      <c r="N1411" s="340"/>
      <c r="O1411" s="340"/>
      <c r="P1411" s="340"/>
      <c r="Q1411" s="35"/>
      <c r="R1411" s="35"/>
      <c r="S1411" s="35"/>
      <c r="T1411" s="1"/>
      <c r="U1411" s="1"/>
      <c r="V1411" s="1"/>
    </row>
    <row r="1412" ht="15.75" customHeight="1">
      <c r="A1412" s="340"/>
      <c r="B1412" s="340"/>
      <c r="C1412" s="340"/>
      <c r="D1412" s="344"/>
      <c r="E1412" s="344"/>
      <c r="F1412" s="340"/>
      <c r="G1412" s="340"/>
      <c r="H1412" s="340"/>
      <c r="I1412" s="340"/>
      <c r="J1412" s="340"/>
      <c r="K1412" s="340"/>
      <c r="L1412" s="340"/>
      <c r="M1412" s="340"/>
      <c r="N1412" s="340"/>
      <c r="O1412" s="340"/>
      <c r="P1412" s="340"/>
      <c r="Q1412" s="35"/>
      <c r="R1412" s="35"/>
      <c r="S1412" s="35"/>
      <c r="T1412" s="1"/>
      <c r="U1412" s="1"/>
      <c r="V1412" s="1"/>
    </row>
    <row r="1413" ht="15.75" customHeight="1">
      <c r="A1413" s="340"/>
      <c r="B1413" s="340"/>
      <c r="C1413" s="340"/>
      <c r="D1413" s="344"/>
      <c r="E1413" s="344"/>
      <c r="F1413" s="340"/>
      <c r="G1413" s="340"/>
      <c r="H1413" s="340"/>
      <c r="I1413" s="340"/>
      <c r="J1413" s="340"/>
      <c r="K1413" s="340"/>
      <c r="L1413" s="340"/>
      <c r="M1413" s="340"/>
      <c r="N1413" s="340"/>
      <c r="O1413" s="340"/>
      <c r="P1413" s="340"/>
      <c r="Q1413" s="35"/>
      <c r="R1413" s="35"/>
      <c r="S1413" s="35"/>
      <c r="T1413" s="1"/>
      <c r="U1413" s="1"/>
      <c r="V1413" s="1"/>
    </row>
    <row r="1414" ht="15.75" customHeight="1">
      <c r="A1414" s="340"/>
      <c r="B1414" s="340"/>
      <c r="C1414" s="340"/>
      <c r="D1414" s="344"/>
      <c r="E1414" s="344"/>
      <c r="F1414" s="340"/>
      <c r="G1414" s="340"/>
      <c r="H1414" s="340"/>
      <c r="I1414" s="340"/>
      <c r="J1414" s="340"/>
      <c r="K1414" s="340"/>
      <c r="L1414" s="340"/>
      <c r="M1414" s="340"/>
      <c r="N1414" s="340"/>
      <c r="O1414" s="340"/>
      <c r="P1414" s="340"/>
      <c r="Q1414" s="35"/>
      <c r="R1414" s="35"/>
      <c r="S1414" s="35"/>
      <c r="T1414" s="1"/>
      <c r="U1414" s="1"/>
      <c r="V1414" s="1"/>
    </row>
    <row r="1415" ht="15.75" customHeight="1">
      <c r="A1415" s="340"/>
      <c r="B1415" s="340"/>
      <c r="C1415" s="340"/>
      <c r="D1415" s="344"/>
      <c r="E1415" s="344"/>
      <c r="F1415" s="340"/>
      <c r="G1415" s="340"/>
      <c r="H1415" s="340"/>
      <c r="I1415" s="340"/>
      <c r="J1415" s="340"/>
      <c r="K1415" s="340"/>
      <c r="L1415" s="340"/>
      <c r="M1415" s="340"/>
      <c r="N1415" s="340"/>
      <c r="O1415" s="340"/>
      <c r="P1415" s="340"/>
      <c r="Q1415" s="35"/>
      <c r="R1415" s="35"/>
      <c r="S1415" s="35"/>
      <c r="T1415" s="1"/>
      <c r="U1415" s="1"/>
      <c r="V1415" s="1"/>
    </row>
    <row r="1416" ht="15.75" customHeight="1">
      <c r="A1416" s="340"/>
      <c r="B1416" s="340"/>
      <c r="C1416" s="340"/>
      <c r="D1416" s="344"/>
      <c r="E1416" s="344"/>
      <c r="F1416" s="340"/>
      <c r="G1416" s="340"/>
      <c r="H1416" s="340"/>
      <c r="I1416" s="340"/>
      <c r="J1416" s="340"/>
      <c r="K1416" s="340"/>
      <c r="L1416" s="340"/>
      <c r="M1416" s="340"/>
      <c r="N1416" s="340"/>
      <c r="O1416" s="340"/>
      <c r="P1416" s="340"/>
      <c r="Q1416" s="35"/>
      <c r="R1416" s="35"/>
      <c r="S1416" s="35"/>
      <c r="T1416" s="1"/>
      <c r="U1416" s="1"/>
      <c r="V1416" s="1"/>
    </row>
    <row r="1417" ht="15.75" customHeight="1">
      <c r="A1417" s="340"/>
      <c r="B1417" s="340"/>
      <c r="C1417" s="340"/>
      <c r="D1417" s="344"/>
      <c r="E1417" s="344"/>
      <c r="F1417" s="340"/>
      <c r="G1417" s="340"/>
      <c r="H1417" s="340"/>
      <c r="I1417" s="340"/>
      <c r="J1417" s="340"/>
      <c r="K1417" s="340"/>
      <c r="L1417" s="340"/>
      <c r="M1417" s="340"/>
      <c r="N1417" s="340"/>
      <c r="O1417" s="340"/>
      <c r="P1417" s="340"/>
      <c r="Q1417" s="35"/>
      <c r="R1417" s="35"/>
      <c r="S1417" s="35"/>
      <c r="T1417" s="1"/>
      <c r="U1417" s="1"/>
      <c r="V1417" s="1"/>
    </row>
    <row r="1418" ht="15.75" customHeight="1">
      <c r="A1418" s="340"/>
      <c r="B1418" s="340"/>
      <c r="C1418" s="340"/>
      <c r="D1418" s="344"/>
      <c r="E1418" s="344"/>
      <c r="F1418" s="340"/>
      <c r="G1418" s="340"/>
      <c r="H1418" s="340"/>
      <c r="I1418" s="340"/>
      <c r="J1418" s="340"/>
      <c r="K1418" s="340"/>
      <c r="L1418" s="340"/>
      <c r="M1418" s="340"/>
      <c r="N1418" s="340"/>
      <c r="O1418" s="340"/>
      <c r="P1418" s="340"/>
      <c r="Q1418" s="35"/>
      <c r="R1418" s="35"/>
      <c r="S1418" s="35"/>
      <c r="T1418" s="1"/>
      <c r="U1418" s="1"/>
      <c r="V1418" s="1"/>
    </row>
    <row r="1419" ht="15.75" customHeight="1">
      <c r="A1419" s="340"/>
      <c r="B1419" s="340"/>
      <c r="C1419" s="340"/>
      <c r="D1419" s="344"/>
      <c r="E1419" s="344"/>
      <c r="F1419" s="340"/>
      <c r="G1419" s="340"/>
      <c r="H1419" s="340"/>
      <c r="I1419" s="340"/>
      <c r="J1419" s="340"/>
      <c r="K1419" s="340"/>
      <c r="L1419" s="340"/>
      <c r="M1419" s="340"/>
      <c r="N1419" s="340"/>
      <c r="O1419" s="340"/>
      <c r="P1419" s="340"/>
      <c r="Q1419" s="35"/>
      <c r="R1419" s="35"/>
      <c r="S1419" s="35"/>
      <c r="T1419" s="1"/>
      <c r="U1419" s="1"/>
      <c r="V1419" s="1"/>
    </row>
    <row r="1420" ht="15.75" customHeight="1">
      <c r="A1420" s="340"/>
      <c r="B1420" s="340"/>
      <c r="C1420" s="340"/>
      <c r="D1420" s="344"/>
      <c r="E1420" s="344"/>
      <c r="F1420" s="340"/>
      <c r="G1420" s="340"/>
      <c r="H1420" s="340"/>
      <c r="I1420" s="340"/>
      <c r="J1420" s="340"/>
      <c r="K1420" s="340"/>
      <c r="L1420" s="340"/>
      <c r="M1420" s="340"/>
      <c r="N1420" s="340"/>
      <c r="O1420" s="340"/>
      <c r="P1420" s="340"/>
      <c r="Q1420" s="35"/>
      <c r="R1420" s="35"/>
      <c r="S1420" s="35"/>
      <c r="T1420" s="1"/>
      <c r="U1420" s="1"/>
      <c r="V1420" s="1"/>
    </row>
    <row r="1421" ht="15.75" customHeight="1">
      <c r="A1421" s="340"/>
      <c r="B1421" s="340"/>
      <c r="C1421" s="340"/>
      <c r="D1421" s="344"/>
      <c r="E1421" s="344"/>
      <c r="F1421" s="340"/>
      <c r="G1421" s="340"/>
      <c r="H1421" s="340"/>
      <c r="I1421" s="340"/>
      <c r="J1421" s="340"/>
      <c r="K1421" s="340"/>
      <c r="L1421" s="340"/>
      <c r="M1421" s="340"/>
      <c r="N1421" s="340"/>
      <c r="O1421" s="340"/>
      <c r="P1421" s="340"/>
      <c r="Q1421" s="35"/>
      <c r="R1421" s="35"/>
      <c r="S1421" s="35"/>
      <c r="T1421" s="1"/>
      <c r="U1421" s="1"/>
      <c r="V1421" s="1"/>
    </row>
    <row r="1422" ht="15.75" customHeight="1">
      <c r="A1422" s="340"/>
      <c r="B1422" s="340"/>
      <c r="C1422" s="340"/>
      <c r="D1422" s="344"/>
      <c r="E1422" s="344"/>
      <c r="F1422" s="340"/>
      <c r="G1422" s="340"/>
      <c r="H1422" s="340"/>
      <c r="I1422" s="340"/>
      <c r="J1422" s="340"/>
      <c r="K1422" s="340"/>
      <c r="L1422" s="340"/>
      <c r="M1422" s="340"/>
      <c r="N1422" s="340"/>
      <c r="O1422" s="340"/>
      <c r="P1422" s="340"/>
      <c r="Q1422" s="35"/>
      <c r="R1422" s="35"/>
      <c r="S1422" s="35"/>
      <c r="T1422" s="1"/>
      <c r="U1422" s="1"/>
      <c r="V1422" s="1"/>
    </row>
    <row r="1423" ht="15.75" customHeight="1">
      <c r="A1423" s="340"/>
      <c r="B1423" s="340"/>
      <c r="C1423" s="340"/>
      <c r="D1423" s="344"/>
      <c r="E1423" s="344"/>
      <c r="F1423" s="340"/>
      <c r="G1423" s="340"/>
      <c r="H1423" s="340"/>
      <c r="I1423" s="340"/>
      <c r="J1423" s="340"/>
      <c r="K1423" s="340"/>
      <c r="L1423" s="340"/>
      <c r="M1423" s="340"/>
      <c r="N1423" s="340"/>
      <c r="O1423" s="340"/>
      <c r="P1423" s="340"/>
      <c r="Q1423" s="35"/>
      <c r="R1423" s="35"/>
      <c r="S1423" s="35"/>
      <c r="T1423" s="1"/>
      <c r="U1423" s="1"/>
      <c r="V1423" s="1"/>
    </row>
    <row r="1424" ht="15.75" customHeight="1">
      <c r="A1424" s="340"/>
      <c r="B1424" s="340"/>
      <c r="C1424" s="340"/>
      <c r="D1424" s="344"/>
      <c r="E1424" s="344"/>
      <c r="F1424" s="340"/>
      <c r="G1424" s="340"/>
      <c r="H1424" s="340"/>
      <c r="I1424" s="340"/>
      <c r="J1424" s="340"/>
      <c r="K1424" s="340"/>
      <c r="L1424" s="340"/>
      <c r="M1424" s="340"/>
      <c r="N1424" s="340"/>
      <c r="O1424" s="340"/>
      <c r="P1424" s="340"/>
      <c r="Q1424" s="35"/>
      <c r="R1424" s="35"/>
      <c r="S1424" s="35"/>
      <c r="T1424" s="1"/>
      <c r="U1424" s="1"/>
      <c r="V1424" s="1"/>
    </row>
    <row r="1425" ht="15.75" customHeight="1">
      <c r="A1425" s="340"/>
      <c r="B1425" s="340"/>
      <c r="C1425" s="340"/>
      <c r="D1425" s="344"/>
      <c r="E1425" s="344"/>
      <c r="F1425" s="340"/>
      <c r="G1425" s="340"/>
      <c r="H1425" s="340"/>
      <c r="I1425" s="340"/>
      <c r="J1425" s="340"/>
      <c r="K1425" s="340"/>
      <c r="L1425" s="340"/>
      <c r="M1425" s="340"/>
      <c r="N1425" s="340"/>
      <c r="O1425" s="340"/>
      <c r="P1425" s="340"/>
      <c r="Q1425" s="35"/>
      <c r="R1425" s="35"/>
      <c r="S1425" s="35"/>
      <c r="T1425" s="1"/>
      <c r="U1425" s="1"/>
      <c r="V1425" s="1"/>
    </row>
    <row r="1426" ht="15.75" customHeight="1">
      <c r="A1426" s="340"/>
      <c r="B1426" s="340"/>
      <c r="C1426" s="340"/>
      <c r="D1426" s="344"/>
      <c r="E1426" s="344"/>
      <c r="F1426" s="340"/>
      <c r="G1426" s="340"/>
      <c r="H1426" s="340"/>
      <c r="I1426" s="340"/>
      <c r="J1426" s="340"/>
      <c r="K1426" s="340"/>
      <c r="L1426" s="340"/>
      <c r="M1426" s="340"/>
      <c r="N1426" s="340"/>
      <c r="O1426" s="340"/>
      <c r="P1426" s="340"/>
      <c r="Q1426" s="35"/>
      <c r="R1426" s="35"/>
      <c r="S1426" s="35"/>
      <c r="T1426" s="1"/>
      <c r="U1426" s="1"/>
      <c r="V1426" s="1"/>
    </row>
    <row r="1427" ht="15.75" customHeight="1">
      <c r="A1427" s="340"/>
      <c r="B1427" s="340"/>
      <c r="C1427" s="340"/>
      <c r="D1427" s="344"/>
      <c r="E1427" s="344"/>
      <c r="F1427" s="340"/>
      <c r="G1427" s="340"/>
      <c r="H1427" s="340"/>
      <c r="I1427" s="340"/>
      <c r="J1427" s="340"/>
      <c r="K1427" s="340"/>
      <c r="L1427" s="340"/>
      <c r="M1427" s="340"/>
      <c r="N1427" s="340"/>
      <c r="O1427" s="340"/>
      <c r="P1427" s="340"/>
      <c r="Q1427" s="35"/>
      <c r="R1427" s="35"/>
      <c r="S1427" s="35"/>
      <c r="T1427" s="1"/>
      <c r="U1427" s="1"/>
      <c r="V1427" s="1"/>
    </row>
    <row r="1428" ht="15.75" customHeight="1">
      <c r="A1428" s="340"/>
      <c r="B1428" s="340"/>
      <c r="C1428" s="340"/>
      <c r="D1428" s="344"/>
      <c r="E1428" s="344"/>
      <c r="F1428" s="340"/>
      <c r="G1428" s="340"/>
      <c r="H1428" s="340"/>
      <c r="I1428" s="340"/>
      <c r="J1428" s="340"/>
      <c r="K1428" s="340"/>
      <c r="L1428" s="340"/>
      <c r="M1428" s="340"/>
      <c r="N1428" s="340"/>
      <c r="O1428" s="340"/>
      <c r="P1428" s="340"/>
      <c r="Q1428" s="35"/>
      <c r="R1428" s="35"/>
      <c r="S1428" s="35"/>
      <c r="T1428" s="1"/>
      <c r="U1428" s="1"/>
      <c r="V1428" s="1"/>
    </row>
    <row r="1429" ht="15.75" customHeight="1">
      <c r="A1429" s="340"/>
      <c r="B1429" s="340"/>
      <c r="C1429" s="340"/>
      <c r="D1429" s="344"/>
      <c r="E1429" s="344"/>
      <c r="F1429" s="340"/>
      <c r="G1429" s="340"/>
      <c r="H1429" s="340"/>
      <c r="I1429" s="340"/>
      <c r="J1429" s="340"/>
      <c r="K1429" s="340"/>
      <c r="L1429" s="340"/>
      <c r="M1429" s="340"/>
      <c r="N1429" s="340"/>
      <c r="O1429" s="340"/>
      <c r="P1429" s="340"/>
      <c r="Q1429" s="35"/>
      <c r="R1429" s="35"/>
      <c r="S1429" s="35"/>
      <c r="T1429" s="1"/>
      <c r="U1429" s="1"/>
      <c r="V1429" s="1"/>
    </row>
    <row r="1430" ht="15.75" customHeight="1">
      <c r="A1430" s="340"/>
      <c r="B1430" s="340"/>
      <c r="C1430" s="340"/>
      <c r="D1430" s="344"/>
      <c r="E1430" s="344"/>
      <c r="F1430" s="340"/>
      <c r="G1430" s="340"/>
      <c r="H1430" s="340"/>
      <c r="I1430" s="340"/>
      <c r="J1430" s="340"/>
      <c r="K1430" s="340"/>
      <c r="L1430" s="340"/>
      <c r="M1430" s="340"/>
      <c r="N1430" s="340"/>
      <c r="O1430" s="340"/>
      <c r="P1430" s="340"/>
      <c r="Q1430" s="35"/>
      <c r="R1430" s="35"/>
      <c r="S1430" s="35"/>
      <c r="T1430" s="1"/>
      <c r="U1430" s="1"/>
      <c r="V1430" s="1"/>
    </row>
    <row r="1431" ht="15.75" customHeight="1">
      <c r="A1431" s="340"/>
      <c r="B1431" s="340"/>
      <c r="C1431" s="340"/>
      <c r="D1431" s="344"/>
      <c r="E1431" s="344"/>
      <c r="F1431" s="340"/>
      <c r="G1431" s="340"/>
      <c r="H1431" s="340"/>
      <c r="I1431" s="340"/>
      <c r="J1431" s="340"/>
      <c r="K1431" s="340"/>
      <c r="L1431" s="340"/>
      <c r="M1431" s="340"/>
      <c r="N1431" s="340"/>
      <c r="O1431" s="340"/>
      <c r="P1431" s="340"/>
      <c r="Q1431" s="35"/>
      <c r="R1431" s="35"/>
      <c r="S1431" s="35"/>
      <c r="T1431" s="1"/>
      <c r="U1431" s="1"/>
      <c r="V1431" s="1"/>
    </row>
    <row r="1432" ht="15.75" customHeight="1">
      <c r="A1432" s="340"/>
      <c r="B1432" s="340"/>
      <c r="C1432" s="340"/>
      <c r="D1432" s="344"/>
      <c r="E1432" s="344"/>
      <c r="F1432" s="340"/>
      <c r="G1432" s="340"/>
      <c r="H1432" s="340"/>
      <c r="I1432" s="340"/>
      <c r="J1432" s="340"/>
      <c r="K1432" s="340"/>
      <c r="L1432" s="340"/>
      <c r="M1432" s="340"/>
      <c r="N1432" s="340"/>
      <c r="O1432" s="340"/>
      <c r="P1432" s="340"/>
      <c r="Q1432" s="35"/>
      <c r="R1432" s="35"/>
      <c r="S1432" s="35"/>
      <c r="T1432" s="1"/>
      <c r="U1432" s="1"/>
      <c r="V1432" s="1"/>
    </row>
    <row r="1433" ht="15.75" customHeight="1">
      <c r="A1433" s="340"/>
      <c r="B1433" s="340"/>
      <c r="C1433" s="340"/>
      <c r="D1433" s="344"/>
      <c r="E1433" s="344"/>
      <c r="F1433" s="340"/>
      <c r="G1433" s="340"/>
      <c r="H1433" s="340"/>
      <c r="I1433" s="340"/>
      <c r="J1433" s="340"/>
      <c r="K1433" s="340"/>
      <c r="L1433" s="340"/>
      <c r="M1433" s="340"/>
      <c r="N1433" s="340"/>
      <c r="O1433" s="340"/>
      <c r="P1433" s="340"/>
      <c r="Q1433" s="35"/>
      <c r="R1433" s="35"/>
      <c r="S1433" s="35"/>
      <c r="T1433" s="1"/>
      <c r="U1433" s="1"/>
      <c r="V1433" s="1"/>
    </row>
    <row r="1434" ht="15.75" customHeight="1">
      <c r="A1434" s="340"/>
      <c r="B1434" s="340"/>
      <c r="C1434" s="340"/>
      <c r="D1434" s="344"/>
      <c r="E1434" s="344"/>
      <c r="F1434" s="340"/>
      <c r="G1434" s="340"/>
      <c r="H1434" s="340"/>
      <c r="I1434" s="340"/>
      <c r="J1434" s="340"/>
      <c r="K1434" s="340"/>
      <c r="L1434" s="340"/>
      <c r="M1434" s="340"/>
      <c r="N1434" s="340"/>
      <c r="O1434" s="340"/>
      <c r="P1434" s="340"/>
      <c r="Q1434" s="35"/>
      <c r="R1434" s="35"/>
      <c r="S1434" s="35"/>
      <c r="T1434" s="1"/>
      <c r="U1434" s="1"/>
      <c r="V1434" s="1"/>
    </row>
    <row r="1435" ht="15.75" customHeight="1">
      <c r="A1435" s="340"/>
      <c r="B1435" s="340"/>
      <c r="C1435" s="340"/>
      <c r="D1435" s="344"/>
      <c r="E1435" s="344"/>
      <c r="F1435" s="340"/>
      <c r="G1435" s="340"/>
      <c r="H1435" s="340"/>
      <c r="I1435" s="340"/>
      <c r="J1435" s="340"/>
      <c r="K1435" s="340"/>
      <c r="L1435" s="340"/>
      <c r="M1435" s="340"/>
      <c r="N1435" s="340"/>
      <c r="O1435" s="340"/>
      <c r="P1435" s="340"/>
      <c r="Q1435" s="35"/>
      <c r="R1435" s="35"/>
      <c r="S1435" s="35"/>
      <c r="T1435" s="1"/>
      <c r="U1435" s="1"/>
      <c r="V1435" s="1"/>
    </row>
    <row r="1436" ht="15.75" customHeight="1">
      <c r="A1436" s="340"/>
      <c r="B1436" s="340"/>
      <c r="C1436" s="340"/>
      <c r="D1436" s="344"/>
      <c r="E1436" s="344"/>
      <c r="F1436" s="340"/>
      <c r="G1436" s="340"/>
      <c r="H1436" s="340"/>
      <c r="I1436" s="340"/>
      <c r="J1436" s="340"/>
      <c r="K1436" s="340"/>
      <c r="L1436" s="340"/>
      <c r="M1436" s="340"/>
      <c r="N1436" s="340"/>
      <c r="O1436" s="340"/>
      <c r="P1436" s="340"/>
      <c r="Q1436" s="35"/>
      <c r="R1436" s="35"/>
      <c r="S1436" s="35"/>
      <c r="T1436" s="1"/>
      <c r="U1436" s="1"/>
      <c r="V1436" s="1"/>
    </row>
    <row r="1437" ht="15.75" customHeight="1">
      <c r="A1437" s="340"/>
      <c r="B1437" s="340"/>
      <c r="C1437" s="340"/>
      <c r="D1437" s="344"/>
      <c r="E1437" s="344"/>
      <c r="F1437" s="340"/>
      <c r="G1437" s="340"/>
      <c r="H1437" s="340"/>
      <c r="I1437" s="340"/>
      <c r="J1437" s="340"/>
      <c r="K1437" s="340"/>
      <c r="L1437" s="340"/>
      <c r="M1437" s="340"/>
      <c r="N1437" s="340"/>
      <c r="O1437" s="340"/>
      <c r="P1437" s="340"/>
      <c r="Q1437" s="35"/>
      <c r="R1437" s="35"/>
      <c r="S1437" s="35"/>
      <c r="T1437" s="1"/>
      <c r="U1437" s="1"/>
      <c r="V1437" s="1"/>
    </row>
    <row r="1438" ht="15.75" customHeight="1">
      <c r="A1438" s="340"/>
      <c r="B1438" s="340"/>
      <c r="C1438" s="340"/>
      <c r="D1438" s="344"/>
      <c r="E1438" s="344"/>
      <c r="F1438" s="340"/>
      <c r="G1438" s="340"/>
      <c r="H1438" s="340"/>
      <c r="I1438" s="340"/>
      <c r="J1438" s="340"/>
      <c r="K1438" s="340"/>
      <c r="L1438" s="340"/>
      <c r="M1438" s="340"/>
      <c r="N1438" s="340"/>
      <c r="O1438" s="340"/>
      <c r="P1438" s="340"/>
      <c r="Q1438" s="35"/>
      <c r="R1438" s="35"/>
      <c r="S1438" s="35"/>
      <c r="T1438" s="1"/>
      <c r="U1438" s="1"/>
      <c r="V1438" s="1"/>
    </row>
    <row r="1439" ht="15.75" customHeight="1">
      <c r="A1439" s="340"/>
      <c r="B1439" s="340"/>
      <c r="C1439" s="340"/>
      <c r="D1439" s="344"/>
      <c r="E1439" s="344"/>
      <c r="F1439" s="340"/>
      <c r="G1439" s="340"/>
      <c r="H1439" s="340"/>
      <c r="I1439" s="340"/>
      <c r="J1439" s="340"/>
      <c r="K1439" s="340"/>
      <c r="L1439" s="340"/>
      <c r="M1439" s="340"/>
      <c r="N1439" s="340"/>
      <c r="O1439" s="340"/>
      <c r="P1439" s="340"/>
      <c r="Q1439" s="35"/>
      <c r="R1439" s="35"/>
      <c r="S1439" s="35"/>
      <c r="T1439" s="1"/>
      <c r="U1439" s="1"/>
      <c r="V1439" s="1"/>
    </row>
    <row r="1440" ht="15.75" customHeight="1">
      <c r="A1440" s="340"/>
      <c r="B1440" s="340"/>
      <c r="C1440" s="340"/>
      <c r="D1440" s="344"/>
      <c r="E1440" s="344"/>
      <c r="F1440" s="340"/>
      <c r="G1440" s="340"/>
      <c r="H1440" s="340"/>
      <c r="I1440" s="340"/>
      <c r="J1440" s="340"/>
      <c r="K1440" s="340"/>
      <c r="L1440" s="340"/>
      <c r="M1440" s="340"/>
      <c r="N1440" s="340"/>
      <c r="O1440" s="340"/>
      <c r="P1440" s="340"/>
      <c r="Q1440" s="35"/>
      <c r="R1440" s="35"/>
      <c r="S1440" s="35"/>
      <c r="T1440" s="1"/>
      <c r="U1440" s="1"/>
      <c r="V1440" s="1"/>
    </row>
    <row r="1441" ht="15.75" customHeight="1">
      <c r="A1441" s="340"/>
      <c r="B1441" s="340"/>
      <c r="C1441" s="340"/>
      <c r="D1441" s="344"/>
      <c r="E1441" s="344"/>
      <c r="F1441" s="340"/>
      <c r="G1441" s="340"/>
      <c r="H1441" s="340"/>
      <c r="I1441" s="340"/>
      <c r="J1441" s="340"/>
      <c r="K1441" s="340"/>
      <c r="L1441" s="340"/>
      <c r="M1441" s="340"/>
      <c r="N1441" s="340"/>
      <c r="O1441" s="340"/>
      <c r="P1441" s="340"/>
      <c r="Q1441" s="35"/>
      <c r="R1441" s="35"/>
      <c r="S1441" s="35"/>
      <c r="T1441" s="1"/>
      <c r="U1441" s="1"/>
      <c r="V1441" s="1"/>
    </row>
    <row r="1442" ht="15.75" customHeight="1">
      <c r="A1442" s="340"/>
      <c r="B1442" s="340"/>
      <c r="C1442" s="340"/>
      <c r="D1442" s="344"/>
      <c r="E1442" s="344"/>
      <c r="F1442" s="340"/>
      <c r="G1442" s="340"/>
      <c r="H1442" s="340"/>
      <c r="I1442" s="340"/>
      <c r="J1442" s="340"/>
      <c r="K1442" s="340"/>
      <c r="L1442" s="340"/>
      <c r="M1442" s="340"/>
      <c r="N1442" s="340"/>
      <c r="O1442" s="340"/>
      <c r="P1442" s="340"/>
      <c r="Q1442" s="35"/>
      <c r="R1442" s="35"/>
      <c r="S1442" s="35"/>
      <c r="T1442" s="1"/>
      <c r="U1442" s="1"/>
      <c r="V1442" s="1"/>
    </row>
    <row r="1443" ht="15.75" customHeight="1">
      <c r="A1443" s="340"/>
      <c r="B1443" s="340"/>
      <c r="C1443" s="340"/>
      <c r="D1443" s="344"/>
      <c r="E1443" s="344"/>
      <c r="F1443" s="340"/>
      <c r="G1443" s="340"/>
      <c r="H1443" s="340"/>
      <c r="I1443" s="340"/>
      <c r="J1443" s="340"/>
      <c r="K1443" s="340"/>
      <c r="L1443" s="340"/>
      <c r="M1443" s="340"/>
      <c r="N1443" s="340"/>
      <c r="O1443" s="340"/>
      <c r="P1443" s="340"/>
      <c r="Q1443" s="35"/>
      <c r="R1443" s="35"/>
      <c r="S1443" s="35"/>
      <c r="T1443" s="1"/>
      <c r="U1443" s="1"/>
      <c r="V1443" s="1"/>
    </row>
    <row r="1444" ht="15.75" customHeight="1">
      <c r="A1444" s="340"/>
      <c r="B1444" s="340"/>
      <c r="C1444" s="340"/>
      <c r="D1444" s="344"/>
      <c r="E1444" s="344"/>
      <c r="F1444" s="340"/>
      <c r="G1444" s="340"/>
      <c r="H1444" s="340"/>
      <c r="I1444" s="340"/>
      <c r="J1444" s="340"/>
      <c r="K1444" s="340"/>
      <c r="L1444" s="340"/>
      <c r="M1444" s="340"/>
      <c r="N1444" s="340"/>
      <c r="O1444" s="340"/>
      <c r="P1444" s="340"/>
      <c r="Q1444" s="35"/>
      <c r="R1444" s="35"/>
      <c r="S1444" s="35"/>
      <c r="T1444" s="1"/>
      <c r="U1444" s="1"/>
      <c r="V1444" s="1"/>
    </row>
    <row r="1445" ht="15.75" customHeight="1">
      <c r="A1445" s="340"/>
      <c r="B1445" s="340"/>
      <c r="C1445" s="340"/>
      <c r="D1445" s="344"/>
      <c r="E1445" s="344"/>
      <c r="F1445" s="340"/>
      <c r="G1445" s="340"/>
      <c r="H1445" s="340"/>
      <c r="I1445" s="340"/>
      <c r="J1445" s="340"/>
      <c r="K1445" s="340"/>
      <c r="L1445" s="340"/>
      <c r="M1445" s="340"/>
      <c r="N1445" s="340"/>
      <c r="O1445" s="340"/>
      <c r="P1445" s="340"/>
      <c r="Q1445" s="35"/>
      <c r="R1445" s="35"/>
      <c r="S1445" s="35"/>
      <c r="T1445" s="1"/>
      <c r="U1445" s="1"/>
      <c r="V1445" s="1"/>
    </row>
    <row r="1446" ht="15.75" customHeight="1">
      <c r="A1446" s="340"/>
      <c r="B1446" s="340"/>
      <c r="C1446" s="340"/>
      <c r="D1446" s="344"/>
      <c r="E1446" s="344"/>
      <c r="F1446" s="340"/>
      <c r="G1446" s="340"/>
      <c r="H1446" s="340"/>
      <c r="I1446" s="340"/>
      <c r="J1446" s="340"/>
      <c r="K1446" s="340"/>
      <c r="L1446" s="340"/>
      <c r="M1446" s="340"/>
      <c r="N1446" s="340"/>
      <c r="O1446" s="340"/>
      <c r="P1446" s="340"/>
      <c r="Q1446" s="35"/>
      <c r="R1446" s="35"/>
      <c r="S1446" s="35"/>
      <c r="T1446" s="1"/>
      <c r="U1446" s="1"/>
      <c r="V1446" s="1"/>
    </row>
    <row r="1447" ht="15.75" customHeight="1">
      <c r="A1447" s="340"/>
      <c r="B1447" s="340"/>
      <c r="C1447" s="340"/>
      <c r="D1447" s="344"/>
      <c r="E1447" s="344"/>
      <c r="F1447" s="340"/>
      <c r="G1447" s="340"/>
      <c r="H1447" s="340"/>
      <c r="I1447" s="340"/>
      <c r="J1447" s="340"/>
      <c r="K1447" s="340"/>
      <c r="L1447" s="340"/>
      <c r="M1447" s="340"/>
      <c r="N1447" s="340"/>
      <c r="O1447" s="340"/>
      <c r="P1447" s="340"/>
      <c r="Q1447" s="35"/>
      <c r="R1447" s="35"/>
      <c r="S1447" s="35"/>
      <c r="T1447" s="1"/>
      <c r="U1447" s="1"/>
      <c r="V1447" s="1"/>
    </row>
    <row r="1448" ht="15.75" customHeight="1">
      <c r="A1448" s="340"/>
      <c r="B1448" s="340"/>
      <c r="C1448" s="340"/>
      <c r="D1448" s="344"/>
      <c r="E1448" s="344"/>
      <c r="F1448" s="340"/>
      <c r="G1448" s="340"/>
      <c r="H1448" s="340"/>
      <c r="I1448" s="340"/>
      <c r="J1448" s="340"/>
      <c r="K1448" s="340"/>
      <c r="L1448" s="340"/>
      <c r="M1448" s="340"/>
      <c r="N1448" s="340"/>
      <c r="O1448" s="340"/>
      <c r="P1448" s="340"/>
      <c r="Q1448" s="35"/>
      <c r="R1448" s="35"/>
      <c r="S1448" s="35"/>
      <c r="T1448" s="1"/>
      <c r="U1448" s="1"/>
      <c r="V1448" s="1"/>
    </row>
    <row r="1449" ht="15.75" customHeight="1">
      <c r="A1449" s="340"/>
      <c r="B1449" s="340"/>
      <c r="C1449" s="340"/>
      <c r="D1449" s="344"/>
      <c r="E1449" s="344"/>
      <c r="F1449" s="340"/>
      <c r="G1449" s="340"/>
      <c r="H1449" s="340"/>
      <c r="I1449" s="340"/>
      <c r="J1449" s="340"/>
      <c r="K1449" s="340"/>
      <c r="L1449" s="340"/>
      <c r="M1449" s="340"/>
      <c r="N1449" s="340"/>
      <c r="O1449" s="340"/>
      <c r="P1449" s="340"/>
      <c r="Q1449" s="35"/>
      <c r="R1449" s="35"/>
      <c r="S1449" s="35"/>
      <c r="T1449" s="1"/>
      <c r="U1449" s="1"/>
      <c r="V1449" s="1"/>
    </row>
    <row r="1450" ht="15.75" customHeight="1">
      <c r="A1450" s="340"/>
      <c r="B1450" s="340"/>
      <c r="C1450" s="340"/>
      <c r="D1450" s="344"/>
      <c r="E1450" s="344"/>
      <c r="F1450" s="340"/>
      <c r="G1450" s="340"/>
      <c r="H1450" s="340"/>
      <c r="I1450" s="340"/>
      <c r="J1450" s="340"/>
      <c r="K1450" s="340"/>
      <c r="L1450" s="340"/>
      <c r="M1450" s="340"/>
      <c r="N1450" s="340"/>
      <c r="O1450" s="340"/>
      <c r="P1450" s="340"/>
      <c r="Q1450" s="35"/>
      <c r="R1450" s="35"/>
      <c r="S1450" s="35"/>
      <c r="T1450" s="1"/>
      <c r="U1450" s="1"/>
      <c r="V1450" s="1"/>
    </row>
    <row r="1451" ht="15.75" customHeight="1">
      <c r="A1451" s="340"/>
      <c r="B1451" s="340"/>
      <c r="C1451" s="340"/>
      <c r="D1451" s="344"/>
      <c r="E1451" s="344"/>
      <c r="F1451" s="340"/>
      <c r="G1451" s="340"/>
      <c r="H1451" s="340"/>
      <c r="I1451" s="340"/>
      <c r="J1451" s="340"/>
      <c r="K1451" s="340"/>
      <c r="L1451" s="340"/>
      <c r="M1451" s="340"/>
      <c r="N1451" s="340"/>
      <c r="O1451" s="340"/>
      <c r="P1451" s="340"/>
      <c r="Q1451" s="35"/>
      <c r="R1451" s="35"/>
      <c r="S1451" s="35"/>
      <c r="T1451" s="1"/>
      <c r="U1451" s="1"/>
      <c r="V1451" s="1"/>
    </row>
    <row r="1452" ht="15.75" customHeight="1">
      <c r="A1452" s="340"/>
      <c r="B1452" s="340"/>
      <c r="C1452" s="340"/>
      <c r="D1452" s="344"/>
      <c r="E1452" s="344"/>
      <c r="F1452" s="340"/>
      <c r="G1452" s="340"/>
      <c r="H1452" s="340"/>
      <c r="I1452" s="340"/>
      <c r="J1452" s="340"/>
      <c r="K1452" s="340"/>
      <c r="L1452" s="340"/>
      <c r="M1452" s="340"/>
      <c r="N1452" s="340"/>
      <c r="O1452" s="340"/>
      <c r="P1452" s="340"/>
      <c r="Q1452" s="35"/>
      <c r="R1452" s="35"/>
      <c r="S1452" s="35"/>
      <c r="T1452" s="1"/>
      <c r="U1452" s="1"/>
      <c r="V1452" s="1"/>
    </row>
    <row r="1453" ht="15.75" customHeight="1">
      <c r="A1453" s="340"/>
      <c r="B1453" s="340"/>
      <c r="C1453" s="340"/>
      <c r="D1453" s="344"/>
      <c r="E1453" s="344"/>
      <c r="F1453" s="340"/>
      <c r="G1453" s="340"/>
      <c r="H1453" s="340"/>
      <c r="I1453" s="340"/>
      <c r="J1453" s="340"/>
      <c r="K1453" s="340"/>
      <c r="L1453" s="340"/>
      <c r="M1453" s="340"/>
      <c r="N1453" s="340"/>
      <c r="O1453" s="340"/>
      <c r="P1453" s="340"/>
      <c r="Q1453" s="35"/>
      <c r="R1453" s="35"/>
      <c r="S1453" s="35"/>
      <c r="T1453" s="1"/>
      <c r="U1453" s="1"/>
      <c r="V1453" s="1"/>
    </row>
    <row r="1454" ht="15.75" customHeight="1">
      <c r="A1454" s="340"/>
      <c r="B1454" s="340"/>
      <c r="C1454" s="340"/>
      <c r="D1454" s="344"/>
      <c r="E1454" s="344"/>
      <c r="F1454" s="340"/>
      <c r="G1454" s="340"/>
      <c r="H1454" s="340"/>
      <c r="I1454" s="340"/>
      <c r="J1454" s="340"/>
      <c r="K1454" s="340"/>
      <c r="L1454" s="340"/>
      <c r="M1454" s="340"/>
      <c r="N1454" s="340"/>
      <c r="O1454" s="340"/>
      <c r="P1454" s="340"/>
      <c r="Q1454" s="35"/>
      <c r="R1454" s="35"/>
      <c r="S1454" s="35"/>
      <c r="T1454" s="1"/>
      <c r="U1454" s="1"/>
      <c r="V1454" s="1"/>
    </row>
    <row r="1455" ht="15.75" customHeight="1">
      <c r="A1455" s="340"/>
      <c r="B1455" s="340"/>
      <c r="C1455" s="340"/>
      <c r="D1455" s="344"/>
      <c r="E1455" s="344"/>
      <c r="F1455" s="340"/>
      <c r="G1455" s="340"/>
      <c r="H1455" s="340"/>
      <c r="I1455" s="340"/>
      <c r="J1455" s="340"/>
      <c r="K1455" s="340"/>
      <c r="L1455" s="340"/>
      <c r="M1455" s="340"/>
      <c r="N1455" s="340"/>
      <c r="O1455" s="340"/>
      <c r="P1455" s="340"/>
      <c r="Q1455" s="35"/>
      <c r="R1455" s="35"/>
      <c r="S1455" s="35"/>
      <c r="T1455" s="1"/>
      <c r="U1455" s="1"/>
      <c r="V1455" s="1"/>
    </row>
    <row r="1456" ht="15.75" customHeight="1">
      <c r="A1456" s="340"/>
      <c r="B1456" s="340"/>
      <c r="C1456" s="340"/>
      <c r="D1456" s="344"/>
      <c r="E1456" s="344"/>
      <c r="F1456" s="340"/>
      <c r="G1456" s="340"/>
      <c r="H1456" s="340"/>
      <c r="I1456" s="340"/>
      <c r="J1456" s="340"/>
      <c r="K1456" s="340"/>
      <c r="L1456" s="340"/>
      <c r="M1456" s="340"/>
      <c r="N1456" s="340"/>
      <c r="O1456" s="340"/>
      <c r="P1456" s="340"/>
      <c r="Q1456" s="35"/>
      <c r="R1456" s="35"/>
      <c r="S1456" s="35"/>
      <c r="T1456" s="1"/>
      <c r="U1456" s="1"/>
      <c r="V1456" s="1"/>
    </row>
    <row r="1457" ht="15.75" customHeight="1">
      <c r="A1457" s="340"/>
      <c r="B1457" s="340"/>
      <c r="C1457" s="340"/>
      <c r="D1457" s="344"/>
      <c r="E1457" s="344"/>
      <c r="F1457" s="340"/>
      <c r="G1457" s="340"/>
      <c r="H1457" s="340"/>
      <c r="I1457" s="340"/>
      <c r="J1457" s="340"/>
      <c r="K1457" s="340"/>
      <c r="L1457" s="340"/>
      <c r="M1457" s="340"/>
      <c r="N1457" s="340"/>
      <c r="O1457" s="340"/>
      <c r="P1457" s="340"/>
      <c r="Q1457" s="35"/>
      <c r="R1457" s="35"/>
      <c r="S1457" s="35"/>
      <c r="T1457" s="1"/>
      <c r="U1457" s="1"/>
      <c r="V1457" s="1"/>
    </row>
    <row r="1458" ht="15.75" customHeight="1">
      <c r="A1458" s="340"/>
      <c r="B1458" s="340"/>
      <c r="C1458" s="340"/>
      <c r="D1458" s="344"/>
      <c r="E1458" s="344"/>
      <c r="F1458" s="340"/>
      <c r="G1458" s="340"/>
      <c r="H1458" s="340"/>
      <c r="I1458" s="340"/>
      <c r="J1458" s="340"/>
      <c r="K1458" s="340"/>
      <c r="L1458" s="340"/>
      <c r="M1458" s="340"/>
      <c r="N1458" s="340"/>
      <c r="O1458" s="340"/>
      <c r="P1458" s="340"/>
      <c r="Q1458" s="35"/>
      <c r="R1458" s="35"/>
      <c r="S1458" s="35"/>
      <c r="T1458" s="1"/>
      <c r="U1458" s="1"/>
      <c r="V1458" s="1"/>
    </row>
    <row r="1459" ht="15.75" customHeight="1">
      <c r="A1459" s="340"/>
      <c r="B1459" s="340"/>
      <c r="C1459" s="340"/>
      <c r="D1459" s="344"/>
      <c r="E1459" s="344"/>
      <c r="F1459" s="340"/>
      <c r="G1459" s="340"/>
      <c r="H1459" s="340"/>
      <c r="I1459" s="340"/>
      <c r="J1459" s="340"/>
      <c r="K1459" s="340"/>
      <c r="L1459" s="340"/>
      <c r="M1459" s="340"/>
      <c r="N1459" s="340"/>
      <c r="O1459" s="340"/>
      <c r="P1459" s="340"/>
      <c r="Q1459" s="35"/>
      <c r="R1459" s="35"/>
      <c r="S1459" s="35"/>
      <c r="T1459" s="1"/>
      <c r="U1459" s="1"/>
      <c r="V1459" s="1"/>
    </row>
    <row r="1460" ht="15.75" customHeight="1">
      <c r="A1460" s="340"/>
      <c r="B1460" s="340"/>
      <c r="C1460" s="340"/>
      <c r="D1460" s="344"/>
      <c r="E1460" s="344"/>
      <c r="F1460" s="340"/>
      <c r="G1460" s="340"/>
      <c r="H1460" s="340"/>
      <c r="I1460" s="340"/>
      <c r="J1460" s="340"/>
      <c r="K1460" s="340"/>
      <c r="L1460" s="340"/>
      <c r="M1460" s="340"/>
      <c r="N1460" s="340"/>
      <c r="O1460" s="340"/>
      <c r="P1460" s="340"/>
      <c r="Q1460" s="35"/>
      <c r="R1460" s="35"/>
      <c r="S1460" s="35"/>
      <c r="T1460" s="1"/>
      <c r="U1460" s="1"/>
      <c r="V1460" s="1"/>
    </row>
    <row r="1461" ht="15.75" customHeight="1">
      <c r="A1461" s="340"/>
      <c r="B1461" s="340"/>
      <c r="C1461" s="340"/>
      <c r="D1461" s="344"/>
      <c r="E1461" s="344"/>
      <c r="F1461" s="340"/>
      <c r="G1461" s="340"/>
      <c r="H1461" s="340"/>
      <c r="I1461" s="340"/>
      <c r="J1461" s="340"/>
      <c r="K1461" s="340"/>
      <c r="L1461" s="340"/>
      <c r="M1461" s="340"/>
      <c r="N1461" s="340"/>
      <c r="O1461" s="340"/>
      <c r="P1461" s="340"/>
      <c r="Q1461" s="35"/>
      <c r="R1461" s="35"/>
      <c r="S1461" s="35"/>
      <c r="T1461" s="1"/>
      <c r="U1461" s="1"/>
      <c r="V1461" s="1"/>
    </row>
    <row r="1462" ht="15.75" customHeight="1">
      <c r="A1462" s="340"/>
      <c r="B1462" s="340"/>
      <c r="C1462" s="340"/>
      <c r="D1462" s="344"/>
      <c r="E1462" s="344"/>
      <c r="F1462" s="340"/>
      <c r="G1462" s="340"/>
      <c r="H1462" s="340"/>
      <c r="I1462" s="340"/>
      <c r="J1462" s="340"/>
      <c r="K1462" s="340"/>
      <c r="L1462" s="340"/>
      <c r="M1462" s="340"/>
      <c r="N1462" s="340"/>
      <c r="O1462" s="340"/>
      <c r="P1462" s="340"/>
      <c r="Q1462" s="35"/>
      <c r="R1462" s="35"/>
      <c r="S1462" s="35"/>
      <c r="T1462" s="1"/>
      <c r="U1462" s="1"/>
      <c r="V1462" s="1"/>
    </row>
    <row r="1463" ht="15.75" customHeight="1">
      <c r="A1463" s="340"/>
      <c r="B1463" s="340"/>
      <c r="C1463" s="340"/>
      <c r="D1463" s="344"/>
      <c r="E1463" s="344"/>
      <c r="F1463" s="340"/>
      <c r="G1463" s="340"/>
      <c r="H1463" s="340"/>
      <c r="I1463" s="340"/>
      <c r="J1463" s="340"/>
      <c r="K1463" s="340"/>
      <c r="L1463" s="340"/>
      <c r="M1463" s="340"/>
      <c r="N1463" s="340"/>
      <c r="O1463" s="340"/>
      <c r="P1463" s="340"/>
      <c r="Q1463" s="35"/>
      <c r="R1463" s="35"/>
      <c r="S1463" s="35"/>
      <c r="T1463" s="1"/>
      <c r="U1463" s="1"/>
      <c r="V1463" s="1"/>
    </row>
    <row r="1464" ht="15.75" customHeight="1">
      <c r="A1464" s="340"/>
      <c r="B1464" s="340"/>
      <c r="C1464" s="340"/>
      <c r="D1464" s="344"/>
      <c r="E1464" s="344"/>
      <c r="F1464" s="340"/>
      <c r="G1464" s="340"/>
      <c r="H1464" s="340"/>
      <c r="I1464" s="340"/>
      <c r="J1464" s="340"/>
      <c r="K1464" s="340"/>
      <c r="L1464" s="340"/>
      <c r="M1464" s="340"/>
      <c r="N1464" s="340"/>
      <c r="O1464" s="340"/>
      <c r="P1464" s="340"/>
      <c r="Q1464" s="35"/>
      <c r="R1464" s="35"/>
      <c r="S1464" s="35"/>
      <c r="T1464" s="1"/>
      <c r="U1464" s="1"/>
      <c r="V1464" s="1"/>
    </row>
    <row r="1465" ht="15.75" customHeight="1">
      <c r="A1465" s="340"/>
      <c r="B1465" s="340"/>
      <c r="C1465" s="340"/>
      <c r="D1465" s="344"/>
      <c r="E1465" s="344"/>
      <c r="F1465" s="340"/>
      <c r="G1465" s="340"/>
      <c r="H1465" s="340"/>
      <c r="I1465" s="340"/>
      <c r="J1465" s="340"/>
      <c r="K1465" s="340"/>
      <c r="L1465" s="340"/>
      <c r="M1465" s="340"/>
      <c r="N1465" s="340"/>
      <c r="O1465" s="340"/>
      <c r="P1465" s="340"/>
      <c r="Q1465" s="35"/>
      <c r="R1465" s="35"/>
      <c r="S1465" s="35"/>
      <c r="T1465" s="1"/>
      <c r="U1465" s="1"/>
      <c r="V1465" s="1"/>
    </row>
    <row r="1466" ht="15.75" customHeight="1">
      <c r="A1466" s="340"/>
      <c r="B1466" s="340"/>
      <c r="C1466" s="340"/>
      <c r="D1466" s="344"/>
      <c r="E1466" s="344"/>
      <c r="F1466" s="340"/>
      <c r="G1466" s="340"/>
      <c r="H1466" s="340"/>
      <c r="I1466" s="340"/>
      <c r="J1466" s="340"/>
      <c r="K1466" s="340"/>
      <c r="L1466" s="340"/>
      <c r="M1466" s="340"/>
      <c r="N1466" s="340"/>
      <c r="O1466" s="340"/>
      <c r="P1466" s="340"/>
      <c r="Q1466" s="35"/>
      <c r="R1466" s="35"/>
      <c r="S1466" s="35"/>
      <c r="T1466" s="1"/>
      <c r="U1466" s="1"/>
      <c r="V1466" s="1"/>
    </row>
    <row r="1467" ht="15.75" customHeight="1">
      <c r="A1467" s="340"/>
      <c r="B1467" s="340"/>
      <c r="C1467" s="340"/>
      <c r="D1467" s="344"/>
      <c r="E1467" s="344"/>
      <c r="F1467" s="340"/>
      <c r="G1467" s="340"/>
      <c r="H1467" s="340"/>
      <c r="I1467" s="340"/>
      <c r="J1467" s="340"/>
      <c r="K1467" s="340"/>
      <c r="L1467" s="340"/>
      <c r="M1467" s="340"/>
      <c r="N1467" s="340"/>
      <c r="O1467" s="340"/>
      <c r="P1467" s="340"/>
      <c r="Q1467" s="35"/>
      <c r="R1467" s="35"/>
      <c r="S1467" s="35"/>
      <c r="T1467" s="1"/>
      <c r="U1467" s="1"/>
      <c r="V1467" s="1"/>
    </row>
    <row r="1468" ht="15.75" customHeight="1">
      <c r="A1468" s="340"/>
      <c r="B1468" s="340"/>
      <c r="C1468" s="340"/>
      <c r="D1468" s="344"/>
      <c r="E1468" s="344"/>
      <c r="F1468" s="340"/>
      <c r="G1468" s="340"/>
      <c r="H1468" s="340"/>
      <c r="I1468" s="340"/>
      <c r="J1468" s="340"/>
      <c r="K1468" s="340"/>
      <c r="L1468" s="340"/>
      <c r="M1468" s="340"/>
      <c r="N1468" s="340"/>
      <c r="O1468" s="340"/>
      <c r="P1468" s="340"/>
      <c r="Q1468" s="35"/>
      <c r="R1468" s="35"/>
      <c r="S1468" s="35"/>
      <c r="T1468" s="1"/>
      <c r="U1468" s="1"/>
      <c r="V1468" s="1"/>
    </row>
    <row r="1469" ht="15.75" customHeight="1">
      <c r="A1469" s="340"/>
      <c r="B1469" s="340"/>
      <c r="C1469" s="340"/>
      <c r="D1469" s="344"/>
      <c r="E1469" s="344"/>
      <c r="F1469" s="340"/>
      <c r="G1469" s="340"/>
      <c r="H1469" s="340"/>
      <c r="I1469" s="340"/>
      <c r="J1469" s="340"/>
      <c r="K1469" s="340"/>
      <c r="L1469" s="340"/>
      <c r="M1469" s="340"/>
      <c r="N1469" s="340"/>
      <c r="O1469" s="340"/>
      <c r="P1469" s="340"/>
      <c r="Q1469" s="35"/>
      <c r="R1469" s="35"/>
      <c r="S1469" s="35"/>
      <c r="T1469" s="1"/>
      <c r="U1469" s="1"/>
      <c r="V1469" s="1"/>
    </row>
    <row r="1470" ht="15.75" customHeight="1">
      <c r="A1470" s="340"/>
      <c r="B1470" s="340"/>
      <c r="C1470" s="340"/>
      <c r="D1470" s="344"/>
      <c r="E1470" s="344"/>
      <c r="F1470" s="340"/>
      <c r="G1470" s="340"/>
      <c r="H1470" s="340"/>
      <c r="I1470" s="340"/>
      <c r="J1470" s="340"/>
      <c r="K1470" s="340"/>
      <c r="L1470" s="340"/>
      <c r="M1470" s="340"/>
      <c r="N1470" s="340"/>
      <c r="O1470" s="340"/>
      <c r="P1470" s="340"/>
      <c r="Q1470" s="35"/>
      <c r="R1470" s="35"/>
      <c r="S1470" s="35"/>
      <c r="T1470" s="1"/>
      <c r="U1470" s="1"/>
      <c r="V1470" s="1"/>
    </row>
    <row r="1471" ht="15.75" customHeight="1">
      <c r="A1471" s="340"/>
      <c r="B1471" s="340"/>
      <c r="C1471" s="340"/>
      <c r="D1471" s="344"/>
      <c r="E1471" s="344"/>
      <c r="F1471" s="340"/>
      <c r="G1471" s="340"/>
      <c r="H1471" s="340"/>
      <c r="I1471" s="340"/>
      <c r="J1471" s="340"/>
      <c r="K1471" s="340"/>
      <c r="L1471" s="340"/>
      <c r="M1471" s="340"/>
      <c r="N1471" s="340"/>
      <c r="O1471" s="340"/>
      <c r="P1471" s="340"/>
      <c r="Q1471" s="35"/>
      <c r="R1471" s="35"/>
      <c r="S1471" s="35"/>
      <c r="T1471" s="1"/>
      <c r="U1471" s="1"/>
      <c r="V1471" s="1"/>
    </row>
    <row r="1472" ht="15.75" customHeight="1">
      <c r="A1472" s="340"/>
      <c r="B1472" s="340"/>
      <c r="C1472" s="340"/>
      <c r="D1472" s="344"/>
      <c r="E1472" s="344"/>
      <c r="F1472" s="340"/>
      <c r="G1472" s="340"/>
      <c r="H1472" s="340"/>
      <c r="I1472" s="340"/>
      <c r="J1472" s="340"/>
      <c r="K1472" s="340"/>
      <c r="L1472" s="340"/>
      <c r="M1472" s="340"/>
      <c r="N1472" s="340"/>
      <c r="O1472" s="340"/>
      <c r="P1472" s="340"/>
      <c r="Q1472" s="35"/>
      <c r="R1472" s="35"/>
      <c r="S1472" s="35"/>
      <c r="T1472" s="1"/>
      <c r="U1472" s="1"/>
      <c r="V1472" s="1"/>
    </row>
    <row r="1473" ht="15.75" customHeight="1">
      <c r="A1473" s="340"/>
      <c r="B1473" s="340"/>
      <c r="C1473" s="340"/>
      <c r="D1473" s="344"/>
      <c r="E1473" s="344"/>
      <c r="F1473" s="340"/>
      <c r="G1473" s="340"/>
      <c r="H1473" s="340"/>
      <c r="I1473" s="340"/>
      <c r="J1473" s="340"/>
      <c r="K1473" s="340"/>
      <c r="L1473" s="340"/>
      <c r="M1473" s="340"/>
      <c r="N1473" s="340"/>
      <c r="O1473" s="340"/>
      <c r="P1473" s="340"/>
      <c r="Q1473" s="35"/>
      <c r="R1473" s="35"/>
      <c r="S1473" s="35"/>
      <c r="T1473" s="1"/>
      <c r="U1473" s="1"/>
      <c r="V1473" s="1"/>
    </row>
    <row r="1474" ht="15.75" customHeight="1">
      <c r="A1474" s="340"/>
      <c r="B1474" s="340"/>
      <c r="C1474" s="340"/>
      <c r="D1474" s="344"/>
      <c r="E1474" s="344"/>
      <c r="F1474" s="340"/>
      <c r="G1474" s="340"/>
      <c r="H1474" s="340"/>
      <c r="I1474" s="340"/>
      <c r="J1474" s="340"/>
      <c r="K1474" s="340"/>
      <c r="L1474" s="340"/>
      <c r="M1474" s="340"/>
      <c r="N1474" s="340"/>
      <c r="O1474" s="340"/>
      <c r="P1474" s="340"/>
      <c r="Q1474" s="35"/>
      <c r="R1474" s="35"/>
      <c r="S1474" s="35"/>
      <c r="T1474" s="1"/>
      <c r="U1474" s="1"/>
      <c r="V1474" s="1"/>
    </row>
    <row r="1475" ht="15.75" customHeight="1">
      <c r="A1475" s="340"/>
      <c r="B1475" s="340"/>
      <c r="C1475" s="340"/>
      <c r="D1475" s="344"/>
      <c r="E1475" s="344"/>
      <c r="F1475" s="340"/>
      <c r="G1475" s="340"/>
      <c r="H1475" s="340"/>
      <c r="I1475" s="340"/>
      <c r="J1475" s="340"/>
      <c r="K1475" s="340"/>
      <c r="L1475" s="340"/>
      <c r="M1475" s="340"/>
      <c r="N1475" s="340"/>
      <c r="O1475" s="340"/>
      <c r="P1475" s="340"/>
      <c r="Q1475" s="35"/>
      <c r="R1475" s="35"/>
      <c r="S1475" s="35"/>
      <c r="T1475" s="1"/>
      <c r="U1475" s="1"/>
      <c r="V1475" s="1"/>
    </row>
    <row r="1476" ht="15.75" customHeight="1">
      <c r="A1476" s="340"/>
      <c r="B1476" s="340"/>
      <c r="C1476" s="340"/>
      <c r="D1476" s="344"/>
      <c r="E1476" s="344"/>
      <c r="F1476" s="340"/>
      <c r="G1476" s="340"/>
      <c r="H1476" s="340"/>
      <c r="I1476" s="340"/>
      <c r="J1476" s="340"/>
      <c r="K1476" s="340"/>
      <c r="L1476" s="340"/>
      <c r="M1476" s="340"/>
      <c r="N1476" s="340"/>
      <c r="O1476" s="340"/>
      <c r="P1476" s="340"/>
      <c r="Q1476" s="35"/>
      <c r="R1476" s="35"/>
      <c r="S1476" s="35"/>
      <c r="T1476" s="1"/>
      <c r="U1476" s="1"/>
      <c r="V1476" s="1"/>
    </row>
    <row r="1477" ht="15.75" customHeight="1">
      <c r="A1477" s="340"/>
      <c r="B1477" s="340"/>
      <c r="C1477" s="340"/>
      <c r="D1477" s="344"/>
      <c r="E1477" s="344"/>
      <c r="F1477" s="340"/>
      <c r="G1477" s="340"/>
      <c r="H1477" s="340"/>
      <c r="I1477" s="340"/>
      <c r="J1477" s="340"/>
      <c r="K1477" s="340"/>
      <c r="L1477" s="340"/>
      <c r="M1477" s="340"/>
      <c r="N1477" s="340"/>
      <c r="O1477" s="340"/>
      <c r="P1477" s="340"/>
      <c r="Q1477" s="35"/>
      <c r="R1477" s="35"/>
      <c r="S1477" s="35"/>
      <c r="T1477" s="1"/>
      <c r="U1477" s="1"/>
      <c r="V1477" s="1"/>
    </row>
    <row r="1478" ht="15.75" customHeight="1">
      <c r="A1478" s="340"/>
      <c r="B1478" s="340"/>
      <c r="C1478" s="340"/>
      <c r="D1478" s="344"/>
      <c r="E1478" s="344"/>
      <c r="F1478" s="340"/>
      <c r="G1478" s="340"/>
      <c r="H1478" s="340"/>
      <c r="I1478" s="340"/>
      <c r="J1478" s="340"/>
      <c r="K1478" s="340"/>
      <c r="L1478" s="340"/>
      <c r="M1478" s="340"/>
      <c r="N1478" s="340"/>
      <c r="O1478" s="340"/>
      <c r="P1478" s="340"/>
      <c r="Q1478" s="35"/>
      <c r="R1478" s="35"/>
      <c r="S1478" s="35"/>
      <c r="T1478" s="1"/>
      <c r="U1478" s="1"/>
      <c r="V1478" s="1"/>
    </row>
    <row r="1479" ht="15.75" customHeight="1">
      <c r="A1479" s="340"/>
      <c r="B1479" s="340"/>
      <c r="C1479" s="340"/>
      <c r="D1479" s="344"/>
      <c r="E1479" s="344"/>
      <c r="F1479" s="340"/>
      <c r="G1479" s="340"/>
      <c r="H1479" s="340"/>
      <c r="I1479" s="340"/>
      <c r="J1479" s="340"/>
      <c r="K1479" s="340"/>
      <c r="L1479" s="340"/>
      <c r="M1479" s="340"/>
      <c r="N1479" s="340"/>
      <c r="O1479" s="340"/>
      <c r="P1479" s="340"/>
      <c r="Q1479" s="35"/>
      <c r="R1479" s="35"/>
      <c r="S1479" s="35"/>
      <c r="T1479" s="1"/>
      <c r="U1479" s="1"/>
      <c r="V1479" s="1"/>
    </row>
    <row r="1480" ht="15.75" customHeight="1">
      <c r="A1480" s="340"/>
      <c r="B1480" s="340"/>
      <c r="C1480" s="340"/>
      <c r="D1480" s="344"/>
      <c r="E1480" s="344"/>
      <c r="F1480" s="340"/>
      <c r="G1480" s="340"/>
      <c r="H1480" s="340"/>
      <c r="I1480" s="340"/>
      <c r="J1480" s="340"/>
      <c r="K1480" s="340"/>
      <c r="L1480" s="340"/>
      <c r="M1480" s="340"/>
      <c r="N1480" s="340"/>
      <c r="O1480" s="340"/>
      <c r="P1480" s="340"/>
      <c r="Q1480" s="35"/>
      <c r="R1480" s="35"/>
      <c r="S1480" s="35"/>
      <c r="T1480" s="1"/>
      <c r="U1480" s="1"/>
      <c r="V1480" s="1"/>
    </row>
    <row r="1481" ht="15.75" customHeight="1">
      <c r="A1481" s="340"/>
      <c r="B1481" s="340"/>
      <c r="C1481" s="340"/>
      <c r="D1481" s="344"/>
      <c r="E1481" s="344"/>
      <c r="F1481" s="340"/>
      <c r="G1481" s="340"/>
      <c r="H1481" s="340"/>
      <c r="I1481" s="340"/>
      <c r="J1481" s="340"/>
      <c r="K1481" s="340"/>
      <c r="L1481" s="340"/>
      <c r="M1481" s="340"/>
      <c r="N1481" s="340"/>
      <c r="O1481" s="340"/>
      <c r="P1481" s="340"/>
      <c r="Q1481" s="35"/>
      <c r="R1481" s="35"/>
      <c r="S1481" s="35"/>
      <c r="T1481" s="1"/>
      <c r="U1481" s="1"/>
      <c r="V1481" s="1"/>
    </row>
    <row r="1482" ht="15.75" customHeight="1">
      <c r="A1482" s="340"/>
      <c r="B1482" s="340"/>
      <c r="C1482" s="340"/>
      <c r="D1482" s="344"/>
      <c r="E1482" s="344"/>
      <c r="F1482" s="340"/>
      <c r="G1482" s="340"/>
      <c r="H1482" s="340"/>
      <c r="I1482" s="340"/>
      <c r="J1482" s="340"/>
      <c r="K1482" s="340"/>
      <c r="L1482" s="340"/>
      <c r="M1482" s="340"/>
      <c r="N1482" s="340"/>
      <c r="O1482" s="340"/>
      <c r="P1482" s="340"/>
      <c r="Q1482" s="35"/>
      <c r="R1482" s="35"/>
      <c r="S1482" s="35"/>
      <c r="T1482" s="1"/>
      <c r="U1482" s="1"/>
      <c r="V1482" s="1"/>
    </row>
    <row r="1483" ht="15.75" customHeight="1">
      <c r="A1483" s="340"/>
      <c r="B1483" s="340"/>
      <c r="C1483" s="340"/>
      <c r="D1483" s="344"/>
      <c r="E1483" s="344"/>
      <c r="F1483" s="340"/>
      <c r="G1483" s="340"/>
      <c r="H1483" s="340"/>
      <c r="I1483" s="340"/>
      <c r="J1483" s="340"/>
      <c r="K1483" s="340"/>
      <c r="L1483" s="340"/>
      <c r="M1483" s="340"/>
      <c r="N1483" s="340"/>
      <c r="O1483" s="340"/>
      <c r="P1483" s="340"/>
      <c r="Q1483" s="35"/>
      <c r="R1483" s="35"/>
      <c r="S1483" s="35"/>
      <c r="T1483" s="1"/>
      <c r="U1483" s="1"/>
      <c r="V1483" s="1"/>
    </row>
    <row r="1484" ht="15.75" customHeight="1">
      <c r="A1484" s="340"/>
      <c r="B1484" s="340"/>
      <c r="C1484" s="340"/>
      <c r="D1484" s="344"/>
      <c r="E1484" s="344"/>
      <c r="F1484" s="340"/>
      <c r="G1484" s="340"/>
      <c r="H1484" s="340"/>
      <c r="I1484" s="340"/>
      <c r="J1484" s="340"/>
      <c r="K1484" s="340"/>
      <c r="L1484" s="340"/>
      <c r="M1484" s="340"/>
      <c r="N1484" s="340"/>
      <c r="O1484" s="340"/>
      <c r="P1484" s="340"/>
      <c r="Q1484" s="35"/>
      <c r="R1484" s="35"/>
      <c r="S1484" s="35"/>
      <c r="T1484" s="1"/>
      <c r="U1484" s="1"/>
      <c r="V1484" s="1"/>
    </row>
    <row r="1485" ht="15.75" customHeight="1">
      <c r="A1485" s="340"/>
      <c r="B1485" s="340"/>
      <c r="C1485" s="340"/>
      <c r="D1485" s="344"/>
      <c r="E1485" s="344"/>
      <c r="F1485" s="340"/>
      <c r="G1485" s="340"/>
      <c r="H1485" s="340"/>
      <c r="I1485" s="340"/>
      <c r="J1485" s="340"/>
      <c r="K1485" s="340"/>
      <c r="L1485" s="340"/>
      <c r="M1485" s="340"/>
      <c r="N1485" s="340"/>
      <c r="O1485" s="340"/>
      <c r="P1485" s="340"/>
      <c r="Q1485" s="35"/>
      <c r="R1485" s="35"/>
      <c r="S1485" s="35"/>
      <c r="T1485" s="1"/>
      <c r="U1485" s="1"/>
      <c r="V1485" s="1"/>
    </row>
    <row r="1486" ht="15.75" customHeight="1">
      <c r="A1486" s="340"/>
      <c r="B1486" s="340"/>
      <c r="C1486" s="340"/>
      <c r="D1486" s="344"/>
      <c r="E1486" s="344"/>
      <c r="F1486" s="340"/>
      <c r="G1486" s="340"/>
      <c r="H1486" s="340"/>
      <c r="I1486" s="340"/>
      <c r="J1486" s="340"/>
      <c r="K1486" s="340"/>
      <c r="L1486" s="340"/>
      <c r="M1486" s="340"/>
      <c r="N1486" s="340"/>
      <c r="O1486" s="340"/>
      <c r="P1486" s="340"/>
      <c r="Q1486" s="35"/>
      <c r="R1486" s="35"/>
      <c r="S1486" s="35"/>
      <c r="T1486" s="1"/>
      <c r="U1486" s="1"/>
      <c r="V1486" s="1"/>
    </row>
    <row r="1487" ht="15.75" customHeight="1">
      <c r="A1487" s="340"/>
      <c r="B1487" s="340"/>
      <c r="C1487" s="340"/>
      <c r="D1487" s="344"/>
      <c r="E1487" s="344"/>
      <c r="F1487" s="340"/>
      <c r="G1487" s="340"/>
      <c r="H1487" s="340"/>
      <c r="I1487" s="340"/>
      <c r="J1487" s="340"/>
      <c r="K1487" s="340"/>
      <c r="L1487" s="340"/>
      <c r="M1487" s="340"/>
      <c r="N1487" s="340"/>
      <c r="O1487" s="340"/>
      <c r="P1487" s="340"/>
      <c r="Q1487" s="35"/>
      <c r="R1487" s="35"/>
      <c r="S1487" s="35"/>
      <c r="T1487" s="1"/>
      <c r="U1487" s="1"/>
      <c r="V1487" s="1"/>
    </row>
    <row r="1488" ht="15.75" customHeight="1">
      <c r="A1488" s="340"/>
      <c r="B1488" s="340"/>
      <c r="C1488" s="340"/>
      <c r="D1488" s="344"/>
      <c r="E1488" s="344"/>
      <c r="F1488" s="340"/>
      <c r="G1488" s="340"/>
      <c r="H1488" s="340"/>
      <c r="I1488" s="340"/>
      <c r="J1488" s="340"/>
      <c r="K1488" s="340"/>
      <c r="L1488" s="340"/>
      <c r="M1488" s="340"/>
      <c r="N1488" s="340"/>
      <c r="O1488" s="340"/>
      <c r="P1488" s="340"/>
      <c r="Q1488" s="35"/>
      <c r="R1488" s="35"/>
      <c r="S1488" s="35"/>
      <c r="T1488" s="1"/>
      <c r="U1488" s="1"/>
      <c r="V1488" s="1"/>
    </row>
    <row r="1489" ht="15.75" customHeight="1">
      <c r="A1489" s="340"/>
      <c r="B1489" s="340"/>
      <c r="C1489" s="340"/>
      <c r="D1489" s="344"/>
      <c r="E1489" s="344"/>
      <c r="F1489" s="340"/>
      <c r="G1489" s="340"/>
      <c r="H1489" s="340"/>
      <c r="I1489" s="340"/>
      <c r="J1489" s="340"/>
      <c r="K1489" s="340"/>
      <c r="L1489" s="340"/>
      <c r="M1489" s="340"/>
      <c r="N1489" s="340"/>
      <c r="O1489" s="340"/>
      <c r="P1489" s="340"/>
      <c r="Q1489" s="35"/>
      <c r="R1489" s="35"/>
      <c r="S1489" s="35"/>
      <c r="T1489" s="1"/>
      <c r="U1489" s="1"/>
      <c r="V1489" s="1"/>
    </row>
    <row r="1490" ht="15.75" customHeight="1">
      <c r="A1490" s="340"/>
      <c r="B1490" s="340"/>
      <c r="C1490" s="340"/>
      <c r="D1490" s="344"/>
      <c r="E1490" s="344"/>
      <c r="F1490" s="340"/>
      <c r="G1490" s="340"/>
      <c r="H1490" s="340"/>
      <c r="I1490" s="340"/>
      <c r="J1490" s="340"/>
      <c r="K1490" s="340"/>
      <c r="L1490" s="340"/>
      <c r="M1490" s="340"/>
      <c r="N1490" s="340"/>
      <c r="O1490" s="340"/>
      <c r="P1490" s="340"/>
      <c r="Q1490" s="35"/>
      <c r="R1490" s="35"/>
      <c r="S1490" s="35"/>
      <c r="T1490" s="1"/>
      <c r="U1490" s="1"/>
      <c r="V1490" s="1"/>
    </row>
    <row r="1491" ht="15.75" customHeight="1">
      <c r="A1491" s="340"/>
      <c r="B1491" s="340"/>
      <c r="C1491" s="340"/>
      <c r="D1491" s="344"/>
      <c r="E1491" s="344"/>
      <c r="F1491" s="340"/>
      <c r="G1491" s="340"/>
      <c r="H1491" s="340"/>
      <c r="I1491" s="340"/>
      <c r="J1491" s="340"/>
      <c r="K1491" s="340"/>
      <c r="L1491" s="340"/>
      <c r="M1491" s="340"/>
      <c r="N1491" s="340"/>
      <c r="O1491" s="340"/>
      <c r="P1491" s="340"/>
      <c r="Q1491" s="35"/>
      <c r="R1491" s="35"/>
      <c r="S1491" s="35"/>
      <c r="T1491" s="1"/>
      <c r="U1491" s="1"/>
      <c r="V1491" s="1"/>
    </row>
    <row r="1492" ht="15.75" customHeight="1">
      <c r="A1492" s="340"/>
      <c r="B1492" s="340"/>
      <c r="C1492" s="340"/>
      <c r="D1492" s="344"/>
      <c r="E1492" s="344"/>
      <c r="F1492" s="340"/>
      <c r="G1492" s="340"/>
      <c r="H1492" s="340"/>
      <c r="I1492" s="340"/>
      <c r="J1492" s="340"/>
      <c r="K1492" s="340"/>
      <c r="L1492" s="340"/>
      <c r="M1492" s="340"/>
      <c r="N1492" s="340"/>
      <c r="O1492" s="340"/>
      <c r="P1492" s="340"/>
      <c r="Q1492" s="35"/>
      <c r="R1492" s="35"/>
      <c r="S1492" s="35"/>
      <c r="T1492" s="1"/>
      <c r="U1492" s="1"/>
      <c r="V1492" s="1"/>
    </row>
    <row r="1493" ht="15.75" customHeight="1">
      <c r="A1493" s="340"/>
      <c r="B1493" s="340"/>
      <c r="C1493" s="340"/>
      <c r="D1493" s="344"/>
      <c r="E1493" s="344"/>
      <c r="F1493" s="340"/>
      <c r="G1493" s="340"/>
      <c r="H1493" s="340"/>
      <c r="I1493" s="340"/>
      <c r="J1493" s="340"/>
      <c r="K1493" s="340"/>
      <c r="L1493" s="340"/>
      <c r="M1493" s="340"/>
      <c r="N1493" s="340"/>
      <c r="O1493" s="340"/>
      <c r="P1493" s="340"/>
      <c r="Q1493" s="35"/>
      <c r="R1493" s="35"/>
      <c r="S1493" s="35"/>
      <c r="T1493" s="1"/>
      <c r="U1493" s="1"/>
      <c r="V1493" s="1"/>
    </row>
    <row r="1494" ht="15.75" customHeight="1">
      <c r="A1494" s="340"/>
      <c r="B1494" s="340"/>
      <c r="C1494" s="340"/>
      <c r="D1494" s="344"/>
      <c r="E1494" s="344"/>
      <c r="F1494" s="340"/>
      <c r="G1494" s="340"/>
      <c r="H1494" s="340"/>
      <c r="I1494" s="340"/>
      <c r="J1494" s="340"/>
      <c r="K1494" s="340"/>
      <c r="L1494" s="340"/>
      <c r="M1494" s="340"/>
      <c r="N1494" s="340"/>
      <c r="O1494" s="340"/>
      <c r="P1494" s="340"/>
      <c r="Q1494" s="35"/>
      <c r="R1494" s="35"/>
      <c r="S1494" s="35"/>
      <c r="T1494" s="1"/>
      <c r="U1494" s="1"/>
      <c r="V1494" s="1"/>
    </row>
    <row r="1495" ht="15.75" customHeight="1">
      <c r="A1495" s="340"/>
      <c r="B1495" s="340"/>
      <c r="C1495" s="340"/>
      <c r="D1495" s="344"/>
      <c r="E1495" s="344"/>
      <c r="F1495" s="340"/>
      <c r="G1495" s="340"/>
      <c r="H1495" s="340"/>
      <c r="I1495" s="340"/>
      <c r="J1495" s="340"/>
      <c r="K1495" s="340"/>
      <c r="L1495" s="340"/>
      <c r="M1495" s="340"/>
      <c r="N1495" s="340"/>
      <c r="O1495" s="340"/>
      <c r="P1495" s="340"/>
      <c r="Q1495" s="35"/>
      <c r="R1495" s="35"/>
      <c r="S1495" s="35"/>
      <c r="T1495" s="1"/>
      <c r="U1495" s="1"/>
      <c r="V1495" s="1"/>
    </row>
    <row r="1496" ht="15.75" customHeight="1">
      <c r="A1496" s="340"/>
      <c r="B1496" s="340"/>
      <c r="C1496" s="340"/>
      <c r="D1496" s="344"/>
      <c r="E1496" s="344"/>
      <c r="F1496" s="340"/>
      <c r="G1496" s="340"/>
      <c r="H1496" s="340"/>
      <c r="I1496" s="340"/>
      <c r="J1496" s="340"/>
      <c r="K1496" s="340"/>
      <c r="L1496" s="340"/>
      <c r="M1496" s="340"/>
      <c r="N1496" s="340"/>
      <c r="O1496" s="340"/>
      <c r="P1496" s="340"/>
      <c r="Q1496" s="35"/>
      <c r="R1496" s="35"/>
      <c r="S1496" s="35"/>
      <c r="T1496" s="1"/>
      <c r="U1496" s="1"/>
      <c r="V1496" s="1"/>
    </row>
    <row r="1497" ht="15.75" customHeight="1">
      <c r="A1497" s="340"/>
      <c r="B1497" s="340"/>
      <c r="C1497" s="340"/>
      <c r="D1497" s="344"/>
      <c r="E1497" s="344"/>
      <c r="F1497" s="340"/>
      <c r="G1497" s="340"/>
      <c r="H1497" s="340"/>
      <c r="I1497" s="340"/>
      <c r="J1497" s="340"/>
      <c r="K1497" s="340"/>
      <c r="L1497" s="340"/>
      <c r="M1497" s="340"/>
      <c r="N1497" s="340"/>
      <c r="O1497" s="340"/>
      <c r="P1497" s="340"/>
      <c r="Q1497" s="35"/>
      <c r="R1497" s="35"/>
      <c r="S1497" s="35"/>
      <c r="T1497" s="1"/>
      <c r="U1497" s="1"/>
      <c r="V1497" s="1"/>
    </row>
    <row r="1498" ht="15.75" customHeight="1">
      <c r="A1498" s="340"/>
      <c r="B1498" s="340"/>
      <c r="C1498" s="340"/>
      <c r="D1498" s="344"/>
      <c r="E1498" s="344"/>
      <c r="F1498" s="340"/>
      <c r="G1498" s="340"/>
      <c r="H1498" s="340"/>
      <c r="I1498" s="340"/>
      <c r="J1498" s="340"/>
      <c r="K1498" s="340"/>
      <c r="L1498" s="340"/>
      <c r="M1498" s="340"/>
      <c r="N1498" s="340"/>
      <c r="O1498" s="340"/>
      <c r="P1498" s="340"/>
      <c r="Q1498" s="35"/>
      <c r="R1498" s="35"/>
      <c r="S1498" s="35"/>
      <c r="T1498" s="1"/>
      <c r="U1498" s="1"/>
      <c r="V1498" s="1"/>
    </row>
    <row r="1499" ht="15.75" customHeight="1">
      <c r="A1499" s="340"/>
      <c r="B1499" s="340"/>
      <c r="C1499" s="340"/>
      <c r="D1499" s="344"/>
      <c r="E1499" s="344"/>
      <c r="F1499" s="340"/>
      <c r="G1499" s="340"/>
      <c r="H1499" s="340"/>
      <c r="I1499" s="340"/>
      <c r="J1499" s="340"/>
      <c r="K1499" s="340"/>
      <c r="L1499" s="340"/>
      <c r="M1499" s="340"/>
      <c r="N1499" s="340"/>
      <c r="O1499" s="340"/>
      <c r="P1499" s="340"/>
      <c r="Q1499" s="35"/>
      <c r="R1499" s="35"/>
      <c r="S1499" s="35"/>
      <c r="T1499" s="1"/>
      <c r="U1499" s="1"/>
      <c r="V1499" s="1"/>
    </row>
    <row r="1500" ht="15.75" customHeight="1">
      <c r="A1500" s="340"/>
      <c r="B1500" s="340"/>
      <c r="C1500" s="340"/>
      <c r="D1500" s="344"/>
      <c r="E1500" s="344"/>
      <c r="F1500" s="340"/>
      <c r="G1500" s="340"/>
      <c r="H1500" s="340"/>
      <c r="I1500" s="340"/>
      <c r="J1500" s="340"/>
      <c r="K1500" s="340"/>
      <c r="L1500" s="340"/>
      <c r="M1500" s="340"/>
      <c r="N1500" s="340"/>
      <c r="O1500" s="340"/>
      <c r="P1500" s="340"/>
      <c r="Q1500" s="35"/>
      <c r="R1500" s="35"/>
      <c r="S1500" s="35"/>
      <c r="T1500" s="1"/>
      <c r="U1500" s="1"/>
      <c r="V1500" s="1"/>
    </row>
    <row r="1501" ht="15.75" customHeight="1">
      <c r="A1501" s="340"/>
      <c r="B1501" s="340"/>
      <c r="C1501" s="340"/>
      <c r="D1501" s="344"/>
      <c r="E1501" s="344"/>
      <c r="F1501" s="340"/>
      <c r="G1501" s="340"/>
      <c r="H1501" s="340"/>
      <c r="I1501" s="340"/>
      <c r="J1501" s="340"/>
      <c r="K1501" s="340"/>
      <c r="L1501" s="340"/>
      <c r="M1501" s="340"/>
      <c r="N1501" s="340"/>
      <c r="O1501" s="340"/>
      <c r="P1501" s="340"/>
      <c r="Q1501" s="35"/>
      <c r="R1501" s="35"/>
      <c r="S1501" s="35"/>
      <c r="T1501" s="1"/>
      <c r="U1501" s="1"/>
      <c r="V1501" s="1"/>
    </row>
    <row r="1502" ht="15.75" customHeight="1">
      <c r="A1502" s="340"/>
      <c r="B1502" s="340"/>
      <c r="C1502" s="340"/>
      <c r="D1502" s="344"/>
      <c r="E1502" s="344"/>
      <c r="F1502" s="340"/>
      <c r="G1502" s="340"/>
      <c r="H1502" s="340"/>
      <c r="I1502" s="340"/>
      <c r="J1502" s="340"/>
      <c r="K1502" s="340"/>
      <c r="L1502" s="340"/>
      <c r="M1502" s="340"/>
      <c r="N1502" s="340"/>
      <c r="O1502" s="340"/>
      <c r="P1502" s="340"/>
      <c r="Q1502" s="35"/>
      <c r="R1502" s="35"/>
      <c r="S1502" s="35"/>
      <c r="T1502" s="1"/>
      <c r="U1502" s="1"/>
      <c r="V1502" s="1"/>
    </row>
    <row r="1503" ht="15.75" customHeight="1">
      <c r="A1503" s="340"/>
      <c r="B1503" s="340"/>
      <c r="C1503" s="340"/>
      <c r="D1503" s="344"/>
      <c r="E1503" s="344"/>
      <c r="F1503" s="340"/>
      <c r="G1503" s="340"/>
      <c r="H1503" s="340"/>
      <c r="I1503" s="340"/>
      <c r="J1503" s="340"/>
      <c r="K1503" s="340"/>
      <c r="L1503" s="340"/>
      <c r="M1503" s="340"/>
      <c r="N1503" s="340"/>
      <c r="O1503" s="340"/>
      <c r="P1503" s="340"/>
      <c r="Q1503" s="35"/>
      <c r="R1503" s="35"/>
      <c r="S1503" s="35"/>
      <c r="T1503" s="1"/>
      <c r="U1503" s="1"/>
      <c r="V1503" s="1"/>
    </row>
    <row r="1504" ht="15.75" customHeight="1">
      <c r="A1504" s="340"/>
      <c r="B1504" s="340"/>
      <c r="C1504" s="340"/>
      <c r="D1504" s="344"/>
      <c r="E1504" s="344"/>
      <c r="F1504" s="340"/>
      <c r="G1504" s="340"/>
      <c r="H1504" s="340"/>
      <c r="I1504" s="340"/>
      <c r="J1504" s="340"/>
      <c r="K1504" s="340"/>
      <c r="L1504" s="340"/>
      <c r="M1504" s="340"/>
      <c r="N1504" s="340"/>
      <c r="O1504" s="340"/>
      <c r="P1504" s="340"/>
      <c r="Q1504" s="35"/>
      <c r="R1504" s="35"/>
      <c r="S1504" s="35"/>
      <c r="T1504" s="1"/>
      <c r="U1504" s="1"/>
      <c r="V1504" s="1"/>
    </row>
    <row r="1505" ht="15.75" customHeight="1">
      <c r="A1505" s="340"/>
      <c r="B1505" s="340"/>
      <c r="C1505" s="340"/>
      <c r="D1505" s="344"/>
      <c r="E1505" s="344"/>
      <c r="F1505" s="340"/>
      <c r="G1505" s="340"/>
      <c r="H1505" s="340"/>
      <c r="I1505" s="340"/>
      <c r="J1505" s="340"/>
      <c r="K1505" s="340"/>
      <c r="L1505" s="340"/>
      <c r="M1505" s="340"/>
      <c r="N1505" s="340"/>
      <c r="O1505" s="340"/>
      <c r="P1505" s="340"/>
      <c r="Q1505" s="35"/>
      <c r="R1505" s="35"/>
      <c r="S1505" s="35"/>
      <c r="T1505" s="1"/>
      <c r="U1505" s="1"/>
      <c r="V1505" s="1"/>
    </row>
    <row r="1506" ht="15.75" customHeight="1">
      <c r="A1506" s="340"/>
      <c r="B1506" s="340"/>
      <c r="C1506" s="340"/>
      <c r="D1506" s="344"/>
      <c r="E1506" s="344"/>
      <c r="F1506" s="340"/>
      <c r="G1506" s="340"/>
      <c r="H1506" s="340"/>
      <c r="I1506" s="340"/>
      <c r="J1506" s="340"/>
      <c r="K1506" s="340"/>
      <c r="L1506" s="340"/>
      <c r="M1506" s="340"/>
      <c r="N1506" s="340"/>
      <c r="O1506" s="340"/>
      <c r="P1506" s="340"/>
      <c r="Q1506" s="35"/>
      <c r="R1506" s="35"/>
      <c r="S1506" s="35"/>
      <c r="T1506" s="1"/>
      <c r="U1506" s="1"/>
      <c r="V1506" s="1"/>
    </row>
    <row r="1507" ht="15.75" customHeight="1">
      <c r="A1507" s="340"/>
      <c r="B1507" s="340"/>
      <c r="C1507" s="340"/>
      <c r="D1507" s="344"/>
      <c r="E1507" s="344"/>
      <c r="F1507" s="340"/>
      <c r="G1507" s="340"/>
      <c r="H1507" s="340"/>
      <c r="I1507" s="340"/>
      <c r="J1507" s="340"/>
      <c r="K1507" s="340"/>
      <c r="L1507" s="340"/>
      <c r="M1507" s="340"/>
      <c r="N1507" s="340"/>
      <c r="O1507" s="340"/>
      <c r="P1507" s="340"/>
      <c r="Q1507" s="35"/>
      <c r="R1507" s="35"/>
      <c r="S1507" s="35"/>
      <c r="T1507" s="1"/>
      <c r="U1507" s="1"/>
      <c r="V1507" s="1"/>
    </row>
    <row r="1508" ht="15.75" customHeight="1">
      <c r="A1508" s="340"/>
      <c r="B1508" s="340"/>
      <c r="C1508" s="340"/>
      <c r="D1508" s="344"/>
      <c r="E1508" s="344"/>
      <c r="F1508" s="340"/>
      <c r="G1508" s="340"/>
      <c r="H1508" s="340"/>
      <c r="I1508" s="340"/>
      <c r="J1508" s="340"/>
      <c r="K1508" s="340"/>
      <c r="L1508" s="340"/>
      <c r="M1508" s="340"/>
      <c r="N1508" s="340"/>
      <c r="O1508" s="340"/>
      <c r="P1508" s="340"/>
      <c r="Q1508" s="35"/>
      <c r="R1508" s="35"/>
      <c r="S1508" s="35"/>
      <c r="T1508" s="1"/>
      <c r="U1508" s="1"/>
      <c r="V1508" s="1"/>
    </row>
    <row r="1509" ht="15.75" customHeight="1">
      <c r="A1509" s="340"/>
      <c r="B1509" s="340"/>
      <c r="C1509" s="340"/>
      <c r="D1509" s="344"/>
      <c r="E1509" s="344"/>
      <c r="F1509" s="340"/>
      <c r="G1509" s="340"/>
      <c r="H1509" s="340"/>
      <c r="I1509" s="340"/>
      <c r="J1509" s="340"/>
      <c r="K1509" s="340"/>
      <c r="L1509" s="340"/>
      <c r="M1509" s="340"/>
      <c r="N1509" s="340"/>
      <c r="O1509" s="340"/>
      <c r="P1509" s="340"/>
      <c r="Q1509" s="35"/>
      <c r="R1509" s="35"/>
      <c r="S1509" s="35"/>
      <c r="T1509" s="1"/>
      <c r="U1509" s="1"/>
      <c r="V1509" s="1"/>
    </row>
    <row r="1510" ht="15.75" customHeight="1">
      <c r="A1510" s="340"/>
      <c r="B1510" s="340"/>
      <c r="C1510" s="340"/>
      <c r="D1510" s="344"/>
      <c r="E1510" s="344"/>
      <c r="F1510" s="340"/>
      <c r="G1510" s="340"/>
      <c r="H1510" s="340"/>
      <c r="I1510" s="340"/>
      <c r="J1510" s="340"/>
      <c r="K1510" s="340"/>
      <c r="L1510" s="340"/>
      <c r="M1510" s="340"/>
      <c r="N1510" s="340"/>
      <c r="O1510" s="340"/>
      <c r="P1510" s="340"/>
      <c r="Q1510" s="35"/>
      <c r="R1510" s="35"/>
      <c r="S1510" s="35"/>
      <c r="T1510" s="1"/>
      <c r="U1510" s="1"/>
      <c r="V1510" s="1"/>
    </row>
    <row r="1511" ht="15.75" customHeight="1">
      <c r="A1511" s="340"/>
      <c r="B1511" s="340"/>
      <c r="C1511" s="340"/>
      <c r="D1511" s="344"/>
      <c r="E1511" s="344"/>
      <c r="F1511" s="340"/>
      <c r="G1511" s="340"/>
      <c r="H1511" s="340"/>
      <c r="I1511" s="340"/>
      <c r="J1511" s="340"/>
      <c r="K1511" s="340"/>
      <c r="L1511" s="340"/>
      <c r="M1511" s="340"/>
      <c r="N1511" s="340"/>
      <c r="O1511" s="340"/>
      <c r="P1511" s="340"/>
      <c r="Q1511" s="35"/>
      <c r="R1511" s="35"/>
      <c r="S1511" s="35"/>
      <c r="T1511" s="1"/>
      <c r="U1511" s="1"/>
      <c r="V1511" s="1"/>
    </row>
    <row r="1512" ht="15.75" customHeight="1">
      <c r="A1512" s="340"/>
      <c r="B1512" s="340"/>
      <c r="C1512" s="340"/>
      <c r="D1512" s="344"/>
      <c r="E1512" s="344"/>
      <c r="F1512" s="340"/>
      <c r="G1512" s="340"/>
      <c r="H1512" s="340"/>
      <c r="I1512" s="340"/>
      <c r="J1512" s="340"/>
      <c r="K1512" s="340"/>
      <c r="L1512" s="340"/>
      <c r="M1512" s="340"/>
      <c r="N1512" s="340"/>
      <c r="O1512" s="340"/>
      <c r="P1512" s="340"/>
      <c r="Q1512" s="35"/>
      <c r="R1512" s="35"/>
      <c r="S1512" s="35"/>
      <c r="T1512" s="1"/>
      <c r="U1512" s="1"/>
      <c r="V1512" s="1"/>
    </row>
    <row r="1513" ht="15.75" customHeight="1">
      <c r="A1513" s="340"/>
      <c r="B1513" s="340"/>
      <c r="C1513" s="340"/>
      <c r="D1513" s="344"/>
      <c r="E1513" s="344"/>
      <c r="F1513" s="340"/>
      <c r="G1513" s="340"/>
      <c r="H1513" s="340"/>
      <c r="I1513" s="340"/>
      <c r="J1513" s="340"/>
      <c r="K1513" s="340"/>
      <c r="L1513" s="340"/>
      <c r="M1513" s="340"/>
      <c r="N1513" s="340"/>
      <c r="O1513" s="340"/>
      <c r="P1513" s="340"/>
      <c r="Q1513" s="35"/>
      <c r="R1513" s="35"/>
      <c r="S1513" s="35"/>
      <c r="T1513" s="1"/>
      <c r="U1513" s="1"/>
      <c r="V1513" s="1"/>
    </row>
    <row r="1514" ht="15.75" customHeight="1">
      <c r="A1514" s="340"/>
      <c r="B1514" s="340"/>
      <c r="C1514" s="340"/>
      <c r="D1514" s="344"/>
      <c r="E1514" s="344"/>
      <c r="F1514" s="340"/>
      <c r="G1514" s="340"/>
      <c r="H1514" s="340"/>
      <c r="I1514" s="340"/>
      <c r="J1514" s="340"/>
      <c r="K1514" s="340"/>
      <c r="L1514" s="340"/>
      <c r="M1514" s="340"/>
      <c r="N1514" s="340"/>
      <c r="O1514" s="340"/>
      <c r="P1514" s="340"/>
      <c r="Q1514" s="35"/>
      <c r="R1514" s="35"/>
      <c r="S1514" s="35"/>
      <c r="T1514" s="1"/>
      <c r="U1514" s="1"/>
      <c r="V1514" s="1"/>
    </row>
    <row r="1515" ht="15.75" customHeight="1">
      <c r="A1515" s="340"/>
      <c r="B1515" s="340"/>
      <c r="C1515" s="340"/>
      <c r="D1515" s="344"/>
      <c r="E1515" s="344"/>
      <c r="F1515" s="340"/>
      <c r="G1515" s="340"/>
      <c r="H1515" s="340"/>
      <c r="I1515" s="340"/>
      <c r="J1515" s="340"/>
      <c r="K1515" s="340"/>
      <c r="L1515" s="340"/>
      <c r="M1515" s="340"/>
      <c r="N1515" s="340"/>
      <c r="O1515" s="340"/>
      <c r="P1515" s="340"/>
      <c r="Q1515" s="35"/>
      <c r="R1515" s="35"/>
      <c r="S1515" s="35"/>
      <c r="T1515" s="1"/>
      <c r="U1515" s="1"/>
      <c r="V1515" s="1"/>
    </row>
    <row r="1516" ht="15.75" customHeight="1">
      <c r="A1516" s="340"/>
      <c r="B1516" s="340"/>
      <c r="C1516" s="340"/>
      <c r="D1516" s="344"/>
      <c r="E1516" s="344"/>
      <c r="F1516" s="340"/>
      <c r="G1516" s="340"/>
      <c r="H1516" s="340"/>
      <c r="I1516" s="340"/>
      <c r="J1516" s="340"/>
      <c r="K1516" s="340"/>
      <c r="L1516" s="340"/>
      <c r="M1516" s="340"/>
      <c r="N1516" s="340"/>
      <c r="O1516" s="340"/>
      <c r="P1516" s="340"/>
      <c r="Q1516" s="35"/>
      <c r="R1516" s="35"/>
      <c r="S1516" s="35"/>
      <c r="T1516" s="1"/>
      <c r="U1516" s="1"/>
      <c r="V1516" s="1"/>
    </row>
    <row r="1517" ht="15.75" customHeight="1">
      <c r="A1517" s="340"/>
      <c r="B1517" s="340"/>
      <c r="C1517" s="340"/>
      <c r="D1517" s="344"/>
      <c r="E1517" s="344"/>
      <c r="F1517" s="340"/>
      <c r="G1517" s="340"/>
      <c r="H1517" s="340"/>
      <c r="I1517" s="340"/>
      <c r="J1517" s="340"/>
      <c r="K1517" s="340"/>
      <c r="L1517" s="340"/>
      <c r="M1517" s="340"/>
      <c r="N1517" s="340"/>
      <c r="O1517" s="340"/>
      <c r="P1517" s="340"/>
      <c r="Q1517" s="35"/>
      <c r="R1517" s="35"/>
      <c r="S1517" s="35"/>
      <c r="T1517" s="1"/>
      <c r="U1517" s="1"/>
      <c r="V1517" s="1"/>
    </row>
    <row r="1518" ht="15.75" customHeight="1">
      <c r="A1518" s="340"/>
      <c r="B1518" s="340"/>
      <c r="C1518" s="340"/>
      <c r="D1518" s="344"/>
      <c r="E1518" s="344"/>
      <c r="F1518" s="340"/>
      <c r="G1518" s="340"/>
      <c r="H1518" s="340"/>
      <c r="I1518" s="340"/>
      <c r="J1518" s="340"/>
      <c r="K1518" s="340"/>
      <c r="L1518" s="340"/>
      <c r="M1518" s="340"/>
      <c r="N1518" s="340"/>
      <c r="O1518" s="340"/>
      <c r="P1518" s="340"/>
      <c r="Q1518" s="35"/>
      <c r="R1518" s="35"/>
      <c r="S1518" s="35"/>
      <c r="T1518" s="1"/>
      <c r="U1518" s="1"/>
      <c r="V1518" s="1"/>
    </row>
    <row r="1519" ht="15.75" customHeight="1">
      <c r="A1519" s="340"/>
      <c r="B1519" s="340"/>
      <c r="C1519" s="340"/>
      <c r="D1519" s="344"/>
      <c r="E1519" s="344"/>
      <c r="F1519" s="340"/>
      <c r="G1519" s="340"/>
      <c r="H1519" s="340"/>
      <c r="I1519" s="340"/>
      <c r="J1519" s="340"/>
      <c r="K1519" s="340"/>
      <c r="L1519" s="340"/>
      <c r="M1519" s="340"/>
      <c r="N1519" s="340"/>
      <c r="O1519" s="340"/>
      <c r="P1519" s="340"/>
      <c r="Q1519" s="35"/>
      <c r="R1519" s="35"/>
      <c r="S1519" s="35"/>
      <c r="T1519" s="1"/>
      <c r="U1519" s="1"/>
      <c r="V1519" s="1"/>
    </row>
    <row r="1520" ht="15.75" customHeight="1">
      <c r="A1520" s="340"/>
      <c r="B1520" s="340"/>
      <c r="C1520" s="340"/>
      <c r="D1520" s="344"/>
      <c r="E1520" s="344"/>
      <c r="F1520" s="340"/>
      <c r="G1520" s="340"/>
      <c r="H1520" s="340"/>
      <c r="I1520" s="340"/>
      <c r="J1520" s="340"/>
      <c r="K1520" s="340"/>
      <c r="L1520" s="340"/>
      <c r="M1520" s="340"/>
      <c r="N1520" s="340"/>
      <c r="O1520" s="340"/>
      <c r="P1520" s="340"/>
      <c r="Q1520" s="35"/>
      <c r="R1520" s="35"/>
      <c r="S1520" s="35"/>
      <c r="T1520" s="1"/>
      <c r="U1520" s="1"/>
      <c r="V1520" s="1"/>
    </row>
    <row r="1521" ht="15.75" customHeight="1">
      <c r="A1521" s="340"/>
      <c r="B1521" s="340"/>
      <c r="C1521" s="340"/>
      <c r="D1521" s="344"/>
      <c r="E1521" s="344"/>
      <c r="F1521" s="340"/>
      <c r="G1521" s="340"/>
      <c r="H1521" s="340"/>
      <c r="I1521" s="340"/>
      <c r="J1521" s="340"/>
      <c r="K1521" s="340"/>
      <c r="L1521" s="340"/>
      <c r="M1521" s="340"/>
      <c r="N1521" s="340"/>
      <c r="O1521" s="340"/>
      <c r="P1521" s="340"/>
      <c r="Q1521" s="35"/>
      <c r="R1521" s="35"/>
      <c r="S1521" s="35"/>
      <c r="T1521" s="1"/>
      <c r="U1521" s="1"/>
      <c r="V1521" s="1"/>
    </row>
    <row r="1522" ht="15.75" customHeight="1">
      <c r="A1522" s="340"/>
      <c r="B1522" s="340"/>
      <c r="C1522" s="340"/>
      <c r="D1522" s="344"/>
      <c r="E1522" s="344"/>
      <c r="F1522" s="340"/>
      <c r="G1522" s="340"/>
      <c r="H1522" s="340"/>
      <c r="I1522" s="340"/>
      <c r="J1522" s="340"/>
      <c r="K1522" s="340"/>
      <c r="L1522" s="340"/>
      <c r="M1522" s="340"/>
      <c r="N1522" s="340"/>
      <c r="O1522" s="340"/>
      <c r="P1522" s="340"/>
      <c r="Q1522" s="35"/>
      <c r="R1522" s="35"/>
      <c r="S1522" s="35"/>
      <c r="T1522" s="1"/>
      <c r="U1522" s="1"/>
      <c r="V1522" s="1"/>
    </row>
    <row r="1523" ht="15.75" customHeight="1">
      <c r="A1523" s="340"/>
      <c r="B1523" s="340"/>
      <c r="C1523" s="340"/>
      <c r="D1523" s="344"/>
      <c r="E1523" s="344"/>
      <c r="F1523" s="340"/>
      <c r="G1523" s="340"/>
      <c r="H1523" s="340"/>
      <c r="I1523" s="340"/>
      <c r="J1523" s="340"/>
      <c r="K1523" s="340"/>
      <c r="L1523" s="340"/>
      <c r="M1523" s="340"/>
      <c r="N1523" s="340"/>
      <c r="O1523" s="340"/>
      <c r="P1523" s="340"/>
      <c r="Q1523" s="35"/>
      <c r="R1523" s="35"/>
      <c r="S1523" s="35"/>
      <c r="T1523" s="1"/>
      <c r="U1523" s="1"/>
      <c r="V1523" s="1"/>
    </row>
    <row r="1524" ht="15.75" customHeight="1">
      <c r="A1524" s="340"/>
      <c r="B1524" s="340"/>
      <c r="C1524" s="340"/>
      <c r="D1524" s="344"/>
      <c r="E1524" s="344"/>
      <c r="F1524" s="340"/>
      <c r="G1524" s="340"/>
      <c r="H1524" s="340"/>
      <c r="I1524" s="340"/>
      <c r="J1524" s="340"/>
      <c r="K1524" s="340"/>
      <c r="L1524" s="340"/>
      <c r="M1524" s="340"/>
      <c r="N1524" s="340"/>
      <c r="O1524" s="340"/>
      <c r="P1524" s="340"/>
      <c r="Q1524" s="35"/>
      <c r="R1524" s="35"/>
      <c r="S1524" s="35"/>
      <c r="T1524" s="1"/>
      <c r="U1524" s="1"/>
      <c r="V1524" s="1"/>
    </row>
    <row r="1525" ht="15.75" customHeight="1">
      <c r="A1525" s="340"/>
      <c r="B1525" s="340"/>
      <c r="C1525" s="340"/>
      <c r="D1525" s="344"/>
      <c r="E1525" s="344"/>
      <c r="F1525" s="340"/>
      <c r="G1525" s="340"/>
      <c r="H1525" s="340"/>
      <c r="I1525" s="340"/>
      <c r="J1525" s="340"/>
      <c r="K1525" s="340"/>
      <c r="L1525" s="340"/>
      <c r="M1525" s="340"/>
      <c r="N1525" s="340"/>
      <c r="O1525" s="340"/>
      <c r="P1525" s="340"/>
      <c r="Q1525" s="35"/>
      <c r="R1525" s="35"/>
      <c r="S1525" s="35"/>
      <c r="T1525" s="1"/>
      <c r="U1525" s="1"/>
      <c r="V1525" s="1"/>
    </row>
    <row r="1526" ht="15.75" customHeight="1">
      <c r="A1526" s="340"/>
      <c r="B1526" s="340"/>
      <c r="C1526" s="340"/>
      <c r="D1526" s="344"/>
      <c r="E1526" s="344"/>
      <c r="F1526" s="340"/>
      <c r="G1526" s="340"/>
      <c r="H1526" s="340"/>
      <c r="I1526" s="340"/>
      <c r="J1526" s="340"/>
      <c r="K1526" s="340"/>
      <c r="L1526" s="340"/>
      <c r="M1526" s="340"/>
      <c r="N1526" s="340"/>
      <c r="O1526" s="340"/>
      <c r="P1526" s="340"/>
      <c r="Q1526" s="35"/>
      <c r="R1526" s="35"/>
      <c r="S1526" s="35"/>
      <c r="T1526" s="1"/>
      <c r="U1526" s="1"/>
      <c r="V1526" s="1"/>
    </row>
    <row r="1527" ht="15.75" customHeight="1">
      <c r="A1527" s="340"/>
      <c r="B1527" s="340"/>
      <c r="C1527" s="340"/>
      <c r="D1527" s="344"/>
      <c r="E1527" s="344"/>
      <c r="F1527" s="340"/>
      <c r="G1527" s="340"/>
      <c r="H1527" s="340"/>
      <c r="I1527" s="340"/>
      <c r="J1527" s="340"/>
      <c r="K1527" s="340"/>
      <c r="L1527" s="340"/>
      <c r="M1527" s="340"/>
      <c r="N1527" s="340"/>
      <c r="O1527" s="340"/>
      <c r="P1527" s="340"/>
      <c r="Q1527" s="35"/>
      <c r="R1527" s="35"/>
      <c r="S1527" s="35"/>
      <c r="T1527" s="1"/>
      <c r="U1527" s="1"/>
      <c r="V1527" s="1"/>
    </row>
    <row r="1528" ht="15.75" customHeight="1">
      <c r="A1528" s="340"/>
      <c r="B1528" s="340"/>
      <c r="C1528" s="340"/>
      <c r="D1528" s="344"/>
      <c r="E1528" s="344"/>
      <c r="F1528" s="340"/>
      <c r="G1528" s="340"/>
      <c r="H1528" s="340"/>
      <c r="I1528" s="340"/>
      <c r="J1528" s="340"/>
      <c r="K1528" s="340"/>
      <c r="L1528" s="340"/>
      <c r="M1528" s="340"/>
      <c r="N1528" s="340"/>
      <c r="O1528" s="340"/>
      <c r="P1528" s="340"/>
      <c r="Q1528" s="35"/>
      <c r="R1528" s="35"/>
      <c r="S1528" s="35"/>
      <c r="T1528" s="1"/>
      <c r="U1528" s="1"/>
      <c r="V1528" s="1"/>
    </row>
    <row r="1529" ht="15.75" customHeight="1">
      <c r="A1529" s="340"/>
      <c r="B1529" s="340"/>
      <c r="C1529" s="340"/>
      <c r="D1529" s="344"/>
      <c r="E1529" s="344"/>
      <c r="F1529" s="340"/>
      <c r="G1529" s="340"/>
      <c r="H1529" s="340"/>
      <c r="I1529" s="340"/>
      <c r="J1529" s="340"/>
      <c r="K1529" s="340"/>
      <c r="L1529" s="340"/>
      <c r="M1529" s="340"/>
      <c r="N1529" s="340"/>
      <c r="O1529" s="340"/>
      <c r="P1529" s="340"/>
      <c r="Q1529" s="35"/>
      <c r="R1529" s="35"/>
      <c r="S1529" s="35"/>
      <c r="T1529" s="1"/>
      <c r="U1529" s="1"/>
      <c r="V1529" s="1"/>
    </row>
    <row r="1530" ht="15.75" customHeight="1">
      <c r="A1530" s="340"/>
      <c r="B1530" s="340"/>
      <c r="C1530" s="340"/>
      <c r="D1530" s="344"/>
      <c r="E1530" s="344"/>
      <c r="F1530" s="340"/>
      <c r="G1530" s="340"/>
      <c r="H1530" s="340"/>
      <c r="I1530" s="340"/>
      <c r="J1530" s="340"/>
      <c r="K1530" s="340"/>
      <c r="L1530" s="340"/>
      <c r="M1530" s="340"/>
      <c r="N1530" s="340"/>
      <c r="O1530" s="340"/>
      <c r="P1530" s="340"/>
      <c r="Q1530" s="35"/>
      <c r="R1530" s="35"/>
      <c r="S1530" s="35"/>
      <c r="T1530" s="1"/>
      <c r="U1530" s="1"/>
      <c r="V1530" s="1"/>
    </row>
    <row r="1531" ht="15.75" customHeight="1">
      <c r="A1531" s="340"/>
      <c r="B1531" s="340"/>
      <c r="C1531" s="340"/>
      <c r="D1531" s="344"/>
      <c r="E1531" s="344"/>
      <c r="F1531" s="340"/>
      <c r="G1531" s="340"/>
      <c r="H1531" s="340"/>
      <c r="I1531" s="340"/>
      <c r="J1531" s="340"/>
      <c r="K1531" s="340"/>
      <c r="L1531" s="340"/>
      <c r="M1531" s="340"/>
      <c r="N1531" s="340"/>
      <c r="O1531" s="340"/>
      <c r="P1531" s="340"/>
      <c r="Q1531" s="35"/>
      <c r="R1531" s="35"/>
      <c r="S1531" s="35"/>
      <c r="T1531" s="1"/>
      <c r="U1531" s="1"/>
      <c r="V1531" s="1"/>
    </row>
    <row r="1532" ht="15.75" customHeight="1">
      <c r="A1532" s="340"/>
      <c r="B1532" s="340"/>
      <c r="C1532" s="340"/>
      <c r="D1532" s="344"/>
      <c r="E1532" s="344"/>
      <c r="F1532" s="340"/>
      <c r="G1532" s="340"/>
      <c r="H1532" s="340"/>
      <c r="I1532" s="340"/>
      <c r="J1532" s="340"/>
      <c r="K1532" s="340"/>
      <c r="L1532" s="340"/>
      <c r="M1532" s="340"/>
      <c r="N1532" s="340"/>
      <c r="O1532" s="340"/>
      <c r="P1532" s="340"/>
      <c r="Q1532" s="35"/>
      <c r="R1532" s="35"/>
      <c r="S1532" s="35"/>
      <c r="T1532" s="1"/>
      <c r="U1532" s="1"/>
      <c r="V1532" s="1"/>
    </row>
    <row r="1533" ht="15.75" customHeight="1">
      <c r="A1533" s="340"/>
      <c r="B1533" s="340"/>
      <c r="C1533" s="340"/>
      <c r="D1533" s="344"/>
      <c r="E1533" s="344"/>
      <c r="F1533" s="340"/>
      <c r="G1533" s="340"/>
      <c r="H1533" s="340"/>
      <c r="I1533" s="340"/>
      <c r="J1533" s="340"/>
      <c r="K1533" s="340"/>
      <c r="L1533" s="340"/>
      <c r="M1533" s="340"/>
      <c r="N1533" s="340"/>
      <c r="O1533" s="340"/>
      <c r="P1533" s="340"/>
      <c r="Q1533" s="35"/>
      <c r="R1533" s="35"/>
      <c r="S1533" s="35"/>
      <c r="T1533" s="1"/>
      <c r="U1533" s="1"/>
      <c r="V1533" s="1"/>
    </row>
    <row r="1534" ht="15.75" customHeight="1">
      <c r="A1534" s="340"/>
      <c r="B1534" s="340"/>
      <c r="C1534" s="340"/>
      <c r="D1534" s="344"/>
      <c r="E1534" s="344"/>
      <c r="F1534" s="340"/>
      <c r="G1534" s="340"/>
      <c r="H1534" s="340"/>
      <c r="I1534" s="340"/>
      <c r="J1534" s="340"/>
      <c r="K1534" s="340"/>
      <c r="L1534" s="340"/>
      <c r="M1534" s="340"/>
      <c r="N1534" s="340"/>
      <c r="O1534" s="340"/>
      <c r="P1534" s="340"/>
      <c r="Q1534" s="35"/>
      <c r="R1534" s="35"/>
      <c r="S1534" s="35"/>
      <c r="T1534" s="1"/>
      <c r="U1534" s="1"/>
      <c r="V1534" s="1"/>
    </row>
    <row r="1535" ht="15.75" customHeight="1">
      <c r="A1535" s="340"/>
      <c r="B1535" s="340"/>
      <c r="C1535" s="340"/>
      <c r="D1535" s="344"/>
      <c r="E1535" s="344"/>
      <c r="F1535" s="340"/>
      <c r="G1535" s="340"/>
      <c r="H1535" s="340"/>
      <c r="I1535" s="340"/>
      <c r="J1535" s="340"/>
      <c r="K1535" s="340"/>
      <c r="L1535" s="340"/>
      <c r="M1535" s="340"/>
      <c r="N1535" s="340"/>
      <c r="O1535" s="340"/>
      <c r="P1535" s="340"/>
      <c r="Q1535" s="35"/>
      <c r="R1535" s="35"/>
      <c r="S1535" s="35"/>
      <c r="T1535" s="1"/>
      <c r="U1535" s="1"/>
      <c r="V1535" s="1"/>
    </row>
  </sheetData>
  <autoFilter ref="$B$7:$F$1335">
    <filterColumn colId="4">
      <filters blank="1">
        <filter val="1"/>
        <filter val="2"/>
        <filter val="3"/>
        <filter val="14"/>
        <filter val="4"/>
        <filter val="5"/>
        <filter val="6"/>
        <filter val="8"/>
        <filter val="9"/>
        <filter val="10"/>
      </filters>
    </filterColumn>
    <sortState ref="B7:F1335">
      <sortCondition ref="B7:B1335"/>
    </sortState>
  </autoFilter>
  <customSheetViews>
    <customSheetView guid="{07B0E11D-54A2-4A9E-A53E-42276DBD7B0D}" filter="1" showAutoFilter="1">
      <autoFilter ref="$A$7:$H$1332">
        <filterColumn colId="5">
          <filters blank="1">
            <filter val="1"/>
            <filter val="2"/>
            <filter val="3"/>
            <filter val="14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1614160377"/>
        </ext>
      </extLst>
    </customSheetView>
  </customSheetViews>
  <mergeCells count="4">
    <mergeCell ref="R36:S36"/>
    <mergeCell ref="R49:S49"/>
    <mergeCell ref="R53:S53"/>
    <mergeCell ref="R56:S56"/>
  </mergeCells>
  <conditionalFormatting sqref="B1:B1535 C1:C1310 A9:A1335 C1312:C1535">
    <cfRule type="expression" dxfId="0" priority="1">
      <formula>#REF!</formula>
    </cfRule>
  </conditionalFormatting>
  <conditionalFormatting sqref="I9:I46 I48:I94 I96:I102 I104:I142 I144:I1335">
    <cfRule type="beginsWith" dxfId="1" priority="2" operator="beginsWith" text="-">
      <formula>LEFT((I9),LEN("-"))=("-")</formula>
    </cfRule>
  </conditionalFormatting>
  <conditionalFormatting sqref="U9:V16">
    <cfRule type="beginsWith" dxfId="1" priority="3" operator="beginsWith" text="-">
      <formula>LEFT((U9),LEN("-"))=("-")</formula>
    </cfRule>
  </conditionalFormatting>
  <hyperlinks>
    <hyperlink r:id="rId2" ref="E15"/>
    <hyperlink r:id="rId3" ref="E19"/>
    <hyperlink r:id="rId4" ref="E24"/>
    <hyperlink r:id="rId5" ref="E30"/>
    <hyperlink r:id="rId6" ref="E48"/>
    <hyperlink r:id="rId7" ref="E49"/>
    <hyperlink r:id="rId8" ref="E51"/>
    <hyperlink r:id="rId9" ref="E52"/>
    <hyperlink r:id="rId10" ref="E53"/>
    <hyperlink r:id="rId11" ref="E54"/>
    <hyperlink r:id="rId12" ref="E55"/>
    <hyperlink r:id="rId13" ref="E59"/>
    <hyperlink r:id="rId14" ref="E60"/>
    <hyperlink r:id="rId15" ref="E61"/>
    <hyperlink r:id="rId16" ref="E65"/>
    <hyperlink r:id="rId17" ref="E66"/>
    <hyperlink r:id="rId18" ref="E67"/>
    <hyperlink r:id="rId19" ref="E68"/>
    <hyperlink r:id="rId20" ref="E69"/>
    <hyperlink r:id="rId21" ref="E70"/>
    <hyperlink r:id="rId22" ref="E71"/>
    <hyperlink r:id="rId23" ref="E72"/>
    <hyperlink r:id="rId24" ref="E73"/>
    <hyperlink r:id="rId25" ref="E74"/>
    <hyperlink r:id="rId26" ref="E75"/>
    <hyperlink r:id="rId27" ref="E76"/>
    <hyperlink r:id="rId28" ref="E78"/>
    <hyperlink r:id="rId29" ref="E79"/>
    <hyperlink r:id="rId30" ref="E80"/>
    <hyperlink r:id="rId31" ref="E81"/>
    <hyperlink r:id="rId32" ref="E82"/>
    <hyperlink r:id="rId33" ref="E83"/>
    <hyperlink r:id="rId34" ref="E84"/>
    <hyperlink r:id="rId35" ref="E85"/>
    <hyperlink r:id="rId36" ref="E86"/>
    <hyperlink r:id="rId37" ref="E87"/>
    <hyperlink r:id="rId38" ref="E88"/>
    <hyperlink r:id="rId39" ref="E89"/>
    <hyperlink r:id="rId40" ref="E90"/>
    <hyperlink r:id="rId41" ref="E91"/>
    <hyperlink r:id="rId42" ref="E92"/>
    <hyperlink r:id="rId43" ref="E96"/>
    <hyperlink r:id="rId44" ref="E97"/>
    <hyperlink r:id="rId45" ref="E98"/>
    <hyperlink r:id="rId46" ref="E99"/>
    <hyperlink r:id="rId47" ref="E100"/>
    <hyperlink r:id="rId48" ref="E101"/>
    <hyperlink r:id="rId49" ref="E102"/>
    <hyperlink r:id="rId50" ref="E115"/>
    <hyperlink r:id="rId51" ref="E138"/>
    <hyperlink r:id="rId52" ref="E140"/>
    <hyperlink r:id="rId53" ref="E152"/>
    <hyperlink r:id="rId54" ref="E160"/>
    <hyperlink r:id="rId55" ref="E162"/>
    <hyperlink r:id="rId56" ref="E179"/>
    <hyperlink r:id="rId57" ref="E180"/>
    <hyperlink r:id="rId58" ref="E197"/>
    <hyperlink r:id="rId59" ref="E208"/>
    <hyperlink r:id="rId60" ref="E209"/>
    <hyperlink r:id="rId61" ref="E210"/>
    <hyperlink r:id="rId62" ref="E214"/>
    <hyperlink r:id="rId63" ref="E216"/>
    <hyperlink r:id="rId64" ref="E222"/>
    <hyperlink r:id="rId65" ref="E224"/>
    <hyperlink r:id="rId66" ref="E225"/>
    <hyperlink r:id="rId67" ref="E226"/>
    <hyperlink r:id="rId68" ref="E233"/>
    <hyperlink r:id="rId69" ref="E234"/>
    <hyperlink r:id="rId70" ref="E235"/>
    <hyperlink r:id="rId71" ref="E247"/>
    <hyperlink r:id="rId72" ref="E248"/>
    <hyperlink r:id="rId73" ref="E261"/>
    <hyperlink r:id="rId74" ref="E266"/>
    <hyperlink r:id="rId75" ref="E269"/>
    <hyperlink r:id="rId76" ref="E272"/>
    <hyperlink r:id="rId77" ref="E276"/>
    <hyperlink r:id="rId78" ref="E279"/>
    <hyperlink r:id="rId79" ref="E280"/>
    <hyperlink r:id="rId80" ref="E281"/>
    <hyperlink r:id="rId81" ref="E282"/>
    <hyperlink r:id="rId82" ref="E283"/>
    <hyperlink r:id="rId83" ref="E284"/>
    <hyperlink r:id="rId84" ref="E292"/>
    <hyperlink r:id="rId85" ref="E294"/>
    <hyperlink r:id="rId86" ref="E298"/>
    <hyperlink r:id="rId87" ref="E305"/>
    <hyperlink r:id="rId88" ref="E306"/>
    <hyperlink r:id="rId89" ref="E307"/>
    <hyperlink r:id="rId90" ref="E308"/>
    <hyperlink r:id="rId91" ref="E328"/>
    <hyperlink r:id="rId92" ref="E334"/>
    <hyperlink r:id="rId93" ref="E346"/>
    <hyperlink r:id="rId94" ref="E347"/>
    <hyperlink r:id="rId95" ref="E348"/>
    <hyperlink r:id="rId96" ref="E351"/>
    <hyperlink r:id="rId97" ref="E359"/>
    <hyperlink r:id="rId98" ref="E360"/>
    <hyperlink r:id="rId99" ref="E361"/>
    <hyperlink r:id="rId100" ref="E362"/>
    <hyperlink r:id="rId101" ref="E363"/>
    <hyperlink r:id="rId102" ref="E367"/>
    <hyperlink r:id="rId103" ref="E368"/>
    <hyperlink r:id="rId104" ref="E369"/>
    <hyperlink r:id="rId105" ref="E370"/>
    <hyperlink r:id="rId106" ref="E371"/>
    <hyperlink r:id="rId107" ref="E372"/>
    <hyperlink r:id="rId108" ref="E383"/>
    <hyperlink r:id="rId109" ref="E388"/>
    <hyperlink r:id="rId110" ref="E389"/>
    <hyperlink r:id="rId111" ref="E410"/>
    <hyperlink r:id="rId112" ref="E411"/>
    <hyperlink r:id="rId113" ref="E414"/>
    <hyperlink r:id="rId114" ref="E415"/>
    <hyperlink r:id="rId115" ref="E416"/>
    <hyperlink r:id="rId116" ref="E423"/>
    <hyperlink r:id="rId117" ref="E425"/>
    <hyperlink r:id="rId118" ref="E428"/>
    <hyperlink r:id="rId119" ref="E429"/>
    <hyperlink r:id="rId120" ref="E430"/>
    <hyperlink r:id="rId121" ref="E431"/>
    <hyperlink r:id="rId122" ref="E432"/>
    <hyperlink r:id="rId123" ref="E433"/>
    <hyperlink r:id="rId124" ref="E434"/>
    <hyperlink r:id="rId125" ref="E435"/>
    <hyperlink r:id="rId126" ref="E436"/>
    <hyperlink r:id="rId127" ref="E469"/>
    <hyperlink r:id="rId128" ref="E510"/>
    <hyperlink r:id="rId129" ref="E516"/>
    <hyperlink r:id="rId130" ref="E522"/>
    <hyperlink r:id="rId131" ref="E523"/>
    <hyperlink r:id="rId132" ref="E524"/>
    <hyperlink r:id="rId133" ref="E525"/>
    <hyperlink r:id="rId134" ref="E533"/>
    <hyperlink r:id="rId135" ref="E535"/>
    <hyperlink r:id="rId136" ref="E536"/>
    <hyperlink r:id="rId137" ref="E537"/>
    <hyperlink r:id="rId138" ref="E544"/>
    <hyperlink r:id="rId139" ref="E545"/>
    <hyperlink r:id="rId140" ref="E546"/>
    <hyperlink r:id="rId141" ref="E558"/>
    <hyperlink r:id="rId142" ref="E559"/>
    <hyperlink r:id="rId143" ref="E589"/>
    <hyperlink r:id="rId144" ref="E590"/>
    <hyperlink r:id="rId145" ref="E591"/>
    <hyperlink r:id="rId146" ref="E593"/>
    <hyperlink r:id="rId147" ref="E599"/>
    <hyperlink r:id="rId148" ref="E600"/>
    <hyperlink r:id="rId149" ref="E601"/>
    <hyperlink r:id="rId150" ref="E604"/>
    <hyperlink r:id="rId151" ref="E605"/>
    <hyperlink r:id="rId152" ref="E606"/>
    <hyperlink r:id="rId153" ref="E632"/>
    <hyperlink r:id="rId154" ref="E635"/>
    <hyperlink r:id="rId155" ref="E639"/>
    <hyperlink r:id="rId156" ref="E643"/>
    <hyperlink r:id="rId157" ref="E644"/>
    <hyperlink r:id="rId158" ref="E652"/>
    <hyperlink r:id="rId159" ref="E653"/>
    <hyperlink r:id="rId160" ref="E690"/>
    <hyperlink r:id="rId161" ref="E701"/>
    <hyperlink r:id="rId162" ref="E702"/>
    <hyperlink r:id="rId163" ref="E703"/>
    <hyperlink r:id="rId164" ref="E704"/>
    <hyperlink r:id="rId165" ref="E713"/>
    <hyperlink r:id="rId166" ref="E718"/>
    <hyperlink r:id="rId167" ref="E719"/>
    <hyperlink r:id="rId168" ref="E720"/>
    <hyperlink r:id="rId169" ref="E721"/>
    <hyperlink r:id="rId170" ref="E727"/>
    <hyperlink r:id="rId171" ref="E732"/>
    <hyperlink r:id="rId172" ref="E740"/>
    <hyperlink r:id="rId173" ref="E756"/>
    <hyperlink r:id="rId174" ref="E769"/>
    <hyperlink r:id="rId175" ref="E770"/>
    <hyperlink r:id="rId176" ref="E771"/>
    <hyperlink r:id="rId177" ref="E772"/>
    <hyperlink r:id="rId178" ref="E780"/>
    <hyperlink r:id="rId179" ref="E782"/>
    <hyperlink r:id="rId180" ref="E783"/>
    <hyperlink r:id="rId181" ref="E784"/>
    <hyperlink r:id="rId182" ref="E793"/>
    <hyperlink r:id="rId183" ref="E794"/>
    <hyperlink r:id="rId184" ref="E795"/>
    <hyperlink r:id="rId185" ref="E807"/>
    <hyperlink r:id="rId186" ref="E815"/>
    <hyperlink r:id="rId187" ref="E820"/>
    <hyperlink r:id="rId188" ref="E829"/>
    <hyperlink r:id="rId189" ref="E830"/>
    <hyperlink r:id="rId190" ref="E831"/>
    <hyperlink r:id="rId191" ref="E832"/>
    <hyperlink r:id="rId192" ref="E833"/>
    <hyperlink r:id="rId193" ref="E839"/>
    <hyperlink r:id="rId194" ref="E840"/>
    <hyperlink r:id="rId195" ref="E859"/>
    <hyperlink r:id="rId196" ref="E937"/>
    <hyperlink r:id="rId197" ref="E939"/>
    <hyperlink r:id="rId198" ref="E940"/>
    <hyperlink r:id="rId199" ref="E941"/>
    <hyperlink r:id="rId200" ref="E945"/>
    <hyperlink r:id="rId201" ref="E946"/>
    <hyperlink r:id="rId202" ref="E951"/>
    <hyperlink r:id="rId203" ref="E954"/>
    <hyperlink r:id="rId204" ref="E955"/>
    <hyperlink r:id="rId205" ref="E957"/>
    <hyperlink r:id="rId206" ref="E958"/>
    <hyperlink r:id="rId207" ref="E983"/>
    <hyperlink r:id="rId208" ref="E986"/>
    <hyperlink r:id="rId209" ref="E995"/>
    <hyperlink r:id="rId210" ref="E1035"/>
    <hyperlink r:id="rId211" ref="E1036"/>
    <hyperlink r:id="rId212" ref="E1037"/>
    <hyperlink r:id="rId213" ref="E1038"/>
    <hyperlink r:id="rId214" ref="E1039"/>
    <hyperlink r:id="rId215" ref="E1040"/>
    <hyperlink r:id="rId216" ref="E1043"/>
    <hyperlink r:id="rId217" ref="E1046"/>
    <hyperlink r:id="rId218" ref="E1047"/>
    <hyperlink r:id="rId219" ref="K1062"/>
    <hyperlink r:id="rId220" ref="E1064"/>
    <hyperlink r:id="rId221" ref="E1065"/>
    <hyperlink r:id="rId222" ref="E1068"/>
    <hyperlink r:id="rId223" ref="E1071"/>
    <hyperlink r:id="rId224" ref="E1072"/>
    <hyperlink r:id="rId225" ref="E1085"/>
    <hyperlink r:id="rId226" ref="E1086"/>
    <hyperlink r:id="rId227" ref="E1087"/>
    <hyperlink r:id="rId228" ref="E1088"/>
    <hyperlink r:id="rId229" ref="E1089"/>
    <hyperlink r:id="rId230" ref="E1095"/>
    <hyperlink r:id="rId231" ref="E1096"/>
    <hyperlink r:id="rId232" ref="E1098"/>
    <hyperlink r:id="rId233" ref="E1099"/>
    <hyperlink r:id="rId234" ref="E1105"/>
    <hyperlink r:id="rId235" ref="E1107"/>
    <hyperlink r:id="rId236" ref="E1109"/>
    <hyperlink r:id="rId237" ref="E1110"/>
    <hyperlink r:id="rId238" ref="E1119"/>
    <hyperlink r:id="rId239" ref="E1120"/>
    <hyperlink r:id="rId240" ref="E1121"/>
    <hyperlink r:id="rId241" ref="E1122"/>
    <hyperlink r:id="rId242" ref="E1123"/>
    <hyperlink r:id="rId243" ref="E1124"/>
    <hyperlink r:id="rId244" ref="E1125"/>
    <hyperlink r:id="rId245" ref="E1126"/>
    <hyperlink r:id="rId246" ref="E1127"/>
    <hyperlink r:id="rId247" ref="E1128"/>
    <hyperlink r:id="rId248" ref="E1129"/>
    <hyperlink r:id="rId249" ref="E1130"/>
    <hyperlink r:id="rId250" ref="E1132"/>
    <hyperlink r:id="rId251" ref="E1133"/>
    <hyperlink r:id="rId252" ref="E1134"/>
    <hyperlink r:id="rId253" ref="E1138"/>
    <hyperlink r:id="rId254" ref="E1139"/>
    <hyperlink r:id="rId255" ref="E1142"/>
    <hyperlink r:id="rId256" ref="E1143"/>
    <hyperlink r:id="rId257" ref="E1146"/>
    <hyperlink r:id="rId258" ref="E1149"/>
    <hyperlink r:id="rId259" ref="E1150"/>
    <hyperlink r:id="rId260" ref="E1152"/>
    <hyperlink r:id="rId261" ref="E1154"/>
    <hyperlink r:id="rId262" ref="E1157"/>
    <hyperlink r:id="rId263" ref="E1158"/>
    <hyperlink r:id="rId264" ref="E1159"/>
    <hyperlink r:id="rId265" ref="E1160"/>
    <hyperlink r:id="rId266" ref="E1161"/>
    <hyperlink r:id="rId267" ref="E1162"/>
    <hyperlink r:id="rId268" ref="E1163"/>
    <hyperlink r:id="rId269" ref="E1164"/>
    <hyperlink r:id="rId270" ref="E1165"/>
    <hyperlink r:id="rId271" ref="E1166"/>
    <hyperlink r:id="rId272" ref="E1167"/>
    <hyperlink r:id="rId273" ref="E1168"/>
    <hyperlink r:id="rId274" ref="E1174"/>
    <hyperlink r:id="rId275" ref="E1183"/>
    <hyperlink r:id="rId276" ref="E1184"/>
    <hyperlink r:id="rId277" ref="E1185"/>
    <hyperlink r:id="rId278" ref="E1186"/>
    <hyperlink r:id="rId279" ref="E1188"/>
    <hyperlink r:id="rId280" ref="E1190"/>
    <hyperlink r:id="rId281" ref="E1212"/>
    <hyperlink r:id="rId282" ref="E1214"/>
    <hyperlink r:id="rId283" ref="E1215"/>
    <hyperlink r:id="rId284" ref="E1216"/>
    <hyperlink r:id="rId285" ref="E1217"/>
    <hyperlink r:id="rId286" ref="E1218"/>
    <hyperlink r:id="rId287" ref="E1219"/>
    <hyperlink r:id="rId288" ref="E1220"/>
    <hyperlink r:id="rId289" ref="E1221"/>
    <hyperlink r:id="rId290" ref="E1223"/>
    <hyperlink r:id="rId291" ref="E1225"/>
    <hyperlink r:id="rId292" ref="E1226"/>
    <hyperlink r:id="rId293" ref="E1227"/>
    <hyperlink r:id="rId294" ref="E1228"/>
    <hyperlink r:id="rId295" ref="E1229"/>
    <hyperlink r:id="rId296" ref="E1230"/>
    <hyperlink r:id="rId297" ref="E1231"/>
    <hyperlink r:id="rId298" ref="E1233"/>
    <hyperlink r:id="rId299" ref="E1234"/>
    <hyperlink r:id="rId300" ref="E1235"/>
    <hyperlink r:id="rId301" ref="E1238"/>
    <hyperlink r:id="rId302" ref="E1239"/>
    <hyperlink r:id="rId303" ref="E1242"/>
    <hyperlink r:id="rId304" ref="E1243"/>
    <hyperlink r:id="rId305" ref="E1246"/>
    <hyperlink r:id="rId306" ref="E1248"/>
    <hyperlink r:id="rId307" ref="E1250"/>
    <hyperlink r:id="rId308" ref="E1251"/>
    <hyperlink r:id="rId309" ref="E1253"/>
    <hyperlink r:id="rId310" ref="E1255"/>
    <hyperlink r:id="rId311" ref="E1258"/>
    <hyperlink r:id="rId312" ref="E1259"/>
    <hyperlink r:id="rId313" ref="E1260"/>
    <hyperlink r:id="rId314" ref="E1261"/>
    <hyperlink r:id="rId315" ref="E1262"/>
    <hyperlink r:id="rId316" ref="E1263"/>
    <hyperlink r:id="rId317" ref="E1264"/>
    <hyperlink r:id="rId318" ref="E1265"/>
    <hyperlink r:id="rId319" ref="E1266"/>
    <hyperlink r:id="rId320" ref="E1267"/>
    <hyperlink r:id="rId321" ref="E1268"/>
    <hyperlink r:id="rId322" ref="E1269"/>
    <hyperlink r:id="rId323" ref="E1288"/>
    <hyperlink r:id="rId324" ref="E1294"/>
    <hyperlink r:id="rId325" ref="E1295"/>
    <hyperlink r:id="rId326" ref="E1296"/>
    <hyperlink r:id="rId327" ref="E1299"/>
  </hyperlinks>
  <printOptions/>
  <pageMargins bottom="0.75" footer="0.0" header="0.0" left="0.7" right="0.7" top="0.75"/>
  <pageSetup orientation="portrait"/>
  <drawing r:id="rId328"/>
  <legacyDrawing r:id="rId3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SUM(H9:H46)</f>
        <v>1358.6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hidden="1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6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45285.88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0.2075779967</v>
      </c>
    </row>
    <row r="10" ht="15.75" hidden="1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38895.68</v>
      </c>
      <c r="T10" s="21">
        <f t="shared" si="3"/>
        <v>0</v>
      </c>
      <c r="U10" s="21">
        <f t="shared" si="4"/>
        <v>0</v>
      </c>
      <c r="V10" s="22">
        <f t="shared" si="5"/>
        <v>0.1782870805</v>
      </c>
    </row>
    <row r="11" ht="15.75" hidden="1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22900</v>
      </c>
      <c r="T11" s="21">
        <f t="shared" si="3"/>
        <v>0</v>
      </c>
      <c r="U11" s="21">
        <f t="shared" si="4"/>
        <v>0</v>
      </c>
      <c r="V11" s="22">
        <f t="shared" si="5"/>
        <v>0.1049672905</v>
      </c>
    </row>
    <row r="12" ht="15.75" hidden="1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37155.39</v>
      </c>
      <c r="T12" s="21">
        <f t="shared" si="3"/>
        <v>0</v>
      </c>
      <c r="U12" s="21">
        <f t="shared" si="4"/>
        <v>0</v>
      </c>
      <c r="V12" s="22">
        <f t="shared" si="5"/>
        <v>0.1703100706</v>
      </c>
    </row>
    <row r="13" ht="15.75" hidden="1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600.0</v>
      </c>
      <c r="H13" s="17">
        <f t="shared" si="1"/>
        <v>0</v>
      </c>
      <c r="I13" s="18"/>
      <c r="J13" s="18"/>
      <c r="K13" s="13"/>
      <c r="L13" s="13"/>
      <c r="M13" s="13"/>
      <c r="N13" s="13"/>
      <c r="O13" s="13"/>
      <c r="P13" s="13"/>
      <c r="Q13" s="1"/>
      <c r="R13" s="30" t="s">
        <v>30</v>
      </c>
      <c r="S13" s="21">
        <f t="shared" si="2"/>
        <v>3580</v>
      </c>
      <c r="T13" s="21">
        <f t="shared" si="3"/>
        <v>0</v>
      </c>
      <c r="U13" s="21">
        <f t="shared" si="4"/>
        <v>0</v>
      </c>
      <c r="V13" s="22">
        <f t="shared" si="5"/>
        <v>0.01640973363</v>
      </c>
    </row>
    <row r="14" ht="15.75" hidden="1" customHeight="1">
      <c r="A14" s="13"/>
      <c r="B14" s="13"/>
      <c r="C14" s="13" t="s">
        <v>31</v>
      </c>
      <c r="D14" s="23" t="s">
        <v>20</v>
      </c>
      <c r="E14" s="15"/>
      <c r="F14" s="16">
        <v>0.0</v>
      </c>
      <c r="G14" s="17">
        <v>600.0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32</v>
      </c>
      <c r="S14" s="21">
        <f t="shared" si="2"/>
        <v>70346.25</v>
      </c>
      <c r="T14" s="21">
        <f t="shared" si="3"/>
        <v>0</v>
      </c>
      <c r="U14" s="21">
        <f t="shared" si="4"/>
        <v>0</v>
      </c>
      <c r="V14" s="22">
        <f t="shared" si="5"/>
        <v>0.322447828</v>
      </c>
    </row>
    <row r="15" ht="15.75" customHeight="1">
      <c r="A15" s="13"/>
      <c r="B15" s="13" t="s">
        <v>18</v>
      </c>
      <c r="C15" s="13" t="s">
        <v>33</v>
      </c>
      <c r="D15" s="32" t="s">
        <v>22</v>
      </c>
      <c r="E15" s="33" t="s">
        <v>34</v>
      </c>
      <c r="F15" s="16">
        <v>1.0</v>
      </c>
      <c r="G15" s="34">
        <v>24.0</v>
      </c>
      <c r="H15" s="17">
        <f t="shared" si="1"/>
        <v>24</v>
      </c>
      <c r="I15" s="18"/>
      <c r="J15" s="18"/>
      <c r="K15" s="13"/>
      <c r="L15" s="27"/>
      <c r="M15" s="28"/>
      <c r="N15" s="27"/>
      <c r="O15" s="28"/>
      <c r="P15" s="27"/>
      <c r="Q15" s="35"/>
      <c r="R15" s="36" t="s">
        <v>35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hidden="1" customHeight="1">
      <c r="A16" s="13"/>
      <c r="B16" s="13"/>
      <c r="C16" s="13" t="s">
        <v>36</v>
      </c>
      <c r="D16" s="37" t="s">
        <v>32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8"/>
      <c r="P16" s="19"/>
      <c r="Q16" s="35"/>
      <c r="R16" s="39" t="s">
        <v>37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hidden="1" customHeight="1">
      <c r="A17" s="13"/>
      <c r="B17" s="13"/>
      <c r="C17" s="13"/>
      <c r="D17" s="37" t="s">
        <v>32</v>
      </c>
      <c r="E17" s="15"/>
      <c r="F17" s="40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5"/>
      <c r="R17" s="3" t="s">
        <v>38</v>
      </c>
      <c r="S17" s="41">
        <f t="shared" ref="S17:V17" si="6">SUM(S9:S16)</f>
        <v>218163.2</v>
      </c>
      <c r="T17" s="41">
        <f t="shared" si="6"/>
        <v>0</v>
      </c>
      <c r="U17" s="41">
        <f t="shared" si="6"/>
        <v>0</v>
      </c>
      <c r="V17" s="42">
        <f t="shared" si="6"/>
        <v>1</v>
      </c>
    </row>
    <row r="18" ht="15.75" customHeight="1">
      <c r="A18" s="13"/>
      <c r="B18" s="13" t="s">
        <v>64</v>
      </c>
      <c r="C18" s="13" t="s">
        <v>40</v>
      </c>
      <c r="D18" s="32" t="s">
        <v>22</v>
      </c>
      <c r="E18" s="15"/>
      <c r="F18" s="16">
        <v>1.0</v>
      </c>
      <c r="G18" s="34">
        <v>200.0</v>
      </c>
      <c r="H18" s="17">
        <f t="shared" si="1"/>
        <v>200</v>
      </c>
      <c r="I18" s="18"/>
      <c r="J18" s="18"/>
      <c r="K18" s="13"/>
      <c r="L18" s="13"/>
      <c r="M18" s="19"/>
      <c r="N18" s="13"/>
      <c r="O18" s="19"/>
      <c r="P18" s="19"/>
      <c r="Q18" s="35"/>
      <c r="R18" s="1"/>
      <c r="S18" s="1"/>
      <c r="T18" s="1"/>
      <c r="U18" s="1"/>
      <c r="V18" s="1"/>
    </row>
    <row r="19" ht="15.75" customHeight="1">
      <c r="A19" s="15"/>
      <c r="B19" s="44" t="s">
        <v>219</v>
      </c>
      <c r="C19" s="45" t="s">
        <v>41</v>
      </c>
      <c r="D19" s="46" t="s">
        <v>20</v>
      </c>
      <c r="E19" s="44" t="s">
        <v>952</v>
      </c>
      <c r="F19" s="48">
        <v>1.0</v>
      </c>
      <c r="G19" s="49">
        <v>400.0</v>
      </c>
      <c r="H19" s="50">
        <f t="shared" si="1"/>
        <v>400</v>
      </c>
      <c r="I19" s="51"/>
      <c r="J19" s="51"/>
      <c r="K19" s="52"/>
      <c r="L19" s="52"/>
      <c r="M19" s="52"/>
      <c r="N19" s="52"/>
      <c r="O19" s="52"/>
      <c r="P19" s="52"/>
      <c r="Q19" s="1"/>
      <c r="R19" s="3"/>
      <c r="S19" s="3"/>
      <c r="T19" s="1"/>
      <c r="U19" s="1"/>
      <c r="V19" s="1"/>
    </row>
    <row r="20" ht="15.75" hidden="1" customHeight="1">
      <c r="A20" s="53"/>
      <c r="B20" s="54"/>
      <c r="C20" s="54" t="s">
        <v>41</v>
      </c>
      <c r="D20" s="55" t="s">
        <v>20</v>
      </c>
      <c r="E20" s="54"/>
      <c r="F20" s="56">
        <v>0.0</v>
      </c>
      <c r="G20" s="57">
        <v>200.0</v>
      </c>
      <c r="H20" s="57">
        <f t="shared" si="1"/>
        <v>0</v>
      </c>
      <c r="I20" s="58"/>
      <c r="J20" s="58"/>
      <c r="K20" s="54"/>
      <c r="L20" s="54"/>
      <c r="M20" s="54"/>
      <c r="N20" s="54"/>
      <c r="O20" s="54"/>
      <c r="P20" s="54"/>
      <c r="Q20" s="1"/>
      <c r="R20" s="59"/>
      <c r="S20" s="60">
        <v>0.4</v>
      </c>
      <c r="T20" s="61">
        <f>S17+S17*S20</f>
        <v>305428.48</v>
      </c>
      <c r="U20" s="62"/>
      <c r="V20" s="1"/>
    </row>
    <row r="21" ht="15.75" hidden="1" customHeight="1">
      <c r="A21" s="13"/>
      <c r="B21" s="52"/>
      <c r="C21" s="13" t="s">
        <v>43</v>
      </c>
      <c r="D21" s="25" t="s">
        <v>24</v>
      </c>
      <c r="E21" s="15"/>
      <c r="F21" s="40">
        <v>0.0</v>
      </c>
      <c r="G21" s="17">
        <v>115.0</v>
      </c>
      <c r="H21" s="17">
        <f t="shared" si="1"/>
        <v>0</v>
      </c>
      <c r="I21" s="18"/>
      <c r="J21" s="18"/>
      <c r="K21" s="13"/>
      <c r="L21" s="63"/>
      <c r="M21" s="63"/>
      <c r="N21" s="63"/>
      <c r="O21" s="63"/>
      <c r="P21" s="63"/>
      <c r="Q21" s="64"/>
      <c r="R21" s="62"/>
      <c r="S21" s="65"/>
      <c r="T21" s="62"/>
      <c r="U21" s="62"/>
      <c r="V21" s="1"/>
    </row>
    <row r="22" ht="15.75" customHeight="1">
      <c r="A22" s="13"/>
      <c r="B22" s="13" t="s">
        <v>18</v>
      </c>
      <c r="C22" s="13" t="s">
        <v>44</v>
      </c>
      <c r="D22" s="32" t="s">
        <v>22</v>
      </c>
      <c r="E22" s="15" t="s">
        <v>45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62" t="s">
        <v>38</v>
      </c>
      <c r="S22" s="62"/>
      <c r="T22" s="61">
        <f>SUM(T20:T21)</f>
        <v>305428.48</v>
      </c>
      <c r="U22" s="62"/>
      <c r="V22" s="1"/>
    </row>
    <row r="23" ht="15.75" customHeight="1">
      <c r="A23" s="13"/>
      <c r="B23" s="13" t="s">
        <v>953</v>
      </c>
      <c r="C23" s="13" t="s">
        <v>46</v>
      </c>
      <c r="D23" s="66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/>
      <c r="S23" s="62"/>
      <c r="T23" s="62"/>
      <c r="U23" s="62"/>
      <c r="V23" s="1"/>
    </row>
    <row r="24" ht="15.75" hidden="1" customHeight="1">
      <c r="A24" s="13"/>
      <c r="B24" s="13" t="s">
        <v>18</v>
      </c>
      <c r="C24" s="13" t="s">
        <v>47</v>
      </c>
      <c r="D24" s="14" t="s">
        <v>20</v>
      </c>
      <c r="E24" s="67" t="s">
        <v>48</v>
      </c>
      <c r="F24" s="40">
        <v>0.0</v>
      </c>
      <c r="G24" s="17">
        <v>133.0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5"/>
      <c r="R24" s="62"/>
      <c r="S24" s="68"/>
      <c r="T24" s="69"/>
      <c r="U24" s="69"/>
      <c r="V24" s="1"/>
    </row>
    <row r="25" ht="15.75" hidden="1" customHeight="1">
      <c r="A25" s="13"/>
      <c r="B25" s="13"/>
      <c r="C25" s="13" t="s">
        <v>49</v>
      </c>
      <c r="D25" s="70" t="s">
        <v>24</v>
      </c>
      <c r="E25" s="15"/>
      <c r="F25" s="40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5"/>
      <c r="R25" s="35"/>
      <c r="S25" s="35"/>
      <c r="T25" s="1"/>
      <c r="U25" s="1"/>
      <c r="V25" s="1"/>
    </row>
    <row r="26" ht="15.75" hidden="1" customHeight="1">
      <c r="A26" s="13"/>
      <c r="B26" s="13"/>
      <c r="C26" s="13" t="s">
        <v>50</v>
      </c>
      <c r="D26" s="70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5"/>
      <c r="R26" s="35"/>
      <c r="S26" s="35"/>
      <c r="T26" s="1"/>
      <c r="U26" s="1"/>
      <c r="V26" s="1"/>
    </row>
    <row r="27" ht="15.75" hidden="1" customHeight="1">
      <c r="A27" s="13"/>
      <c r="B27" s="13" t="s">
        <v>18</v>
      </c>
      <c r="C27" s="13" t="s">
        <v>51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5"/>
      <c r="R27" s="35"/>
      <c r="S27" s="35"/>
      <c r="T27" s="1"/>
      <c r="U27" s="1"/>
      <c r="V27" s="1"/>
    </row>
    <row r="28" ht="15.75" hidden="1" customHeight="1">
      <c r="A28" s="13"/>
      <c r="B28" s="13" t="s">
        <v>18</v>
      </c>
      <c r="C28" s="13" t="s">
        <v>52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5"/>
      <c r="R28" s="35"/>
      <c r="S28" s="35"/>
      <c r="T28" s="1"/>
      <c r="U28" s="1"/>
      <c r="V28" s="1"/>
    </row>
    <row r="29" ht="15.75" hidden="1" customHeight="1">
      <c r="A29" s="13"/>
      <c r="B29" s="13"/>
      <c r="C29" s="13" t="s">
        <v>53</v>
      </c>
      <c r="D29" s="70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5"/>
      <c r="R29" s="35"/>
      <c r="S29" s="35"/>
      <c r="T29" s="1"/>
      <c r="U29" s="1"/>
      <c r="V29" s="1"/>
    </row>
    <row r="30" ht="12.75" customHeight="1">
      <c r="A30" s="13"/>
      <c r="B30" s="13" t="s">
        <v>18</v>
      </c>
      <c r="C30" s="13" t="s">
        <v>54</v>
      </c>
      <c r="D30" s="14" t="s">
        <v>20</v>
      </c>
      <c r="E30" s="33" t="s">
        <v>55</v>
      </c>
      <c r="F30" s="40">
        <v>1.0</v>
      </c>
      <c r="G30" s="34">
        <v>7.6</v>
      </c>
      <c r="H30" s="17">
        <f t="shared" si="1"/>
        <v>7.6</v>
      </c>
      <c r="I30" s="18"/>
      <c r="J30" s="18"/>
      <c r="K30" s="13"/>
      <c r="L30" s="13"/>
      <c r="M30" s="13"/>
      <c r="N30" s="13"/>
      <c r="O30" s="13"/>
      <c r="P30" s="13"/>
      <c r="Q30" s="35"/>
      <c r="R30" s="35"/>
      <c r="S30" s="35"/>
      <c r="T30" s="1"/>
      <c r="U30" s="1"/>
      <c r="V30" s="1"/>
    </row>
    <row r="31" ht="15.75" customHeight="1">
      <c r="A31" s="13"/>
      <c r="B31" s="13"/>
      <c r="C31" s="13" t="s">
        <v>57</v>
      </c>
      <c r="D31" s="70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63"/>
      <c r="M31" s="63"/>
      <c r="N31" s="63"/>
      <c r="O31" s="63"/>
      <c r="P31" s="63"/>
      <c r="Q31" s="35"/>
      <c r="R31" s="35"/>
      <c r="S31" s="35"/>
      <c r="T31" s="1"/>
      <c r="U31" s="1"/>
      <c r="V31" s="1"/>
    </row>
    <row r="32" ht="15.75" customHeight="1">
      <c r="A32" s="13"/>
      <c r="B32" s="13" t="s">
        <v>58</v>
      </c>
      <c r="C32" s="13" t="s">
        <v>59</v>
      </c>
      <c r="D32" s="14" t="s">
        <v>20</v>
      </c>
      <c r="E32" s="15" t="s">
        <v>60</v>
      </c>
      <c r="F32" s="71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2"/>
      <c r="R32" s="35"/>
      <c r="S32" s="35"/>
      <c r="T32" s="1"/>
      <c r="U32" s="1"/>
      <c r="V32" s="1"/>
    </row>
    <row r="33" ht="15.75" hidden="1" customHeight="1">
      <c r="A33" s="13"/>
      <c r="B33" s="13"/>
      <c r="C33" s="13" t="s">
        <v>61</v>
      </c>
      <c r="D33" s="37" t="s">
        <v>32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5"/>
      <c r="R33" s="35"/>
      <c r="S33" s="35"/>
      <c r="T33" s="1"/>
      <c r="U33" s="1"/>
      <c r="V33" s="1"/>
    </row>
    <row r="34" ht="15.75" customHeight="1">
      <c r="A34" s="13"/>
      <c r="B34" s="13"/>
      <c r="C34" s="43" t="s">
        <v>62</v>
      </c>
      <c r="D34" s="70" t="s">
        <v>24</v>
      </c>
      <c r="E34" s="15"/>
      <c r="F34" s="16">
        <v>1.0</v>
      </c>
      <c r="G34" s="34">
        <v>200.0</v>
      </c>
      <c r="H34" s="17">
        <f t="shared" si="1"/>
        <v>200</v>
      </c>
      <c r="I34" s="18"/>
      <c r="J34" s="18"/>
      <c r="K34" s="13"/>
      <c r="L34" s="27"/>
      <c r="M34" s="27"/>
      <c r="N34" s="27"/>
      <c r="O34" s="27"/>
      <c r="P34" s="27"/>
      <c r="Q34" s="35"/>
      <c r="R34" s="35"/>
      <c r="S34" s="35"/>
      <c r="T34" s="1"/>
      <c r="U34" s="1"/>
      <c r="V34" s="1"/>
    </row>
    <row r="35" ht="15.75" customHeight="1">
      <c r="A35" s="13"/>
      <c r="B35" s="13"/>
      <c r="C35" s="43" t="s">
        <v>63</v>
      </c>
      <c r="D35" s="14" t="s">
        <v>20</v>
      </c>
      <c r="E35" s="15"/>
      <c r="F35" s="40">
        <v>1.0</v>
      </c>
      <c r="G35" s="34">
        <v>150.0</v>
      </c>
      <c r="H35" s="17">
        <f t="shared" si="1"/>
        <v>150</v>
      </c>
      <c r="I35" s="18"/>
      <c r="J35" s="18"/>
      <c r="K35" s="13"/>
      <c r="L35" s="27"/>
      <c r="M35" s="27"/>
      <c r="N35" s="27"/>
      <c r="O35" s="27"/>
      <c r="P35" s="27"/>
      <c r="Q35" s="35"/>
      <c r="R35" s="35"/>
      <c r="S35" s="35"/>
      <c r="T35" s="1"/>
      <c r="U35" s="1"/>
      <c r="V35" s="1"/>
    </row>
    <row r="36" ht="15.75" customHeight="1">
      <c r="A36" s="13"/>
      <c r="B36" s="43" t="s">
        <v>64</v>
      </c>
      <c r="C36" s="43" t="s">
        <v>65</v>
      </c>
      <c r="D36" s="66" t="s">
        <v>22</v>
      </c>
      <c r="E36" s="15"/>
      <c r="F36" s="40">
        <v>1.0</v>
      </c>
      <c r="G36" s="34">
        <v>100.0</v>
      </c>
      <c r="H36" s="17">
        <f t="shared" si="1"/>
        <v>100</v>
      </c>
      <c r="I36" s="18"/>
      <c r="J36" s="18"/>
      <c r="K36" s="13"/>
      <c r="L36" s="27"/>
      <c r="M36" s="27"/>
      <c r="N36" s="27"/>
      <c r="O36" s="27"/>
      <c r="P36" s="27"/>
      <c r="Q36" s="35"/>
      <c r="R36" s="73" t="s">
        <v>66</v>
      </c>
      <c r="S36" s="74"/>
      <c r="T36" s="75"/>
      <c r="U36" s="1"/>
      <c r="V36" s="1"/>
    </row>
    <row r="37" ht="15.75" customHeight="1">
      <c r="A37" s="13"/>
      <c r="B37" s="13"/>
      <c r="C37" s="13" t="s">
        <v>67</v>
      </c>
      <c r="D37" s="70" t="s">
        <v>24</v>
      </c>
      <c r="E37" s="15"/>
      <c r="F37" s="40">
        <v>1.0</v>
      </c>
      <c r="G37" s="17">
        <v>17.0</v>
      </c>
      <c r="H37" s="17">
        <f t="shared" si="1"/>
        <v>17</v>
      </c>
      <c r="I37" s="18"/>
      <c r="J37" s="18"/>
      <c r="K37" s="13"/>
      <c r="L37" s="63"/>
      <c r="M37" s="63"/>
      <c r="N37" s="63"/>
      <c r="O37" s="63"/>
      <c r="P37" s="63"/>
      <c r="Q37" s="35"/>
      <c r="R37" s="76" t="s">
        <v>68</v>
      </c>
      <c r="S37" s="77">
        <f>S17</f>
        <v>218163.2</v>
      </c>
      <c r="T37" s="78"/>
      <c r="U37" s="1"/>
      <c r="V37" s="1"/>
    </row>
    <row r="38" ht="15.75" hidden="1" customHeight="1">
      <c r="A38" s="13"/>
      <c r="B38" s="13"/>
      <c r="C38" s="13" t="s">
        <v>69</v>
      </c>
      <c r="D38" s="14" t="s">
        <v>20</v>
      </c>
      <c r="E38" s="15"/>
      <c r="F38" s="16">
        <v>0.0</v>
      </c>
      <c r="G38" s="17">
        <v>0.0</v>
      </c>
      <c r="H38" s="17">
        <f t="shared" si="1"/>
        <v>0</v>
      </c>
      <c r="I38" s="18"/>
      <c r="J38" s="18"/>
      <c r="K38" s="13"/>
      <c r="L38" s="13"/>
      <c r="M38" s="13"/>
      <c r="N38" s="13"/>
      <c r="O38" s="13"/>
      <c r="P38" s="19"/>
      <c r="Q38" s="35"/>
      <c r="R38" s="35"/>
      <c r="S38" s="35"/>
      <c r="T38" s="1"/>
      <c r="U38" s="1"/>
      <c r="V38" s="1"/>
    </row>
    <row r="39" ht="15.75" hidden="1" customHeight="1">
      <c r="A39" s="13"/>
      <c r="B39" s="13"/>
      <c r="C39" s="13" t="s">
        <v>70</v>
      </c>
      <c r="D39" s="70" t="s">
        <v>24</v>
      </c>
      <c r="E39" s="15"/>
      <c r="F39" s="16">
        <v>0.0</v>
      </c>
      <c r="G39" s="17">
        <v>207.0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5"/>
      <c r="R39" s="35"/>
      <c r="S39" s="35"/>
      <c r="T39" s="1"/>
      <c r="U39" s="1"/>
      <c r="V39" s="1"/>
    </row>
    <row r="40" ht="15.75" hidden="1" customHeight="1">
      <c r="A40" s="13"/>
      <c r="B40" s="13"/>
      <c r="C40" s="13" t="s">
        <v>71</v>
      </c>
      <c r="D40" s="70" t="s">
        <v>24</v>
      </c>
      <c r="E40" s="15"/>
      <c r="F40" s="16">
        <v>0.0</v>
      </c>
      <c r="G40" s="17">
        <v>80.0</v>
      </c>
      <c r="H40" s="17">
        <f t="shared" si="1"/>
        <v>0</v>
      </c>
      <c r="I40" s="18"/>
      <c r="J40" s="18"/>
      <c r="K40" s="13"/>
      <c r="L40" s="63"/>
      <c r="M40" s="63"/>
      <c r="N40" s="63"/>
      <c r="O40" s="63"/>
      <c r="P40" s="79"/>
      <c r="Q40" s="35"/>
      <c r="R40" s="35"/>
      <c r="S40" s="35"/>
      <c r="T40" s="1"/>
      <c r="U40" s="1"/>
      <c r="V40" s="1"/>
    </row>
    <row r="41" ht="15.75" hidden="1" customHeight="1">
      <c r="A41" s="13"/>
      <c r="B41" s="13"/>
      <c r="C41" s="13" t="s">
        <v>72</v>
      </c>
      <c r="D41" s="14" t="s">
        <v>20</v>
      </c>
      <c r="E41" s="15"/>
      <c r="F41" s="16">
        <v>0.0</v>
      </c>
      <c r="G41" s="17">
        <v>40.0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5"/>
      <c r="R41" s="35"/>
      <c r="S41" s="35"/>
      <c r="T41" s="1"/>
      <c r="U41" s="1"/>
      <c r="V41" s="1"/>
    </row>
    <row r="42" ht="15.75" hidden="1" customHeight="1">
      <c r="A42" s="13"/>
      <c r="B42" s="13"/>
      <c r="C42" s="13" t="s">
        <v>73</v>
      </c>
      <c r="D42" s="70" t="s">
        <v>24</v>
      </c>
      <c r="E42" s="15"/>
      <c r="F42" s="16">
        <v>0.0</v>
      </c>
      <c r="G42" s="17">
        <v>180.0</v>
      </c>
      <c r="H42" s="17">
        <f t="shared" si="1"/>
        <v>0</v>
      </c>
      <c r="I42" s="18"/>
      <c r="J42" s="18"/>
      <c r="K42" s="13"/>
      <c r="L42" s="63"/>
      <c r="M42" s="63"/>
      <c r="N42" s="63"/>
      <c r="O42" s="63"/>
      <c r="P42" s="79"/>
      <c r="Q42" s="35"/>
      <c r="R42" s="35"/>
      <c r="S42" s="35"/>
      <c r="T42" s="1"/>
      <c r="U42" s="1"/>
      <c r="V42" s="1"/>
    </row>
    <row r="43" ht="15.75" hidden="1" customHeight="1">
      <c r="A43" s="13"/>
      <c r="B43" s="13"/>
      <c r="C43" s="13" t="s">
        <v>74</v>
      </c>
      <c r="D43" s="14" t="s">
        <v>20</v>
      </c>
      <c r="E43" s="15"/>
      <c r="F43" s="16">
        <v>0.0</v>
      </c>
      <c r="G43" s="17">
        <v>50.0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9"/>
      <c r="Q43" s="35"/>
      <c r="R43" s="35"/>
      <c r="S43" s="35"/>
      <c r="T43" s="1"/>
      <c r="U43" s="1"/>
      <c r="V43" s="1"/>
    </row>
    <row r="44" ht="15.75" hidden="1" customHeight="1">
      <c r="A44" s="13"/>
      <c r="B44" s="13"/>
      <c r="C44" s="13" t="s">
        <v>75</v>
      </c>
      <c r="D44" s="70" t="s">
        <v>24</v>
      </c>
      <c r="E44" s="15"/>
      <c r="F44" s="16">
        <v>0.0</v>
      </c>
      <c r="G44" s="17">
        <v>70.0</v>
      </c>
      <c r="H44" s="17">
        <f t="shared" si="1"/>
        <v>0</v>
      </c>
      <c r="I44" s="18"/>
      <c r="J44" s="18"/>
      <c r="K44" s="13"/>
      <c r="L44" s="63"/>
      <c r="M44" s="63"/>
      <c r="N44" s="63"/>
      <c r="O44" s="63"/>
      <c r="P44" s="63"/>
      <c r="Q44" s="35"/>
      <c r="R44" s="35"/>
      <c r="S44" s="35"/>
      <c r="T44" s="1"/>
      <c r="U44" s="1"/>
      <c r="V44" s="1"/>
    </row>
    <row r="45" ht="15.75" hidden="1" customHeight="1">
      <c r="A45" s="13"/>
      <c r="B45" s="13"/>
      <c r="C45" s="13" t="s">
        <v>76</v>
      </c>
      <c r="D45" s="14" t="s">
        <v>20</v>
      </c>
      <c r="E45" s="15"/>
      <c r="F45" s="16">
        <v>0.0</v>
      </c>
      <c r="G45" s="17">
        <v>20.0</v>
      </c>
      <c r="H45" s="17">
        <f t="shared" si="1"/>
        <v>0</v>
      </c>
      <c r="I45" s="18"/>
      <c r="J45" s="18"/>
      <c r="K45" s="13"/>
      <c r="L45" s="13"/>
      <c r="M45" s="13"/>
      <c r="N45" s="13"/>
      <c r="O45" s="13"/>
      <c r="P45" s="13"/>
      <c r="Q45" s="35"/>
      <c r="R45" s="35"/>
      <c r="S45" s="35"/>
      <c r="T45" s="1"/>
      <c r="U45" s="1"/>
      <c r="V45" s="1"/>
    </row>
    <row r="46" ht="15.75" hidden="1" customHeight="1">
      <c r="A46" s="13"/>
      <c r="B46" s="13"/>
      <c r="C46" s="13" t="s">
        <v>77</v>
      </c>
      <c r="D46" s="70" t="s">
        <v>24</v>
      </c>
      <c r="E46" s="15"/>
      <c r="F46" s="16">
        <v>0.0</v>
      </c>
      <c r="G46" s="17">
        <v>120.0</v>
      </c>
      <c r="H46" s="17">
        <f t="shared" si="1"/>
        <v>0</v>
      </c>
      <c r="I46" s="18"/>
      <c r="J46" s="18"/>
      <c r="K46" s="13"/>
      <c r="L46" s="63"/>
      <c r="M46" s="63"/>
      <c r="N46" s="63"/>
      <c r="O46" s="63"/>
      <c r="P46" s="63"/>
      <c r="Q46" s="35"/>
      <c r="R46" s="35"/>
      <c r="S46" s="35"/>
      <c r="T46" s="1"/>
      <c r="U46" s="1"/>
      <c r="V46" s="1"/>
    </row>
    <row r="47" ht="24.75" customHeight="1">
      <c r="A47" s="6"/>
      <c r="B47" s="6" t="s">
        <v>78</v>
      </c>
      <c r="C47" s="7">
        <f>SUM(H48:H94)</f>
        <v>3981.23</v>
      </c>
      <c r="D47" s="80"/>
      <c r="E47" s="80"/>
      <c r="F47" s="81"/>
      <c r="G47" s="82"/>
      <c r="H47" s="82"/>
      <c r="I47" s="82"/>
      <c r="J47" s="82"/>
      <c r="K47" s="81"/>
      <c r="L47" s="83"/>
      <c r="M47" s="83"/>
      <c r="N47" s="83"/>
      <c r="O47" s="83"/>
      <c r="P47" s="83"/>
      <c r="Q47" s="35"/>
      <c r="R47" s="76" t="s">
        <v>79</v>
      </c>
      <c r="S47" s="84">
        <v>10000.0</v>
      </c>
      <c r="T47" s="78"/>
      <c r="U47" s="1"/>
      <c r="V47" s="1"/>
    </row>
    <row r="48" ht="15.75" customHeight="1">
      <c r="A48" s="13"/>
      <c r="B48" s="85" t="s">
        <v>18</v>
      </c>
      <c r="C48" s="86" t="s">
        <v>80</v>
      </c>
      <c r="D48" s="87" t="s">
        <v>22</v>
      </c>
      <c r="E48" s="88" t="s">
        <v>81</v>
      </c>
      <c r="F48" s="89">
        <v>1.0</v>
      </c>
      <c r="G48" s="90">
        <v>42.0</v>
      </c>
      <c r="H48" s="91">
        <f t="shared" ref="H48:H94" si="7">SUM(F48*G48)</f>
        <v>42</v>
      </c>
      <c r="I48" s="18"/>
      <c r="J48" s="18"/>
      <c r="K48" s="13"/>
      <c r="L48" s="27"/>
      <c r="M48" s="28"/>
      <c r="N48" s="27"/>
      <c r="O48" s="28"/>
      <c r="P48" s="27"/>
      <c r="Q48" s="35"/>
      <c r="R48" s="92"/>
      <c r="S48" s="93"/>
      <c r="T48" s="78"/>
      <c r="U48" s="1"/>
      <c r="V48" s="1"/>
    </row>
    <row r="49" ht="15.75" customHeight="1">
      <c r="A49" s="13"/>
      <c r="B49" s="85" t="s">
        <v>18</v>
      </c>
      <c r="C49" s="94" t="s">
        <v>82</v>
      </c>
      <c r="D49" s="87" t="s">
        <v>22</v>
      </c>
      <c r="E49" s="88" t="s">
        <v>83</v>
      </c>
      <c r="F49" s="89">
        <v>1.0</v>
      </c>
      <c r="G49" s="90">
        <v>48.0</v>
      </c>
      <c r="H49" s="91">
        <f t="shared" si="7"/>
        <v>48</v>
      </c>
      <c r="I49" s="18"/>
      <c r="J49" s="18"/>
      <c r="K49" s="13"/>
      <c r="L49" s="95"/>
      <c r="M49" s="96"/>
      <c r="N49" s="95"/>
      <c r="O49" s="96"/>
      <c r="P49" s="95"/>
      <c r="Q49" s="35"/>
      <c r="R49" s="97" t="s">
        <v>84</v>
      </c>
      <c r="S49" s="98"/>
      <c r="T49" s="99">
        <f>S37</f>
        <v>218163.2</v>
      </c>
      <c r="U49" s="1"/>
      <c r="V49" s="1"/>
    </row>
    <row r="50" ht="15.75" customHeight="1">
      <c r="A50" s="13"/>
      <c r="B50" s="100" t="s">
        <v>85</v>
      </c>
      <c r="C50" s="94" t="s">
        <v>86</v>
      </c>
      <c r="D50" s="101" t="s">
        <v>32</v>
      </c>
      <c r="E50" s="102">
        <v>101410.0</v>
      </c>
      <c r="F50" s="89">
        <v>4.0</v>
      </c>
      <c r="G50" s="90">
        <v>213.5</v>
      </c>
      <c r="H50" s="91">
        <f t="shared" si="7"/>
        <v>854</v>
      </c>
      <c r="I50" s="18"/>
      <c r="J50" s="18"/>
      <c r="K50" s="43"/>
      <c r="L50" s="27"/>
      <c r="M50" s="28"/>
      <c r="N50" s="27"/>
      <c r="O50" s="28"/>
      <c r="P50" s="28"/>
      <c r="Q50" s="35"/>
      <c r="R50" s="103" t="s">
        <v>87</v>
      </c>
      <c r="S50" s="104">
        <v>0.4</v>
      </c>
      <c r="T50" s="99">
        <f>S37*40%</f>
        <v>87265.28</v>
      </c>
      <c r="U50" s="1"/>
      <c r="V50" s="1"/>
    </row>
    <row r="51" ht="15.75" customHeight="1">
      <c r="A51" s="13"/>
      <c r="B51" s="85" t="s">
        <v>88</v>
      </c>
      <c r="C51" s="94" t="s">
        <v>89</v>
      </c>
      <c r="D51" s="87" t="s">
        <v>22</v>
      </c>
      <c r="E51" s="88" t="s">
        <v>90</v>
      </c>
      <c r="F51" s="105">
        <v>1.0</v>
      </c>
      <c r="G51" s="106">
        <v>70.8</v>
      </c>
      <c r="H51" s="91">
        <f t="shared" si="7"/>
        <v>70.8</v>
      </c>
      <c r="I51" s="18"/>
      <c r="J51" s="18"/>
      <c r="K51" s="13"/>
      <c r="L51" s="27"/>
      <c r="M51" s="28"/>
      <c r="N51" s="27"/>
      <c r="O51" s="28"/>
      <c r="P51" s="28"/>
      <c r="Q51" s="35"/>
      <c r="R51" s="103" t="s">
        <v>91</v>
      </c>
      <c r="S51" s="104">
        <v>0.1</v>
      </c>
      <c r="T51" s="99">
        <f>S37*10%</f>
        <v>21816.32</v>
      </c>
      <c r="U51" s="1"/>
      <c r="V51" s="1"/>
    </row>
    <row r="52" ht="15.75" customHeight="1">
      <c r="A52" s="13"/>
      <c r="B52" s="85" t="s">
        <v>18</v>
      </c>
      <c r="C52" s="94" t="s">
        <v>92</v>
      </c>
      <c r="D52" s="87" t="s">
        <v>22</v>
      </c>
      <c r="E52" s="88" t="s">
        <v>93</v>
      </c>
      <c r="F52" s="105">
        <v>1.0</v>
      </c>
      <c r="G52" s="106">
        <v>8.62</v>
      </c>
      <c r="H52" s="91">
        <f t="shared" si="7"/>
        <v>8.62</v>
      </c>
      <c r="I52" s="18"/>
      <c r="J52" s="18"/>
      <c r="K52" s="13"/>
      <c r="L52" s="107"/>
      <c r="M52" s="19"/>
      <c r="N52" s="13"/>
      <c r="O52" s="13"/>
      <c r="P52" s="13"/>
      <c r="Q52" s="35"/>
      <c r="R52" s="103" t="s">
        <v>94</v>
      </c>
      <c r="S52" s="104">
        <v>0.1</v>
      </c>
      <c r="T52" s="99">
        <f>S37*10%</f>
        <v>21816.32</v>
      </c>
      <c r="U52" s="1"/>
      <c r="V52" s="1"/>
    </row>
    <row r="53" ht="15.75" customHeight="1">
      <c r="A53" s="13"/>
      <c r="B53" s="85" t="s">
        <v>18</v>
      </c>
      <c r="C53" s="94" t="s">
        <v>95</v>
      </c>
      <c r="D53" s="87" t="s">
        <v>22</v>
      </c>
      <c r="E53" s="88" t="s">
        <v>96</v>
      </c>
      <c r="F53" s="105">
        <v>1.0</v>
      </c>
      <c r="G53" s="106">
        <v>14.4</v>
      </c>
      <c r="H53" s="91">
        <f t="shared" si="7"/>
        <v>14.4</v>
      </c>
      <c r="I53" s="18"/>
      <c r="J53" s="18"/>
      <c r="K53" s="13"/>
      <c r="L53" s="27"/>
      <c r="M53" s="28"/>
      <c r="N53" s="27"/>
      <c r="O53" s="28"/>
      <c r="P53" s="28"/>
      <c r="Q53" s="35"/>
      <c r="R53" s="108" t="s">
        <v>38</v>
      </c>
      <c r="S53" s="98"/>
      <c r="T53" s="109">
        <f>SUM(T43:T52)</f>
        <v>349061.12</v>
      </c>
      <c r="U53" s="110"/>
      <c r="V53" s="1"/>
    </row>
    <row r="54" ht="15.75" customHeight="1">
      <c r="A54" s="13"/>
      <c r="B54" s="85" t="s">
        <v>18</v>
      </c>
      <c r="C54" s="85" t="s">
        <v>97</v>
      </c>
      <c r="D54" s="87" t="s">
        <v>22</v>
      </c>
      <c r="E54" s="88" t="s">
        <v>98</v>
      </c>
      <c r="F54" s="105">
        <v>1.0</v>
      </c>
      <c r="G54" s="106">
        <v>14.8</v>
      </c>
      <c r="H54" s="91">
        <f t="shared" si="7"/>
        <v>14.8</v>
      </c>
      <c r="I54" s="18"/>
      <c r="J54" s="18"/>
      <c r="K54" s="13"/>
      <c r="L54" s="27"/>
      <c r="M54" s="28"/>
      <c r="N54" s="28"/>
      <c r="O54" s="111"/>
      <c r="P54" s="27"/>
      <c r="Q54" s="35"/>
      <c r="R54" s="112"/>
      <c r="S54" s="104"/>
      <c r="T54" s="99"/>
      <c r="U54" s="1"/>
      <c r="V54" s="1"/>
    </row>
    <row r="55" ht="15.75" customHeight="1">
      <c r="A55" s="13"/>
      <c r="B55" s="85" t="s">
        <v>18</v>
      </c>
      <c r="C55" s="113" t="s">
        <v>99</v>
      </c>
      <c r="D55" s="87" t="s">
        <v>22</v>
      </c>
      <c r="E55" s="114" t="s">
        <v>100</v>
      </c>
      <c r="F55" s="115">
        <v>1.0</v>
      </c>
      <c r="G55" s="90">
        <v>144.0</v>
      </c>
      <c r="H55" s="91">
        <f t="shared" si="7"/>
        <v>144</v>
      </c>
      <c r="I55" s="18"/>
      <c r="J55" s="18"/>
      <c r="K55" s="13"/>
      <c r="L55" s="27"/>
      <c r="M55" s="28"/>
      <c r="N55" s="27"/>
      <c r="O55" s="27"/>
      <c r="P55" s="27"/>
      <c r="Q55" s="35"/>
      <c r="R55" s="116" t="s">
        <v>79</v>
      </c>
      <c r="S55" s="93"/>
      <c r="T55" s="117">
        <v>0.0</v>
      </c>
      <c r="U55" s="1"/>
      <c r="V55" s="1"/>
    </row>
    <row r="56" ht="15.75" customHeight="1">
      <c r="A56" s="13"/>
      <c r="B56" s="85" t="s">
        <v>18</v>
      </c>
      <c r="C56" s="118" t="s">
        <v>101</v>
      </c>
      <c r="D56" s="119" t="s">
        <v>20</v>
      </c>
      <c r="E56" s="120"/>
      <c r="F56" s="121">
        <v>3.0</v>
      </c>
      <c r="G56" s="122">
        <v>6.0</v>
      </c>
      <c r="H56" s="91">
        <f t="shared" si="7"/>
        <v>18</v>
      </c>
      <c r="I56" s="18"/>
      <c r="J56" s="18"/>
      <c r="K56" s="13"/>
      <c r="L56" s="27"/>
      <c r="M56" s="28"/>
      <c r="N56" s="27"/>
      <c r="O56" s="27"/>
      <c r="P56" s="27"/>
      <c r="Q56" s="35"/>
      <c r="R56" s="123" t="s">
        <v>102</v>
      </c>
      <c r="S56" s="124"/>
      <c r="T56" s="125">
        <f>SUM(T53:T55)</f>
        <v>349061.12</v>
      </c>
      <c r="U56" s="1"/>
      <c r="V56" s="1"/>
    </row>
    <row r="57" ht="15.75" customHeight="1">
      <c r="A57" s="13" t="s">
        <v>103</v>
      </c>
      <c r="B57" s="130"/>
      <c r="C57" s="118" t="s">
        <v>104</v>
      </c>
      <c r="D57" s="126" t="s">
        <v>24</v>
      </c>
      <c r="E57" s="120"/>
      <c r="F57" s="121">
        <v>3.0</v>
      </c>
      <c r="G57" s="122">
        <v>80.0</v>
      </c>
      <c r="H57" s="91">
        <f t="shared" si="7"/>
        <v>240</v>
      </c>
      <c r="I57" s="18"/>
      <c r="J57" s="18"/>
      <c r="K57" s="13"/>
      <c r="L57" s="27"/>
      <c r="M57" s="28"/>
      <c r="N57" s="27"/>
      <c r="O57" s="127"/>
      <c r="P57" s="27"/>
      <c r="Q57" s="35"/>
      <c r="R57" s="35"/>
      <c r="S57" s="35"/>
      <c r="T57" s="1"/>
      <c r="U57" s="1"/>
      <c r="V57" s="1"/>
    </row>
    <row r="58" ht="15.75" customHeight="1">
      <c r="A58" s="13"/>
      <c r="B58" s="85" t="s">
        <v>64</v>
      </c>
      <c r="C58" s="94" t="s">
        <v>105</v>
      </c>
      <c r="D58" s="87" t="s">
        <v>22</v>
      </c>
      <c r="E58" s="128"/>
      <c r="F58" s="129">
        <v>1.0</v>
      </c>
      <c r="G58" s="91">
        <v>5.0</v>
      </c>
      <c r="H58" s="91">
        <f t="shared" si="7"/>
        <v>5</v>
      </c>
      <c r="I58" s="18"/>
      <c r="J58" s="18"/>
      <c r="K58" s="13"/>
      <c r="L58" s="27"/>
      <c r="M58" s="28"/>
      <c r="N58" s="27"/>
      <c r="O58" s="28"/>
      <c r="P58" s="27"/>
      <c r="Q58" s="35"/>
      <c r="R58" s="35"/>
      <c r="S58" s="35"/>
      <c r="T58" s="1"/>
      <c r="U58" s="1"/>
      <c r="V58" s="1"/>
    </row>
    <row r="59" ht="15.75" customHeight="1">
      <c r="A59" s="13"/>
      <c r="B59" s="85" t="s">
        <v>18</v>
      </c>
      <c r="C59" s="94" t="s">
        <v>106</v>
      </c>
      <c r="D59" s="87" t="s">
        <v>22</v>
      </c>
      <c r="E59" s="88" t="s">
        <v>107</v>
      </c>
      <c r="F59" s="105">
        <v>1.0</v>
      </c>
      <c r="G59" s="106">
        <v>28.8</v>
      </c>
      <c r="H59" s="91">
        <f t="shared" si="7"/>
        <v>28.8</v>
      </c>
      <c r="I59" s="18"/>
      <c r="J59" s="18"/>
      <c r="K59" s="13"/>
      <c r="L59" s="27"/>
      <c r="M59" s="28"/>
      <c r="N59" s="27"/>
      <c r="O59" s="28"/>
      <c r="P59" s="27"/>
      <c r="Q59" s="35"/>
      <c r="R59" s="35"/>
      <c r="S59" s="35"/>
      <c r="T59" s="1"/>
      <c r="U59" s="1"/>
      <c r="V59" s="1"/>
    </row>
    <row r="60" ht="15.75" customHeight="1">
      <c r="A60" s="13"/>
      <c r="B60" s="85" t="s">
        <v>18</v>
      </c>
      <c r="C60" s="94" t="s">
        <v>108</v>
      </c>
      <c r="D60" s="87" t="s">
        <v>22</v>
      </c>
      <c r="E60" s="88" t="s">
        <v>109</v>
      </c>
      <c r="F60" s="105">
        <v>1.0</v>
      </c>
      <c r="G60" s="106">
        <v>12.0</v>
      </c>
      <c r="H60" s="91">
        <f t="shared" si="7"/>
        <v>12</v>
      </c>
      <c r="I60" s="18"/>
      <c r="J60" s="18"/>
      <c r="K60" s="13"/>
      <c r="L60" s="63"/>
      <c r="M60" s="79"/>
      <c r="N60" s="63"/>
      <c r="O60" s="79"/>
      <c r="P60" s="79"/>
      <c r="Q60" s="35"/>
      <c r="R60" s="35"/>
      <c r="S60" s="35"/>
      <c r="T60" s="1"/>
      <c r="U60" s="1"/>
      <c r="V60" s="1"/>
    </row>
    <row r="61" ht="15.75" customHeight="1">
      <c r="A61" s="13"/>
      <c r="B61" s="85" t="s">
        <v>18</v>
      </c>
      <c r="C61" s="94" t="s">
        <v>110</v>
      </c>
      <c r="D61" s="87" t="s">
        <v>22</v>
      </c>
      <c r="E61" s="88" t="s">
        <v>111</v>
      </c>
      <c r="F61" s="105">
        <v>1.0</v>
      </c>
      <c r="G61" s="106">
        <v>18.0</v>
      </c>
      <c r="H61" s="91">
        <f t="shared" si="7"/>
        <v>18</v>
      </c>
      <c r="I61" s="18"/>
      <c r="J61" s="18"/>
      <c r="K61" s="13"/>
      <c r="L61" s="27"/>
      <c r="M61" s="28"/>
      <c r="N61" s="27"/>
      <c r="O61" s="28"/>
      <c r="P61" s="27"/>
      <c r="Q61" s="35"/>
      <c r="R61" s="35"/>
      <c r="S61" s="35"/>
      <c r="T61" s="1"/>
      <c r="U61" s="1"/>
      <c r="V61" s="1"/>
    </row>
    <row r="62" ht="15.75" customHeight="1">
      <c r="A62" s="13"/>
      <c r="B62" s="85" t="s">
        <v>64</v>
      </c>
      <c r="C62" s="86" t="s">
        <v>112</v>
      </c>
      <c r="D62" s="87" t="s">
        <v>22</v>
      </c>
      <c r="E62" s="130"/>
      <c r="F62" s="105">
        <v>1.0</v>
      </c>
      <c r="G62" s="91">
        <v>50.0</v>
      </c>
      <c r="H62" s="91">
        <f t="shared" si="7"/>
        <v>50</v>
      </c>
      <c r="I62" s="18"/>
      <c r="J62" s="18"/>
      <c r="K62" s="13"/>
      <c r="L62" s="27"/>
      <c r="M62" s="28"/>
      <c r="N62" s="27"/>
      <c r="O62" s="28"/>
      <c r="P62" s="27"/>
      <c r="Q62" s="35"/>
      <c r="R62" s="35"/>
      <c r="S62" s="35"/>
      <c r="T62" s="1"/>
      <c r="U62" s="1"/>
      <c r="V62" s="1"/>
    </row>
    <row r="63" ht="15.75" hidden="1" customHeight="1">
      <c r="A63" s="13"/>
      <c r="B63" s="85" t="s">
        <v>64</v>
      </c>
      <c r="C63" s="86" t="s">
        <v>113</v>
      </c>
      <c r="D63" s="119" t="s">
        <v>20</v>
      </c>
      <c r="E63" s="130"/>
      <c r="F63" s="131">
        <v>0.0</v>
      </c>
      <c r="G63" s="91">
        <v>300.0</v>
      </c>
      <c r="H63" s="91">
        <f t="shared" si="7"/>
        <v>0</v>
      </c>
      <c r="I63" s="18"/>
      <c r="J63" s="18"/>
      <c r="K63" s="13"/>
      <c r="L63" s="27"/>
      <c r="M63" s="28"/>
      <c r="N63" s="27"/>
      <c r="O63" s="27"/>
      <c r="P63" s="27"/>
      <c r="Q63" s="35"/>
      <c r="R63" s="35"/>
      <c r="S63" s="35"/>
      <c r="T63" s="1"/>
      <c r="U63" s="1"/>
      <c r="V63" s="1"/>
    </row>
    <row r="64" ht="15.75" customHeight="1">
      <c r="A64" s="13"/>
      <c r="B64" s="85" t="s">
        <v>64</v>
      </c>
      <c r="C64" s="86" t="s">
        <v>114</v>
      </c>
      <c r="D64" s="87" t="s">
        <v>22</v>
      </c>
      <c r="E64" s="130"/>
      <c r="F64" s="105">
        <v>1.0</v>
      </c>
      <c r="G64" s="91">
        <v>18.0</v>
      </c>
      <c r="H64" s="91">
        <f t="shared" si="7"/>
        <v>18</v>
      </c>
      <c r="I64" s="18"/>
      <c r="J64" s="18"/>
      <c r="K64" s="13"/>
      <c r="L64" s="27"/>
      <c r="M64" s="28"/>
      <c r="N64" s="27"/>
      <c r="O64" s="28"/>
      <c r="P64" s="27"/>
      <c r="Q64" s="35"/>
      <c r="R64" s="35"/>
      <c r="S64" s="35"/>
      <c r="T64" s="1"/>
      <c r="U64" s="1"/>
      <c r="V64" s="1"/>
    </row>
    <row r="65" ht="15.75" customHeight="1">
      <c r="A65" s="13"/>
      <c r="B65" s="85" t="s">
        <v>18</v>
      </c>
      <c r="C65" s="86" t="s">
        <v>115</v>
      </c>
      <c r="D65" s="87" t="s">
        <v>22</v>
      </c>
      <c r="E65" s="88" t="s">
        <v>116</v>
      </c>
      <c r="F65" s="105">
        <v>2.0</v>
      </c>
      <c r="G65" s="106">
        <v>36.0</v>
      </c>
      <c r="H65" s="91">
        <f t="shared" si="7"/>
        <v>72</v>
      </c>
      <c r="I65" s="18"/>
      <c r="J65" s="18"/>
      <c r="K65" s="13"/>
      <c r="L65" s="27"/>
      <c r="M65" s="28"/>
      <c r="N65" s="27"/>
      <c r="O65" s="28"/>
      <c r="P65" s="27"/>
      <c r="Q65" s="35"/>
      <c r="R65" s="35"/>
      <c r="S65" s="35"/>
      <c r="T65" s="1"/>
      <c r="U65" s="1"/>
      <c r="V65" s="1"/>
    </row>
    <row r="66" ht="15.75" customHeight="1">
      <c r="A66" s="13"/>
      <c r="B66" s="85" t="s">
        <v>18</v>
      </c>
      <c r="C66" s="86" t="s">
        <v>117</v>
      </c>
      <c r="D66" s="87" t="s">
        <v>22</v>
      </c>
      <c r="E66" s="132" t="s">
        <v>118</v>
      </c>
      <c r="F66" s="105">
        <v>4.0</v>
      </c>
      <c r="G66" s="106">
        <v>36.0</v>
      </c>
      <c r="H66" s="91">
        <f t="shared" si="7"/>
        <v>144</v>
      </c>
      <c r="I66" s="18"/>
      <c r="J66" s="18"/>
      <c r="K66" s="13"/>
      <c r="L66" s="27"/>
      <c r="M66" s="28"/>
      <c r="N66" s="27"/>
      <c r="O66" s="28"/>
      <c r="P66" s="27"/>
      <c r="Q66" s="35"/>
      <c r="R66" s="35"/>
      <c r="S66" s="35"/>
      <c r="T66" s="1"/>
      <c r="U66" s="1"/>
      <c r="V66" s="1"/>
    </row>
    <row r="67" ht="15.75" customHeight="1">
      <c r="A67" s="13"/>
      <c r="B67" s="85" t="s">
        <v>18</v>
      </c>
      <c r="C67" s="86" t="s">
        <v>119</v>
      </c>
      <c r="D67" s="87" t="s">
        <v>22</v>
      </c>
      <c r="E67" s="132" t="s">
        <v>120</v>
      </c>
      <c r="F67" s="105">
        <v>1.0</v>
      </c>
      <c r="G67" s="106">
        <v>30.0</v>
      </c>
      <c r="H67" s="91">
        <f t="shared" si="7"/>
        <v>30</v>
      </c>
      <c r="I67" s="18"/>
      <c r="J67" s="18"/>
      <c r="K67" s="13"/>
      <c r="L67" s="27"/>
      <c r="M67" s="28"/>
      <c r="N67" s="27"/>
      <c r="O67" s="27"/>
      <c r="P67" s="27">
        <v>19.0</v>
      </c>
      <c r="Q67" s="35"/>
      <c r="R67" s="35"/>
      <c r="S67" s="35"/>
      <c r="T67" s="1"/>
      <c r="U67" s="1"/>
      <c r="V67" s="1"/>
    </row>
    <row r="68" ht="15.75" customHeight="1">
      <c r="A68" s="13"/>
      <c r="B68" s="100" t="s">
        <v>121</v>
      </c>
      <c r="C68" s="94" t="s">
        <v>122</v>
      </c>
      <c r="D68" s="87" t="s">
        <v>22</v>
      </c>
      <c r="E68" s="132" t="s">
        <v>123</v>
      </c>
      <c r="F68" s="131">
        <v>2.0</v>
      </c>
      <c r="G68" s="106">
        <v>143.98</v>
      </c>
      <c r="H68" s="91">
        <f t="shared" si="7"/>
        <v>287.96</v>
      </c>
      <c r="I68" s="18"/>
      <c r="J68" s="18"/>
      <c r="K68" s="43"/>
      <c r="L68" s="27"/>
      <c r="M68" s="28"/>
      <c r="N68" s="27"/>
      <c r="O68" s="27"/>
      <c r="P68" s="27"/>
      <c r="Q68" s="35"/>
      <c r="R68" s="35"/>
      <c r="S68" s="35"/>
      <c r="T68" s="1"/>
      <c r="U68" s="1"/>
      <c r="V68" s="1"/>
    </row>
    <row r="69" ht="15.75" customHeight="1">
      <c r="A69" s="13"/>
      <c r="B69" s="85" t="s">
        <v>121</v>
      </c>
      <c r="C69" s="113" t="s">
        <v>124</v>
      </c>
      <c r="D69" s="87" t="s">
        <v>22</v>
      </c>
      <c r="E69" s="132" t="s">
        <v>125</v>
      </c>
      <c r="F69" s="131">
        <v>4.0</v>
      </c>
      <c r="G69" s="106">
        <v>163.0</v>
      </c>
      <c r="H69" s="91">
        <f t="shared" si="7"/>
        <v>652</v>
      </c>
      <c r="I69" s="18"/>
      <c r="J69" s="18"/>
      <c r="K69" s="13"/>
      <c r="L69" s="27"/>
      <c r="M69" s="28"/>
      <c r="N69" s="27"/>
      <c r="O69" s="28"/>
      <c r="P69" s="27" t="s">
        <v>126</v>
      </c>
      <c r="Q69" s="35"/>
      <c r="R69" s="35"/>
      <c r="S69" s="35"/>
      <c r="T69" s="1"/>
      <c r="U69" s="1"/>
      <c r="V69" s="1"/>
    </row>
    <row r="70" ht="15.75" customHeight="1">
      <c r="A70" s="13"/>
      <c r="B70" s="85" t="s">
        <v>18</v>
      </c>
      <c r="C70" s="86" t="s">
        <v>954</v>
      </c>
      <c r="D70" s="87" t="s">
        <v>22</v>
      </c>
      <c r="E70" s="132" t="s">
        <v>955</v>
      </c>
      <c r="F70" s="105">
        <v>4.0</v>
      </c>
      <c r="G70" s="106">
        <v>72.0</v>
      </c>
      <c r="H70" s="91">
        <f t="shared" si="7"/>
        <v>288</v>
      </c>
      <c r="I70" s="18"/>
      <c r="J70" s="18"/>
      <c r="K70" s="13"/>
      <c r="L70" s="27"/>
      <c r="M70" s="28"/>
      <c r="N70" s="27"/>
      <c r="O70" s="28"/>
      <c r="P70" s="27">
        <v>19.0</v>
      </c>
      <c r="Q70" s="35"/>
      <c r="R70" s="35"/>
      <c r="S70" s="35"/>
      <c r="T70" s="1"/>
      <c r="U70" s="1"/>
      <c r="V70" s="1"/>
    </row>
    <row r="71" ht="15.75" customHeight="1">
      <c r="A71" s="13"/>
      <c r="B71" s="85" t="s">
        <v>129</v>
      </c>
      <c r="C71" s="86" t="s">
        <v>130</v>
      </c>
      <c r="D71" s="87" t="s">
        <v>22</v>
      </c>
      <c r="E71" s="88" t="s">
        <v>131</v>
      </c>
      <c r="F71" s="105">
        <v>1.0</v>
      </c>
      <c r="G71" s="106">
        <v>89.5</v>
      </c>
      <c r="H71" s="91">
        <f t="shared" si="7"/>
        <v>89.5</v>
      </c>
      <c r="I71" s="18"/>
      <c r="J71" s="18"/>
      <c r="K71" s="13"/>
      <c r="L71" s="13"/>
      <c r="M71" s="19"/>
      <c r="N71" s="13"/>
      <c r="O71" s="13"/>
      <c r="P71" s="13"/>
      <c r="Q71" s="35"/>
      <c r="R71" s="35"/>
      <c r="S71" s="35"/>
      <c r="T71" s="1"/>
      <c r="U71" s="1"/>
      <c r="V71" s="1"/>
    </row>
    <row r="72" ht="15.75" customHeight="1">
      <c r="A72" s="13"/>
      <c r="B72" s="85" t="s">
        <v>18</v>
      </c>
      <c r="C72" s="135" t="s">
        <v>132</v>
      </c>
      <c r="D72" s="136" t="s">
        <v>22</v>
      </c>
      <c r="E72" s="137" t="s">
        <v>133</v>
      </c>
      <c r="F72" s="89">
        <v>1.0</v>
      </c>
      <c r="G72" s="90">
        <v>10.2</v>
      </c>
      <c r="H72" s="91">
        <f t="shared" si="7"/>
        <v>10.2</v>
      </c>
      <c r="I72" s="18"/>
      <c r="J72" s="18"/>
      <c r="K72" s="13"/>
      <c r="L72" s="27"/>
      <c r="M72" s="28"/>
      <c r="N72" s="27"/>
      <c r="O72" s="28"/>
      <c r="P72" s="27">
        <v>19.0</v>
      </c>
      <c r="Q72" s="35"/>
      <c r="R72" s="35"/>
      <c r="S72" s="35"/>
      <c r="T72" s="1"/>
      <c r="U72" s="1"/>
      <c r="V72" s="1"/>
    </row>
    <row r="73" ht="15.75" customHeight="1">
      <c r="A73" s="13"/>
      <c r="B73" s="85" t="s">
        <v>18</v>
      </c>
      <c r="C73" s="86" t="s">
        <v>134</v>
      </c>
      <c r="D73" s="87" t="s">
        <v>22</v>
      </c>
      <c r="E73" s="88" t="s">
        <v>135</v>
      </c>
      <c r="F73" s="105">
        <v>1.0</v>
      </c>
      <c r="G73" s="106">
        <v>20.4</v>
      </c>
      <c r="H73" s="91">
        <f t="shared" si="7"/>
        <v>20.4</v>
      </c>
      <c r="I73" s="18"/>
      <c r="J73" s="18"/>
      <c r="K73" s="13"/>
      <c r="L73" s="27"/>
      <c r="M73" s="28"/>
      <c r="N73" s="27"/>
      <c r="O73" s="27"/>
      <c r="P73" s="27"/>
      <c r="Q73" s="35"/>
      <c r="R73" s="35"/>
      <c r="S73" s="35"/>
      <c r="T73" s="1"/>
      <c r="U73" s="1"/>
      <c r="V73" s="1"/>
    </row>
    <row r="74" ht="15.75" customHeight="1">
      <c r="A74" s="13"/>
      <c r="B74" s="85" t="s">
        <v>18</v>
      </c>
      <c r="C74" s="86" t="s">
        <v>136</v>
      </c>
      <c r="D74" s="87" t="s">
        <v>22</v>
      </c>
      <c r="E74" s="88" t="s">
        <v>137</v>
      </c>
      <c r="F74" s="105">
        <v>1.0</v>
      </c>
      <c r="G74" s="106">
        <v>17.0</v>
      </c>
      <c r="H74" s="91">
        <f t="shared" si="7"/>
        <v>17</v>
      </c>
      <c r="I74" s="18"/>
      <c r="J74" s="18"/>
      <c r="K74" s="13"/>
      <c r="L74" s="27"/>
      <c r="M74" s="28"/>
      <c r="N74" s="27"/>
      <c r="O74" s="28"/>
      <c r="P74" s="27"/>
      <c r="Q74" s="35"/>
      <c r="R74" s="35"/>
      <c r="S74" s="35"/>
      <c r="T74" s="1"/>
      <c r="U74" s="1"/>
      <c r="V74" s="1"/>
    </row>
    <row r="75" ht="15.75" customHeight="1">
      <c r="A75" s="13"/>
      <c r="B75" s="85" t="s">
        <v>18</v>
      </c>
      <c r="C75" s="86" t="s">
        <v>138</v>
      </c>
      <c r="D75" s="87" t="s">
        <v>22</v>
      </c>
      <c r="E75" s="88" t="s">
        <v>139</v>
      </c>
      <c r="F75" s="105">
        <v>1.0</v>
      </c>
      <c r="G75" s="106">
        <v>5.82</v>
      </c>
      <c r="H75" s="91">
        <f t="shared" si="7"/>
        <v>5.82</v>
      </c>
      <c r="I75" s="18"/>
      <c r="J75" s="18"/>
      <c r="K75" s="13"/>
      <c r="L75" s="95"/>
      <c r="M75" s="96"/>
      <c r="N75" s="95"/>
      <c r="O75" s="96"/>
      <c r="P75" s="96"/>
      <c r="Q75" s="35"/>
      <c r="R75" s="35"/>
      <c r="S75" s="35"/>
      <c r="T75" s="1"/>
      <c r="U75" s="1"/>
      <c r="V75" s="1"/>
    </row>
    <row r="76" ht="15.75" customHeight="1">
      <c r="A76" s="13"/>
      <c r="B76" s="85" t="s">
        <v>18</v>
      </c>
      <c r="C76" s="86" t="s">
        <v>140</v>
      </c>
      <c r="D76" s="87" t="s">
        <v>22</v>
      </c>
      <c r="E76" s="88" t="s">
        <v>141</v>
      </c>
      <c r="F76" s="105">
        <v>1.0</v>
      </c>
      <c r="G76" s="106">
        <v>9.6</v>
      </c>
      <c r="H76" s="91">
        <f t="shared" si="7"/>
        <v>9.6</v>
      </c>
      <c r="I76" s="18"/>
      <c r="J76" s="18"/>
      <c r="K76" s="13"/>
      <c r="L76" s="27"/>
      <c r="M76" s="28"/>
      <c r="N76" s="27"/>
      <c r="O76" s="28"/>
      <c r="P76" s="27"/>
      <c r="Q76" s="35"/>
      <c r="R76" s="35"/>
      <c r="S76" s="35"/>
      <c r="T76" s="1"/>
      <c r="U76" s="1"/>
      <c r="V76" s="1"/>
    </row>
    <row r="77" ht="15.75" customHeight="1">
      <c r="A77" s="13"/>
      <c r="B77" s="85" t="s">
        <v>64</v>
      </c>
      <c r="C77" s="86" t="s">
        <v>142</v>
      </c>
      <c r="D77" s="87" t="s">
        <v>22</v>
      </c>
      <c r="E77" s="130"/>
      <c r="F77" s="105">
        <v>1.0</v>
      </c>
      <c r="G77" s="91">
        <v>15.0</v>
      </c>
      <c r="H77" s="91">
        <f t="shared" si="7"/>
        <v>15</v>
      </c>
      <c r="I77" s="18"/>
      <c r="J77" s="18"/>
      <c r="K77" s="13"/>
      <c r="L77" s="95"/>
      <c r="M77" s="96"/>
      <c r="N77" s="95"/>
      <c r="O77" s="95"/>
      <c r="P77" s="95"/>
      <c r="Q77" s="35"/>
      <c r="R77" s="35"/>
      <c r="S77" s="35"/>
      <c r="T77" s="1"/>
      <c r="U77" s="1"/>
      <c r="V77" s="1"/>
    </row>
    <row r="78" ht="15.75" customHeight="1">
      <c r="A78" s="13"/>
      <c r="B78" s="85" t="s">
        <v>18</v>
      </c>
      <c r="C78" s="86" t="s">
        <v>143</v>
      </c>
      <c r="D78" s="87" t="s">
        <v>22</v>
      </c>
      <c r="E78" s="132" t="s">
        <v>144</v>
      </c>
      <c r="F78" s="105">
        <v>2.0</v>
      </c>
      <c r="G78" s="106">
        <v>21.6</v>
      </c>
      <c r="H78" s="91">
        <f t="shared" si="7"/>
        <v>43.2</v>
      </c>
      <c r="I78" s="18"/>
      <c r="J78" s="18"/>
      <c r="K78" s="13"/>
      <c r="L78" s="95"/>
      <c r="M78" s="96"/>
      <c r="N78" s="95"/>
      <c r="O78" s="96"/>
      <c r="P78" s="96"/>
      <c r="Q78" s="35"/>
      <c r="R78" s="35"/>
      <c r="S78" s="35"/>
      <c r="T78" s="1"/>
      <c r="U78" s="1"/>
      <c r="V78" s="1"/>
    </row>
    <row r="79" ht="15.75" customHeight="1">
      <c r="A79" s="13"/>
      <c r="B79" s="85" t="s">
        <v>18</v>
      </c>
      <c r="C79" s="86" t="s">
        <v>145</v>
      </c>
      <c r="D79" s="87" t="s">
        <v>22</v>
      </c>
      <c r="E79" s="88" t="s">
        <v>146</v>
      </c>
      <c r="F79" s="105">
        <v>1.0</v>
      </c>
      <c r="G79" s="106">
        <v>8.4</v>
      </c>
      <c r="H79" s="91">
        <f t="shared" si="7"/>
        <v>8.4</v>
      </c>
      <c r="I79" s="18"/>
      <c r="J79" s="18"/>
      <c r="K79" s="13"/>
      <c r="L79" s="138"/>
      <c r="M79" s="139"/>
      <c r="N79" s="138"/>
      <c r="O79" s="138"/>
      <c r="P79" s="138"/>
      <c r="Q79" s="35"/>
      <c r="R79" s="35"/>
      <c r="S79" s="35"/>
      <c r="T79" s="1"/>
      <c r="U79" s="1"/>
      <c r="V79" s="1"/>
    </row>
    <row r="80" ht="15.75" customHeight="1">
      <c r="A80" s="13"/>
      <c r="B80" s="85" t="s">
        <v>18</v>
      </c>
      <c r="C80" s="86" t="s">
        <v>147</v>
      </c>
      <c r="D80" s="87" t="s">
        <v>22</v>
      </c>
      <c r="E80" s="88" t="s">
        <v>148</v>
      </c>
      <c r="F80" s="105">
        <v>1.0</v>
      </c>
      <c r="G80" s="106">
        <v>6.0</v>
      </c>
      <c r="H80" s="91">
        <f t="shared" si="7"/>
        <v>6</v>
      </c>
      <c r="I80" s="18"/>
      <c r="J80" s="18"/>
      <c r="K80" s="13"/>
      <c r="L80" s="13"/>
      <c r="M80" s="19"/>
      <c r="N80" s="13"/>
      <c r="O80" s="13"/>
      <c r="P80" s="13"/>
      <c r="Q80" s="35"/>
      <c r="R80" s="35"/>
      <c r="S80" s="35"/>
      <c r="T80" s="1"/>
      <c r="U80" s="1"/>
      <c r="V80" s="1"/>
    </row>
    <row r="81" ht="15.75" customHeight="1">
      <c r="A81" s="13"/>
      <c r="B81" s="85" t="s">
        <v>18</v>
      </c>
      <c r="C81" s="86" t="s">
        <v>149</v>
      </c>
      <c r="D81" s="87" t="s">
        <v>22</v>
      </c>
      <c r="E81" s="88" t="s">
        <v>150</v>
      </c>
      <c r="F81" s="105">
        <v>1.0</v>
      </c>
      <c r="G81" s="106">
        <v>40.8</v>
      </c>
      <c r="H81" s="91">
        <f t="shared" si="7"/>
        <v>40.8</v>
      </c>
      <c r="I81" s="18"/>
      <c r="J81" s="18"/>
      <c r="K81" s="13"/>
      <c r="L81" s="107"/>
      <c r="M81" s="19"/>
      <c r="N81" s="13"/>
      <c r="O81" s="13"/>
      <c r="P81" s="13"/>
      <c r="Q81" s="35"/>
      <c r="R81" s="35"/>
      <c r="S81" s="35"/>
      <c r="T81" s="1"/>
      <c r="U81" s="1"/>
      <c r="V81" s="1"/>
    </row>
    <row r="82" ht="15.75" customHeight="1">
      <c r="A82" s="13"/>
      <c r="B82" s="85" t="s">
        <v>18</v>
      </c>
      <c r="C82" s="86" t="s">
        <v>151</v>
      </c>
      <c r="D82" s="87" t="s">
        <v>22</v>
      </c>
      <c r="E82" s="88" t="s">
        <v>152</v>
      </c>
      <c r="F82" s="105">
        <v>1.0</v>
      </c>
      <c r="G82" s="106">
        <v>30.0</v>
      </c>
      <c r="H82" s="91">
        <f t="shared" si="7"/>
        <v>30</v>
      </c>
      <c r="I82" s="18"/>
      <c r="J82" s="18"/>
      <c r="K82" s="13"/>
      <c r="L82" s="95"/>
      <c r="M82" s="96"/>
      <c r="N82" s="95"/>
      <c r="O82" s="140"/>
      <c r="P82" s="95"/>
      <c r="Q82" s="35"/>
      <c r="R82" s="35"/>
      <c r="S82" s="35"/>
      <c r="T82" s="1"/>
      <c r="U82" s="1"/>
      <c r="V82" s="1"/>
    </row>
    <row r="83" ht="15.75" customHeight="1">
      <c r="A83" s="13"/>
      <c r="B83" s="85" t="s">
        <v>18</v>
      </c>
      <c r="C83" s="86" t="s">
        <v>153</v>
      </c>
      <c r="D83" s="87" t="s">
        <v>22</v>
      </c>
      <c r="E83" s="88" t="s">
        <v>154</v>
      </c>
      <c r="F83" s="105">
        <v>1.0</v>
      </c>
      <c r="G83" s="106">
        <v>16.8</v>
      </c>
      <c r="H83" s="91">
        <f t="shared" si="7"/>
        <v>16.8</v>
      </c>
      <c r="I83" s="18"/>
      <c r="J83" s="18"/>
      <c r="K83" s="13"/>
      <c r="L83" s="27"/>
      <c r="M83" s="28"/>
      <c r="N83" s="27"/>
      <c r="O83" s="27"/>
      <c r="P83" s="27"/>
      <c r="Q83" s="35"/>
      <c r="R83" s="35"/>
      <c r="S83" s="35"/>
      <c r="T83" s="1"/>
      <c r="U83" s="1"/>
      <c r="V83" s="1"/>
    </row>
    <row r="84" ht="15.75" customHeight="1">
      <c r="A84" s="13"/>
      <c r="B84" s="85" t="s">
        <v>18</v>
      </c>
      <c r="C84" s="86" t="s">
        <v>155</v>
      </c>
      <c r="D84" s="87" t="s">
        <v>22</v>
      </c>
      <c r="E84" s="132" t="s">
        <v>156</v>
      </c>
      <c r="F84" s="89">
        <v>1.0</v>
      </c>
      <c r="G84" s="90">
        <v>22.8</v>
      </c>
      <c r="H84" s="141">
        <f t="shared" si="7"/>
        <v>22.8</v>
      </c>
      <c r="I84" s="18"/>
      <c r="J84" s="18"/>
      <c r="K84" s="13"/>
      <c r="L84" s="13"/>
      <c r="M84" s="19"/>
      <c r="N84" s="13"/>
      <c r="O84" s="19"/>
      <c r="P84" s="19"/>
      <c r="Q84" s="35"/>
      <c r="R84" s="35"/>
      <c r="S84" s="35"/>
      <c r="T84" s="1"/>
      <c r="U84" s="1"/>
      <c r="V84" s="1"/>
    </row>
    <row r="85" ht="15.75" customHeight="1">
      <c r="A85" s="13"/>
      <c r="B85" s="85" t="s">
        <v>18</v>
      </c>
      <c r="C85" s="86" t="s">
        <v>157</v>
      </c>
      <c r="D85" s="87" t="s">
        <v>22</v>
      </c>
      <c r="E85" s="88" t="s">
        <v>158</v>
      </c>
      <c r="F85" s="105">
        <v>1.0</v>
      </c>
      <c r="G85" s="106">
        <v>36.0</v>
      </c>
      <c r="H85" s="91">
        <f t="shared" si="7"/>
        <v>36</v>
      </c>
      <c r="I85" s="18"/>
      <c r="J85" s="18"/>
      <c r="K85" s="13"/>
      <c r="L85" s="13"/>
      <c r="M85" s="13"/>
      <c r="N85" s="13"/>
      <c r="O85" s="13"/>
      <c r="P85" s="13"/>
      <c r="Q85" s="35"/>
      <c r="R85" s="35"/>
      <c r="S85" s="35"/>
      <c r="T85" s="1"/>
      <c r="U85" s="1"/>
      <c r="V85" s="1"/>
    </row>
    <row r="86" ht="15.75" customHeight="1">
      <c r="A86" s="13"/>
      <c r="B86" s="85" t="s">
        <v>129</v>
      </c>
      <c r="C86" s="86" t="s">
        <v>159</v>
      </c>
      <c r="D86" s="87" t="s">
        <v>22</v>
      </c>
      <c r="E86" s="88" t="s">
        <v>160</v>
      </c>
      <c r="F86" s="105">
        <v>1.0</v>
      </c>
      <c r="G86" s="106">
        <v>82.8</v>
      </c>
      <c r="H86" s="91">
        <f t="shared" si="7"/>
        <v>82.8</v>
      </c>
      <c r="I86" s="18"/>
      <c r="J86" s="18"/>
      <c r="K86" s="13"/>
      <c r="L86" s="27"/>
      <c r="M86" s="28"/>
      <c r="N86" s="27"/>
      <c r="O86" s="28"/>
      <c r="P86" s="27">
        <v>20.0</v>
      </c>
      <c r="Q86" s="35"/>
      <c r="R86" s="35"/>
      <c r="S86" s="35"/>
      <c r="T86" s="1"/>
      <c r="U86" s="1"/>
      <c r="V86" s="1"/>
    </row>
    <row r="87" ht="15.75" customHeight="1">
      <c r="A87" s="13"/>
      <c r="B87" s="85" t="s">
        <v>18</v>
      </c>
      <c r="C87" s="86" t="s">
        <v>161</v>
      </c>
      <c r="D87" s="87" t="s">
        <v>22</v>
      </c>
      <c r="E87" s="88" t="s">
        <v>162</v>
      </c>
      <c r="F87" s="105">
        <v>1.0</v>
      </c>
      <c r="G87" s="106">
        <v>39.6</v>
      </c>
      <c r="H87" s="91">
        <f t="shared" si="7"/>
        <v>39.6</v>
      </c>
      <c r="I87" s="18"/>
      <c r="J87" s="18"/>
      <c r="K87" s="13"/>
      <c r="L87" s="27"/>
      <c r="M87" s="28"/>
      <c r="N87" s="27"/>
      <c r="O87" s="28"/>
      <c r="P87" s="27">
        <v>22.0</v>
      </c>
      <c r="Q87" s="35"/>
      <c r="R87" s="35"/>
      <c r="S87" s="35"/>
      <c r="T87" s="1"/>
      <c r="U87" s="1"/>
      <c r="V87" s="1"/>
    </row>
    <row r="88" ht="15.75" customHeight="1">
      <c r="A88" s="13"/>
      <c r="B88" s="85" t="s">
        <v>18</v>
      </c>
      <c r="C88" s="86" t="s">
        <v>163</v>
      </c>
      <c r="D88" s="87" t="s">
        <v>22</v>
      </c>
      <c r="E88" s="88" t="s">
        <v>164</v>
      </c>
      <c r="F88" s="89">
        <v>1.0</v>
      </c>
      <c r="G88" s="90">
        <v>39.6</v>
      </c>
      <c r="H88" s="91">
        <f t="shared" si="7"/>
        <v>39.6</v>
      </c>
      <c r="I88" s="18"/>
      <c r="J88" s="18"/>
      <c r="K88" s="13"/>
      <c r="L88" s="27"/>
      <c r="M88" s="28"/>
      <c r="N88" s="27"/>
      <c r="O88" s="28"/>
      <c r="P88" s="27"/>
      <c r="Q88" s="35"/>
      <c r="R88" s="35"/>
      <c r="S88" s="35"/>
      <c r="T88" s="1"/>
      <c r="U88" s="1"/>
      <c r="V88" s="1"/>
    </row>
    <row r="89" ht="15.75" customHeight="1">
      <c r="A89" s="13"/>
      <c r="B89" s="142" t="s">
        <v>18</v>
      </c>
      <c r="C89" s="143" t="s">
        <v>165</v>
      </c>
      <c r="D89" s="144" t="s">
        <v>22</v>
      </c>
      <c r="E89" s="145" t="s">
        <v>166</v>
      </c>
      <c r="F89" s="146">
        <v>1.0</v>
      </c>
      <c r="G89" s="147">
        <v>7.1</v>
      </c>
      <c r="H89" s="91">
        <f t="shared" si="7"/>
        <v>7.1</v>
      </c>
      <c r="I89" s="18"/>
      <c r="J89" s="18"/>
      <c r="K89" s="13"/>
      <c r="L89" s="13"/>
      <c r="M89" s="13"/>
      <c r="N89" s="13"/>
      <c r="O89" s="13"/>
      <c r="P89" s="13"/>
      <c r="Q89" s="35"/>
      <c r="R89" s="35"/>
      <c r="S89" s="35"/>
      <c r="T89" s="1"/>
      <c r="U89" s="1"/>
      <c r="V89" s="1"/>
    </row>
    <row r="90" ht="15.75" customHeight="1">
      <c r="A90" s="13"/>
      <c r="B90" s="85" t="s">
        <v>18</v>
      </c>
      <c r="C90" s="86" t="s">
        <v>167</v>
      </c>
      <c r="D90" s="87" t="s">
        <v>22</v>
      </c>
      <c r="E90" s="88" t="s">
        <v>168</v>
      </c>
      <c r="F90" s="105">
        <v>1.0</v>
      </c>
      <c r="G90" s="106">
        <v>9.58</v>
      </c>
      <c r="H90" s="91">
        <f t="shared" si="7"/>
        <v>9.58</v>
      </c>
      <c r="I90" s="18"/>
      <c r="J90" s="18"/>
      <c r="K90" s="13"/>
      <c r="L90" s="13"/>
      <c r="M90" s="13"/>
      <c r="N90" s="13"/>
      <c r="O90" s="13"/>
      <c r="P90" s="13"/>
      <c r="Q90" s="35"/>
      <c r="R90" s="35"/>
      <c r="S90" s="35"/>
      <c r="T90" s="1"/>
      <c r="U90" s="1"/>
      <c r="V90" s="1"/>
    </row>
    <row r="91" ht="15.75" customHeight="1">
      <c r="A91" s="13"/>
      <c r="B91" s="85" t="s">
        <v>129</v>
      </c>
      <c r="C91" s="86" t="s">
        <v>169</v>
      </c>
      <c r="D91" s="87" t="s">
        <v>22</v>
      </c>
      <c r="E91" s="88" t="s">
        <v>170</v>
      </c>
      <c r="F91" s="105">
        <v>1.0</v>
      </c>
      <c r="G91" s="106">
        <v>82.8</v>
      </c>
      <c r="H91" s="91">
        <f t="shared" si="7"/>
        <v>82.8</v>
      </c>
      <c r="I91" s="18"/>
      <c r="J91" s="18"/>
      <c r="K91" s="13"/>
      <c r="L91" s="27"/>
      <c r="M91" s="28"/>
      <c r="N91" s="27"/>
      <c r="O91" s="28"/>
      <c r="P91" s="27"/>
      <c r="Q91" s="35"/>
      <c r="R91" s="35"/>
      <c r="S91" s="35"/>
      <c r="T91" s="1"/>
      <c r="U91" s="1"/>
      <c r="V91" s="1"/>
    </row>
    <row r="92" ht="15.75" customHeight="1">
      <c r="A92" s="13"/>
      <c r="B92" s="85" t="s">
        <v>129</v>
      </c>
      <c r="C92" s="86" t="s">
        <v>171</v>
      </c>
      <c r="D92" s="87" t="s">
        <v>22</v>
      </c>
      <c r="E92" s="88" t="s">
        <v>172</v>
      </c>
      <c r="F92" s="105">
        <v>1.0</v>
      </c>
      <c r="G92" s="106">
        <v>77.85</v>
      </c>
      <c r="H92" s="91">
        <f t="shared" si="7"/>
        <v>77.85</v>
      </c>
      <c r="I92" s="18"/>
      <c r="J92" s="18"/>
      <c r="K92" s="13"/>
      <c r="L92" s="27"/>
      <c r="M92" s="28"/>
      <c r="N92" s="27"/>
      <c r="O92" s="28"/>
      <c r="P92" s="27"/>
      <c r="Q92" s="35"/>
      <c r="R92" s="35"/>
      <c r="S92" s="35"/>
      <c r="T92" s="1"/>
      <c r="U92" s="1"/>
      <c r="V92" s="1"/>
    </row>
    <row r="93" ht="15.75" customHeight="1">
      <c r="A93" s="13"/>
      <c r="B93" s="85"/>
      <c r="C93" s="133" t="s">
        <v>173</v>
      </c>
      <c r="D93" s="14" t="s">
        <v>20</v>
      </c>
      <c r="E93" s="88"/>
      <c r="F93" s="131">
        <v>2.0</v>
      </c>
      <c r="G93" s="106">
        <v>30.0</v>
      </c>
      <c r="H93" s="91">
        <f t="shared" si="7"/>
        <v>60</v>
      </c>
      <c r="I93" s="18"/>
      <c r="J93" s="18"/>
      <c r="K93" s="13"/>
      <c r="L93" s="27"/>
      <c r="M93" s="28"/>
      <c r="N93" s="27"/>
      <c r="O93" s="28"/>
      <c r="P93" s="27"/>
      <c r="Q93" s="35"/>
      <c r="R93" s="35"/>
      <c r="S93" s="35"/>
      <c r="T93" s="1"/>
      <c r="U93" s="1"/>
      <c r="V93" s="1"/>
    </row>
    <row r="94" ht="15.75" customHeight="1">
      <c r="A94" s="13"/>
      <c r="B94" s="85"/>
      <c r="C94" s="133" t="s">
        <v>174</v>
      </c>
      <c r="D94" s="70" t="s">
        <v>24</v>
      </c>
      <c r="E94" s="88"/>
      <c r="F94" s="131">
        <v>1.0</v>
      </c>
      <c r="G94" s="106">
        <v>150.0</v>
      </c>
      <c r="H94" s="91">
        <f t="shared" si="7"/>
        <v>150</v>
      </c>
      <c r="I94" s="18"/>
      <c r="J94" s="18"/>
      <c r="K94" s="13"/>
      <c r="L94" s="27"/>
      <c r="M94" s="28"/>
      <c r="N94" s="27"/>
      <c r="O94" s="28"/>
      <c r="P94" s="27"/>
      <c r="Q94" s="35"/>
      <c r="R94" s="35"/>
      <c r="S94" s="35"/>
      <c r="T94" s="1"/>
      <c r="U94" s="1"/>
      <c r="V94" s="1"/>
    </row>
    <row r="95" ht="23.25" customHeight="1">
      <c r="A95" s="6"/>
      <c r="B95" s="6" t="s">
        <v>175</v>
      </c>
      <c r="C95" s="7">
        <f>SUM(H96:H102)</f>
        <v>236.41</v>
      </c>
      <c r="D95" s="148"/>
      <c r="E95" s="148"/>
      <c r="F95" s="81"/>
      <c r="G95" s="82"/>
      <c r="H95" s="82"/>
      <c r="I95" s="82"/>
      <c r="J95" s="82"/>
      <c r="K95" s="81"/>
      <c r="L95" s="83"/>
      <c r="M95" s="83"/>
      <c r="N95" s="83"/>
      <c r="O95" s="83"/>
      <c r="P95" s="83"/>
      <c r="Q95" s="35"/>
      <c r="R95" s="35"/>
      <c r="S95" s="35"/>
      <c r="T95" s="1"/>
      <c r="U95" s="1"/>
      <c r="V95" s="1"/>
    </row>
    <row r="96" ht="15.75" customHeight="1">
      <c r="A96" s="13"/>
      <c r="B96" s="13" t="s">
        <v>18</v>
      </c>
      <c r="C96" s="149" t="s">
        <v>176</v>
      </c>
      <c r="D96" s="150" t="s">
        <v>22</v>
      </c>
      <c r="E96" s="151" t="s">
        <v>177</v>
      </c>
      <c r="F96" s="48">
        <v>1.0</v>
      </c>
      <c r="G96" s="49">
        <v>65.0</v>
      </c>
      <c r="H96" s="50">
        <f t="shared" ref="H96:H102" si="8">SUM(F96*G96)</f>
        <v>65</v>
      </c>
      <c r="I96" s="18"/>
      <c r="J96" s="18"/>
      <c r="K96" s="13"/>
      <c r="L96" s="27"/>
      <c r="M96" s="28"/>
      <c r="N96" s="27"/>
      <c r="O96" s="28"/>
      <c r="P96" s="28"/>
      <c r="Q96" s="35"/>
      <c r="R96" s="35"/>
      <c r="S96" s="35"/>
      <c r="T96" s="1"/>
      <c r="U96" s="1"/>
      <c r="V96" s="1"/>
    </row>
    <row r="97" ht="15.75" customHeight="1">
      <c r="A97" s="13"/>
      <c r="B97" s="13" t="s">
        <v>18</v>
      </c>
      <c r="C97" s="149" t="s">
        <v>178</v>
      </c>
      <c r="D97" s="150" t="s">
        <v>22</v>
      </c>
      <c r="E97" s="151" t="s">
        <v>179</v>
      </c>
      <c r="F97" s="48">
        <v>1.0</v>
      </c>
      <c r="G97" s="49">
        <v>19.17</v>
      </c>
      <c r="H97" s="50">
        <f t="shared" si="8"/>
        <v>19.17</v>
      </c>
      <c r="I97" s="18"/>
      <c r="J97" s="18"/>
      <c r="K97" s="13"/>
      <c r="L97" s="27"/>
      <c r="M97" s="28"/>
      <c r="N97" s="27"/>
      <c r="O97" s="28"/>
      <c r="P97" s="27"/>
      <c r="Q97" s="35"/>
      <c r="R97" s="35"/>
      <c r="S97" s="35"/>
      <c r="T97" s="1"/>
      <c r="U97" s="1"/>
      <c r="V97" s="1"/>
    </row>
    <row r="98" ht="15.75" customHeight="1">
      <c r="A98" s="13"/>
      <c r="B98" s="13" t="s">
        <v>18</v>
      </c>
      <c r="C98" s="13" t="s">
        <v>180</v>
      </c>
      <c r="D98" s="66" t="s">
        <v>22</v>
      </c>
      <c r="E98" s="33" t="s">
        <v>181</v>
      </c>
      <c r="F98" s="16">
        <v>1.0</v>
      </c>
      <c r="G98" s="34">
        <v>26.4</v>
      </c>
      <c r="H98" s="17">
        <f t="shared" si="8"/>
        <v>26.4</v>
      </c>
      <c r="I98" s="18"/>
      <c r="J98" s="18"/>
      <c r="K98" s="13"/>
      <c r="L98" s="95"/>
      <c r="M98" s="96"/>
      <c r="N98" s="95"/>
      <c r="O98" s="96"/>
      <c r="P98" s="96"/>
      <c r="Q98" s="35"/>
      <c r="R98" s="35"/>
      <c r="S98" s="35"/>
      <c r="T98" s="1"/>
      <c r="U98" s="1"/>
      <c r="V98" s="1"/>
    </row>
    <row r="99" ht="15.75" customHeight="1">
      <c r="A99" s="13"/>
      <c r="B99" s="13" t="s">
        <v>18</v>
      </c>
      <c r="C99" s="18" t="s">
        <v>182</v>
      </c>
      <c r="D99" s="66" t="s">
        <v>22</v>
      </c>
      <c r="E99" s="33" t="s">
        <v>183</v>
      </c>
      <c r="F99" s="16">
        <v>1.0</v>
      </c>
      <c r="G99" s="34">
        <v>42.0</v>
      </c>
      <c r="H99" s="17">
        <f t="shared" si="8"/>
        <v>42</v>
      </c>
      <c r="I99" s="18"/>
      <c r="J99" s="18"/>
      <c r="K99" s="13"/>
      <c r="L99" s="95"/>
      <c r="M99" s="96"/>
      <c r="N99" s="95"/>
      <c r="O99" s="96"/>
      <c r="P99" s="96"/>
      <c r="Q99" s="35"/>
      <c r="R99" s="35"/>
      <c r="S99" s="35"/>
      <c r="T99" s="1"/>
      <c r="U99" s="1"/>
      <c r="V99" s="1"/>
    </row>
    <row r="100" ht="15.75" customHeight="1">
      <c r="A100" s="13"/>
      <c r="B100" s="13" t="s">
        <v>18</v>
      </c>
      <c r="C100" s="13" t="s">
        <v>184</v>
      </c>
      <c r="D100" s="66" t="s">
        <v>22</v>
      </c>
      <c r="E100" s="33" t="s">
        <v>185</v>
      </c>
      <c r="F100" s="48">
        <v>1.0</v>
      </c>
      <c r="G100" s="49">
        <v>9.6</v>
      </c>
      <c r="H100" s="50">
        <f t="shared" si="8"/>
        <v>9.6</v>
      </c>
      <c r="I100" s="18"/>
      <c r="J100" s="18"/>
      <c r="K100" s="13"/>
      <c r="L100" s="27"/>
      <c r="M100" s="28"/>
      <c r="N100" s="27"/>
      <c r="O100" s="28"/>
      <c r="P100" s="27"/>
      <c r="Q100" s="35"/>
      <c r="R100" s="35"/>
      <c r="S100" s="35"/>
      <c r="T100" s="1"/>
      <c r="U100" s="1"/>
      <c r="V100" s="1"/>
    </row>
    <row r="101" ht="15.75" customHeight="1">
      <c r="A101" s="13"/>
      <c r="B101" s="13" t="s">
        <v>18</v>
      </c>
      <c r="C101" s="13" t="s">
        <v>186</v>
      </c>
      <c r="D101" s="66" t="s">
        <v>22</v>
      </c>
      <c r="E101" s="33" t="s">
        <v>187</v>
      </c>
      <c r="F101" s="16">
        <v>1.0</v>
      </c>
      <c r="G101" s="34">
        <v>57.6</v>
      </c>
      <c r="H101" s="17">
        <f t="shared" si="8"/>
        <v>57.6</v>
      </c>
      <c r="I101" s="18"/>
      <c r="J101" s="18"/>
      <c r="K101" s="13"/>
      <c r="L101" s="95"/>
      <c r="M101" s="96"/>
      <c r="N101" s="95"/>
      <c r="O101" s="96"/>
      <c r="P101" s="96"/>
      <c r="Q101" s="35"/>
      <c r="R101" s="35"/>
      <c r="S101" s="35"/>
      <c r="T101" s="1"/>
      <c r="U101" s="1"/>
      <c r="V101" s="1"/>
    </row>
    <row r="102" ht="15.75" customHeight="1">
      <c r="A102" s="13"/>
      <c r="B102" s="13" t="s">
        <v>18</v>
      </c>
      <c r="C102" s="13" t="s">
        <v>188</v>
      </c>
      <c r="D102" s="66" t="s">
        <v>22</v>
      </c>
      <c r="E102" s="33" t="s">
        <v>189</v>
      </c>
      <c r="F102" s="48">
        <v>1.0</v>
      </c>
      <c r="G102" s="49">
        <v>16.64</v>
      </c>
      <c r="H102" s="50">
        <f t="shared" si="8"/>
        <v>16.64</v>
      </c>
      <c r="I102" s="18"/>
      <c r="J102" s="18"/>
      <c r="K102" s="13"/>
      <c r="L102" s="95"/>
      <c r="M102" s="96"/>
      <c r="N102" s="95"/>
      <c r="O102" s="96"/>
      <c r="P102" s="96"/>
      <c r="Q102" s="35"/>
      <c r="R102" s="35"/>
      <c r="S102" s="35"/>
      <c r="T102" s="1"/>
      <c r="U102" s="1"/>
      <c r="V102" s="1"/>
    </row>
    <row r="103" ht="27.0" customHeight="1">
      <c r="A103" s="6"/>
      <c r="B103" s="6" t="s">
        <v>190</v>
      </c>
      <c r="C103" s="7">
        <f>SUM(H104:H142)</f>
        <v>5833.39</v>
      </c>
      <c r="D103" s="148"/>
      <c r="E103" s="148"/>
      <c r="F103" s="81"/>
      <c r="G103" s="82"/>
      <c r="H103" s="82"/>
      <c r="I103" s="82"/>
      <c r="J103" s="82"/>
      <c r="K103" s="81"/>
      <c r="L103" s="83"/>
      <c r="M103" s="83"/>
      <c r="N103" s="83"/>
      <c r="O103" s="83"/>
      <c r="P103" s="83"/>
      <c r="Q103" s="35"/>
      <c r="R103" s="35"/>
      <c r="S103" s="35"/>
      <c r="T103" s="1"/>
      <c r="U103" s="1"/>
      <c r="V103" s="1"/>
    </row>
    <row r="104" ht="15.75" hidden="1" customHeight="1">
      <c r="A104" s="13"/>
      <c r="B104" s="13"/>
      <c r="C104" s="13" t="s">
        <v>191</v>
      </c>
      <c r="D104" s="66" t="s">
        <v>22</v>
      </c>
      <c r="E104" s="15"/>
      <c r="F104" s="16">
        <v>0.0</v>
      </c>
      <c r="G104" s="17">
        <v>0.0</v>
      </c>
      <c r="H104" s="17">
        <f t="shared" ref="H104:H110" si="9">SUM(F104*G104)</f>
        <v>0</v>
      </c>
      <c r="I104" s="18"/>
      <c r="J104" s="18"/>
      <c r="K104" s="13"/>
      <c r="L104" s="13"/>
      <c r="M104" s="13"/>
      <c r="N104" s="13"/>
      <c r="O104" s="13"/>
      <c r="P104" s="13"/>
      <c r="Q104" s="35"/>
      <c r="R104" s="35"/>
      <c r="S104" s="35"/>
      <c r="T104" s="1"/>
      <c r="U104" s="1"/>
      <c r="V104" s="1"/>
    </row>
    <row r="105" ht="15.75" hidden="1" customHeight="1">
      <c r="A105" s="13"/>
      <c r="B105" s="13" t="s">
        <v>18</v>
      </c>
      <c r="C105" s="13" t="s">
        <v>192</v>
      </c>
      <c r="D105" s="66" t="s">
        <v>22</v>
      </c>
      <c r="E105" s="15"/>
      <c r="F105" s="16">
        <v>0.0</v>
      </c>
      <c r="G105" s="17">
        <v>5.0</v>
      </c>
      <c r="H105" s="17">
        <f t="shared" si="9"/>
        <v>0</v>
      </c>
      <c r="I105" s="18"/>
      <c r="J105" s="18"/>
      <c r="K105" s="13"/>
      <c r="L105" s="13"/>
      <c r="M105" s="13"/>
      <c r="N105" s="13"/>
      <c r="O105" s="19"/>
      <c r="P105" s="19"/>
      <c r="Q105" s="35"/>
      <c r="R105" s="35"/>
      <c r="S105" s="35"/>
      <c r="T105" s="1"/>
      <c r="U105" s="1"/>
      <c r="V105" s="1"/>
    </row>
    <row r="106" ht="15.75" hidden="1" customHeight="1">
      <c r="A106" s="13"/>
      <c r="B106" s="13" t="s">
        <v>18</v>
      </c>
      <c r="C106" s="13" t="s">
        <v>193</v>
      </c>
      <c r="D106" s="14" t="s">
        <v>20</v>
      </c>
      <c r="E106" s="15"/>
      <c r="F106" s="16">
        <v>0.0</v>
      </c>
      <c r="G106" s="17">
        <v>0.0</v>
      </c>
      <c r="H106" s="17">
        <f t="shared" si="9"/>
        <v>0</v>
      </c>
      <c r="I106" s="18"/>
      <c r="J106" s="18"/>
      <c r="K106" s="13"/>
      <c r="L106" s="13"/>
      <c r="M106" s="13"/>
      <c r="N106" s="13"/>
      <c r="O106" s="13"/>
      <c r="P106" s="13"/>
      <c r="Q106" s="35"/>
      <c r="R106" s="35"/>
      <c r="S106" s="35"/>
      <c r="T106" s="1"/>
      <c r="U106" s="1"/>
      <c r="V106" s="1"/>
    </row>
    <row r="107" ht="15.75" hidden="1" customHeight="1">
      <c r="A107" s="13"/>
      <c r="B107" s="13" t="s">
        <v>18</v>
      </c>
      <c r="C107" s="13" t="s">
        <v>194</v>
      </c>
      <c r="D107" s="14" t="s">
        <v>20</v>
      </c>
      <c r="E107" s="15"/>
      <c r="F107" s="16">
        <v>0.0</v>
      </c>
      <c r="G107" s="17">
        <v>5.0</v>
      </c>
      <c r="H107" s="17">
        <f t="shared" si="9"/>
        <v>0</v>
      </c>
      <c r="I107" s="18"/>
      <c r="J107" s="18"/>
      <c r="K107" s="13"/>
      <c r="L107" s="13"/>
      <c r="M107" s="13"/>
      <c r="N107" s="13"/>
      <c r="O107" s="13"/>
      <c r="P107" s="13"/>
      <c r="Q107" s="35"/>
      <c r="R107" s="35"/>
      <c r="S107" s="35"/>
      <c r="T107" s="1"/>
      <c r="U107" s="1"/>
      <c r="V107" s="1"/>
    </row>
    <row r="108" ht="15.75" hidden="1" customHeight="1">
      <c r="A108" s="13"/>
      <c r="B108" s="13" t="s">
        <v>18</v>
      </c>
      <c r="C108" s="13" t="s">
        <v>19</v>
      </c>
      <c r="D108" s="14" t="s">
        <v>20</v>
      </c>
      <c r="E108" s="15" t="s">
        <v>195</v>
      </c>
      <c r="F108" s="16">
        <v>0.0</v>
      </c>
      <c r="G108" s="17">
        <v>53.0</v>
      </c>
      <c r="H108" s="17">
        <f t="shared" si="9"/>
        <v>0</v>
      </c>
      <c r="I108" s="18"/>
      <c r="J108" s="18"/>
      <c r="K108" s="13"/>
      <c r="L108" s="13"/>
      <c r="M108" s="13"/>
      <c r="N108" s="13"/>
      <c r="O108" s="13"/>
      <c r="P108" s="13"/>
      <c r="Q108" s="35"/>
      <c r="R108" s="35"/>
      <c r="S108" s="35"/>
      <c r="T108" s="1"/>
      <c r="U108" s="1"/>
      <c r="V108" s="1"/>
    </row>
    <row r="109" ht="15.75" hidden="1" customHeight="1">
      <c r="A109" s="13"/>
      <c r="B109" s="13"/>
      <c r="C109" s="13" t="s">
        <v>25</v>
      </c>
      <c r="D109" s="25" t="s">
        <v>24</v>
      </c>
      <c r="E109" s="15"/>
      <c r="F109" s="16">
        <v>0.0</v>
      </c>
      <c r="G109" s="17">
        <v>103.5</v>
      </c>
      <c r="H109" s="17">
        <f t="shared" si="9"/>
        <v>0</v>
      </c>
      <c r="I109" s="18"/>
      <c r="J109" s="18"/>
      <c r="K109" s="13"/>
      <c r="L109" s="13"/>
      <c r="M109" s="19"/>
      <c r="N109" s="13"/>
      <c r="O109" s="19"/>
      <c r="P109" s="19"/>
      <c r="Q109" s="1"/>
      <c r="R109" s="35"/>
      <c r="S109" s="35"/>
      <c r="T109" s="1"/>
      <c r="U109" s="1"/>
      <c r="V109" s="1"/>
    </row>
    <row r="110" ht="15.75" hidden="1" customHeight="1">
      <c r="A110" s="13"/>
      <c r="B110" s="13"/>
      <c r="C110" s="13" t="s">
        <v>196</v>
      </c>
      <c r="D110" s="14" t="s">
        <v>20</v>
      </c>
      <c r="E110" s="15"/>
      <c r="F110" s="16">
        <v>0.0</v>
      </c>
      <c r="G110" s="17">
        <v>1994.0</v>
      </c>
      <c r="H110" s="17">
        <f t="shared" si="9"/>
        <v>0</v>
      </c>
      <c r="I110" s="18"/>
      <c r="J110" s="18"/>
      <c r="K110" s="13"/>
      <c r="L110" s="13"/>
      <c r="M110" s="13"/>
      <c r="N110" s="13"/>
      <c r="O110" s="13"/>
      <c r="P110" s="13"/>
      <c r="Q110" s="35"/>
      <c r="R110" s="35"/>
      <c r="S110" s="35"/>
      <c r="T110" s="1"/>
      <c r="U110" s="1"/>
      <c r="V110" s="1"/>
    </row>
    <row r="111" ht="15.75" hidden="1" customHeight="1">
      <c r="A111" s="13"/>
      <c r="B111" s="13"/>
      <c r="C111" s="13" t="s">
        <v>197</v>
      </c>
      <c r="D111" s="14" t="s">
        <v>20</v>
      </c>
      <c r="E111" s="15"/>
      <c r="F111" s="16">
        <v>0.0</v>
      </c>
      <c r="G111" s="17">
        <v>0.0</v>
      </c>
      <c r="H111" s="17">
        <v>0.0</v>
      </c>
      <c r="I111" s="18"/>
      <c r="J111" s="18"/>
      <c r="K111" s="13"/>
      <c r="L111" s="13"/>
      <c r="M111" s="13"/>
      <c r="N111" s="13"/>
      <c r="O111" s="13"/>
      <c r="P111" s="13"/>
      <c r="Q111" s="35"/>
      <c r="R111" s="35"/>
      <c r="S111" s="35"/>
      <c r="T111" s="1"/>
      <c r="U111" s="1"/>
      <c r="V111" s="1"/>
    </row>
    <row r="112" ht="15.75" hidden="1" customHeight="1">
      <c r="A112" s="13"/>
      <c r="B112" s="13"/>
      <c r="C112" s="13" t="s">
        <v>198</v>
      </c>
      <c r="D112" s="14" t="s">
        <v>20</v>
      </c>
      <c r="E112" s="15"/>
      <c r="F112" s="16">
        <v>0.0</v>
      </c>
      <c r="G112" s="17">
        <v>100.0</v>
      </c>
      <c r="H112" s="17">
        <f t="shared" ref="H112:H141" si="10">SUM(F112*G112)</f>
        <v>0</v>
      </c>
      <c r="I112" s="18"/>
      <c r="J112" s="18"/>
      <c r="K112" s="13"/>
      <c r="L112" s="13"/>
      <c r="M112" s="13"/>
      <c r="N112" s="13"/>
      <c r="O112" s="13"/>
      <c r="P112" s="13"/>
      <c r="Q112" s="35"/>
      <c r="R112" s="35"/>
      <c r="S112" s="35"/>
      <c r="T112" s="1"/>
      <c r="U112" s="1"/>
      <c r="V112" s="1"/>
    </row>
    <row r="113" ht="15.75" hidden="1" customHeight="1">
      <c r="A113" s="13"/>
      <c r="B113" s="13"/>
      <c r="C113" s="13" t="s">
        <v>199</v>
      </c>
      <c r="D113" s="70" t="s">
        <v>24</v>
      </c>
      <c r="E113" s="15"/>
      <c r="F113" s="16">
        <v>0.0</v>
      </c>
      <c r="G113" s="17">
        <v>80.0</v>
      </c>
      <c r="H113" s="17">
        <f t="shared" si="10"/>
        <v>0</v>
      </c>
      <c r="I113" s="18"/>
      <c r="J113" s="18"/>
      <c r="K113" s="13"/>
      <c r="L113" s="13"/>
      <c r="M113" s="13"/>
      <c r="N113" s="13"/>
      <c r="O113" s="13"/>
      <c r="P113" s="13"/>
      <c r="Q113" s="35"/>
      <c r="R113" s="35"/>
      <c r="S113" s="35"/>
      <c r="T113" s="1"/>
      <c r="U113" s="1"/>
      <c r="V113" s="1"/>
    </row>
    <row r="114" ht="15.75" hidden="1" customHeight="1">
      <c r="A114" s="13"/>
      <c r="B114" s="13"/>
      <c r="C114" s="13" t="s">
        <v>200</v>
      </c>
      <c r="D114" s="70" t="s">
        <v>24</v>
      </c>
      <c r="E114" s="15"/>
      <c r="F114" s="40">
        <v>0.0</v>
      </c>
      <c r="G114" s="17">
        <v>140.0</v>
      </c>
      <c r="H114" s="17">
        <f t="shared" si="10"/>
        <v>0</v>
      </c>
      <c r="I114" s="18"/>
      <c r="J114" s="18"/>
      <c r="K114" s="13"/>
      <c r="L114" s="13"/>
      <c r="M114" s="13"/>
      <c r="N114" s="13"/>
      <c r="O114" s="13"/>
      <c r="P114" s="13"/>
      <c r="Q114" s="35"/>
      <c r="R114" s="35"/>
      <c r="S114" s="35"/>
      <c r="T114" s="1"/>
      <c r="U114" s="1"/>
      <c r="V114" s="1"/>
    </row>
    <row r="115" ht="15.75" customHeight="1">
      <c r="A115" s="13"/>
      <c r="B115" s="13" t="s">
        <v>18</v>
      </c>
      <c r="C115" s="13" t="s">
        <v>201</v>
      </c>
      <c r="D115" s="14" t="s">
        <v>20</v>
      </c>
      <c r="E115" s="152" t="s">
        <v>202</v>
      </c>
      <c r="F115" s="40">
        <v>2.0</v>
      </c>
      <c r="G115" s="34">
        <v>240.0</v>
      </c>
      <c r="H115" s="17">
        <f t="shared" si="10"/>
        <v>480</v>
      </c>
      <c r="I115" s="18"/>
      <c r="J115" s="18"/>
      <c r="K115" s="13"/>
      <c r="L115" s="27"/>
      <c r="M115" s="27"/>
      <c r="N115" s="27"/>
      <c r="O115" s="27"/>
      <c r="P115" s="27"/>
      <c r="Q115" s="35"/>
      <c r="R115" s="35"/>
      <c r="S115" s="35"/>
      <c r="T115" s="1"/>
      <c r="U115" s="1"/>
      <c r="V115" s="1"/>
    </row>
    <row r="116" ht="15.75" customHeight="1">
      <c r="A116" s="13"/>
      <c r="B116" s="13"/>
      <c r="C116" s="13" t="s">
        <v>203</v>
      </c>
      <c r="D116" s="70" t="s">
        <v>24</v>
      </c>
      <c r="E116" s="15"/>
      <c r="F116" s="40">
        <v>2.0</v>
      </c>
      <c r="G116" s="17">
        <v>95.0</v>
      </c>
      <c r="H116" s="17">
        <f t="shared" si="10"/>
        <v>190</v>
      </c>
      <c r="I116" s="18"/>
      <c r="J116" s="18"/>
      <c r="K116" s="13"/>
      <c r="L116" s="63"/>
      <c r="M116" s="79"/>
      <c r="N116" s="63"/>
      <c r="O116" s="153"/>
      <c r="P116" s="79"/>
      <c r="Q116" s="35"/>
      <c r="R116" s="35"/>
      <c r="S116" s="35"/>
      <c r="T116" s="1"/>
      <c r="U116" s="1"/>
      <c r="V116" s="1"/>
    </row>
    <row r="117" ht="15.75" hidden="1" customHeight="1">
      <c r="A117" s="13"/>
      <c r="B117" s="13"/>
      <c r="C117" s="13" t="s">
        <v>204</v>
      </c>
      <c r="D117" s="70" t="s">
        <v>24</v>
      </c>
      <c r="E117" s="15"/>
      <c r="F117" s="40">
        <v>0.0</v>
      </c>
      <c r="G117" s="17">
        <v>120.0</v>
      </c>
      <c r="H117" s="17">
        <f t="shared" si="10"/>
        <v>0</v>
      </c>
      <c r="I117" s="18"/>
      <c r="J117" s="18"/>
      <c r="K117" s="13"/>
      <c r="L117" s="63"/>
      <c r="M117" s="79"/>
      <c r="N117" s="63"/>
      <c r="O117" s="153"/>
      <c r="P117" s="79"/>
      <c r="Q117" s="35"/>
      <c r="R117" s="35"/>
      <c r="S117" s="35"/>
      <c r="T117" s="1"/>
      <c r="U117" s="1"/>
      <c r="V117" s="1"/>
    </row>
    <row r="118" ht="15.75" customHeight="1">
      <c r="A118" s="13"/>
      <c r="B118" s="13" t="s">
        <v>18</v>
      </c>
      <c r="C118" s="13" t="s">
        <v>205</v>
      </c>
      <c r="D118" s="14" t="s">
        <v>20</v>
      </c>
      <c r="E118" s="15"/>
      <c r="F118" s="40">
        <v>14.0</v>
      </c>
      <c r="G118" s="17">
        <v>5.0</v>
      </c>
      <c r="H118" s="17">
        <f t="shared" si="10"/>
        <v>70</v>
      </c>
      <c r="I118" s="18"/>
      <c r="J118" s="18"/>
      <c r="K118" s="13"/>
      <c r="L118" s="27"/>
      <c r="M118" s="27"/>
      <c r="N118" s="27"/>
      <c r="O118" s="27"/>
      <c r="P118" s="27"/>
      <c r="Q118" s="35"/>
      <c r="R118" s="35"/>
      <c r="S118" s="35"/>
      <c r="T118" s="1"/>
      <c r="U118" s="1"/>
      <c r="V118" s="1"/>
    </row>
    <row r="119" ht="15.75" hidden="1" customHeight="1">
      <c r="A119" s="13"/>
      <c r="B119" s="13" t="s">
        <v>18</v>
      </c>
      <c r="C119" s="13" t="s">
        <v>206</v>
      </c>
      <c r="D119" s="14" t="s">
        <v>20</v>
      </c>
      <c r="E119" s="15"/>
      <c r="F119" s="40">
        <v>0.0</v>
      </c>
      <c r="G119" s="17">
        <v>5.0</v>
      </c>
      <c r="H119" s="17">
        <f t="shared" si="10"/>
        <v>0</v>
      </c>
      <c r="I119" s="18"/>
      <c r="J119" s="18"/>
      <c r="K119" s="13"/>
      <c r="L119" s="27"/>
      <c r="M119" s="27"/>
      <c r="N119" s="27"/>
      <c r="O119" s="27"/>
      <c r="P119" s="27"/>
      <c r="Q119" s="35"/>
      <c r="R119" s="35"/>
      <c r="S119" s="35"/>
      <c r="T119" s="1"/>
      <c r="U119" s="1"/>
      <c r="V119" s="1"/>
    </row>
    <row r="120" ht="15.75" customHeight="1">
      <c r="A120" s="13"/>
      <c r="B120" s="13" t="s">
        <v>18</v>
      </c>
      <c r="C120" s="13" t="s">
        <v>207</v>
      </c>
      <c r="D120" s="14" t="s">
        <v>20</v>
      </c>
      <c r="E120" s="15"/>
      <c r="F120" s="16">
        <v>4.0</v>
      </c>
      <c r="G120" s="17">
        <v>6.3</v>
      </c>
      <c r="H120" s="17">
        <f t="shared" si="10"/>
        <v>25.2</v>
      </c>
      <c r="I120" s="18"/>
      <c r="J120" s="18"/>
      <c r="K120" s="13"/>
      <c r="L120" s="27"/>
      <c r="M120" s="27"/>
      <c r="N120" s="27"/>
      <c r="O120" s="27"/>
      <c r="P120" s="27"/>
      <c r="Q120" s="35"/>
      <c r="R120" s="35"/>
      <c r="S120" s="35"/>
      <c r="T120" s="1"/>
      <c r="U120" s="1"/>
      <c r="V120" s="1"/>
    </row>
    <row r="121" ht="15.75" hidden="1" customHeight="1">
      <c r="A121" s="13"/>
      <c r="B121" s="13"/>
      <c r="C121" s="13" t="s">
        <v>208</v>
      </c>
      <c r="D121" s="70" t="s">
        <v>24</v>
      </c>
      <c r="E121" s="15"/>
      <c r="F121" s="16">
        <v>0.0</v>
      </c>
      <c r="G121" s="17">
        <v>210.0</v>
      </c>
      <c r="H121" s="17">
        <f t="shared" si="10"/>
        <v>0</v>
      </c>
      <c r="I121" s="18"/>
      <c r="J121" s="18"/>
      <c r="K121" s="13"/>
      <c r="L121" s="63"/>
      <c r="M121" s="63"/>
      <c r="N121" s="63"/>
      <c r="O121" s="63"/>
      <c r="P121" s="63"/>
      <c r="Q121" s="35"/>
      <c r="R121" s="35"/>
      <c r="S121" s="35"/>
      <c r="T121" s="1"/>
      <c r="U121" s="1"/>
      <c r="V121" s="1"/>
    </row>
    <row r="122" ht="15.75" hidden="1" customHeight="1">
      <c r="A122" s="13"/>
      <c r="B122" s="13"/>
      <c r="C122" s="13" t="s">
        <v>209</v>
      </c>
      <c r="D122" s="70" t="s">
        <v>24</v>
      </c>
      <c r="E122" s="15"/>
      <c r="F122" s="16">
        <v>0.0</v>
      </c>
      <c r="G122" s="17">
        <v>80.0</v>
      </c>
      <c r="H122" s="17">
        <f t="shared" si="10"/>
        <v>0</v>
      </c>
      <c r="I122" s="18"/>
      <c r="J122" s="18"/>
      <c r="K122" s="13"/>
      <c r="L122" s="63"/>
      <c r="M122" s="63"/>
      <c r="N122" s="63"/>
      <c r="O122" s="63"/>
      <c r="P122" s="63"/>
      <c r="Q122" s="35"/>
      <c r="R122" s="35"/>
      <c r="S122" s="35"/>
      <c r="T122" s="1"/>
      <c r="U122" s="1"/>
      <c r="V122" s="1"/>
    </row>
    <row r="123" ht="15.75" hidden="1" customHeight="1">
      <c r="A123" s="13"/>
      <c r="B123" s="13"/>
      <c r="C123" s="13" t="s">
        <v>210</v>
      </c>
      <c r="D123" s="70" t="s">
        <v>24</v>
      </c>
      <c r="E123" s="15"/>
      <c r="F123" s="16">
        <v>0.0</v>
      </c>
      <c r="G123" s="17">
        <v>700.0</v>
      </c>
      <c r="H123" s="17">
        <f t="shared" si="10"/>
        <v>0</v>
      </c>
      <c r="I123" s="18"/>
      <c r="J123" s="18"/>
      <c r="K123" s="13"/>
      <c r="L123" s="63"/>
      <c r="M123" s="63"/>
      <c r="N123" s="63"/>
      <c r="O123" s="63"/>
      <c r="P123" s="63"/>
      <c r="Q123" s="35"/>
      <c r="R123" s="35"/>
      <c r="S123" s="35"/>
      <c r="T123" s="1"/>
      <c r="U123" s="1"/>
      <c r="V123" s="1"/>
    </row>
    <row r="124" ht="15.75" hidden="1" customHeight="1">
      <c r="A124" s="13"/>
      <c r="B124" s="13"/>
      <c r="C124" s="13" t="s">
        <v>211</v>
      </c>
      <c r="D124" s="14" t="s">
        <v>20</v>
      </c>
      <c r="E124" s="15"/>
      <c r="F124" s="16">
        <v>0.0</v>
      </c>
      <c r="G124" s="17">
        <v>600.0</v>
      </c>
      <c r="H124" s="17">
        <f t="shared" si="10"/>
        <v>0</v>
      </c>
      <c r="I124" s="18"/>
      <c r="J124" s="18"/>
      <c r="K124" s="13"/>
      <c r="L124" s="13"/>
      <c r="M124" s="13"/>
      <c r="N124" s="13"/>
      <c r="O124" s="13"/>
      <c r="P124" s="13"/>
      <c r="Q124" s="35"/>
      <c r="R124" s="35"/>
      <c r="S124" s="35"/>
      <c r="T124" s="1"/>
      <c r="U124" s="1"/>
      <c r="V124" s="1"/>
    </row>
    <row r="125" ht="15.75" customHeight="1">
      <c r="A125" s="13"/>
      <c r="B125" s="13" t="s">
        <v>58</v>
      </c>
      <c r="C125" s="13" t="s">
        <v>212</v>
      </c>
      <c r="D125" s="101" t="s">
        <v>32</v>
      </c>
      <c r="E125" s="15" t="s">
        <v>60</v>
      </c>
      <c r="F125" s="16">
        <v>1.0</v>
      </c>
      <c r="G125" s="17">
        <v>0.0</v>
      </c>
      <c r="H125" s="17">
        <f t="shared" si="10"/>
        <v>0</v>
      </c>
      <c r="I125" s="18"/>
      <c r="J125" s="18"/>
      <c r="K125" s="13"/>
      <c r="L125" s="13"/>
      <c r="M125" s="13"/>
      <c r="N125" s="13"/>
      <c r="O125" s="13"/>
      <c r="P125" s="13"/>
      <c r="Q125" s="35"/>
      <c r="R125" s="35"/>
      <c r="S125" s="35"/>
      <c r="T125" s="1"/>
      <c r="U125" s="1"/>
      <c r="V125" s="1"/>
    </row>
    <row r="126" ht="17.25" customHeight="1">
      <c r="A126" s="13"/>
      <c r="B126" s="13" t="s">
        <v>64</v>
      </c>
      <c r="C126" s="13" t="s">
        <v>213</v>
      </c>
      <c r="D126" s="66" t="s">
        <v>22</v>
      </c>
      <c r="E126" s="15"/>
      <c r="F126" s="16">
        <v>1.0</v>
      </c>
      <c r="G126" s="34">
        <v>100.0</v>
      </c>
      <c r="H126" s="17">
        <f t="shared" si="10"/>
        <v>100</v>
      </c>
      <c r="I126" s="18"/>
      <c r="J126" s="18"/>
      <c r="K126" s="13"/>
      <c r="L126" s="13"/>
      <c r="M126" s="19"/>
      <c r="N126" s="13"/>
      <c r="O126" s="19"/>
      <c r="P126" s="19"/>
      <c r="Q126" s="35"/>
      <c r="R126" s="35"/>
      <c r="S126" s="35"/>
      <c r="T126" s="1"/>
      <c r="U126" s="1"/>
      <c r="V126" s="1"/>
    </row>
    <row r="127" ht="16.5" customHeight="1">
      <c r="A127" s="13"/>
      <c r="B127" s="13" t="s">
        <v>64</v>
      </c>
      <c r="C127" s="13" t="s">
        <v>214</v>
      </c>
      <c r="D127" s="66" t="s">
        <v>22</v>
      </c>
      <c r="E127" s="15"/>
      <c r="F127" s="16">
        <v>1.0</v>
      </c>
      <c r="G127" s="17">
        <v>500.0</v>
      </c>
      <c r="H127" s="17">
        <f t="shared" si="10"/>
        <v>500</v>
      </c>
      <c r="I127" s="18"/>
      <c r="J127" s="18"/>
      <c r="K127" s="13"/>
      <c r="L127" s="13"/>
      <c r="M127" s="19"/>
      <c r="N127" s="13"/>
      <c r="O127" s="19"/>
      <c r="P127" s="19"/>
      <c r="Q127" s="35"/>
      <c r="R127" s="35"/>
      <c r="S127" s="35"/>
      <c r="T127" s="1"/>
      <c r="U127" s="1"/>
      <c r="V127" s="1"/>
    </row>
    <row r="128" ht="15.75" customHeight="1">
      <c r="A128" s="13"/>
      <c r="B128" s="43" t="s">
        <v>85</v>
      </c>
      <c r="C128" s="13" t="s">
        <v>215</v>
      </c>
      <c r="D128" s="101" t="s">
        <v>32</v>
      </c>
      <c r="E128" s="154">
        <v>101272.0</v>
      </c>
      <c r="F128" s="40">
        <v>14.0</v>
      </c>
      <c r="G128" s="34">
        <v>201.3</v>
      </c>
      <c r="H128" s="17">
        <f t="shared" si="10"/>
        <v>2818.2</v>
      </c>
      <c r="I128" s="18"/>
      <c r="J128" s="18"/>
      <c r="K128" s="43"/>
      <c r="L128" s="27"/>
      <c r="M128" s="28"/>
      <c r="N128" s="27"/>
      <c r="O128" s="27"/>
      <c r="P128" s="27"/>
      <c r="Q128" s="35"/>
      <c r="R128" s="35"/>
      <c r="S128" s="35"/>
      <c r="T128" s="1"/>
      <c r="U128" s="1"/>
      <c r="V128" s="1"/>
    </row>
    <row r="129" ht="15.75" hidden="1" customHeight="1">
      <c r="A129" s="13"/>
      <c r="B129" s="13"/>
      <c r="C129" s="13" t="s">
        <v>216</v>
      </c>
      <c r="D129" s="70" t="s">
        <v>24</v>
      </c>
      <c r="E129" s="15"/>
      <c r="F129" s="16">
        <v>0.0</v>
      </c>
      <c r="G129" s="17">
        <v>38.0</v>
      </c>
      <c r="H129" s="17">
        <f t="shared" si="10"/>
        <v>0</v>
      </c>
      <c r="I129" s="18"/>
      <c r="J129" s="18"/>
      <c r="K129" s="13"/>
      <c r="L129" s="27"/>
      <c r="M129" s="28"/>
      <c r="N129" s="27"/>
      <c r="O129" s="27"/>
      <c r="P129" s="27"/>
      <c r="Q129" s="35"/>
      <c r="R129" s="35"/>
      <c r="S129" s="35"/>
      <c r="T129" s="1"/>
      <c r="U129" s="1"/>
      <c r="V129" s="1"/>
    </row>
    <row r="130" ht="15.75" hidden="1" customHeight="1">
      <c r="A130" s="13"/>
      <c r="B130" s="13" t="s">
        <v>217</v>
      </c>
      <c r="C130" s="13" t="s">
        <v>218</v>
      </c>
      <c r="D130" s="101" t="s">
        <v>32</v>
      </c>
      <c r="E130" s="154"/>
      <c r="F130" s="40">
        <v>0.0</v>
      </c>
      <c r="G130" s="34">
        <v>2247.3</v>
      </c>
      <c r="H130" s="17">
        <f t="shared" si="10"/>
        <v>0</v>
      </c>
      <c r="I130" s="18"/>
      <c r="J130" s="18"/>
      <c r="K130" s="13"/>
      <c r="L130" s="27"/>
      <c r="M130" s="27"/>
      <c r="N130" s="27"/>
      <c r="O130" s="27"/>
      <c r="P130" s="27"/>
      <c r="Q130" s="35"/>
      <c r="R130" s="35"/>
      <c r="S130" s="35"/>
      <c r="T130" s="1"/>
      <c r="U130" s="1"/>
      <c r="V130" s="1"/>
    </row>
    <row r="131" ht="15.75" customHeight="1">
      <c r="A131" s="13"/>
      <c r="B131" s="13" t="s">
        <v>219</v>
      </c>
      <c r="C131" s="13" t="s">
        <v>220</v>
      </c>
      <c r="D131" s="14" t="s">
        <v>20</v>
      </c>
      <c r="E131" s="15"/>
      <c r="F131" s="16">
        <v>1.0</v>
      </c>
      <c r="G131" s="34">
        <v>800.0</v>
      </c>
      <c r="H131" s="17">
        <f t="shared" si="10"/>
        <v>800</v>
      </c>
      <c r="I131" s="18"/>
      <c r="J131" s="18"/>
      <c r="K131" s="13"/>
      <c r="L131" s="13"/>
      <c r="M131" s="13"/>
      <c r="N131" s="13"/>
      <c r="O131" s="13"/>
      <c r="P131" s="13"/>
      <c r="Q131" s="35"/>
      <c r="R131" s="35"/>
      <c r="S131" s="35"/>
      <c r="T131" s="1"/>
      <c r="U131" s="1"/>
      <c r="V131" s="1"/>
    </row>
    <row r="132" ht="15.75" hidden="1" customHeight="1">
      <c r="A132" s="13"/>
      <c r="B132" s="13"/>
      <c r="C132" s="13" t="s">
        <v>221</v>
      </c>
      <c r="D132" s="70" t="s">
        <v>24</v>
      </c>
      <c r="E132" s="15"/>
      <c r="F132" s="16">
        <v>0.0</v>
      </c>
      <c r="G132" s="17">
        <v>40.0</v>
      </c>
      <c r="H132" s="17">
        <f t="shared" si="10"/>
        <v>0</v>
      </c>
      <c r="I132" s="18"/>
      <c r="J132" s="18"/>
      <c r="K132" s="13"/>
      <c r="L132" s="13"/>
      <c r="M132" s="13"/>
      <c r="N132" s="13"/>
      <c r="O132" s="13"/>
      <c r="P132" s="13"/>
      <c r="Q132" s="35"/>
      <c r="R132" s="35"/>
      <c r="S132" s="35"/>
      <c r="T132" s="1"/>
      <c r="U132" s="1"/>
      <c r="V132" s="1"/>
    </row>
    <row r="133" ht="15.75" hidden="1" customHeight="1">
      <c r="A133" s="13"/>
      <c r="B133" s="13"/>
      <c r="C133" s="18" t="s">
        <v>222</v>
      </c>
      <c r="D133" s="70" t="s">
        <v>24</v>
      </c>
      <c r="E133" s="15"/>
      <c r="F133" s="16">
        <v>0.0</v>
      </c>
      <c r="G133" s="17">
        <v>40.0</v>
      </c>
      <c r="H133" s="17">
        <f t="shared" si="10"/>
        <v>0</v>
      </c>
      <c r="I133" s="18"/>
      <c r="J133" s="18"/>
      <c r="K133" s="13"/>
      <c r="L133" s="63"/>
      <c r="M133" s="63"/>
      <c r="N133" s="63"/>
      <c r="O133" s="63"/>
      <c r="P133" s="63"/>
      <c r="Q133" s="35"/>
      <c r="R133" s="35"/>
      <c r="S133" s="35"/>
      <c r="T133" s="1"/>
      <c r="U133" s="1"/>
      <c r="V133" s="1"/>
    </row>
    <row r="134" ht="15.75" customHeight="1">
      <c r="A134" s="13"/>
      <c r="B134" s="13" t="s">
        <v>219</v>
      </c>
      <c r="C134" s="18" t="s">
        <v>41</v>
      </c>
      <c r="D134" s="14" t="s">
        <v>20</v>
      </c>
      <c r="E134" s="15" t="s">
        <v>223</v>
      </c>
      <c r="F134" s="40">
        <v>1.0</v>
      </c>
      <c r="G134" s="34">
        <v>500.0</v>
      </c>
      <c r="H134" s="17">
        <f t="shared" si="10"/>
        <v>500</v>
      </c>
      <c r="I134" s="18"/>
      <c r="J134" s="18"/>
      <c r="K134" s="13"/>
      <c r="L134" s="13"/>
      <c r="M134" s="13"/>
      <c r="N134" s="13"/>
      <c r="O134" s="13"/>
      <c r="P134" s="13"/>
      <c r="Q134" s="35"/>
      <c r="R134" s="35"/>
      <c r="S134" s="35"/>
      <c r="T134" s="1"/>
      <c r="U134" s="1"/>
      <c r="V134" s="1"/>
    </row>
    <row r="135" ht="15.75" hidden="1" customHeight="1">
      <c r="A135" s="13"/>
      <c r="B135" s="13"/>
      <c r="C135" s="18" t="s">
        <v>65</v>
      </c>
      <c r="D135" s="14" t="s">
        <v>20</v>
      </c>
      <c r="E135" s="15"/>
      <c r="F135" s="16">
        <v>0.0</v>
      </c>
      <c r="G135" s="17">
        <v>300.0</v>
      </c>
      <c r="H135" s="17">
        <f t="shared" si="10"/>
        <v>0</v>
      </c>
      <c r="I135" s="18"/>
      <c r="J135" s="18"/>
      <c r="K135" s="13"/>
      <c r="L135" s="13"/>
      <c r="M135" s="13"/>
      <c r="N135" s="13"/>
      <c r="O135" s="13"/>
      <c r="P135" s="13"/>
      <c r="Q135" s="35"/>
      <c r="R135" s="35"/>
      <c r="S135" s="35"/>
      <c r="T135" s="1"/>
      <c r="U135" s="1"/>
      <c r="V135" s="1"/>
    </row>
    <row r="136" ht="15.75" hidden="1" customHeight="1">
      <c r="A136" s="13"/>
      <c r="B136" s="13"/>
      <c r="C136" s="18" t="s">
        <v>224</v>
      </c>
      <c r="D136" s="70" t="s">
        <v>24</v>
      </c>
      <c r="E136" s="15"/>
      <c r="F136" s="16">
        <v>0.0</v>
      </c>
      <c r="G136" s="17">
        <v>17.0</v>
      </c>
      <c r="H136" s="17">
        <f t="shared" si="10"/>
        <v>0</v>
      </c>
      <c r="I136" s="18"/>
      <c r="J136" s="18"/>
      <c r="K136" s="13"/>
      <c r="L136" s="13"/>
      <c r="M136" s="13"/>
      <c r="N136" s="13"/>
      <c r="O136" s="13"/>
      <c r="P136" s="13"/>
      <c r="Q136" s="35"/>
      <c r="R136" s="35"/>
      <c r="S136" s="35"/>
      <c r="T136" s="1"/>
      <c r="U136" s="1"/>
      <c r="V136" s="1"/>
    </row>
    <row r="137" ht="15.75" hidden="1" customHeight="1">
      <c r="A137" s="13"/>
      <c r="B137" s="13"/>
      <c r="C137" s="18" t="s">
        <v>225</v>
      </c>
      <c r="D137" s="70" t="s">
        <v>24</v>
      </c>
      <c r="E137" s="15"/>
      <c r="F137" s="16">
        <v>0.0</v>
      </c>
      <c r="G137" s="17">
        <v>115.0</v>
      </c>
      <c r="H137" s="17">
        <f t="shared" si="10"/>
        <v>0</v>
      </c>
      <c r="I137" s="18"/>
      <c r="J137" s="18"/>
      <c r="K137" s="13"/>
      <c r="L137" s="13"/>
      <c r="M137" s="13"/>
      <c r="N137" s="13"/>
      <c r="O137" s="13"/>
      <c r="P137" s="13"/>
      <c r="Q137" s="35"/>
      <c r="R137" s="35"/>
      <c r="S137" s="35"/>
      <c r="T137" s="1"/>
      <c r="U137" s="1"/>
      <c r="V137" s="1"/>
    </row>
    <row r="138" ht="15.75" hidden="1" customHeight="1">
      <c r="A138" s="13"/>
      <c r="B138" s="13" t="s">
        <v>18</v>
      </c>
      <c r="C138" s="18" t="s">
        <v>226</v>
      </c>
      <c r="D138" s="14" t="s">
        <v>20</v>
      </c>
      <c r="E138" s="155" t="s">
        <v>227</v>
      </c>
      <c r="F138" s="40">
        <v>0.0</v>
      </c>
      <c r="G138" s="34">
        <v>264.0</v>
      </c>
      <c r="H138" s="17">
        <f t="shared" si="10"/>
        <v>0</v>
      </c>
      <c r="I138" s="18"/>
      <c r="J138" s="18"/>
      <c r="K138" s="13"/>
      <c r="L138" s="13"/>
      <c r="M138" s="13"/>
      <c r="N138" s="13"/>
      <c r="O138" s="13"/>
      <c r="P138" s="13"/>
      <c r="Q138" s="35"/>
      <c r="R138" s="35"/>
      <c r="S138" s="35"/>
      <c r="T138" s="1"/>
      <c r="U138" s="1"/>
      <c r="V138" s="1"/>
    </row>
    <row r="139" ht="15.75" hidden="1" customHeight="1">
      <c r="A139" s="13"/>
      <c r="B139" s="13" t="s">
        <v>228</v>
      </c>
      <c r="C139" s="18" t="s">
        <v>229</v>
      </c>
      <c r="D139" s="14" t="s">
        <v>20</v>
      </c>
      <c r="E139" s="15"/>
      <c r="F139" s="40">
        <v>0.0</v>
      </c>
      <c r="G139" s="17">
        <v>30.0</v>
      </c>
      <c r="H139" s="17">
        <f t="shared" si="10"/>
        <v>0</v>
      </c>
      <c r="I139" s="18"/>
      <c r="J139" s="18"/>
      <c r="K139" s="13"/>
      <c r="L139" s="13"/>
      <c r="M139" s="13"/>
      <c r="N139" s="13"/>
      <c r="O139" s="13"/>
      <c r="P139" s="13"/>
      <c r="Q139" s="35"/>
      <c r="R139" s="35"/>
      <c r="S139" s="35"/>
      <c r="T139" s="1"/>
      <c r="U139" s="1"/>
      <c r="V139" s="1"/>
    </row>
    <row r="140" ht="15.75" customHeight="1">
      <c r="A140" s="13"/>
      <c r="B140" s="43" t="s">
        <v>18</v>
      </c>
      <c r="C140" s="156" t="s">
        <v>230</v>
      </c>
      <c r="D140" s="14" t="s">
        <v>20</v>
      </c>
      <c r="E140" s="157" t="s">
        <v>231</v>
      </c>
      <c r="F140" s="158">
        <v>4.0</v>
      </c>
      <c r="G140" s="159">
        <v>35.0</v>
      </c>
      <c r="H140" s="50">
        <f t="shared" si="10"/>
        <v>140</v>
      </c>
      <c r="I140" s="18"/>
      <c r="J140" s="18"/>
      <c r="K140" s="13"/>
      <c r="L140" s="13"/>
      <c r="M140" s="13"/>
      <c r="N140" s="13"/>
      <c r="O140" s="13"/>
      <c r="P140" s="13"/>
      <c r="Q140" s="35"/>
      <c r="R140" s="35"/>
      <c r="S140" s="35"/>
      <c r="T140" s="1"/>
      <c r="U140" s="1"/>
      <c r="V140" s="1"/>
    </row>
    <row r="141" ht="15.75" customHeight="1">
      <c r="A141" s="13"/>
      <c r="B141" s="43"/>
      <c r="C141" s="156" t="s">
        <v>232</v>
      </c>
      <c r="D141" s="70" t="s">
        <v>24</v>
      </c>
      <c r="E141" s="160"/>
      <c r="F141" s="158">
        <v>1.0</v>
      </c>
      <c r="G141" s="159">
        <v>150.0</v>
      </c>
      <c r="H141" s="50">
        <f t="shared" si="10"/>
        <v>150</v>
      </c>
      <c r="I141" s="18"/>
      <c r="J141" s="18"/>
      <c r="K141" s="13"/>
      <c r="L141" s="13"/>
      <c r="M141" s="13"/>
      <c r="N141" s="13"/>
      <c r="O141" s="13"/>
      <c r="P141" s="13"/>
      <c r="Q141" s="35"/>
      <c r="R141" s="35"/>
      <c r="S141" s="35"/>
      <c r="T141" s="1"/>
      <c r="U141" s="1"/>
      <c r="V141" s="1"/>
    </row>
    <row r="142" ht="15.75" hidden="1" customHeight="1">
      <c r="A142" s="13"/>
      <c r="B142" s="13" t="s">
        <v>18</v>
      </c>
      <c r="C142" s="18" t="s">
        <v>27</v>
      </c>
      <c r="D142" s="14" t="s">
        <v>20</v>
      </c>
      <c r="E142" s="15" t="s">
        <v>28</v>
      </c>
      <c r="F142" s="16">
        <v>0.0</v>
      </c>
      <c r="G142" s="17">
        <v>69.0</v>
      </c>
      <c r="H142" s="17">
        <v>59.99</v>
      </c>
      <c r="I142" s="18"/>
      <c r="J142" s="18"/>
      <c r="K142" s="13"/>
      <c r="L142" s="27"/>
      <c r="M142" s="27"/>
      <c r="N142" s="27"/>
      <c r="O142" s="27"/>
      <c r="P142" s="27"/>
      <c r="Q142" s="35"/>
      <c r="R142" s="35"/>
      <c r="S142" s="35"/>
      <c r="T142" s="1"/>
      <c r="U142" s="1"/>
      <c r="V142" s="1"/>
    </row>
    <row r="143" ht="23.25" customHeight="1">
      <c r="A143" s="6"/>
      <c r="B143" s="6" t="s">
        <v>233</v>
      </c>
      <c r="C143" s="7">
        <f>SUM(H144:H191)</f>
        <v>9553.6</v>
      </c>
      <c r="D143" s="161"/>
      <c r="E143" s="148"/>
      <c r="F143" s="83"/>
      <c r="G143" s="162"/>
      <c r="H143" s="162"/>
      <c r="I143" s="83"/>
      <c r="J143" s="82"/>
      <c r="K143" s="81"/>
      <c r="L143" s="83"/>
      <c r="M143" s="83"/>
      <c r="N143" s="83"/>
      <c r="O143" s="83"/>
      <c r="P143" s="83"/>
      <c r="Q143" s="35"/>
      <c r="R143" s="35"/>
      <c r="S143" s="35"/>
      <c r="T143" s="1"/>
      <c r="U143" s="1"/>
      <c r="V143" s="1"/>
    </row>
    <row r="144" ht="15.75" hidden="1" customHeight="1">
      <c r="A144" s="13"/>
      <c r="B144" s="13" t="s">
        <v>18</v>
      </c>
      <c r="C144" s="13" t="s">
        <v>27</v>
      </c>
      <c r="D144" s="14" t="s">
        <v>20</v>
      </c>
      <c r="E144" s="15" t="s">
        <v>28</v>
      </c>
      <c r="F144" s="16">
        <v>0.0</v>
      </c>
      <c r="G144" s="17">
        <v>69.0</v>
      </c>
      <c r="H144" s="17">
        <f t="shared" ref="H144:H191" si="11">SUM(F144*G144)</f>
        <v>0</v>
      </c>
      <c r="I144" s="18"/>
      <c r="J144" s="18"/>
      <c r="K144" s="13"/>
      <c r="L144" s="13"/>
      <c r="M144" s="13"/>
      <c r="N144" s="13"/>
      <c r="O144" s="13"/>
      <c r="P144" s="13"/>
      <c r="Q144" s="35"/>
      <c r="R144" s="35"/>
      <c r="S144" s="35"/>
      <c r="T144" s="1"/>
      <c r="U144" s="1"/>
      <c r="V144" s="1"/>
    </row>
    <row r="145" ht="15.75" hidden="1" customHeight="1">
      <c r="A145" s="13"/>
      <c r="B145" s="13" t="s">
        <v>234</v>
      </c>
      <c r="C145" s="13" t="s">
        <v>235</v>
      </c>
      <c r="D145" s="101" t="s">
        <v>32</v>
      </c>
      <c r="E145" s="15" t="s">
        <v>236</v>
      </c>
      <c r="F145" s="16">
        <v>0.0</v>
      </c>
      <c r="G145" s="17">
        <v>368.0</v>
      </c>
      <c r="H145" s="17">
        <f t="shared" si="11"/>
        <v>0</v>
      </c>
      <c r="I145" s="18"/>
      <c r="J145" s="18"/>
      <c r="K145" s="13"/>
      <c r="L145" s="13"/>
      <c r="M145" s="13"/>
      <c r="N145" s="13"/>
      <c r="O145" s="13"/>
      <c r="P145" s="13"/>
      <c r="Q145" s="35"/>
      <c r="R145" s="35"/>
      <c r="S145" s="35"/>
      <c r="T145" s="1"/>
      <c r="U145" s="1"/>
      <c r="V145" s="1"/>
    </row>
    <row r="146" ht="15.75" customHeight="1">
      <c r="A146" s="13"/>
      <c r="B146" s="13" t="s">
        <v>217</v>
      </c>
      <c r="C146" s="13" t="s">
        <v>237</v>
      </c>
      <c r="D146" s="101" t="s">
        <v>32</v>
      </c>
      <c r="E146" s="154">
        <v>81857.0</v>
      </c>
      <c r="F146" s="16">
        <v>1.0</v>
      </c>
      <c r="G146" s="34">
        <v>690.0</v>
      </c>
      <c r="H146" s="17">
        <f t="shared" si="11"/>
        <v>690</v>
      </c>
      <c r="I146" s="18"/>
      <c r="J146" s="18"/>
      <c r="K146" s="43" t="s">
        <v>956</v>
      </c>
      <c r="L146" s="27"/>
      <c r="M146" s="28"/>
      <c r="N146" s="27"/>
      <c r="O146" s="27"/>
      <c r="P146" s="27"/>
      <c r="Q146" s="35"/>
      <c r="R146" s="35"/>
      <c r="S146" s="35"/>
      <c r="T146" s="1"/>
      <c r="U146" s="1"/>
      <c r="V146" s="1"/>
    </row>
    <row r="147" ht="15.75" hidden="1" customHeight="1">
      <c r="A147" s="13"/>
      <c r="B147" s="13"/>
      <c r="C147" s="13" t="s">
        <v>238</v>
      </c>
      <c r="D147" s="14" t="s">
        <v>20</v>
      </c>
      <c r="E147" s="15" t="s">
        <v>223</v>
      </c>
      <c r="F147" s="16">
        <v>0.0</v>
      </c>
      <c r="G147" s="17">
        <v>100.0</v>
      </c>
      <c r="H147" s="17">
        <f t="shared" si="11"/>
        <v>0</v>
      </c>
      <c r="I147" s="18"/>
      <c r="J147" s="18"/>
      <c r="K147" s="13"/>
      <c r="L147" s="13"/>
      <c r="M147" s="19"/>
      <c r="N147" s="13"/>
      <c r="O147" s="38"/>
      <c r="P147" s="19"/>
      <c r="Q147" s="35"/>
      <c r="R147" s="35"/>
      <c r="S147" s="35"/>
      <c r="T147" s="1"/>
      <c r="U147" s="1"/>
      <c r="V147" s="1"/>
    </row>
    <row r="148" ht="15.75" customHeight="1">
      <c r="A148" s="13"/>
      <c r="B148" s="13" t="s">
        <v>239</v>
      </c>
      <c r="C148" s="43" t="s">
        <v>240</v>
      </c>
      <c r="D148" s="14" t="s">
        <v>20</v>
      </c>
      <c r="E148" s="15"/>
      <c r="F148" s="16">
        <v>1.0</v>
      </c>
      <c r="G148" s="34">
        <v>1907.0</v>
      </c>
      <c r="H148" s="17">
        <f t="shared" si="11"/>
        <v>1907</v>
      </c>
      <c r="I148" s="18"/>
      <c r="J148" s="18"/>
      <c r="K148" s="13"/>
      <c r="L148" s="13"/>
      <c r="M148" s="13"/>
      <c r="N148" s="13"/>
      <c r="O148" s="13"/>
      <c r="P148" s="13"/>
      <c r="Q148" s="35"/>
      <c r="R148" s="35"/>
      <c r="S148" s="35"/>
      <c r="T148" s="1"/>
      <c r="U148" s="1"/>
      <c r="V148" s="1"/>
    </row>
    <row r="149" ht="15.75" customHeight="1">
      <c r="A149" s="13"/>
      <c r="B149" s="13"/>
      <c r="C149" s="13" t="s">
        <v>241</v>
      </c>
      <c r="D149" s="70" t="s">
        <v>24</v>
      </c>
      <c r="E149" s="15"/>
      <c r="F149" s="16">
        <v>1.0</v>
      </c>
      <c r="G149" s="34">
        <v>140.0</v>
      </c>
      <c r="H149" s="17">
        <f t="shared" si="11"/>
        <v>140</v>
      </c>
      <c r="I149" s="18"/>
      <c r="J149" s="18"/>
      <c r="K149" s="13"/>
      <c r="L149" s="13"/>
      <c r="M149" s="13"/>
      <c r="N149" s="13"/>
      <c r="O149" s="13"/>
      <c r="P149" s="13"/>
      <c r="Q149" s="35"/>
      <c r="R149" s="35"/>
      <c r="S149" s="35"/>
      <c r="T149" s="1"/>
      <c r="U149" s="1"/>
      <c r="V149" s="1"/>
    </row>
    <row r="150" ht="15.75" hidden="1" customHeight="1">
      <c r="A150" s="13"/>
      <c r="B150" s="13"/>
      <c r="C150" s="13" t="s">
        <v>199</v>
      </c>
      <c r="D150" s="70" t="s">
        <v>24</v>
      </c>
      <c r="E150" s="15"/>
      <c r="F150" s="16">
        <v>0.0</v>
      </c>
      <c r="G150" s="17">
        <v>80.0</v>
      </c>
      <c r="H150" s="17">
        <f t="shared" si="11"/>
        <v>0</v>
      </c>
      <c r="I150" s="18"/>
      <c r="J150" s="18"/>
      <c r="K150" s="13"/>
      <c r="L150" s="13"/>
      <c r="M150" s="13"/>
      <c r="N150" s="13"/>
      <c r="O150" s="13"/>
      <c r="P150" s="13"/>
      <c r="Q150" s="35"/>
      <c r="R150" s="35"/>
      <c r="S150" s="35"/>
      <c r="T150" s="1"/>
      <c r="U150" s="1"/>
      <c r="V150" s="1"/>
    </row>
    <row r="151" ht="15.75" customHeight="1">
      <c r="A151" s="13"/>
      <c r="B151" s="13"/>
      <c r="C151" s="13" t="s">
        <v>242</v>
      </c>
      <c r="D151" s="14" t="s">
        <v>20</v>
      </c>
      <c r="E151" s="15"/>
      <c r="F151" s="40">
        <v>1.0</v>
      </c>
      <c r="G151" s="17">
        <v>150.0</v>
      </c>
      <c r="H151" s="17">
        <f t="shared" si="11"/>
        <v>150</v>
      </c>
      <c r="I151" s="18"/>
      <c r="J151" s="18"/>
      <c r="K151" s="13"/>
      <c r="L151" s="13"/>
      <c r="M151" s="13"/>
      <c r="N151" s="13"/>
      <c r="O151" s="13"/>
      <c r="P151" s="13"/>
      <c r="Q151" s="35"/>
      <c r="R151" s="35"/>
      <c r="S151" s="35"/>
      <c r="T151" s="1"/>
      <c r="U151" s="1"/>
      <c r="V151" s="1"/>
    </row>
    <row r="152" ht="15.75" customHeight="1">
      <c r="A152" s="13"/>
      <c r="B152" s="13" t="s">
        <v>18</v>
      </c>
      <c r="C152" s="13" t="s">
        <v>243</v>
      </c>
      <c r="D152" s="14" t="s">
        <v>20</v>
      </c>
      <c r="E152" s="163" t="s">
        <v>244</v>
      </c>
      <c r="F152" s="16">
        <v>1.0</v>
      </c>
      <c r="G152" s="34">
        <v>204.0</v>
      </c>
      <c r="H152" s="17">
        <f t="shared" si="11"/>
        <v>204</v>
      </c>
      <c r="I152" s="18"/>
      <c r="J152" s="18"/>
      <c r="K152" s="13"/>
      <c r="L152" s="27"/>
      <c r="M152" s="27"/>
      <c r="N152" s="27"/>
      <c r="O152" s="27"/>
      <c r="P152" s="27"/>
      <c r="Q152" s="35"/>
      <c r="R152" s="35"/>
      <c r="S152" s="35"/>
      <c r="T152" s="1"/>
      <c r="U152" s="1"/>
      <c r="V152" s="1"/>
    </row>
    <row r="153" ht="15.75" customHeight="1">
      <c r="A153" s="13"/>
      <c r="B153" s="13"/>
      <c r="C153" s="13" t="s">
        <v>245</v>
      </c>
      <c r="D153" s="70" t="s">
        <v>24</v>
      </c>
      <c r="E153" s="15"/>
      <c r="F153" s="16">
        <v>1.0</v>
      </c>
      <c r="G153" s="17">
        <v>120.0</v>
      </c>
      <c r="H153" s="17">
        <f t="shared" si="11"/>
        <v>120</v>
      </c>
      <c r="I153" s="18"/>
      <c r="J153" s="18"/>
      <c r="K153" s="13"/>
      <c r="L153" s="13"/>
      <c r="M153" s="13"/>
      <c r="N153" s="13"/>
      <c r="O153" s="13"/>
      <c r="P153" s="13"/>
      <c r="Q153" s="35"/>
      <c r="R153" s="35"/>
      <c r="S153" s="35"/>
      <c r="T153" s="1"/>
      <c r="U153" s="1"/>
      <c r="V153" s="1"/>
    </row>
    <row r="154" ht="15.75" customHeight="1">
      <c r="A154" s="13"/>
      <c r="B154" s="13" t="s">
        <v>18</v>
      </c>
      <c r="C154" s="13" t="s">
        <v>246</v>
      </c>
      <c r="D154" s="14" t="s">
        <v>20</v>
      </c>
      <c r="E154" s="15"/>
      <c r="F154" s="16">
        <v>8.0</v>
      </c>
      <c r="G154" s="17">
        <v>5.0</v>
      </c>
      <c r="H154" s="17">
        <f t="shared" si="11"/>
        <v>40</v>
      </c>
      <c r="I154" s="18"/>
      <c r="J154" s="18"/>
      <c r="K154" s="13"/>
      <c r="L154" s="27"/>
      <c r="M154" s="27"/>
      <c r="N154" s="27"/>
      <c r="O154" s="27"/>
      <c r="P154" s="27"/>
      <c r="Q154" s="35"/>
      <c r="R154" s="35"/>
      <c r="S154" s="35"/>
      <c r="T154" s="1"/>
      <c r="U154" s="1"/>
      <c r="V154" s="1"/>
    </row>
    <row r="155" ht="15.75" customHeight="1">
      <c r="A155" s="13"/>
      <c r="B155" s="13" t="s">
        <v>18</v>
      </c>
      <c r="C155" s="13" t="s">
        <v>247</v>
      </c>
      <c r="D155" s="14" t="s">
        <v>20</v>
      </c>
      <c r="E155" s="15" t="s">
        <v>248</v>
      </c>
      <c r="F155" s="40">
        <v>2.0</v>
      </c>
      <c r="G155" s="17">
        <v>10.0</v>
      </c>
      <c r="H155" s="17">
        <f t="shared" si="11"/>
        <v>20</v>
      </c>
      <c r="I155" s="18"/>
      <c r="J155" s="18"/>
      <c r="K155" s="13"/>
      <c r="L155" s="27"/>
      <c r="M155" s="27"/>
      <c r="N155" s="27"/>
      <c r="O155" s="27"/>
      <c r="P155" s="27"/>
      <c r="Q155" s="35"/>
      <c r="R155" s="35"/>
      <c r="S155" s="35"/>
      <c r="T155" s="1"/>
      <c r="U155" s="1"/>
      <c r="V155" s="1"/>
    </row>
    <row r="156" ht="15.75" customHeight="1">
      <c r="A156" s="13"/>
      <c r="B156" s="13"/>
      <c r="C156" s="13" t="s">
        <v>208</v>
      </c>
      <c r="D156" s="70" t="s">
        <v>24</v>
      </c>
      <c r="E156" s="15"/>
      <c r="F156" s="40">
        <v>1.0</v>
      </c>
      <c r="G156" s="17">
        <v>210.0</v>
      </c>
      <c r="H156" s="17">
        <f t="shared" si="11"/>
        <v>210</v>
      </c>
      <c r="I156" s="18"/>
      <c r="J156" s="18"/>
      <c r="K156" s="13"/>
      <c r="L156" s="27"/>
      <c r="M156" s="27"/>
      <c r="N156" s="27"/>
      <c r="O156" s="27"/>
      <c r="P156" s="27"/>
      <c r="Q156" s="35"/>
      <c r="R156" s="35"/>
      <c r="S156" s="35"/>
      <c r="T156" s="1"/>
      <c r="U156" s="1"/>
      <c r="V156" s="1"/>
    </row>
    <row r="157" ht="15.75" hidden="1" customHeight="1">
      <c r="A157" s="13"/>
      <c r="B157" s="13" t="s">
        <v>18</v>
      </c>
      <c r="C157" s="13" t="s">
        <v>249</v>
      </c>
      <c r="D157" s="14" t="s">
        <v>20</v>
      </c>
      <c r="E157" s="15"/>
      <c r="F157" s="16">
        <v>0.0</v>
      </c>
      <c r="G157" s="17">
        <v>5.0</v>
      </c>
      <c r="H157" s="17">
        <f t="shared" si="11"/>
        <v>0</v>
      </c>
      <c r="I157" s="18"/>
      <c r="J157" s="18"/>
      <c r="K157" s="13"/>
      <c r="L157" s="27"/>
      <c r="M157" s="27"/>
      <c r="N157" s="27"/>
      <c r="O157" s="27"/>
      <c r="P157" s="27"/>
      <c r="Q157" s="35"/>
      <c r="R157" s="35"/>
      <c r="S157" s="35"/>
      <c r="T157" s="1"/>
      <c r="U157" s="1"/>
      <c r="V157" s="1"/>
    </row>
    <row r="158" ht="15.75" customHeight="1">
      <c r="A158" s="13"/>
      <c r="B158" s="13" t="s">
        <v>64</v>
      </c>
      <c r="C158" s="13" t="s">
        <v>250</v>
      </c>
      <c r="D158" s="66" t="s">
        <v>22</v>
      </c>
      <c r="E158" s="15"/>
      <c r="F158" s="16">
        <v>2.0</v>
      </c>
      <c r="G158" s="17">
        <v>200.0</v>
      </c>
      <c r="H158" s="17">
        <f t="shared" si="11"/>
        <v>400</v>
      </c>
      <c r="I158" s="18"/>
      <c r="J158" s="18"/>
      <c r="K158" s="13"/>
      <c r="L158" s="13"/>
      <c r="M158" s="13"/>
      <c r="N158" s="13"/>
      <c r="O158" s="13"/>
      <c r="P158" s="13"/>
      <c r="Q158" s="35"/>
      <c r="R158" s="35"/>
      <c r="S158" s="35"/>
      <c r="T158" s="1"/>
      <c r="U158" s="1"/>
      <c r="V158" s="1"/>
    </row>
    <row r="159" ht="15.75" hidden="1" customHeight="1">
      <c r="A159" s="13"/>
      <c r="B159" s="13"/>
      <c r="C159" s="13" t="s">
        <v>251</v>
      </c>
      <c r="D159" s="101" t="s">
        <v>32</v>
      </c>
      <c r="E159" s="15"/>
      <c r="F159" s="16">
        <v>0.0</v>
      </c>
      <c r="G159" s="17">
        <v>0.0</v>
      </c>
      <c r="H159" s="17">
        <f t="shared" si="11"/>
        <v>0</v>
      </c>
      <c r="I159" s="18"/>
      <c r="J159" s="18"/>
      <c r="K159" s="13"/>
      <c r="L159" s="13"/>
      <c r="M159" s="13"/>
      <c r="N159" s="13"/>
      <c r="O159" s="13"/>
      <c r="P159" s="13"/>
      <c r="Q159" s="35"/>
      <c r="R159" s="35"/>
      <c r="S159" s="35"/>
      <c r="T159" s="1"/>
      <c r="U159" s="1"/>
      <c r="V159" s="1"/>
    </row>
    <row r="160" ht="15.75" hidden="1" customHeight="1">
      <c r="A160" s="13"/>
      <c r="B160" s="13" t="s">
        <v>18</v>
      </c>
      <c r="C160" s="13" t="s">
        <v>252</v>
      </c>
      <c r="D160" s="14" t="s">
        <v>20</v>
      </c>
      <c r="E160" s="155" t="s">
        <v>253</v>
      </c>
      <c r="F160" s="40">
        <v>0.0</v>
      </c>
      <c r="G160" s="17">
        <v>400.0</v>
      </c>
      <c r="H160" s="17">
        <f t="shared" si="11"/>
        <v>0</v>
      </c>
      <c r="I160" s="18"/>
      <c r="J160" s="18"/>
      <c r="K160" s="13"/>
      <c r="L160" s="27"/>
      <c r="M160" s="27"/>
      <c r="N160" s="27"/>
      <c r="O160" s="27"/>
      <c r="P160" s="27"/>
      <c r="Q160" s="35"/>
      <c r="R160" s="35"/>
      <c r="S160" s="35"/>
      <c r="T160" s="1"/>
      <c r="U160" s="1"/>
      <c r="V160" s="1"/>
    </row>
    <row r="161" ht="15.75" hidden="1" customHeight="1">
      <c r="A161" s="13"/>
      <c r="B161" s="13" t="s">
        <v>18</v>
      </c>
      <c r="C161" s="13" t="s">
        <v>254</v>
      </c>
      <c r="D161" s="14" t="s">
        <v>20</v>
      </c>
      <c r="E161" s="164" t="s">
        <v>255</v>
      </c>
      <c r="F161" s="16">
        <v>0.0</v>
      </c>
      <c r="G161" s="17">
        <v>11.0</v>
      </c>
      <c r="H161" s="17">
        <f t="shared" si="11"/>
        <v>0</v>
      </c>
      <c r="I161" s="18"/>
      <c r="J161" s="18"/>
      <c r="K161" s="13"/>
      <c r="L161" s="27"/>
      <c r="M161" s="28"/>
      <c r="N161" s="27"/>
      <c r="O161" s="28"/>
      <c r="P161" s="28"/>
      <c r="Q161" s="35"/>
      <c r="R161" s="35"/>
      <c r="S161" s="35"/>
      <c r="T161" s="1"/>
      <c r="U161" s="1"/>
      <c r="V161" s="1"/>
    </row>
    <row r="162" ht="15.75" customHeight="1">
      <c r="A162" s="13"/>
      <c r="B162" s="13" t="s">
        <v>18</v>
      </c>
      <c r="C162" s="13" t="s">
        <v>256</v>
      </c>
      <c r="D162" s="66" t="s">
        <v>22</v>
      </c>
      <c r="E162" s="33" t="s">
        <v>957</v>
      </c>
      <c r="F162" s="16">
        <v>1.0</v>
      </c>
      <c r="G162" s="17">
        <v>80.0</v>
      </c>
      <c r="H162" s="17">
        <f t="shared" si="11"/>
        <v>80</v>
      </c>
      <c r="I162" s="18"/>
      <c r="J162" s="18"/>
      <c r="K162" s="13"/>
      <c r="L162" s="13"/>
      <c r="M162" s="13"/>
      <c r="N162" s="13"/>
      <c r="O162" s="13"/>
      <c r="P162" s="13"/>
      <c r="Q162" s="35"/>
      <c r="R162" s="35"/>
      <c r="S162" s="35"/>
      <c r="T162" s="1"/>
      <c r="U162" s="1"/>
      <c r="V162" s="1"/>
    </row>
    <row r="163" ht="15.75" hidden="1" customHeight="1">
      <c r="A163" s="13"/>
      <c r="B163" s="13" t="s">
        <v>64</v>
      </c>
      <c r="C163" s="13" t="s">
        <v>258</v>
      </c>
      <c r="D163" s="66" t="s">
        <v>22</v>
      </c>
      <c r="E163" s="15"/>
      <c r="F163" s="40">
        <v>0.0</v>
      </c>
      <c r="G163" s="17">
        <v>80.0</v>
      </c>
      <c r="H163" s="17">
        <f t="shared" si="11"/>
        <v>0</v>
      </c>
      <c r="I163" s="18"/>
      <c r="J163" s="18"/>
      <c r="K163" s="13"/>
      <c r="L163" s="13"/>
      <c r="M163" s="13"/>
      <c r="N163" s="13"/>
      <c r="O163" s="13"/>
      <c r="P163" s="13"/>
      <c r="Q163" s="35"/>
      <c r="R163" s="35"/>
      <c r="S163" s="35"/>
      <c r="T163" s="1"/>
      <c r="U163" s="1"/>
      <c r="V163" s="1"/>
    </row>
    <row r="164" ht="15.75" customHeight="1">
      <c r="A164" s="13"/>
      <c r="B164" s="13" t="s">
        <v>58</v>
      </c>
      <c r="C164" s="13" t="s">
        <v>59</v>
      </c>
      <c r="D164" s="14" t="s">
        <v>20</v>
      </c>
      <c r="E164" s="15" t="s">
        <v>60</v>
      </c>
      <c r="F164" s="16">
        <v>1.0</v>
      </c>
      <c r="G164" s="17">
        <v>0.0</v>
      </c>
      <c r="H164" s="17">
        <f t="shared" si="11"/>
        <v>0</v>
      </c>
      <c r="I164" s="18"/>
      <c r="J164" s="18"/>
      <c r="K164" s="13"/>
      <c r="L164" s="13"/>
      <c r="M164" s="13"/>
      <c r="N164" s="13"/>
      <c r="O164" s="13"/>
      <c r="P164" s="13"/>
      <c r="Q164" s="35"/>
      <c r="R164" s="35"/>
      <c r="S164" s="35"/>
      <c r="T164" s="1"/>
      <c r="U164" s="1"/>
      <c r="V164" s="1"/>
    </row>
    <row r="165" ht="15.75" customHeight="1">
      <c r="A165" s="13"/>
      <c r="B165" s="165" t="s">
        <v>234</v>
      </c>
      <c r="C165" s="166" t="s">
        <v>259</v>
      </c>
      <c r="D165" s="167" t="s">
        <v>32</v>
      </c>
      <c r="E165" s="154" t="s">
        <v>260</v>
      </c>
      <c r="F165" s="16">
        <v>1.0</v>
      </c>
      <c r="G165" s="34">
        <v>498.0</v>
      </c>
      <c r="H165" s="17">
        <f t="shared" si="11"/>
        <v>498</v>
      </c>
      <c r="I165" s="18"/>
      <c r="J165" s="18"/>
      <c r="K165" s="13"/>
      <c r="L165" s="27"/>
      <c r="M165" s="28"/>
      <c r="N165" s="27"/>
      <c r="O165" s="27"/>
      <c r="P165" s="27"/>
      <c r="Q165" s="35"/>
      <c r="R165" s="35"/>
      <c r="S165" s="35"/>
      <c r="T165" s="1"/>
      <c r="U165" s="1"/>
      <c r="V165" s="1"/>
    </row>
    <row r="166" ht="15.75" customHeight="1">
      <c r="A166" s="13"/>
      <c r="B166" s="43" t="s">
        <v>234</v>
      </c>
      <c r="C166" s="13" t="s">
        <v>261</v>
      </c>
      <c r="D166" s="101" t="s">
        <v>32</v>
      </c>
      <c r="E166" s="154" t="s">
        <v>262</v>
      </c>
      <c r="F166" s="40">
        <v>2.0</v>
      </c>
      <c r="G166" s="34">
        <v>109.8</v>
      </c>
      <c r="H166" s="17">
        <f t="shared" si="11"/>
        <v>219.6</v>
      </c>
      <c r="I166" s="18"/>
      <c r="J166" s="18"/>
      <c r="K166" s="13"/>
      <c r="L166" s="13"/>
      <c r="M166" s="13"/>
      <c r="N166" s="13"/>
      <c r="O166" s="13"/>
      <c r="P166" s="13"/>
      <c r="Q166" s="35"/>
      <c r="R166" s="35"/>
      <c r="S166" s="35"/>
      <c r="T166" s="1"/>
      <c r="U166" s="1"/>
      <c r="V166" s="1"/>
    </row>
    <row r="167" ht="15.75" hidden="1" customHeight="1">
      <c r="A167" s="13"/>
      <c r="B167" s="13"/>
      <c r="C167" s="13" t="s">
        <v>263</v>
      </c>
      <c r="D167" s="66" t="s">
        <v>22</v>
      </c>
      <c r="E167" s="15"/>
      <c r="F167" s="16">
        <v>0.0</v>
      </c>
      <c r="G167" s="17">
        <v>500.0</v>
      </c>
      <c r="H167" s="17">
        <f t="shared" si="11"/>
        <v>0</v>
      </c>
      <c r="I167" s="18"/>
      <c r="J167" s="18"/>
      <c r="K167" s="13"/>
      <c r="L167" s="13"/>
      <c r="M167" s="13"/>
      <c r="N167" s="13"/>
      <c r="O167" s="13"/>
      <c r="P167" s="13"/>
      <c r="Q167" s="35"/>
      <c r="R167" s="35"/>
      <c r="S167" s="35"/>
      <c r="T167" s="1"/>
      <c r="U167" s="1"/>
      <c r="V167" s="1"/>
    </row>
    <row r="168" ht="15.75" hidden="1" customHeight="1">
      <c r="A168" s="13"/>
      <c r="B168" s="13"/>
      <c r="C168" s="13" t="s">
        <v>67</v>
      </c>
      <c r="D168" s="70" t="s">
        <v>24</v>
      </c>
      <c r="E168" s="15"/>
      <c r="F168" s="16">
        <v>0.0</v>
      </c>
      <c r="G168" s="17">
        <v>18.0</v>
      </c>
      <c r="H168" s="17">
        <f t="shared" si="11"/>
        <v>0</v>
      </c>
      <c r="I168" s="18"/>
      <c r="J168" s="18"/>
      <c r="K168" s="13"/>
      <c r="L168" s="13"/>
      <c r="M168" s="13"/>
      <c r="N168" s="13"/>
      <c r="O168" s="13"/>
      <c r="P168" s="13"/>
      <c r="Q168" s="35"/>
      <c r="R168" s="35"/>
      <c r="S168" s="35"/>
      <c r="T168" s="1"/>
      <c r="U168" s="1"/>
      <c r="V168" s="1"/>
    </row>
    <row r="169" ht="15.75" hidden="1" customHeight="1">
      <c r="A169" s="13"/>
      <c r="B169" s="13" t="s">
        <v>264</v>
      </c>
      <c r="C169" s="13" t="s">
        <v>265</v>
      </c>
      <c r="D169" s="101" t="s">
        <v>32</v>
      </c>
      <c r="E169" s="168"/>
      <c r="F169" s="16">
        <v>0.0</v>
      </c>
      <c r="G169" s="17">
        <v>1600.0</v>
      </c>
      <c r="H169" s="17">
        <f t="shared" si="11"/>
        <v>0</v>
      </c>
      <c r="I169" s="18"/>
      <c r="J169" s="18"/>
      <c r="K169" s="13"/>
      <c r="L169" s="27"/>
      <c r="M169" s="27"/>
      <c r="N169" s="27"/>
      <c r="O169" s="27"/>
      <c r="P169" s="27"/>
      <c r="Q169" s="35"/>
      <c r="R169" s="35"/>
      <c r="S169" s="35"/>
      <c r="T169" s="1"/>
      <c r="U169" s="1"/>
      <c r="V169" s="1"/>
    </row>
    <row r="170" ht="15.75" hidden="1" customHeight="1">
      <c r="A170" s="13"/>
      <c r="B170" s="13" t="s">
        <v>264</v>
      </c>
      <c r="C170" s="169" t="s">
        <v>266</v>
      </c>
      <c r="D170" s="101" t="s">
        <v>32</v>
      </c>
      <c r="E170" s="15">
        <v>551595.0</v>
      </c>
      <c r="F170" s="40">
        <v>0.0</v>
      </c>
      <c r="G170" s="17">
        <v>258.8</v>
      </c>
      <c r="H170" s="17">
        <f t="shared" si="11"/>
        <v>0</v>
      </c>
      <c r="I170" s="18"/>
      <c r="J170" s="18"/>
      <c r="K170" s="13"/>
      <c r="L170" s="27"/>
      <c r="M170" s="28"/>
      <c r="N170" s="27"/>
      <c r="O170" s="27"/>
      <c r="P170" s="27"/>
      <c r="Q170" s="35"/>
      <c r="R170" s="35"/>
      <c r="S170" s="35"/>
      <c r="T170" s="1"/>
      <c r="U170" s="1"/>
      <c r="V170" s="1"/>
    </row>
    <row r="171" ht="15.75" hidden="1" customHeight="1">
      <c r="A171" s="13"/>
      <c r="B171" s="13" t="s">
        <v>264</v>
      </c>
      <c r="C171" s="169" t="s">
        <v>267</v>
      </c>
      <c r="D171" s="101" t="s">
        <v>32</v>
      </c>
      <c r="E171" s="15">
        <v>551594.0</v>
      </c>
      <c r="F171" s="40">
        <v>0.0</v>
      </c>
      <c r="G171" s="17">
        <v>310.8</v>
      </c>
      <c r="H171" s="17">
        <f t="shared" si="11"/>
        <v>0</v>
      </c>
      <c r="I171" s="18"/>
      <c r="J171" s="18"/>
      <c r="K171" s="13"/>
      <c r="L171" s="27"/>
      <c r="M171" s="28"/>
      <c r="N171" s="27"/>
      <c r="O171" s="28"/>
      <c r="P171" s="28"/>
      <c r="Q171" s="35"/>
      <c r="R171" s="35"/>
      <c r="S171" s="35"/>
      <c r="T171" s="1"/>
      <c r="U171" s="1"/>
      <c r="V171" s="1"/>
    </row>
    <row r="172" ht="15.75" hidden="1" customHeight="1">
      <c r="A172" s="13"/>
      <c r="B172" s="13" t="s">
        <v>264</v>
      </c>
      <c r="C172" s="13" t="s">
        <v>268</v>
      </c>
      <c r="D172" s="101" t="s">
        <v>32</v>
      </c>
      <c r="E172" s="15">
        <v>551596.0</v>
      </c>
      <c r="F172" s="40">
        <v>0.0</v>
      </c>
      <c r="G172" s="17">
        <v>240.0</v>
      </c>
      <c r="H172" s="17">
        <f t="shared" si="11"/>
        <v>0</v>
      </c>
      <c r="I172" s="18"/>
      <c r="J172" s="18"/>
      <c r="K172" s="13"/>
      <c r="L172" s="27"/>
      <c r="M172" s="28"/>
      <c r="N172" s="27"/>
      <c r="O172" s="27"/>
      <c r="P172" s="27"/>
      <c r="Q172" s="35"/>
      <c r="R172" s="35"/>
      <c r="S172" s="35"/>
      <c r="T172" s="1"/>
      <c r="U172" s="1"/>
      <c r="V172" s="1"/>
    </row>
    <row r="173" ht="15.75" customHeight="1">
      <c r="A173" s="13"/>
      <c r="B173" s="43" t="s">
        <v>217</v>
      </c>
      <c r="C173" s="43" t="s">
        <v>269</v>
      </c>
      <c r="D173" s="167" t="s">
        <v>32</v>
      </c>
      <c r="E173" s="154" t="s">
        <v>270</v>
      </c>
      <c r="F173" s="40">
        <v>1.0</v>
      </c>
      <c r="G173" s="34">
        <v>2526.0</v>
      </c>
      <c r="H173" s="17">
        <f t="shared" si="11"/>
        <v>2526</v>
      </c>
      <c r="I173" s="18"/>
      <c r="J173" s="18"/>
      <c r="K173" s="13"/>
      <c r="L173" s="27"/>
      <c r="M173" s="28"/>
      <c r="N173" s="27"/>
      <c r="O173" s="27"/>
      <c r="P173" s="27"/>
      <c r="Q173" s="35"/>
      <c r="R173" s="35"/>
      <c r="S173" s="35"/>
      <c r="T173" s="1"/>
      <c r="U173" s="1"/>
      <c r="V173" s="1"/>
    </row>
    <row r="174" ht="15.75" hidden="1" customHeight="1">
      <c r="A174" s="13"/>
      <c r="B174" s="13"/>
      <c r="C174" s="170" t="s">
        <v>271</v>
      </c>
      <c r="D174" s="70" t="s">
        <v>24</v>
      </c>
      <c r="E174" s="15"/>
      <c r="F174" s="16">
        <v>0.0</v>
      </c>
      <c r="G174" s="17">
        <v>0.0</v>
      </c>
      <c r="H174" s="17">
        <f t="shared" si="11"/>
        <v>0</v>
      </c>
      <c r="I174" s="18"/>
      <c r="J174" s="18"/>
      <c r="K174" s="13"/>
      <c r="L174" s="27"/>
      <c r="M174" s="28"/>
      <c r="N174" s="27"/>
      <c r="O174" s="27"/>
      <c r="P174" s="27"/>
      <c r="Q174" s="35"/>
      <c r="R174" s="35"/>
      <c r="S174" s="35"/>
      <c r="T174" s="1"/>
      <c r="U174" s="1"/>
      <c r="V174" s="1"/>
    </row>
    <row r="175" ht="15.75" hidden="1" customHeight="1">
      <c r="A175" s="13"/>
      <c r="B175" s="13"/>
      <c r="C175" s="170" t="s">
        <v>272</v>
      </c>
      <c r="D175" s="70" t="s">
        <v>24</v>
      </c>
      <c r="E175" s="15"/>
      <c r="F175" s="16">
        <v>0.0</v>
      </c>
      <c r="G175" s="17">
        <v>247.0</v>
      </c>
      <c r="H175" s="17">
        <f t="shared" si="11"/>
        <v>0</v>
      </c>
      <c r="I175" s="18"/>
      <c r="J175" s="18"/>
      <c r="K175" s="13"/>
      <c r="L175" s="27"/>
      <c r="M175" s="28"/>
      <c r="N175" s="27"/>
      <c r="O175" s="27"/>
      <c r="P175" s="27"/>
      <c r="Q175" s="35"/>
      <c r="R175" s="35"/>
      <c r="S175" s="35"/>
      <c r="T175" s="1"/>
      <c r="U175" s="1"/>
      <c r="V175" s="1"/>
    </row>
    <row r="176" ht="15.75" customHeight="1">
      <c r="A176" s="13"/>
      <c r="B176" s="13" t="s">
        <v>64</v>
      </c>
      <c r="C176" s="13" t="s">
        <v>273</v>
      </c>
      <c r="D176" s="66" t="s">
        <v>22</v>
      </c>
      <c r="E176" s="15"/>
      <c r="F176" s="40">
        <v>4.0</v>
      </c>
      <c r="G176" s="34">
        <v>35.0</v>
      </c>
      <c r="H176" s="17">
        <f t="shared" si="11"/>
        <v>140</v>
      </c>
      <c r="I176" s="18"/>
      <c r="J176" s="18"/>
      <c r="K176" s="13"/>
      <c r="L176" s="13"/>
      <c r="M176" s="13"/>
      <c r="N176" s="13"/>
      <c r="O176" s="13"/>
      <c r="P176" s="13"/>
      <c r="Q176" s="35"/>
      <c r="R176" s="35"/>
      <c r="S176" s="35"/>
      <c r="T176" s="1"/>
      <c r="U176" s="1"/>
      <c r="V176" s="1"/>
    </row>
    <row r="177" ht="15.75" customHeight="1">
      <c r="A177" s="13"/>
      <c r="B177" s="13" t="s">
        <v>274</v>
      </c>
      <c r="C177" s="43" t="s">
        <v>275</v>
      </c>
      <c r="D177" s="167" t="s">
        <v>32</v>
      </c>
      <c r="E177" s="154" t="s">
        <v>276</v>
      </c>
      <c r="F177" s="16">
        <v>1.0</v>
      </c>
      <c r="G177" s="34">
        <v>1100.0</v>
      </c>
      <c r="H177" s="17">
        <f t="shared" si="11"/>
        <v>1100</v>
      </c>
      <c r="I177" s="18"/>
      <c r="J177" s="18"/>
      <c r="K177" s="43"/>
      <c r="L177" s="13"/>
      <c r="M177" s="13"/>
      <c r="N177" s="13"/>
      <c r="O177" s="13"/>
      <c r="P177" s="13"/>
      <c r="Q177" s="35"/>
      <c r="R177" s="35"/>
      <c r="S177" s="35"/>
      <c r="T177" s="1"/>
      <c r="U177" s="1"/>
      <c r="V177" s="1"/>
    </row>
    <row r="178" ht="15.75" hidden="1" customHeight="1">
      <c r="A178" s="13"/>
      <c r="B178" s="13"/>
      <c r="C178" s="170" t="s">
        <v>275</v>
      </c>
      <c r="D178" s="101" t="s">
        <v>32</v>
      </c>
      <c r="E178" s="15"/>
      <c r="F178" s="16">
        <v>0.0</v>
      </c>
      <c r="G178" s="17">
        <v>940.0</v>
      </c>
      <c r="H178" s="17">
        <f t="shared" si="11"/>
        <v>0</v>
      </c>
      <c r="I178" s="18"/>
      <c r="J178" s="18"/>
      <c r="K178" s="13"/>
      <c r="L178" s="13"/>
      <c r="M178" s="13"/>
      <c r="N178" s="13"/>
      <c r="O178" s="13"/>
      <c r="P178" s="13"/>
      <c r="Q178" s="35"/>
      <c r="R178" s="35"/>
      <c r="S178" s="35"/>
      <c r="T178" s="1"/>
      <c r="U178" s="1"/>
      <c r="V178" s="1"/>
    </row>
    <row r="179" ht="15.75" customHeight="1">
      <c r="A179" s="13"/>
      <c r="B179" s="13" t="s">
        <v>277</v>
      </c>
      <c r="C179" s="43" t="s">
        <v>278</v>
      </c>
      <c r="D179" s="14" t="s">
        <v>20</v>
      </c>
      <c r="E179" s="171" t="s">
        <v>279</v>
      </c>
      <c r="F179" s="16">
        <v>1.0</v>
      </c>
      <c r="G179" s="34">
        <v>957.0</v>
      </c>
      <c r="H179" s="17">
        <f t="shared" si="11"/>
        <v>957</v>
      </c>
      <c r="I179" s="18"/>
      <c r="J179" s="18"/>
      <c r="K179" s="13"/>
      <c r="L179" s="13"/>
      <c r="M179" s="19"/>
      <c r="N179" s="13"/>
      <c r="O179" s="19"/>
      <c r="P179" s="19"/>
      <c r="Q179" s="35"/>
      <c r="R179" s="35"/>
      <c r="S179" s="35"/>
      <c r="T179" s="1"/>
      <c r="U179" s="1"/>
      <c r="V179" s="1"/>
    </row>
    <row r="180" ht="15.75" customHeight="1">
      <c r="A180" s="13"/>
      <c r="B180" s="13" t="s">
        <v>18</v>
      </c>
      <c r="C180" s="13" t="s">
        <v>280</v>
      </c>
      <c r="D180" s="14" t="s">
        <v>20</v>
      </c>
      <c r="E180" s="155" t="s">
        <v>281</v>
      </c>
      <c r="F180" s="16">
        <v>1.0</v>
      </c>
      <c r="G180" s="34">
        <v>20.0</v>
      </c>
      <c r="H180" s="17">
        <f t="shared" si="11"/>
        <v>20</v>
      </c>
      <c r="I180" s="18"/>
      <c r="J180" s="18"/>
      <c r="K180" s="13"/>
      <c r="L180" s="27"/>
      <c r="M180" s="27"/>
      <c r="N180" s="27"/>
      <c r="O180" s="27"/>
      <c r="P180" s="27"/>
      <c r="Q180" s="35"/>
      <c r="R180" s="35"/>
      <c r="S180" s="35"/>
      <c r="T180" s="1"/>
      <c r="U180" s="1"/>
      <c r="V180" s="1"/>
    </row>
    <row r="181" ht="15.75" hidden="1" customHeight="1">
      <c r="A181" s="13"/>
      <c r="B181" s="13"/>
      <c r="C181" s="13" t="s">
        <v>282</v>
      </c>
      <c r="D181" s="70" t="s">
        <v>24</v>
      </c>
      <c r="E181" s="15"/>
      <c r="F181" s="16">
        <v>0.0</v>
      </c>
      <c r="G181" s="17">
        <v>70.0</v>
      </c>
      <c r="H181" s="17">
        <f t="shared" si="11"/>
        <v>0</v>
      </c>
      <c r="I181" s="18"/>
      <c r="J181" s="18"/>
      <c r="K181" s="13"/>
      <c r="L181" s="13"/>
      <c r="M181" s="13"/>
      <c r="N181" s="13"/>
      <c r="O181" s="19"/>
      <c r="P181" s="19"/>
      <c r="Q181" s="35"/>
      <c r="R181" s="35"/>
      <c r="S181" s="35"/>
      <c r="T181" s="1"/>
      <c r="U181" s="1"/>
      <c r="V181" s="1"/>
    </row>
    <row r="182" ht="15.75" hidden="1" customHeight="1">
      <c r="A182" s="13"/>
      <c r="B182" s="13" t="s">
        <v>18</v>
      </c>
      <c r="C182" s="13" t="s">
        <v>283</v>
      </c>
      <c r="D182" s="14" t="s">
        <v>20</v>
      </c>
      <c r="E182" s="15" t="s">
        <v>284</v>
      </c>
      <c r="F182" s="16">
        <v>0.0</v>
      </c>
      <c r="G182" s="17">
        <v>12.0</v>
      </c>
      <c r="H182" s="17">
        <f t="shared" si="11"/>
        <v>0</v>
      </c>
      <c r="I182" s="18"/>
      <c r="J182" s="18"/>
      <c r="K182" s="13"/>
      <c r="L182" s="27"/>
      <c r="M182" s="27"/>
      <c r="N182" s="27"/>
      <c r="O182" s="27"/>
      <c r="P182" s="27"/>
      <c r="Q182" s="35"/>
      <c r="R182" s="35"/>
      <c r="S182" s="35"/>
      <c r="T182" s="1"/>
      <c r="U182" s="1"/>
      <c r="V182" s="1"/>
    </row>
    <row r="183" ht="15.75" customHeight="1">
      <c r="A183" s="13"/>
      <c r="B183" s="13" t="s">
        <v>18</v>
      </c>
      <c r="C183" s="13" t="s">
        <v>285</v>
      </c>
      <c r="D183" s="14" t="s">
        <v>20</v>
      </c>
      <c r="E183" s="15" t="s">
        <v>286</v>
      </c>
      <c r="F183" s="16">
        <v>2.0</v>
      </c>
      <c r="G183" s="17">
        <v>3.0</v>
      </c>
      <c r="H183" s="17">
        <f t="shared" si="11"/>
        <v>6</v>
      </c>
      <c r="I183" s="18"/>
      <c r="J183" s="18"/>
      <c r="K183" s="13"/>
      <c r="L183" s="27"/>
      <c r="M183" s="27"/>
      <c r="N183" s="27"/>
      <c r="O183" s="27"/>
      <c r="P183" s="27"/>
      <c r="Q183" s="35"/>
      <c r="R183" s="35"/>
      <c r="S183" s="35"/>
      <c r="T183" s="1"/>
      <c r="U183" s="1"/>
      <c r="V183" s="1"/>
    </row>
    <row r="184" ht="15.75" customHeight="1">
      <c r="A184" s="13"/>
      <c r="B184" s="13" t="s">
        <v>18</v>
      </c>
      <c r="C184" s="13" t="s">
        <v>287</v>
      </c>
      <c r="D184" s="14" t="s">
        <v>20</v>
      </c>
      <c r="E184" s="15" t="s">
        <v>255</v>
      </c>
      <c r="F184" s="16">
        <v>1.0</v>
      </c>
      <c r="G184" s="17">
        <v>11.0</v>
      </c>
      <c r="H184" s="17">
        <f t="shared" si="11"/>
        <v>11</v>
      </c>
      <c r="I184" s="18"/>
      <c r="J184" s="18"/>
      <c r="K184" s="13"/>
      <c r="L184" s="27"/>
      <c r="M184" s="27"/>
      <c r="N184" s="27"/>
      <c r="O184" s="27"/>
      <c r="P184" s="27"/>
      <c r="Q184" s="35"/>
      <c r="R184" s="35"/>
      <c r="S184" s="35"/>
      <c r="T184" s="1"/>
      <c r="U184" s="1"/>
      <c r="V184" s="1"/>
    </row>
    <row r="185" ht="15.75" hidden="1" customHeight="1">
      <c r="A185" s="13"/>
      <c r="B185" s="13"/>
      <c r="C185" s="13" t="s">
        <v>288</v>
      </c>
      <c r="D185" s="14" t="s">
        <v>20</v>
      </c>
      <c r="E185" s="15"/>
      <c r="F185" s="16">
        <v>0.0</v>
      </c>
      <c r="G185" s="17">
        <v>60.0</v>
      </c>
      <c r="H185" s="17">
        <f t="shared" si="11"/>
        <v>0</v>
      </c>
      <c r="I185" s="18"/>
      <c r="J185" s="18"/>
      <c r="K185" s="13"/>
      <c r="L185" s="13"/>
      <c r="M185" s="13"/>
      <c r="N185" s="13"/>
      <c r="O185" s="13"/>
      <c r="P185" s="13"/>
      <c r="Q185" s="35"/>
      <c r="R185" s="35"/>
      <c r="S185" s="35"/>
      <c r="T185" s="1"/>
      <c r="U185" s="1"/>
      <c r="V185" s="1"/>
    </row>
    <row r="186" ht="15.75" hidden="1" customHeight="1">
      <c r="A186" s="13"/>
      <c r="B186" s="13"/>
      <c r="C186" s="13" t="s">
        <v>289</v>
      </c>
      <c r="D186" s="70" t="s">
        <v>24</v>
      </c>
      <c r="E186" s="15"/>
      <c r="F186" s="16">
        <v>0.0</v>
      </c>
      <c r="G186" s="17">
        <v>207.0</v>
      </c>
      <c r="H186" s="17">
        <f t="shared" si="11"/>
        <v>0</v>
      </c>
      <c r="I186" s="18"/>
      <c r="J186" s="18"/>
      <c r="K186" s="13"/>
      <c r="L186" s="13"/>
      <c r="M186" s="13"/>
      <c r="N186" s="13"/>
      <c r="O186" s="13"/>
      <c r="P186" s="13"/>
      <c r="Q186" s="35"/>
      <c r="R186" s="35"/>
      <c r="S186" s="35"/>
      <c r="T186" s="1"/>
      <c r="U186" s="1"/>
      <c r="V186" s="1"/>
    </row>
    <row r="187" ht="15.75" customHeight="1">
      <c r="A187" s="13"/>
      <c r="B187" s="13"/>
      <c r="C187" s="13" t="s">
        <v>290</v>
      </c>
      <c r="D187" s="70" t="s">
        <v>24</v>
      </c>
      <c r="E187" s="15"/>
      <c r="F187" s="16">
        <v>1.0</v>
      </c>
      <c r="G187" s="17">
        <v>115.0</v>
      </c>
      <c r="H187" s="17">
        <f t="shared" si="11"/>
        <v>115</v>
      </c>
      <c r="I187" s="18"/>
      <c r="J187" s="18"/>
      <c r="K187" s="13"/>
      <c r="L187" s="63"/>
      <c r="M187" s="63"/>
      <c r="N187" s="63"/>
      <c r="O187" s="63"/>
      <c r="P187" s="63"/>
      <c r="Q187" s="35"/>
      <c r="R187" s="35"/>
      <c r="S187" s="35"/>
      <c r="T187" s="1"/>
      <c r="U187" s="1"/>
      <c r="V187" s="1"/>
    </row>
    <row r="188" ht="15.75" hidden="1" customHeight="1">
      <c r="A188" s="13"/>
      <c r="B188" s="13"/>
      <c r="C188" s="13" t="s">
        <v>291</v>
      </c>
      <c r="D188" s="70" t="s">
        <v>24</v>
      </c>
      <c r="E188" s="15"/>
      <c r="F188" s="16">
        <v>0.0</v>
      </c>
      <c r="G188" s="17">
        <v>150.0</v>
      </c>
      <c r="H188" s="17">
        <f t="shared" si="11"/>
        <v>0</v>
      </c>
      <c r="I188" s="18"/>
      <c r="J188" s="18"/>
      <c r="K188" s="13"/>
      <c r="L188" s="63"/>
      <c r="M188" s="63"/>
      <c r="N188" s="63"/>
      <c r="O188" s="63"/>
      <c r="P188" s="63"/>
      <c r="Q188" s="35"/>
      <c r="R188" s="35"/>
      <c r="S188" s="35"/>
      <c r="T188" s="1"/>
      <c r="U188" s="1"/>
      <c r="V188" s="1"/>
    </row>
    <row r="189" ht="15.75" hidden="1" customHeight="1">
      <c r="A189" s="13"/>
      <c r="B189" s="13"/>
      <c r="C189" s="13" t="s">
        <v>221</v>
      </c>
      <c r="D189" s="70" t="s">
        <v>24</v>
      </c>
      <c r="E189" s="15"/>
      <c r="F189" s="16">
        <v>0.0</v>
      </c>
      <c r="G189" s="17">
        <v>50.0</v>
      </c>
      <c r="H189" s="17">
        <f t="shared" si="11"/>
        <v>0</v>
      </c>
      <c r="I189" s="18"/>
      <c r="J189" s="18"/>
      <c r="K189" s="13"/>
      <c r="L189" s="13"/>
      <c r="M189" s="13"/>
      <c r="N189" s="13"/>
      <c r="O189" s="13"/>
      <c r="P189" s="13"/>
      <c r="Q189" s="35"/>
      <c r="R189" s="35"/>
      <c r="S189" s="35"/>
      <c r="T189" s="1"/>
      <c r="U189" s="1"/>
      <c r="V189" s="1"/>
    </row>
    <row r="190" ht="15.75" hidden="1" customHeight="1">
      <c r="A190" s="13"/>
      <c r="B190" s="13"/>
      <c r="C190" s="13" t="s">
        <v>222</v>
      </c>
      <c r="D190" s="70" t="s">
        <v>24</v>
      </c>
      <c r="E190" s="15"/>
      <c r="F190" s="16">
        <v>0.0</v>
      </c>
      <c r="G190" s="17">
        <v>50.0</v>
      </c>
      <c r="H190" s="17">
        <f t="shared" si="11"/>
        <v>0</v>
      </c>
      <c r="I190" s="18"/>
      <c r="J190" s="18"/>
      <c r="K190" s="13"/>
      <c r="L190" s="13"/>
      <c r="M190" s="13"/>
      <c r="N190" s="13"/>
      <c r="O190" s="13"/>
      <c r="P190" s="13"/>
      <c r="Q190" s="35"/>
      <c r="R190" s="35"/>
      <c r="S190" s="35"/>
      <c r="T190" s="1"/>
      <c r="U190" s="1"/>
      <c r="V190" s="1"/>
    </row>
    <row r="191" ht="15.75" hidden="1" customHeight="1">
      <c r="A191" s="13"/>
      <c r="B191" s="13"/>
      <c r="C191" s="13" t="s">
        <v>292</v>
      </c>
      <c r="D191" s="70" t="s">
        <v>24</v>
      </c>
      <c r="E191" s="15"/>
      <c r="F191" s="16">
        <v>0.0</v>
      </c>
      <c r="G191" s="17">
        <v>115.0</v>
      </c>
      <c r="H191" s="17">
        <f t="shared" si="11"/>
        <v>0</v>
      </c>
      <c r="I191" s="18"/>
      <c r="J191" s="18"/>
      <c r="K191" s="13"/>
      <c r="L191" s="63"/>
      <c r="M191" s="63"/>
      <c r="N191" s="63"/>
      <c r="O191" s="63"/>
      <c r="P191" s="63"/>
      <c r="Q191" s="35"/>
      <c r="R191" s="35"/>
      <c r="S191" s="35"/>
      <c r="T191" s="1"/>
      <c r="U191" s="1"/>
      <c r="V191" s="1"/>
    </row>
    <row r="192" ht="28.5" customHeight="1">
      <c r="A192" s="6"/>
      <c r="B192" s="172" t="s">
        <v>293</v>
      </c>
      <c r="C192" s="7">
        <f>SUM(H193:H262)</f>
        <v>8077.88</v>
      </c>
      <c r="D192" s="148"/>
      <c r="E192" s="148"/>
      <c r="F192" s="83"/>
      <c r="G192" s="82"/>
      <c r="H192" s="82"/>
      <c r="I192" s="82"/>
      <c r="J192" s="82"/>
      <c r="K192" s="83"/>
      <c r="L192" s="83"/>
      <c r="M192" s="83"/>
      <c r="N192" s="83"/>
      <c r="O192" s="83"/>
      <c r="P192" s="83"/>
      <c r="Q192" s="35"/>
      <c r="R192" s="35"/>
      <c r="S192" s="35"/>
      <c r="T192" s="1"/>
      <c r="U192" s="1"/>
      <c r="V192" s="1"/>
    </row>
    <row r="193" ht="15.75" customHeight="1">
      <c r="A193" s="13"/>
      <c r="B193" s="43" t="s">
        <v>64</v>
      </c>
      <c r="C193" s="169" t="s">
        <v>191</v>
      </c>
      <c r="D193" s="66" t="s">
        <v>22</v>
      </c>
      <c r="E193" s="15"/>
      <c r="F193" s="16">
        <v>2.0</v>
      </c>
      <c r="G193" s="34">
        <v>100.0</v>
      </c>
      <c r="H193" s="17">
        <f t="shared" ref="H193:H212" si="12">SUM(F193*G193)</f>
        <v>200</v>
      </c>
      <c r="I193" s="18"/>
      <c r="J193" s="18"/>
      <c r="K193" s="13"/>
      <c r="L193" s="13"/>
      <c r="M193" s="13"/>
      <c r="N193" s="13"/>
      <c r="O193" s="13"/>
      <c r="P193" s="13"/>
      <c r="Q193" s="35"/>
      <c r="R193" s="35"/>
      <c r="S193" s="35"/>
      <c r="T193" s="1"/>
      <c r="U193" s="1"/>
      <c r="V193" s="1"/>
    </row>
    <row r="194" ht="15.75" customHeight="1">
      <c r="A194" s="13"/>
      <c r="B194" s="13" t="s">
        <v>18</v>
      </c>
      <c r="C194" s="169" t="s">
        <v>294</v>
      </c>
      <c r="D194" s="14" t="s">
        <v>20</v>
      </c>
      <c r="E194" s="15"/>
      <c r="F194" s="16">
        <v>2.0</v>
      </c>
      <c r="G194" s="17">
        <v>5.0</v>
      </c>
      <c r="H194" s="17">
        <f t="shared" si="12"/>
        <v>10</v>
      </c>
      <c r="I194" s="18"/>
      <c r="J194" s="18"/>
      <c r="K194" s="13"/>
      <c r="L194" s="13"/>
      <c r="M194" s="19"/>
      <c r="N194" s="19"/>
      <c r="O194" s="38"/>
      <c r="P194" s="19"/>
      <c r="Q194" s="35"/>
      <c r="R194" s="35"/>
      <c r="S194" s="35"/>
      <c r="T194" s="1"/>
      <c r="U194" s="1"/>
      <c r="V194" s="1"/>
    </row>
    <row r="195" ht="15.75" hidden="1" customHeight="1">
      <c r="A195" s="13"/>
      <c r="B195" s="13" t="s">
        <v>18</v>
      </c>
      <c r="C195" s="169" t="s">
        <v>47</v>
      </c>
      <c r="D195" s="14" t="s">
        <v>20</v>
      </c>
      <c r="E195" s="15"/>
      <c r="F195" s="16">
        <v>0.0</v>
      </c>
      <c r="G195" s="17">
        <v>65.0</v>
      </c>
      <c r="H195" s="17">
        <f t="shared" si="12"/>
        <v>0</v>
      </c>
      <c r="I195" s="18"/>
      <c r="J195" s="18"/>
      <c r="K195" s="13"/>
      <c r="L195" s="13"/>
      <c r="M195" s="19"/>
      <c r="N195" s="19"/>
      <c r="O195" s="38"/>
      <c r="P195" s="19"/>
      <c r="Q195" s="35"/>
      <c r="R195" s="35"/>
      <c r="S195" s="35"/>
      <c r="T195" s="1"/>
      <c r="U195" s="1"/>
      <c r="V195" s="1"/>
    </row>
    <row r="196" ht="15.75" hidden="1" customHeight="1">
      <c r="A196" s="13"/>
      <c r="B196" s="13"/>
      <c r="C196" s="169" t="s">
        <v>295</v>
      </c>
      <c r="D196" s="70" t="s">
        <v>24</v>
      </c>
      <c r="E196" s="15"/>
      <c r="F196" s="173">
        <v>0.0</v>
      </c>
      <c r="G196" s="17">
        <v>120.0</v>
      </c>
      <c r="H196" s="17">
        <f t="shared" si="12"/>
        <v>0</v>
      </c>
      <c r="I196" s="18"/>
      <c r="J196" s="18"/>
      <c r="K196" s="13"/>
      <c r="L196" s="13"/>
      <c r="M196" s="19"/>
      <c r="N196" s="19"/>
      <c r="O196" s="38"/>
      <c r="P196" s="19"/>
      <c r="Q196" s="35"/>
      <c r="R196" s="35"/>
      <c r="S196" s="35"/>
      <c r="T196" s="1"/>
      <c r="U196" s="1"/>
      <c r="V196" s="1"/>
    </row>
    <row r="197" ht="15.75" customHeight="1">
      <c r="A197" s="13"/>
      <c r="B197" s="13" t="s">
        <v>18</v>
      </c>
      <c r="C197" s="169" t="s">
        <v>296</v>
      </c>
      <c r="D197" s="14" t="s">
        <v>20</v>
      </c>
      <c r="E197" s="171" t="s">
        <v>297</v>
      </c>
      <c r="F197" s="16">
        <v>1.0</v>
      </c>
      <c r="G197" s="34">
        <v>72.0</v>
      </c>
      <c r="H197" s="17">
        <f t="shared" si="12"/>
        <v>72</v>
      </c>
      <c r="I197" s="18"/>
      <c r="J197" s="18"/>
      <c r="K197" s="13"/>
      <c r="L197" s="27"/>
      <c r="M197" s="28"/>
      <c r="N197" s="27"/>
      <c r="O197" s="28"/>
      <c r="P197" s="27"/>
      <c r="Q197" s="35"/>
      <c r="R197" s="35"/>
      <c r="S197" s="35"/>
      <c r="T197" s="1"/>
      <c r="U197" s="1"/>
      <c r="V197" s="1"/>
    </row>
    <row r="198" ht="15.75" customHeight="1">
      <c r="A198" s="13"/>
      <c r="B198" s="13"/>
      <c r="C198" s="169" t="s">
        <v>298</v>
      </c>
      <c r="D198" s="70" t="s">
        <v>24</v>
      </c>
      <c r="E198" s="15"/>
      <c r="F198" s="16">
        <v>1.0</v>
      </c>
      <c r="G198" s="17">
        <v>95.0</v>
      </c>
      <c r="H198" s="17">
        <f t="shared" si="12"/>
        <v>95</v>
      </c>
      <c r="I198" s="18"/>
      <c r="J198" s="18"/>
      <c r="K198" s="13"/>
      <c r="L198" s="63"/>
      <c r="M198" s="63"/>
      <c r="N198" s="63"/>
      <c r="O198" s="63"/>
      <c r="P198" s="63"/>
      <c r="Q198" s="35"/>
      <c r="R198" s="35"/>
      <c r="S198" s="35"/>
      <c r="T198" s="1"/>
      <c r="U198" s="1"/>
      <c r="V198" s="1"/>
    </row>
    <row r="199" ht="15.75" hidden="1" customHeight="1">
      <c r="A199" s="13"/>
      <c r="B199" s="13"/>
      <c r="C199" s="169" t="s">
        <v>299</v>
      </c>
      <c r="D199" s="70" t="s">
        <v>24</v>
      </c>
      <c r="E199" s="15"/>
      <c r="F199" s="16">
        <v>0.0</v>
      </c>
      <c r="G199" s="17">
        <v>120.0</v>
      </c>
      <c r="H199" s="17">
        <f t="shared" si="12"/>
        <v>0</v>
      </c>
      <c r="I199" s="18"/>
      <c r="J199" s="18"/>
      <c r="K199" s="13"/>
      <c r="L199" s="63"/>
      <c r="M199" s="63"/>
      <c r="N199" s="63"/>
      <c r="O199" s="63"/>
      <c r="P199" s="63"/>
      <c r="Q199" s="35"/>
      <c r="R199" s="35"/>
      <c r="S199" s="35"/>
      <c r="T199" s="1"/>
      <c r="U199" s="1"/>
      <c r="V199" s="1"/>
    </row>
    <row r="200" ht="15.75" customHeight="1">
      <c r="A200" s="13"/>
      <c r="B200" s="13" t="s">
        <v>18</v>
      </c>
      <c r="C200" s="169" t="s">
        <v>300</v>
      </c>
      <c r="D200" s="14" t="s">
        <v>20</v>
      </c>
      <c r="E200" s="15"/>
      <c r="F200" s="40">
        <v>6.0</v>
      </c>
      <c r="G200" s="17">
        <v>5.0</v>
      </c>
      <c r="H200" s="17">
        <f t="shared" si="12"/>
        <v>30</v>
      </c>
      <c r="I200" s="18"/>
      <c r="J200" s="18"/>
      <c r="K200" s="13"/>
      <c r="L200" s="27"/>
      <c r="M200" s="27"/>
      <c r="N200" s="27"/>
      <c r="O200" s="27"/>
      <c r="P200" s="27"/>
      <c r="Q200" s="35"/>
      <c r="R200" s="35"/>
      <c r="S200" s="35"/>
      <c r="T200" s="1"/>
      <c r="U200" s="1"/>
      <c r="V200" s="1"/>
    </row>
    <row r="201" ht="15.75" hidden="1" customHeight="1">
      <c r="A201" s="13"/>
      <c r="B201" s="13" t="s">
        <v>18</v>
      </c>
      <c r="C201" s="169" t="s">
        <v>301</v>
      </c>
      <c r="D201" s="14" t="s">
        <v>20</v>
      </c>
      <c r="E201" s="15" t="s">
        <v>302</v>
      </c>
      <c r="F201" s="16">
        <v>0.0</v>
      </c>
      <c r="G201" s="17">
        <v>6.2</v>
      </c>
      <c r="H201" s="17">
        <f t="shared" si="12"/>
        <v>0</v>
      </c>
      <c r="I201" s="18"/>
      <c r="J201" s="18"/>
      <c r="K201" s="13"/>
      <c r="L201" s="27"/>
      <c r="M201" s="27"/>
      <c r="N201" s="27"/>
      <c r="O201" s="27"/>
      <c r="P201" s="27"/>
      <c r="Q201" s="35"/>
      <c r="R201" s="35"/>
      <c r="S201" s="35"/>
      <c r="T201" s="1"/>
      <c r="U201" s="1"/>
      <c r="V201" s="1"/>
    </row>
    <row r="202" ht="15.75" hidden="1" customHeight="1">
      <c r="A202" s="13"/>
      <c r="B202" s="13"/>
      <c r="C202" s="169" t="s">
        <v>303</v>
      </c>
      <c r="D202" s="70" t="s">
        <v>24</v>
      </c>
      <c r="E202" s="15"/>
      <c r="F202" s="16">
        <v>0.0</v>
      </c>
      <c r="G202" s="17">
        <v>40.0</v>
      </c>
      <c r="H202" s="17">
        <f t="shared" si="12"/>
        <v>0</v>
      </c>
      <c r="I202" s="18"/>
      <c r="J202" s="18"/>
      <c r="K202" s="13"/>
      <c r="L202" s="27"/>
      <c r="M202" s="27"/>
      <c r="N202" s="27"/>
      <c r="O202" s="27"/>
      <c r="P202" s="27"/>
      <c r="Q202" s="35"/>
      <c r="R202" s="35"/>
      <c r="S202" s="35"/>
      <c r="T202" s="1"/>
      <c r="U202" s="1"/>
      <c r="V202" s="1"/>
    </row>
    <row r="203" ht="15.75" hidden="1" customHeight="1">
      <c r="A203" s="13"/>
      <c r="B203" s="13" t="s">
        <v>18</v>
      </c>
      <c r="C203" s="169" t="s">
        <v>47</v>
      </c>
      <c r="D203" s="14" t="s">
        <v>20</v>
      </c>
      <c r="E203" s="15"/>
      <c r="F203" s="16">
        <v>0.0</v>
      </c>
      <c r="G203" s="17">
        <v>0.0</v>
      </c>
      <c r="H203" s="17">
        <f t="shared" si="12"/>
        <v>0</v>
      </c>
      <c r="I203" s="18"/>
      <c r="J203" s="18"/>
      <c r="K203" s="13"/>
      <c r="L203" s="27"/>
      <c r="M203" s="27"/>
      <c r="N203" s="27"/>
      <c r="O203" s="27"/>
      <c r="P203" s="27"/>
      <c r="Q203" s="35"/>
      <c r="R203" s="35"/>
      <c r="S203" s="35"/>
      <c r="T203" s="1"/>
      <c r="U203" s="1"/>
      <c r="V203" s="1"/>
    </row>
    <row r="204" ht="15.75" hidden="1" customHeight="1">
      <c r="A204" s="13"/>
      <c r="B204" s="13"/>
      <c r="C204" s="169" t="s">
        <v>304</v>
      </c>
      <c r="D204" s="70" t="s">
        <v>24</v>
      </c>
      <c r="E204" s="15"/>
      <c r="F204" s="16">
        <v>0.0</v>
      </c>
      <c r="G204" s="17">
        <v>120.0</v>
      </c>
      <c r="H204" s="17">
        <f t="shared" si="12"/>
        <v>0</v>
      </c>
      <c r="I204" s="18"/>
      <c r="J204" s="18"/>
      <c r="K204" s="13"/>
      <c r="L204" s="27"/>
      <c r="M204" s="27"/>
      <c r="N204" s="27"/>
      <c r="O204" s="27"/>
      <c r="P204" s="27"/>
      <c r="Q204" s="35"/>
      <c r="R204" s="35"/>
      <c r="S204" s="35"/>
      <c r="T204" s="1"/>
      <c r="U204" s="1"/>
      <c r="V204" s="1"/>
    </row>
    <row r="205" ht="15.75" customHeight="1">
      <c r="A205" s="13"/>
      <c r="B205" s="13" t="s">
        <v>234</v>
      </c>
      <c r="C205" s="169" t="s">
        <v>305</v>
      </c>
      <c r="D205" s="101" t="s">
        <v>32</v>
      </c>
      <c r="E205" s="154" t="s">
        <v>306</v>
      </c>
      <c r="F205" s="16">
        <v>1.0</v>
      </c>
      <c r="G205" s="34">
        <v>750.3</v>
      </c>
      <c r="H205" s="17">
        <f t="shared" si="12"/>
        <v>750.3</v>
      </c>
      <c r="I205" s="18"/>
      <c r="J205" s="18"/>
      <c r="K205" s="13"/>
      <c r="L205" s="13"/>
      <c r="M205" s="13"/>
      <c r="N205" s="13"/>
      <c r="O205" s="13"/>
      <c r="P205" s="13"/>
      <c r="Q205" s="35"/>
      <c r="R205" s="35"/>
      <c r="S205" s="35"/>
      <c r="T205" s="1"/>
      <c r="U205" s="1"/>
      <c r="V205" s="1"/>
    </row>
    <row r="206" ht="15.75" customHeight="1">
      <c r="A206" s="13"/>
      <c r="B206" s="43" t="s">
        <v>217</v>
      </c>
      <c r="C206" s="169" t="s">
        <v>307</v>
      </c>
      <c r="D206" s="101" t="s">
        <v>32</v>
      </c>
      <c r="E206" s="154">
        <v>82675.0</v>
      </c>
      <c r="F206" s="40">
        <v>2.0</v>
      </c>
      <c r="G206" s="34">
        <v>609.84</v>
      </c>
      <c r="H206" s="17">
        <f t="shared" si="12"/>
        <v>1219.68</v>
      </c>
      <c r="I206" s="18"/>
      <c r="J206" s="18"/>
      <c r="K206" s="13"/>
      <c r="L206" s="27"/>
      <c r="M206" s="28"/>
      <c r="N206" s="27"/>
      <c r="O206" s="27"/>
      <c r="P206" s="27"/>
      <c r="Q206" s="35"/>
      <c r="R206" s="35"/>
      <c r="S206" s="35"/>
      <c r="T206" s="1"/>
      <c r="U206" s="1"/>
      <c r="V206" s="1"/>
    </row>
    <row r="207" ht="15.75" customHeight="1">
      <c r="A207" s="13"/>
      <c r="B207" s="43" t="s">
        <v>217</v>
      </c>
      <c r="C207" s="169" t="s">
        <v>308</v>
      </c>
      <c r="D207" s="101" t="s">
        <v>32</v>
      </c>
      <c r="E207" s="154">
        <v>82676.0</v>
      </c>
      <c r="F207" s="16">
        <v>1.0</v>
      </c>
      <c r="G207" s="34">
        <v>1676.0</v>
      </c>
      <c r="H207" s="17">
        <f t="shared" si="12"/>
        <v>1676</v>
      </c>
      <c r="I207" s="18"/>
      <c r="J207" s="18"/>
      <c r="K207" s="174"/>
      <c r="L207" s="27"/>
      <c r="M207" s="28"/>
      <c r="N207" s="27"/>
      <c r="O207" s="28"/>
      <c r="P207" s="28"/>
      <c r="Q207" s="35"/>
      <c r="R207" s="35"/>
      <c r="S207" s="35"/>
      <c r="T207" s="1"/>
      <c r="U207" s="1"/>
      <c r="V207" s="1"/>
    </row>
    <row r="208" ht="15.75" hidden="1" customHeight="1">
      <c r="A208" s="130"/>
      <c r="B208" s="130" t="s">
        <v>18</v>
      </c>
      <c r="C208" s="175" t="s">
        <v>309</v>
      </c>
      <c r="D208" s="176" t="s">
        <v>20</v>
      </c>
      <c r="E208" s="177" t="s">
        <v>310</v>
      </c>
      <c r="F208" s="178">
        <v>0.0</v>
      </c>
      <c r="G208" s="179">
        <v>15.0</v>
      </c>
      <c r="H208" s="179">
        <f t="shared" si="12"/>
        <v>0</v>
      </c>
      <c r="I208" s="180"/>
      <c r="J208" s="180"/>
      <c r="K208" s="130"/>
      <c r="L208" s="130"/>
      <c r="M208" s="181"/>
      <c r="N208" s="130"/>
      <c r="O208" s="181"/>
      <c r="P208" s="181"/>
      <c r="Q208" s="182"/>
      <c r="R208" s="182"/>
      <c r="S208" s="182"/>
      <c r="T208" s="182"/>
      <c r="U208" s="182"/>
      <c r="V208" s="182"/>
    </row>
    <row r="209" ht="15.75" hidden="1" customHeight="1">
      <c r="A209" s="130"/>
      <c r="B209" s="130" t="s">
        <v>18</v>
      </c>
      <c r="C209" s="175" t="s">
        <v>311</v>
      </c>
      <c r="D209" s="176" t="s">
        <v>20</v>
      </c>
      <c r="E209" s="177" t="s">
        <v>312</v>
      </c>
      <c r="F209" s="178">
        <v>0.0</v>
      </c>
      <c r="G209" s="179">
        <v>15.0</v>
      </c>
      <c r="H209" s="179">
        <f t="shared" si="12"/>
        <v>0</v>
      </c>
      <c r="I209" s="180"/>
      <c r="J209" s="180"/>
      <c r="K209" s="130"/>
      <c r="L209" s="130"/>
      <c r="M209" s="181"/>
      <c r="N209" s="130"/>
      <c r="O209" s="181"/>
      <c r="P209" s="181"/>
      <c r="Q209" s="182"/>
      <c r="R209" s="182"/>
      <c r="S209" s="182"/>
      <c r="T209" s="182"/>
      <c r="U209" s="182"/>
      <c r="V209" s="182"/>
    </row>
    <row r="210" ht="15.75" hidden="1" customHeight="1">
      <c r="A210" s="130"/>
      <c r="B210" s="130" t="s">
        <v>18</v>
      </c>
      <c r="C210" s="175" t="s">
        <v>313</v>
      </c>
      <c r="D210" s="176" t="s">
        <v>20</v>
      </c>
      <c r="E210" s="177" t="s">
        <v>314</v>
      </c>
      <c r="F210" s="178">
        <v>0.0</v>
      </c>
      <c r="G210" s="179">
        <v>1.6</v>
      </c>
      <c r="H210" s="179">
        <f t="shared" si="12"/>
        <v>0</v>
      </c>
      <c r="I210" s="180"/>
      <c r="J210" s="180"/>
      <c r="K210" s="130"/>
      <c r="L210" s="130"/>
      <c r="M210" s="181"/>
      <c r="N210" s="130"/>
      <c r="O210" s="181"/>
      <c r="P210" s="181"/>
      <c r="Q210" s="182"/>
      <c r="R210" s="182"/>
      <c r="S210" s="182"/>
      <c r="T210" s="182"/>
      <c r="U210" s="182"/>
      <c r="V210" s="182"/>
    </row>
    <row r="211" ht="15.75" hidden="1" customHeight="1">
      <c r="A211" s="130"/>
      <c r="B211" s="130" t="s">
        <v>18</v>
      </c>
      <c r="C211" s="175" t="s">
        <v>54</v>
      </c>
      <c r="D211" s="176" t="s">
        <v>20</v>
      </c>
      <c r="E211" s="183" t="s">
        <v>248</v>
      </c>
      <c r="F211" s="184">
        <v>0.0</v>
      </c>
      <c r="G211" s="179">
        <v>5.0</v>
      </c>
      <c r="H211" s="179">
        <f t="shared" si="12"/>
        <v>0</v>
      </c>
      <c r="I211" s="175"/>
      <c r="J211" s="175"/>
      <c r="K211" s="130"/>
      <c r="L211" s="130"/>
      <c r="M211" s="181"/>
      <c r="N211" s="130"/>
      <c r="O211" s="181"/>
      <c r="P211" s="181"/>
      <c r="Q211" s="182"/>
      <c r="R211" s="182"/>
      <c r="S211" s="182"/>
      <c r="T211" s="182"/>
      <c r="U211" s="182"/>
      <c r="V211" s="182"/>
    </row>
    <row r="212" ht="15.75" hidden="1" customHeight="1">
      <c r="A212" s="130"/>
      <c r="B212" s="130"/>
      <c r="C212" s="175" t="s">
        <v>57</v>
      </c>
      <c r="D212" s="185" t="s">
        <v>24</v>
      </c>
      <c r="E212" s="130"/>
      <c r="F212" s="184">
        <v>0.0</v>
      </c>
      <c r="G212" s="179">
        <v>210.0</v>
      </c>
      <c r="H212" s="179">
        <f t="shared" si="12"/>
        <v>0</v>
      </c>
      <c r="I212" s="175"/>
      <c r="J212" s="175"/>
      <c r="K212" s="130"/>
      <c r="L212" s="186"/>
      <c r="M212" s="187"/>
      <c r="N212" s="186"/>
      <c r="O212" s="187"/>
      <c r="P212" s="187"/>
      <c r="Q212" s="182"/>
      <c r="R212" s="182"/>
      <c r="S212" s="182"/>
      <c r="T212" s="182"/>
      <c r="U212" s="182"/>
      <c r="V212" s="182"/>
    </row>
    <row r="213" ht="15.75" hidden="1" customHeight="1">
      <c r="A213" s="13"/>
      <c r="B213" s="13"/>
      <c r="C213" s="169" t="s">
        <v>59</v>
      </c>
      <c r="D213" s="101" t="s">
        <v>32</v>
      </c>
      <c r="F213" s="16">
        <v>0.0</v>
      </c>
      <c r="G213" s="17">
        <v>0.0</v>
      </c>
      <c r="H213" s="17">
        <v>0.0</v>
      </c>
      <c r="I213" s="18"/>
      <c r="J213" s="18"/>
      <c r="K213" s="13"/>
      <c r="L213" s="27"/>
      <c r="M213" s="28"/>
      <c r="N213" s="27"/>
      <c r="O213" s="28"/>
      <c r="P213" s="28"/>
      <c r="Q213" s="35"/>
      <c r="R213" s="35"/>
      <c r="S213" s="35"/>
      <c r="T213" s="1"/>
      <c r="U213" s="1"/>
      <c r="V213" s="1"/>
    </row>
    <row r="214" ht="15.75" hidden="1" customHeight="1">
      <c r="A214" s="13"/>
      <c r="B214" s="18" t="s">
        <v>18</v>
      </c>
      <c r="C214" s="169" t="s">
        <v>315</v>
      </c>
      <c r="D214" s="14" t="s">
        <v>20</v>
      </c>
      <c r="E214" s="155" t="s">
        <v>316</v>
      </c>
      <c r="F214" s="40">
        <v>0.0</v>
      </c>
      <c r="G214" s="17">
        <v>50.0</v>
      </c>
      <c r="H214" s="17">
        <f t="shared" ref="H214:H263" si="13">SUM(F214*G214)</f>
        <v>0</v>
      </c>
      <c r="I214" s="18"/>
      <c r="J214" s="18"/>
      <c r="K214" s="13"/>
      <c r="L214" s="27"/>
      <c r="M214" s="28"/>
      <c r="N214" s="27"/>
      <c r="O214" s="28"/>
      <c r="P214" s="28"/>
      <c r="Q214" s="35"/>
      <c r="R214" s="35"/>
      <c r="S214" s="35"/>
      <c r="T214" s="1"/>
      <c r="U214" s="1"/>
      <c r="V214" s="1"/>
    </row>
    <row r="215" ht="15.75" customHeight="1">
      <c r="A215" s="13"/>
      <c r="B215" s="166" t="s">
        <v>234</v>
      </c>
      <c r="C215" s="188" t="s">
        <v>259</v>
      </c>
      <c r="D215" s="101" t="s">
        <v>32</v>
      </c>
      <c r="E215" s="189" t="s">
        <v>317</v>
      </c>
      <c r="F215" s="190">
        <v>1.0</v>
      </c>
      <c r="G215" s="191">
        <v>530.7</v>
      </c>
      <c r="H215" s="192">
        <f t="shared" si="13"/>
        <v>530.7</v>
      </c>
      <c r="I215" s="193"/>
      <c r="J215" s="18"/>
      <c r="K215" s="13"/>
      <c r="L215" s="27"/>
      <c r="M215" s="28"/>
      <c r="N215" s="27"/>
      <c r="O215" s="27"/>
      <c r="P215" s="27"/>
      <c r="Q215" s="35"/>
      <c r="R215" s="35"/>
      <c r="S215" s="35"/>
      <c r="T215" s="1"/>
      <c r="U215" s="1"/>
      <c r="V215" s="1"/>
    </row>
    <row r="216" ht="15.75" customHeight="1">
      <c r="A216" s="13"/>
      <c r="B216" s="165" t="s">
        <v>385</v>
      </c>
      <c r="C216" s="188" t="s">
        <v>318</v>
      </c>
      <c r="D216" s="167" t="s">
        <v>32</v>
      </c>
      <c r="E216" s="194" t="s">
        <v>958</v>
      </c>
      <c r="F216" s="190">
        <v>1.0</v>
      </c>
      <c r="G216" s="191">
        <v>292.0</v>
      </c>
      <c r="H216" s="192">
        <f t="shared" si="13"/>
        <v>292</v>
      </c>
      <c r="I216" s="193"/>
      <c r="J216" s="18"/>
      <c r="K216" s="13"/>
      <c r="L216" s="13"/>
      <c r="M216" s="13"/>
      <c r="N216" s="13"/>
      <c r="O216" s="13"/>
      <c r="P216" s="13"/>
      <c r="Q216" s="35"/>
      <c r="R216" s="35"/>
      <c r="S216" s="35"/>
      <c r="T216" s="1"/>
      <c r="U216" s="1"/>
      <c r="V216" s="1"/>
    </row>
    <row r="217" ht="15.75" hidden="1" customHeight="1">
      <c r="A217" s="13"/>
      <c r="B217" s="13" t="s">
        <v>320</v>
      </c>
      <c r="C217" s="169" t="s">
        <v>321</v>
      </c>
      <c r="D217" s="66" t="s">
        <v>22</v>
      </c>
      <c r="E217" s="15"/>
      <c r="F217" s="16">
        <v>0.0</v>
      </c>
      <c r="G217" s="17">
        <v>10.0</v>
      </c>
      <c r="H217" s="17">
        <f t="shared" si="13"/>
        <v>0</v>
      </c>
      <c r="I217" s="18"/>
      <c r="J217" s="18"/>
      <c r="K217" s="13"/>
      <c r="L217" s="13"/>
      <c r="M217" s="19"/>
      <c r="N217" s="13"/>
      <c r="O217" s="13"/>
      <c r="P217" s="13"/>
      <c r="Q217" s="35"/>
      <c r="R217" s="35"/>
      <c r="S217" s="35"/>
      <c r="T217" s="1"/>
      <c r="U217" s="1"/>
      <c r="V217" s="1"/>
    </row>
    <row r="218" ht="15.75" customHeight="1">
      <c r="A218" s="13"/>
      <c r="B218" s="13" t="s">
        <v>239</v>
      </c>
      <c r="C218" s="195" t="s">
        <v>322</v>
      </c>
      <c r="D218" s="14" t="s">
        <v>20</v>
      </c>
      <c r="E218" s="15"/>
      <c r="F218" s="16">
        <v>2.0</v>
      </c>
      <c r="G218" s="34">
        <v>372.6</v>
      </c>
      <c r="H218" s="17">
        <f t="shared" si="13"/>
        <v>745.2</v>
      </c>
      <c r="I218" s="18"/>
      <c r="J218" s="18"/>
      <c r="K218" s="13"/>
      <c r="L218" s="13"/>
      <c r="M218" s="19"/>
      <c r="N218" s="13"/>
      <c r="O218" s="19"/>
      <c r="P218" s="19"/>
      <c r="Q218" s="35"/>
      <c r="R218" s="35"/>
      <c r="S218" s="35"/>
      <c r="T218" s="1"/>
      <c r="U218" s="1"/>
      <c r="V218" s="1"/>
    </row>
    <row r="219" ht="15.75" customHeight="1">
      <c r="A219" s="13"/>
      <c r="B219" s="13"/>
      <c r="C219" s="169" t="s">
        <v>323</v>
      </c>
      <c r="D219" s="70" t="s">
        <v>24</v>
      </c>
      <c r="E219" s="15"/>
      <c r="F219" s="16">
        <v>2.0</v>
      </c>
      <c r="G219" s="34">
        <v>80.0</v>
      </c>
      <c r="H219" s="17">
        <f t="shared" si="13"/>
        <v>160</v>
      </c>
      <c r="I219" s="18"/>
      <c r="J219" s="18"/>
      <c r="K219" s="13"/>
      <c r="L219" s="63"/>
      <c r="M219" s="63"/>
      <c r="N219" s="63"/>
      <c r="O219" s="63"/>
      <c r="P219" s="63"/>
      <c r="Q219" s="35"/>
      <c r="R219" s="35"/>
      <c r="S219" s="35"/>
      <c r="T219" s="1"/>
      <c r="U219" s="1"/>
      <c r="V219" s="1"/>
    </row>
    <row r="220" ht="15.75" customHeight="1">
      <c r="A220" s="13"/>
      <c r="B220" s="13"/>
      <c r="C220" s="169" t="s">
        <v>324</v>
      </c>
      <c r="D220" s="14" t="s">
        <v>20</v>
      </c>
      <c r="E220" s="15"/>
      <c r="F220" s="16">
        <v>2.0</v>
      </c>
      <c r="G220" s="17">
        <v>35.0</v>
      </c>
      <c r="H220" s="17">
        <f t="shared" si="13"/>
        <v>70</v>
      </c>
      <c r="I220" s="18"/>
      <c r="J220" s="18"/>
      <c r="K220" s="13"/>
      <c r="L220" s="13"/>
      <c r="M220" s="19"/>
      <c r="N220" s="13"/>
      <c r="O220" s="19"/>
      <c r="P220" s="19"/>
      <c r="Q220" s="35"/>
      <c r="R220" s="35"/>
      <c r="S220" s="35"/>
      <c r="T220" s="1"/>
      <c r="U220" s="1"/>
      <c r="V220" s="1"/>
    </row>
    <row r="221" ht="15.75" hidden="1" customHeight="1">
      <c r="A221" s="13"/>
      <c r="B221" s="13"/>
      <c r="C221" s="169" t="s">
        <v>258</v>
      </c>
      <c r="D221" s="66" t="s">
        <v>22</v>
      </c>
      <c r="E221" s="15"/>
      <c r="F221" s="16">
        <v>0.0</v>
      </c>
      <c r="G221" s="17">
        <v>150.0</v>
      </c>
      <c r="H221" s="17">
        <f t="shared" si="13"/>
        <v>0</v>
      </c>
      <c r="I221" s="18"/>
      <c r="J221" s="18"/>
      <c r="K221" s="13"/>
      <c r="L221" s="13"/>
      <c r="M221" s="19"/>
      <c r="N221" s="13"/>
      <c r="O221" s="19"/>
      <c r="P221" s="19"/>
      <c r="Q221" s="35"/>
      <c r="R221" s="35"/>
      <c r="S221" s="35"/>
      <c r="T221" s="1"/>
      <c r="U221" s="1"/>
      <c r="V221" s="1"/>
    </row>
    <row r="222" ht="15.75" customHeight="1">
      <c r="A222" s="13"/>
      <c r="B222" s="13" t="s">
        <v>18</v>
      </c>
      <c r="C222" s="196" t="s">
        <v>325</v>
      </c>
      <c r="D222" s="150" t="s">
        <v>22</v>
      </c>
      <c r="E222" s="47" t="s">
        <v>326</v>
      </c>
      <c r="F222" s="48">
        <v>1.0</v>
      </c>
      <c r="G222" s="49">
        <v>46.8</v>
      </c>
      <c r="H222" s="50">
        <f t="shared" si="13"/>
        <v>46.8</v>
      </c>
      <c r="I222" s="18"/>
      <c r="J222" s="54"/>
      <c r="K222" s="54"/>
      <c r="L222" s="13"/>
      <c r="M222" s="13"/>
      <c r="N222" s="13"/>
      <c r="O222" s="19"/>
      <c r="P222" s="19"/>
      <c r="Q222" s="35"/>
      <c r="R222" s="35"/>
      <c r="S222" s="35"/>
      <c r="T222" s="1"/>
      <c r="U222" s="1"/>
      <c r="V222" s="1"/>
    </row>
    <row r="223" ht="15.75" hidden="1" customHeight="1">
      <c r="A223" s="13"/>
      <c r="B223" s="13"/>
      <c r="C223" s="197" t="s">
        <v>327</v>
      </c>
      <c r="D223" s="198" t="s">
        <v>22</v>
      </c>
      <c r="E223" s="54" t="s">
        <v>328</v>
      </c>
      <c r="F223" s="56">
        <v>0.0</v>
      </c>
      <c r="G223" s="57">
        <v>321.3</v>
      </c>
      <c r="H223" s="57">
        <f t="shared" si="13"/>
        <v>0</v>
      </c>
      <c r="I223" s="18"/>
      <c r="J223" s="18"/>
      <c r="K223" s="13"/>
      <c r="L223" s="13"/>
      <c r="M223" s="13"/>
      <c r="N223" s="13"/>
      <c r="O223" s="19"/>
      <c r="P223" s="19"/>
      <c r="Q223" s="35"/>
      <c r="R223" s="35"/>
      <c r="S223" s="35"/>
      <c r="T223" s="1"/>
      <c r="U223" s="1"/>
      <c r="V223" s="1"/>
    </row>
    <row r="224" ht="15.75" customHeight="1">
      <c r="A224" s="15"/>
      <c r="B224" s="52" t="s">
        <v>18</v>
      </c>
      <c r="C224" s="196" t="s">
        <v>329</v>
      </c>
      <c r="D224" s="150" t="s">
        <v>22</v>
      </c>
      <c r="E224" s="199" t="s">
        <v>330</v>
      </c>
      <c r="F224" s="48">
        <v>2.0</v>
      </c>
      <c r="G224" s="49">
        <v>25.2</v>
      </c>
      <c r="H224" s="50">
        <f t="shared" si="13"/>
        <v>50.4</v>
      </c>
      <c r="I224" s="51"/>
      <c r="J224" s="51"/>
      <c r="K224" s="54"/>
      <c r="L224" s="52"/>
      <c r="M224" s="52"/>
      <c r="N224" s="52"/>
      <c r="O224" s="200"/>
      <c r="P224" s="200"/>
      <c r="Q224" s="1"/>
      <c r="R224" s="1"/>
      <c r="S224" s="1"/>
      <c r="T224" s="1"/>
      <c r="U224" s="1"/>
      <c r="V224" s="1"/>
    </row>
    <row r="225" ht="15.75" customHeight="1">
      <c r="A225" s="53"/>
      <c r="B225" s="54" t="s">
        <v>18</v>
      </c>
      <c r="C225" s="197" t="s">
        <v>331</v>
      </c>
      <c r="D225" s="198" t="s">
        <v>22</v>
      </c>
      <c r="E225" s="201" t="s">
        <v>332</v>
      </c>
      <c r="F225" s="56">
        <v>1.0</v>
      </c>
      <c r="G225" s="159">
        <v>48.0</v>
      </c>
      <c r="H225" s="57">
        <f t="shared" si="13"/>
        <v>48</v>
      </c>
      <c r="I225" s="58"/>
      <c r="J225" s="58"/>
      <c r="K225" s="54"/>
      <c r="L225" s="54"/>
      <c r="M225" s="54"/>
      <c r="N225" s="54"/>
      <c r="O225" s="202"/>
      <c r="P225" s="202"/>
      <c r="Q225" s="1"/>
      <c r="R225" s="1"/>
      <c r="S225" s="1"/>
      <c r="T225" s="1"/>
      <c r="U225" s="1"/>
      <c r="V225" s="1"/>
    </row>
    <row r="226" ht="15.75" customHeight="1">
      <c r="A226" s="53"/>
      <c r="B226" s="54" t="s">
        <v>18</v>
      </c>
      <c r="C226" s="203" t="s">
        <v>333</v>
      </c>
      <c r="D226" s="198" t="s">
        <v>22</v>
      </c>
      <c r="E226" s="204" t="s">
        <v>334</v>
      </c>
      <c r="F226" s="56">
        <v>1.0</v>
      </c>
      <c r="G226" s="159">
        <v>46.8</v>
      </c>
      <c r="H226" s="57">
        <f t="shared" si="13"/>
        <v>46.8</v>
      </c>
      <c r="I226" s="58"/>
      <c r="J226" s="58"/>
      <c r="K226" s="54"/>
      <c r="L226" s="54"/>
      <c r="M226" s="54"/>
      <c r="N226" s="54"/>
      <c r="O226" s="202"/>
      <c r="P226" s="202"/>
      <c r="Q226" s="1"/>
      <c r="R226" s="1"/>
      <c r="S226" s="1"/>
      <c r="T226" s="1"/>
      <c r="U226" s="1"/>
      <c r="V226" s="1"/>
    </row>
    <row r="227" ht="15.75" hidden="1" customHeight="1">
      <c r="A227" s="15"/>
      <c r="B227" s="52" t="s">
        <v>18</v>
      </c>
      <c r="C227" s="196" t="s">
        <v>335</v>
      </c>
      <c r="D227" s="150" t="s">
        <v>22</v>
      </c>
      <c r="E227" s="52"/>
      <c r="F227" s="48">
        <v>0.0</v>
      </c>
      <c r="G227" s="50">
        <v>29.69</v>
      </c>
      <c r="H227" s="50">
        <f t="shared" si="13"/>
        <v>0</v>
      </c>
      <c r="I227" s="51"/>
      <c r="J227" s="51"/>
      <c r="K227" s="52"/>
      <c r="L227" s="52"/>
      <c r="M227" s="52"/>
      <c r="N227" s="52"/>
      <c r="O227" s="200"/>
      <c r="P227" s="200"/>
      <c r="Q227" s="1"/>
      <c r="R227" s="1"/>
      <c r="S227" s="1"/>
      <c r="T227" s="1"/>
      <c r="U227" s="1"/>
      <c r="V227" s="1"/>
    </row>
    <row r="228" ht="15.75" hidden="1" customHeight="1">
      <c r="A228" s="53"/>
      <c r="B228" s="54" t="s">
        <v>18</v>
      </c>
      <c r="C228" s="197" t="s">
        <v>336</v>
      </c>
      <c r="D228" s="198" t="s">
        <v>22</v>
      </c>
      <c r="E228" s="54" t="s">
        <v>337</v>
      </c>
      <c r="F228" s="56">
        <v>0.0</v>
      </c>
      <c r="G228" s="57">
        <v>29.99</v>
      </c>
      <c r="H228" s="57">
        <f t="shared" si="13"/>
        <v>0</v>
      </c>
      <c r="I228" s="58"/>
      <c r="J228" s="58"/>
      <c r="K228" s="54"/>
      <c r="L228" s="54"/>
      <c r="M228" s="54"/>
      <c r="N228" s="54"/>
      <c r="O228" s="202"/>
      <c r="P228" s="202"/>
      <c r="Q228" s="1"/>
      <c r="R228" s="1"/>
      <c r="S228" s="1"/>
      <c r="T228" s="1"/>
      <c r="U228" s="1"/>
      <c r="V228" s="1"/>
    </row>
    <row r="229" ht="15.75" hidden="1" customHeight="1">
      <c r="A229" s="53"/>
      <c r="B229" s="54" t="s">
        <v>18</v>
      </c>
      <c r="C229" s="203" t="s">
        <v>338</v>
      </c>
      <c r="D229" s="198" t="s">
        <v>22</v>
      </c>
      <c r="E229" s="54" t="s">
        <v>339</v>
      </c>
      <c r="F229" s="56">
        <v>0.0</v>
      </c>
      <c r="G229" s="57">
        <v>16.69</v>
      </c>
      <c r="H229" s="57">
        <f t="shared" si="13"/>
        <v>0</v>
      </c>
      <c r="I229" s="58"/>
      <c r="J229" s="58"/>
      <c r="K229" s="54"/>
      <c r="L229" s="54"/>
      <c r="M229" s="54"/>
      <c r="N229" s="54"/>
      <c r="O229" s="202"/>
      <c r="P229" s="202"/>
      <c r="Q229" s="1"/>
      <c r="R229" s="1"/>
      <c r="S229" s="1"/>
      <c r="T229" s="1"/>
      <c r="U229" s="1"/>
      <c r="V229" s="1"/>
    </row>
    <row r="230" ht="15.75" hidden="1" customHeight="1">
      <c r="A230" s="15"/>
      <c r="B230" s="52" t="s">
        <v>18</v>
      </c>
      <c r="C230" s="196" t="s">
        <v>340</v>
      </c>
      <c r="D230" s="150" t="s">
        <v>22</v>
      </c>
      <c r="E230" s="52"/>
      <c r="F230" s="48">
        <v>0.0</v>
      </c>
      <c r="G230" s="50">
        <v>29.69</v>
      </c>
      <c r="H230" s="50">
        <f t="shared" si="13"/>
        <v>0</v>
      </c>
      <c r="I230" s="51"/>
      <c r="J230" s="51"/>
      <c r="K230" s="52"/>
      <c r="L230" s="52"/>
      <c r="M230" s="52"/>
      <c r="N230" s="52"/>
      <c r="O230" s="200"/>
      <c r="P230" s="200"/>
      <c r="Q230" s="1"/>
      <c r="R230" s="1"/>
      <c r="S230" s="1"/>
      <c r="T230" s="1"/>
      <c r="U230" s="1"/>
      <c r="V230" s="1"/>
    </row>
    <row r="231" ht="15.75" hidden="1" customHeight="1">
      <c r="A231" s="53"/>
      <c r="B231" s="54" t="s">
        <v>18</v>
      </c>
      <c r="C231" s="197" t="s">
        <v>341</v>
      </c>
      <c r="D231" s="198" t="s">
        <v>22</v>
      </c>
      <c r="E231" s="54" t="s">
        <v>337</v>
      </c>
      <c r="F231" s="56">
        <v>0.0</v>
      </c>
      <c r="G231" s="57">
        <v>29.99</v>
      </c>
      <c r="H231" s="57">
        <f t="shared" si="13"/>
        <v>0</v>
      </c>
      <c r="I231" s="58"/>
      <c r="J231" s="58"/>
      <c r="K231" s="54"/>
      <c r="L231" s="54"/>
      <c r="M231" s="54"/>
      <c r="N231" s="54"/>
      <c r="O231" s="202"/>
      <c r="P231" s="202"/>
      <c r="Q231" s="1"/>
      <c r="R231" s="1"/>
      <c r="S231" s="1"/>
      <c r="T231" s="1"/>
      <c r="U231" s="1"/>
      <c r="V231" s="1"/>
    </row>
    <row r="232" ht="15.75" hidden="1" customHeight="1">
      <c r="A232" s="53"/>
      <c r="B232" s="54" t="s">
        <v>18</v>
      </c>
      <c r="C232" s="197" t="s">
        <v>342</v>
      </c>
      <c r="D232" s="198" t="s">
        <v>22</v>
      </c>
      <c r="E232" s="54" t="s">
        <v>343</v>
      </c>
      <c r="F232" s="56">
        <v>0.0</v>
      </c>
      <c r="G232" s="57">
        <v>17.99</v>
      </c>
      <c r="H232" s="57">
        <f t="shared" si="13"/>
        <v>0</v>
      </c>
      <c r="I232" s="58"/>
      <c r="J232" s="58"/>
      <c r="K232" s="54"/>
      <c r="L232" s="54"/>
      <c r="M232" s="54"/>
      <c r="N232" s="54"/>
      <c r="O232" s="202"/>
      <c r="P232" s="202"/>
      <c r="Q232" s="1"/>
      <c r="R232" s="1"/>
      <c r="S232" s="1"/>
      <c r="T232" s="1"/>
      <c r="U232" s="1"/>
      <c r="V232" s="1"/>
    </row>
    <row r="233" ht="15.75" hidden="1" customHeight="1">
      <c r="A233" s="53"/>
      <c r="B233" s="54" t="s">
        <v>18</v>
      </c>
      <c r="C233" s="197" t="s">
        <v>344</v>
      </c>
      <c r="D233" s="198" t="s">
        <v>22</v>
      </c>
      <c r="E233" s="205" t="s">
        <v>345</v>
      </c>
      <c r="F233" s="158">
        <v>0.0</v>
      </c>
      <c r="G233" s="57">
        <v>19.0</v>
      </c>
      <c r="H233" s="57">
        <f t="shared" si="13"/>
        <v>0</v>
      </c>
      <c r="I233" s="58"/>
      <c r="J233" s="58"/>
      <c r="K233" s="54"/>
      <c r="L233" s="54"/>
      <c r="M233" s="54"/>
      <c r="N233" s="54"/>
      <c r="O233" s="202"/>
      <c r="P233" s="202"/>
      <c r="Q233" s="1"/>
      <c r="R233" s="1"/>
      <c r="S233" s="1"/>
      <c r="T233" s="1"/>
      <c r="U233" s="1"/>
      <c r="V233" s="1"/>
    </row>
    <row r="234" ht="15.75" hidden="1" customHeight="1">
      <c r="A234" s="13"/>
      <c r="B234" s="206" t="s">
        <v>18</v>
      </c>
      <c r="C234" s="197" t="s">
        <v>346</v>
      </c>
      <c r="D234" s="198" t="s">
        <v>22</v>
      </c>
      <c r="E234" s="205" t="s">
        <v>347</v>
      </c>
      <c r="F234" s="158">
        <v>0.0</v>
      </c>
      <c r="G234" s="57">
        <v>35.0</v>
      </c>
      <c r="H234" s="57">
        <f t="shared" si="13"/>
        <v>0</v>
      </c>
      <c r="I234" s="18"/>
      <c r="J234" s="18"/>
      <c r="K234" s="54"/>
      <c r="L234" s="13"/>
      <c r="M234" s="13"/>
      <c r="N234" s="13"/>
      <c r="O234" s="19"/>
      <c r="P234" s="19"/>
      <c r="Q234" s="35"/>
      <c r="R234" s="35"/>
      <c r="S234" s="35"/>
      <c r="T234" s="1"/>
      <c r="U234" s="1"/>
      <c r="V234" s="1"/>
    </row>
    <row r="235" ht="15.75" customHeight="1">
      <c r="A235" s="13"/>
      <c r="B235" s="13" t="s">
        <v>18</v>
      </c>
      <c r="C235" s="196" t="s">
        <v>348</v>
      </c>
      <c r="D235" s="150" t="s">
        <v>22</v>
      </c>
      <c r="E235" s="199" t="s">
        <v>349</v>
      </c>
      <c r="F235" s="48">
        <v>1.0</v>
      </c>
      <c r="G235" s="49">
        <v>24.0</v>
      </c>
      <c r="H235" s="50">
        <f t="shared" si="13"/>
        <v>24</v>
      </c>
      <c r="I235" s="18"/>
      <c r="J235" s="18"/>
      <c r="K235" s="54"/>
      <c r="L235" s="13"/>
      <c r="M235" s="13"/>
      <c r="N235" s="13"/>
      <c r="O235" s="13"/>
      <c r="P235" s="13"/>
      <c r="Q235" s="35"/>
      <c r="R235" s="35"/>
      <c r="S235" s="35"/>
      <c r="T235" s="1"/>
      <c r="U235" s="1"/>
      <c r="V235" s="1"/>
    </row>
    <row r="236" ht="15.75" customHeight="1">
      <c r="A236" s="13"/>
      <c r="B236" s="13" t="s">
        <v>350</v>
      </c>
      <c r="C236" s="196" t="s">
        <v>351</v>
      </c>
      <c r="D236" s="150" t="s">
        <v>22</v>
      </c>
      <c r="E236" s="207" t="s">
        <v>352</v>
      </c>
      <c r="F236" s="48">
        <v>1.0</v>
      </c>
      <c r="G236" s="49">
        <v>420.0</v>
      </c>
      <c r="H236" s="50">
        <f t="shared" si="13"/>
        <v>420</v>
      </c>
      <c r="I236" s="18"/>
      <c r="J236" s="18"/>
      <c r="K236" s="13"/>
      <c r="L236" s="13"/>
      <c r="M236" s="13"/>
      <c r="N236" s="13"/>
      <c r="O236" s="13"/>
      <c r="P236" s="13"/>
      <c r="Q236" s="35"/>
      <c r="R236" s="35"/>
      <c r="S236" s="35"/>
      <c r="T236" s="1"/>
      <c r="U236" s="1"/>
      <c r="V236" s="1"/>
    </row>
    <row r="237" ht="15.75" customHeight="1">
      <c r="A237" s="13"/>
      <c r="B237" s="206" t="s">
        <v>350</v>
      </c>
      <c r="C237" s="197" t="s">
        <v>353</v>
      </c>
      <c r="D237" s="198" t="s">
        <v>22</v>
      </c>
      <c r="E237" s="208" t="s">
        <v>352</v>
      </c>
      <c r="F237" s="56">
        <v>1.0</v>
      </c>
      <c r="G237" s="159">
        <v>172.0</v>
      </c>
      <c r="H237" s="57">
        <f t="shared" si="13"/>
        <v>172</v>
      </c>
      <c r="I237" s="18"/>
      <c r="J237" s="18"/>
      <c r="K237" s="13"/>
      <c r="L237" s="13"/>
      <c r="M237" s="19"/>
      <c r="N237" s="13"/>
      <c r="O237" s="19"/>
      <c r="P237" s="19"/>
      <c r="Q237" s="35"/>
      <c r="R237" s="35"/>
      <c r="S237" s="35"/>
      <c r="T237" s="1"/>
      <c r="U237" s="1"/>
      <c r="V237" s="1"/>
    </row>
    <row r="238" ht="15.75" hidden="1" customHeight="1">
      <c r="A238" s="13"/>
      <c r="B238" s="206"/>
      <c r="C238" s="197" t="s">
        <v>354</v>
      </c>
      <c r="D238" s="198" t="s">
        <v>22</v>
      </c>
      <c r="E238" s="208" t="s">
        <v>352</v>
      </c>
      <c r="F238" s="56">
        <v>0.0</v>
      </c>
      <c r="G238" s="159">
        <v>97.0</v>
      </c>
      <c r="H238" s="57">
        <f t="shared" si="13"/>
        <v>0</v>
      </c>
      <c r="I238" s="18"/>
      <c r="J238" s="18"/>
      <c r="K238" s="13"/>
      <c r="L238" s="27"/>
      <c r="M238" s="28"/>
      <c r="N238" s="27"/>
      <c r="O238" s="28"/>
      <c r="P238" s="27"/>
      <c r="Q238" s="35"/>
      <c r="R238" s="35"/>
      <c r="S238" s="35"/>
      <c r="T238" s="1"/>
      <c r="U238" s="1"/>
      <c r="V238" s="1"/>
    </row>
    <row r="239" ht="15.75" hidden="1" customHeight="1">
      <c r="A239" s="13"/>
      <c r="B239" s="156" t="s">
        <v>350</v>
      </c>
      <c r="C239" s="197" t="s">
        <v>355</v>
      </c>
      <c r="D239" s="198" t="s">
        <v>22</v>
      </c>
      <c r="E239" s="208" t="s">
        <v>356</v>
      </c>
      <c r="F239" s="56">
        <v>0.0</v>
      </c>
      <c r="G239" s="159">
        <v>366.0</v>
      </c>
      <c r="H239" s="57">
        <f t="shared" si="13"/>
        <v>0</v>
      </c>
      <c r="I239" s="18"/>
      <c r="J239" s="18"/>
      <c r="K239" s="13"/>
      <c r="L239" s="27"/>
      <c r="M239" s="28"/>
      <c r="N239" s="27"/>
      <c r="O239" s="28"/>
      <c r="P239" s="27"/>
      <c r="Q239" s="35"/>
      <c r="R239" s="35"/>
      <c r="S239" s="35"/>
      <c r="T239" s="1"/>
      <c r="U239" s="1"/>
      <c r="V239" s="1"/>
    </row>
    <row r="240" ht="15.75" hidden="1" customHeight="1">
      <c r="A240" s="13"/>
      <c r="B240" s="206" t="s">
        <v>350</v>
      </c>
      <c r="C240" s="197" t="s">
        <v>357</v>
      </c>
      <c r="D240" s="198" t="s">
        <v>22</v>
      </c>
      <c r="E240" s="208" t="s">
        <v>356</v>
      </c>
      <c r="F240" s="56">
        <v>0.0</v>
      </c>
      <c r="G240" s="159">
        <v>107.5</v>
      </c>
      <c r="H240" s="57">
        <f t="shared" si="13"/>
        <v>0</v>
      </c>
      <c r="I240" s="18"/>
      <c r="J240" s="18"/>
      <c r="K240" s="13"/>
      <c r="L240" s="27"/>
      <c r="M240" s="28"/>
      <c r="N240" s="27"/>
      <c r="O240" s="28"/>
      <c r="P240" s="27"/>
      <c r="Q240" s="35"/>
      <c r="R240" s="35"/>
      <c r="S240" s="35"/>
      <c r="T240" s="1"/>
      <c r="U240" s="1"/>
      <c r="V240" s="1"/>
    </row>
    <row r="241" ht="15.75" hidden="1" customHeight="1">
      <c r="A241" s="13"/>
      <c r="B241" s="156" t="s">
        <v>350</v>
      </c>
      <c r="C241" s="197" t="s">
        <v>358</v>
      </c>
      <c r="D241" s="198" t="s">
        <v>22</v>
      </c>
      <c r="E241" s="208" t="s">
        <v>356</v>
      </c>
      <c r="F241" s="56">
        <v>0.0</v>
      </c>
      <c r="G241" s="159">
        <v>97.0</v>
      </c>
      <c r="H241" s="57">
        <f t="shared" si="13"/>
        <v>0</v>
      </c>
      <c r="I241" s="18"/>
      <c r="J241" s="18"/>
      <c r="K241" s="13"/>
      <c r="L241" s="27"/>
      <c r="M241" s="28"/>
      <c r="N241" s="27"/>
      <c r="O241" s="28"/>
      <c r="P241" s="27"/>
      <c r="Q241" s="35"/>
      <c r="R241" s="35"/>
      <c r="S241" s="35"/>
      <c r="T241" s="1"/>
      <c r="U241" s="1"/>
      <c r="V241" s="1"/>
    </row>
    <row r="242" ht="15.75" hidden="1" customHeight="1">
      <c r="A242" s="13"/>
      <c r="B242" s="13" t="s">
        <v>18</v>
      </c>
      <c r="C242" s="196" t="s">
        <v>359</v>
      </c>
      <c r="D242" s="150" t="s">
        <v>22</v>
      </c>
      <c r="E242" s="52" t="s">
        <v>360</v>
      </c>
      <c r="F242" s="48">
        <v>0.0</v>
      </c>
      <c r="G242" s="50">
        <v>18.0</v>
      </c>
      <c r="H242" s="50">
        <f t="shared" si="13"/>
        <v>0</v>
      </c>
      <c r="I242" s="18"/>
      <c r="J242" s="18"/>
      <c r="K242" s="13"/>
      <c r="L242" s="27"/>
      <c r="M242" s="28"/>
      <c r="N242" s="27"/>
      <c r="O242" s="28"/>
      <c r="P242" s="27"/>
      <c r="Q242" s="35"/>
      <c r="R242" s="35"/>
      <c r="S242" s="35"/>
      <c r="T242" s="1"/>
      <c r="U242" s="1"/>
      <c r="V242" s="1"/>
    </row>
    <row r="243" ht="15.75" customHeight="1">
      <c r="A243" s="13"/>
      <c r="B243" s="13" t="s">
        <v>361</v>
      </c>
      <c r="C243" s="169" t="s">
        <v>362</v>
      </c>
      <c r="D243" s="66" t="s">
        <v>22</v>
      </c>
      <c r="E243" s="15" t="s">
        <v>363</v>
      </c>
      <c r="F243" s="16">
        <v>4.0</v>
      </c>
      <c r="G243" s="17">
        <v>11.0</v>
      </c>
      <c r="H243" s="17">
        <f t="shared" si="13"/>
        <v>44</v>
      </c>
      <c r="I243" s="18"/>
      <c r="J243" s="18"/>
      <c r="K243" s="13"/>
      <c r="L243" s="95"/>
      <c r="M243" s="96"/>
      <c r="N243" s="95"/>
      <c r="O243" s="95"/>
      <c r="P243" s="95"/>
      <c r="Q243" s="35"/>
      <c r="R243" s="35"/>
      <c r="S243" s="35"/>
      <c r="T243" s="1"/>
      <c r="U243" s="1"/>
      <c r="V243" s="1"/>
    </row>
    <row r="244" ht="15.75" hidden="1" customHeight="1">
      <c r="A244" s="13"/>
      <c r="B244" s="13" t="s">
        <v>361</v>
      </c>
      <c r="C244" s="169" t="s">
        <v>364</v>
      </c>
      <c r="D244" s="66" t="s">
        <v>22</v>
      </c>
      <c r="E244" s="15" t="s">
        <v>365</v>
      </c>
      <c r="F244" s="16">
        <v>0.0</v>
      </c>
      <c r="G244" s="17">
        <v>6.0</v>
      </c>
      <c r="H244" s="17">
        <f t="shared" si="13"/>
        <v>0</v>
      </c>
      <c r="I244" s="18"/>
      <c r="J244" s="18"/>
      <c r="K244" s="13"/>
      <c r="L244" s="95"/>
      <c r="M244" s="96"/>
      <c r="N244" s="95"/>
      <c r="O244" s="95"/>
      <c r="P244" s="95"/>
      <c r="Q244" s="35"/>
      <c r="R244" s="35"/>
      <c r="S244" s="35"/>
      <c r="T244" s="1"/>
      <c r="U244" s="1"/>
      <c r="V244" s="1"/>
    </row>
    <row r="245" ht="15.75" customHeight="1">
      <c r="A245" s="13"/>
      <c r="B245" s="43" t="s">
        <v>64</v>
      </c>
      <c r="C245" s="169" t="s">
        <v>263</v>
      </c>
      <c r="D245" s="66" t="s">
        <v>22</v>
      </c>
      <c r="E245" s="15" t="s">
        <v>612</v>
      </c>
      <c r="F245" s="16">
        <v>2.0</v>
      </c>
      <c r="G245" s="17">
        <v>180.0</v>
      </c>
      <c r="H245" s="17">
        <f t="shared" si="13"/>
        <v>360</v>
      </c>
      <c r="I245" s="18"/>
      <c r="J245" s="18"/>
      <c r="K245" s="13"/>
      <c r="L245" s="13"/>
      <c r="M245" s="19"/>
      <c r="N245" s="13"/>
      <c r="O245" s="19"/>
      <c r="P245" s="19"/>
      <c r="Q245" s="35"/>
      <c r="R245" s="35"/>
      <c r="S245" s="35"/>
      <c r="T245" s="1"/>
      <c r="U245" s="1"/>
      <c r="V245" s="1"/>
    </row>
    <row r="246" ht="15.75" customHeight="1">
      <c r="A246" s="13"/>
      <c r="B246" s="13"/>
      <c r="C246" s="13" t="s">
        <v>67</v>
      </c>
      <c r="D246" s="70" t="s">
        <v>24</v>
      </c>
      <c r="E246" s="15"/>
      <c r="F246" s="16">
        <v>2.0</v>
      </c>
      <c r="G246" s="17">
        <v>18.0</v>
      </c>
      <c r="H246" s="17">
        <f t="shared" si="13"/>
        <v>36</v>
      </c>
      <c r="I246" s="18"/>
      <c r="J246" s="18"/>
      <c r="K246" s="13"/>
      <c r="L246" s="63"/>
      <c r="M246" s="79"/>
      <c r="N246" s="63"/>
      <c r="O246" s="79"/>
      <c r="P246" s="79"/>
      <c r="Q246" s="35"/>
      <c r="R246" s="35"/>
      <c r="S246" s="35"/>
      <c r="T246" s="1"/>
      <c r="U246" s="1"/>
      <c r="V246" s="1"/>
    </row>
    <row r="247" ht="15.75" customHeight="1">
      <c r="A247" s="13"/>
      <c r="B247" s="43" t="s">
        <v>129</v>
      </c>
      <c r="C247" s="169" t="s">
        <v>366</v>
      </c>
      <c r="D247" s="14" t="s">
        <v>20</v>
      </c>
      <c r="E247" s="155" t="s">
        <v>367</v>
      </c>
      <c r="F247" s="16">
        <v>1.0</v>
      </c>
      <c r="G247" s="17">
        <v>348.0</v>
      </c>
      <c r="H247" s="17">
        <f t="shared" si="13"/>
        <v>348</v>
      </c>
      <c r="I247" s="18"/>
      <c r="J247" s="18"/>
      <c r="K247" s="13"/>
      <c r="L247" s="13"/>
      <c r="M247" s="19"/>
      <c r="N247" s="13"/>
      <c r="O247" s="38"/>
      <c r="P247" s="19"/>
      <c r="Q247" s="35"/>
      <c r="R247" s="35"/>
      <c r="S247" s="35"/>
      <c r="T247" s="1"/>
      <c r="U247" s="1"/>
      <c r="V247" s="1"/>
    </row>
    <row r="248" ht="15.75" customHeight="1">
      <c r="A248" s="13"/>
      <c r="B248" s="13" t="s">
        <v>18</v>
      </c>
      <c r="C248" s="169" t="s">
        <v>280</v>
      </c>
      <c r="D248" s="14" t="s">
        <v>20</v>
      </c>
      <c r="E248" s="33" t="s">
        <v>368</v>
      </c>
      <c r="F248" s="16">
        <v>1.0</v>
      </c>
      <c r="G248" s="34">
        <v>20.0</v>
      </c>
      <c r="H248" s="17">
        <f t="shared" si="13"/>
        <v>20</v>
      </c>
      <c r="I248" s="18"/>
      <c r="J248" s="18"/>
      <c r="K248" s="54"/>
      <c r="L248" s="27"/>
      <c r="M248" s="27"/>
      <c r="N248" s="27"/>
      <c r="O248" s="27"/>
      <c r="P248" s="27"/>
      <c r="Q248" s="35"/>
      <c r="R248" s="35"/>
      <c r="S248" s="35"/>
      <c r="T248" s="1"/>
      <c r="U248" s="1"/>
      <c r="V248" s="1"/>
    </row>
    <row r="249" ht="15.75" customHeight="1">
      <c r="A249" s="13"/>
      <c r="B249" s="13"/>
      <c r="C249" s="169" t="s">
        <v>282</v>
      </c>
      <c r="D249" s="70" t="s">
        <v>24</v>
      </c>
      <c r="E249" s="15"/>
      <c r="F249" s="16">
        <v>1.0</v>
      </c>
      <c r="G249" s="17">
        <v>80.0</v>
      </c>
      <c r="H249" s="17">
        <f t="shared" si="13"/>
        <v>80</v>
      </c>
      <c r="I249" s="18"/>
      <c r="J249" s="18"/>
      <c r="K249" s="13"/>
      <c r="L249" s="63"/>
      <c r="M249" s="63"/>
      <c r="N249" s="63"/>
      <c r="O249" s="63"/>
      <c r="P249" s="63"/>
      <c r="Q249" s="35"/>
      <c r="R249" s="35"/>
      <c r="S249" s="35"/>
      <c r="T249" s="1"/>
      <c r="U249" s="1"/>
      <c r="V249" s="1"/>
    </row>
    <row r="250" ht="15.75" hidden="1" customHeight="1">
      <c r="A250" s="13"/>
      <c r="B250" s="13" t="s">
        <v>18</v>
      </c>
      <c r="C250" s="169" t="s">
        <v>283</v>
      </c>
      <c r="D250" s="14" t="s">
        <v>20</v>
      </c>
      <c r="E250" s="15" t="s">
        <v>284</v>
      </c>
      <c r="F250" s="16">
        <v>0.0</v>
      </c>
      <c r="G250" s="17">
        <v>12.0</v>
      </c>
      <c r="H250" s="17">
        <f t="shared" si="13"/>
        <v>0</v>
      </c>
      <c r="I250" s="18"/>
      <c r="J250" s="18"/>
      <c r="K250" s="13"/>
      <c r="L250" s="27"/>
      <c r="M250" s="28"/>
      <c r="N250" s="27"/>
      <c r="O250" s="28"/>
      <c r="P250" s="28"/>
      <c r="Q250" s="35"/>
      <c r="R250" s="35"/>
      <c r="S250" s="35"/>
      <c r="T250" s="1"/>
      <c r="U250" s="1"/>
      <c r="V250" s="1"/>
    </row>
    <row r="251" ht="15.75" customHeight="1">
      <c r="A251" s="13"/>
      <c r="B251" s="13" t="s">
        <v>369</v>
      </c>
      <c r="C251" s="169" t="s">
        <v>370</v>
      </c>
      <c r="D251" s="14" t="s">
        <v>20</v>
      </c>
      <c r="E251" s="15">
        <v>8.49069896E8</v>
      </c>
      <c r="F251" s="16">
        <v>1.0</v>
      </c>
      <c r="G251" s="17">
        <v>5.0</v>
      </c>
      <c r="H251" s="17">
        <f t="shared" si="13"/>
        <v>5</v>
      </c>
      <c r="I251" s="18"/>
      <c r="J251" s="18"/>
      <c r="K251" s="18"/>
      <c r="L251" s="13"/>
      <c r="M251" s="19"/>
      <c r="N251" s="13"/>
      <c r="O251" s="19"/>
      <c r="P251" s="19"/>
      <c r="Q251" s="35"/>
      <c r="R251" s="35"/>
      <c r="S251" s="35"/>
      <c r="T251" s="1"/>
      <c r="U251" s="1"/>
      <c r="V251" s="1"/>
    </row>
    <row r="252" ht="15.75" customHeight="1">
      <c r="A252" s="13"/>
      <c r="B252" s="13" t="s">
        <v>18</v>
      </c>
      <c r="C252" s="169" t="s">
        <v>371</v>
      </c>
      <c r="D252" s="14" t="s">
        <v>20</v>
      </c>
      <c r="E252" s="15" t="s">
        <v>286</v>
      </c>
      <c r="F252" s="16">
        <v>2.0</v>
      </c>
      <c r="G252" s="17">
        <v>3.0</v>
      </c>
      <c r="H252" s="17">
        <f t="shared" si="13"/>
        <v>6</v>
      </c>
      <c r="I252" s="18"/>
      <c r="J252" s="18"/>
      <c r="K252" s="15"/>
      <c r="L252" s="27"/>
      <c r="M252" s="28"/>
      <c r="N252" s="27"/>
      <c r="O252" s="28"/>
      <c r="P252" s="28"/>
      <c r="Q252" s="35"/>
      <c r="R252" s="35"/>
      <c r="S252" s="35"/>
      <c r="T252" s="1"/>
      <c r="U252" s="1"/>
      <c r="V252" s="1"/>
    </row>
    <row r="253" ht="15.75" customHeight="1">
      <c r="A253" s="13"/>
      <c r="B253" s="13" t="s">
        <v>18</v>
      </c>
      <c r="C253" s="195" t="s">
        <v>372</v>
      </c>
      <c r="D253" s="14" t="s">
        <v>20</v>
      </c>
      <c r="E253" s="210"/>
      <c r="F253" s="211">
        <v>1.0</v>
      </c>
      <c r="G253" s="212">
        <v>70.0</v>
      </c>
      <c r="H253" s="17">
        <f t="shared" si="13"/>
        <v>70</v>
      </c>
      <c r="I253" s="18"/>
      <c r="J253" s="18"/>
      <c r="K253" s="15"/>
      <c r="L253" s="27"/>
      <c r="M253" s="28"/>
      <c r="N253" s="27"/>
      <c r="O253" s="28"/>
      <c r="P253" s="28"/>
      <c r="Q253" s="35"/>
      <c r="R253" s="35"/>
      <c r="S253" s="35"/>
      <c r="T253" s="1"/>
      <c r="U253" s="1"/>
      <c r="V253" s="1"/>
    </row>
    <row r="254" ht="15.75" customHeight="1">
      <c r="A254" s="13"/>
      <c r="B254" s="13"/>
      <c r="C254" s="169" t="s">
        <v>70</v>
      </c>
      <c r="D254" s="14" t="s">
        <v>20</v>
      </c>
      <c r="E254" s="15"/>
      <c r="F254" s="16">
        <v>1.0</v>
      </c>
      <c r="G254" s="34">
        <v>60.0</v>
      </c>
      <c r="H254" s="17">
        <f t="shared" si="13"/>
        <v>60</v>
      </c>
      <c r="I254" s="18"/>
      <c r="J254" s="18"/>
      <c r="K254" s="15"/>
      <c r="L254" s="27"/>
      <c r="M254" s="28"/>
      <c r="N254" s="27"/>
      <c r="O254" s="28"/>
      <c r="P254" s="28"/>
      <c r="Q254" s="35"/>
      <c r="R254" s="35"/>
      <c r="S254" s="35"/>
      <c r="T254" s="1"/>
      <c r="U254" s="1"/>
      <c r="V254" s="1"/>
    </row>
    <row r="255" ht="15.75" hidden="1" customHeight="1">
      <c r="A255" s="13"/>
      <c r="B255" s="13" t="s">
        <v>373</v>
      </c>
      <c r="C255" s="169" t="s">
        <v>69</v>
      </c>
      <c r="D255" s="14" t="s">
        <v>20</v>
      </c>
      <c r="E255" s="15"/>
      <c r="F255" s="16">
        <v>0.0</v>
      </c>
      <c r="G255" s="17">
        <v>70.0</v>
      </c>
      <c r="H255" s="17">
        <f t="shared" si="13"/>
        <v>0</v>
      </c>
      <c r="I255" s="18"/>
      <c r="J255" s="18"/>
      <c r="K255" s="13"/>
      <c r="L255" s="107"/>
      <c r="M255" s="214"/>
      <c r="N255" s="13"/>
      <c r="O255" s="13"/>
      <c r="P255" s="13"/>
      <c r="Q255" s="35"/>
      <c r="R255" s="35"/>
      <c r="S255" s="35"/>
      <c r="T255" s="1"/>
      <c r="U255" s="1"/>
      <c r="V255" s="1"/>
    </row>
    <row r="256" ht="15.75" hidden="1" customHeight="1">
      <c r="A256" s="13"/>
      <c r="B256" s="13"/>
      <c r="C256" s="169" t="s">
        <v>374</v>
      </c>
      <c r="D256" s="70" t="s">
        <v>24</v>
      </c>
      <c r="E256" s="15"/>
      <c r="F256" s="16">
        <v>0.0</v>
      </c>
      <c r="G256" s="17">
        <v>207.0</v>
      </c>
      <c r="H256" s="17">
        <f t="shared" si="13"/>
        <v>0</v>
      </c>
      <c r="I256" s="18"/>
      <c r="J256" s="18"/>
      <c r="K256" s="13"/>
      <c r="L256" s="63"/>
      <c r="M256" s="63"/>
      <c r="N256" s="63"/>
      <c r="O256" s="63"/>
      <c r="P256" s="63"/>
      <c r="Q256" s="35"/>
      <c r="R256" s="35"/>
      <c r="S256" s="35"/>
      <c r="T256" s="1"/>
      <c r="U256" s="1"/>
      <c r="V256" s="1"/>
    </row>
    <row r="257" ht="15.75" hidden="1" customHeight="1">
      <c r="A257" s="13"/>
      <c r="B257" s="13"/>
      <c r="C257" s="169" t="s">
        <v>375</v>
      </c>
      <c r="D257" s="70" t="s">
        <v>24</v>
      </c>
      <c r="E257" s="15"/>
      <c r="F257" s="16">
        <v>0.0</v>
      </c>
      <c r="G257" s="17">
        <v>450.0</v>
      </c>
      <c r="H257" s="17">
        <f t="shared" si="13"/>
        <v>0</v>
      </c>
      <c r="I257" s="18"/>
      <c r="J257" s="18"/>
      <c r="K257" s="13" t="s">
        <v>376</v>
      </c>
      <c r="L257" s="63"/>
      <c r="M257" s="63"/>
      <c r="N257" s="63"/>
      <c r="O257" s="63"/>
      <c r="P257" s="63"/>
      <c r="Q257" s="35"/>
      <c r="R257" s="35"/>
      <c r="S257" s="35"/>
      <c r="T257" s="1"/>
      <c r="U257" s="1"/>
      <c r="V257" s="1"/>
    </row>
    <row r="258" ht="15.75" hidden="1" customHeight="1">
      <c r="A258" s="13"/>
      <c r="B258" s="13"/>
      <c r="C258" s="13" t="s">
        <v>71</v>
      </c>
      <c r="D258" s="213" t="s">
        <v>24</v>
      </c>
      <c r="E258" s="52"/>
      <c r="F258" s="48">
        <v>0.0</v>
      </c>
      <c r="G258" s="50">
        <v>80.0</v>
      </c>
      <c r="H258" s="50">
        <f t="shared" si="13"/>
        <v>0</v>
      </c>
      <c r="I258" s="18"/>
      <c r="J258" s="18"/>
      <c r="K258" s="13"/>
      <c r="L258" s="63"/>
      <c r="M258" s="63"/>
      <c r="N258" s="63"/>
      <c r="O258" s="63"/>
      <c r="P258" s="63"/>
      <c r="Q258" s="35"/>
      <c r="R258" s="35"/>
      <c r="S258" s="35"/>
      <c r="T258" s="1"/>
      <c r="U258" s="1"/>
      <c r="V258" s="1"/>
    </row>
    <row r="259" ht="15.75" hidden="1" customHeight="1">
      <c r="A259" s="13"/>
      <c r="B259" s="13" t="s">
        <v>18</v>
      </c>
      <c r="C259" s="13" t="s">
        <v>377</v>
      </c>
      <c r="D259" s="14" t="s">
        <v>20</v>
      </c>
      <c r="E259" s="52" t="s">
        <v>28</v>
      </c>
      <c r="F259" s="48">
        <v>0.0</v>
      </c>
      <c r="G259" s="50">
        <v>70.0</v>
      </c>
      <c r="H259" s="50">
        <f t="shared" si="13"/>
        <v>0</v>
      </c>
      <c r="I259" s="18"/>
      <c r="J259" s="18"/>
      <c r="K259" s="13"/>
      <c r="L259" s="63"/>
      <c r="M259" s="63"/>
      <c r="N259" s="63"/>
      <c r="O259" s="63"/>
      <c r="P259" s="63"/>
      <c r="Q259" s="35"/>
      <c r="R259" s="35"/>
      <c r="S259" s="35"/>
      <c r="T259" s="1"/>
      <c r="U259" s="1"/>
      <c r="V259" s="1"/>
    </row>
    <row r="260" ht="15.75" customHeight="1">
      <c r="A260" s="13"/>
      <c r="B260" s="13"/>
      <c r="C260" s="13" t="s">
        <v>221</v>
      </c>
      <c r="D260" s="213" t="s">
        <v>24</v>
      </c>
      <c r="E260" s="52"/>
      <c r="F260" s="215">
        <v>2.0</v>
      </c>
      <c r="G260" s="50">
        <v>50.0</v>
      </c>
      <c r="H260" s="50">
        <f t="shared" si="13"/>
        <v>100</v>
      </c>
      <c r="I260" s="18"/>
      <c r="J260" s="18"/>
      <c r="K260" s="13"/>
      <c r="L260" s="63"/>
      <c r="M260" s="63"/>
      <c r="N260" s="63"/>
      <c r="O260" s="63"/>
      <c r="P260" s="63"/>
      <c r="Q260" s="35"/>
      <c r="R260" s="35"/>
      <c r="S260" s="35"/>
      <c r="T260" s="1"/>
      <c r="U260" s="1"/>
      <c r="V260" s="1"/>
    </row>
    <row r="261" ht="15.75" customHeight="1">
      <c r="A261" s="13"/>
      <c r="B261" s="43" t="s">
        <v>18</v>
      </c>
      <c r="C261" s="156" t="s">
        <v>230</v>
      </c>
      <c r="D261" s="14" t="s">
        <v>20</v>
      </c>
      <c r="E261" s="157" t="s">
        <v>231</v>
      </c>
      <c r="F261" s="158">
        <v>4.0</v>
      </c>
      <c r="G261" s="159">
        <v>35.0</v>
      </c>
      <c r="H261" s="50">
        <f t="shared" si="13"/>
        <v>140</v>
      </c>
      <c r="I261" s="18"/>
      <c r="J261" s="18"/>
      <c r="K261" s="13"/>
      <c r="L261" s="63"/>
      <c r="M261" s="63"/>
      <c r="N261" s="63"/>
      <c r="O261" s="63"/>
      <c r="P261" s="63"/>
      <c r="Q261" s="35"/>
      <c r="R261" s="35"/>
      <c r="S261" s="35"/>
      <c r="T261" s="1"/>
      <c r="U261" s="1"/>
      <c r="V261" s="1"/>
    </row>
    <row r="262" ht="15.75" customHeight="1">
      <c r="A262" s="13"/>
      <c r="B262" s="43"/>
      <c r="C262" s="156" t="s">
        <v>232</v>
      </c>
      <c r="D262" s="70" t="s">
        <v>24</v>
      </c>
      <c r="E262" s="160"/>
      <c r="F262" s="158">
        <v>1.0</v>
      </c>
      <c r="G262" s="159">
        <v>150.0</v>
      </c>
      <c r="H262" s="50">
        <f t="shared" si="13"/>
        <v>150</v>
      </c>
      <c r="I262" s="18"/>
      <c r="J262" s="18"/>
      <c r="K262" s="13"/>
      <c r="L262" s="63"/>
      <c r="M262" s="63"/>
      <c r="N262" s="63"/>
      <c r="O262" s="63"/>
      <c r="P262" s="63"/>
      <c r="Q262" s="35"/>
      <c r="R262" s="35"/>
      <c r="S262" s="35"/>
      <c r="T262" s="1"/>
      <c r="U262" s="1"/>
      <c r="V262" s="1"/>
    </row>
    <row r="263" ht="15.75" hidden="1" customHeight="1">
      <c r="A263" s="13"/>
      <c r="B263" s="13"/>
      <c r="C263" s="206" t="s">
        <v>222</v>
      </c>
      <c r="D263" s="216" t="s">
        <v>24</v>
      </c>
      <c r="E263" s="54"/>
      <c r="F263" s="56">
        <v>0.0</v>
      </c>
      <c r="G263" s="57">
        <v>40.0</v>
      </c>
      <c r="H263" s="57">
        <f t="shared" si="13"/>
        <v>0</v>
      </c>
      <c r="I263" s="18"/>
      <c r="J263" s="18"/>
      <c r="K263" s="13"/>
      <c r="L263" s="63"/>
      <c r="M263" s="63"/>
      <c r="N263" s="63"/>
      <c r="O263" s="63"/>
      <c r="P263" s="63"/>
      <c r="Q263" s="35"/>
      <c r="R263" s="35"/>
      <c r="S263" s="35"/>
      <c r="T263" s="1"/>
      <c r="U263" s="1"/>
      <c r="V263" s="1"/>
    </row>
    <row r="264" ht="28.5" customHeight="1">
      <c r="A264" s="217"/>
      <c r="B264" s="172" t="s">
        <v>959</v>
      </c>
      <c r="C264" s="7">
        <f>SUM(H265:H315)</f>
        <v>14082.6</v>
      </c>
      <c r="D264" s="148"/>
      <c r="E264" s="148"/>
      <c r="F264" s="81"/>
      <c r="G264" s="82"/>
      <c r="H264" s="82"/>
      <c r="I264" s="82"/>
      <c r="J264" s="82"/>
      <c r="K264" s="81"/>
      <c r="L264" s="83"/>
      <c r="M264" s="83"/>
      <c r="N264" s="83"/>
      <c r="O264" s="83"/>
      <c r="P264" s="83"/>
      <c r="Q264" s="35"/>
      <c r="R264" s="35"/>
      <c r="S264" s="35"/>
      <c r="T264" s="1"/>
      <c r="U264" s="1"/>
      <c r="V264" s="1"/>
    </row>
    <row r="265" ht="15.75" customHeight="1">
      <c r="A265" s="13"/>
      <c r="B265" s="13" t="s">
        <v>18</v>
      </c>
      <c r="C265" s="169" t="s">
        <v>296</v>
      </c>
      <c r="D265" s="14" t="s">
        <v>20</v>
      </c>
      <c r="E265" s="218" t="s">
        <v>379</v>
      </c>
      <c r="F265" s="16">
        <v>1.0</v>
      </c>
      <c r="G265" s="34">
        <v>144.0</v>
      </c>
      <c r="H265" s="17">
        <f t="shared" ref="H265:H327" si="14">SUM(F265*G265)</f>
        <v>144</v>
      </c>
      <c r="I265" s="18"/>
      <c r="J265" s="17"/>
      <c r="K265" s="13"/>
      <c r="L265" s="13"/>
      <c r="M265" s="13"/>
      <c r="N265" s="13"/>
      <c r="O265" s="13"/>
      <c r="P265" s="13"/>
      <c r="Q265" s="35"/>
      <c r="R265" s="35"/>
      <c r="S265" s="35"/>
      <c r="T265" s="1"/>
      <c r="U265" s="1"/>
      <c r="V265" s="1"/>
    </row>
    <row r="266" ht="15.75" customHeight="1">
      <c r="A266" s="13"/>
      <c r="B266" s="13" t="s">
        <v>18</v>
      </c>
      <c r="C266" s="169" t="s">
        <v>300</v>
      </c>
      <c r="D266" s="14" t="s">
        <v>20</v>
      </c>
      <c r="E266" s="15"/>
      <c r="F266" s="16">
        <v>6.0</v>
      </c>
      <c r="G266" s="17">
        <v>5.0</v>
      </c>
      <c r="H266" s="17">
        <f t="shared" si="14"/>
        <v>30</v>
      </c>
      <c r="I266" s="18"/>
      <c r="J266" s="17"/>
      <c r="K266" s="13"/>
      <c r="L266" s="13"/>
      <c r="M266" s="19"/>
      <c r="N266" s="19"/>
      <c r="O266" s="38"/>
      <c r="P266" s="19"/>
      <c r="Q266" s="35"/>
      <c r="R266" s="35"/>
      <c r="S266" s="35"/>
      <c r="T266" s="1"/>
      <c r="U266" s="1"/>
      <c r="V266" s="1"/>
    </row>
    <row r="267" ht="15.75" customHeight="1">
      <c r="A267" s="13"/>
      <c r="B267" s="13"/>
      <c r="C267" s="169" t="s">
        <v>380</v>
      </c>
      <c r="D267" s="70" t="s">
        <v>24</v>
      </c>
      <c r="E267" s="15"/>
      <c r="F267" s="40">
        <v>1.0</v>
      </c>
      <c r="G267" s="17">
        <v>95.0</v>
      </c>
      <c r="H267" s="17">
        <f t="shared" si="14"/>
        <v>95</v>
      </c>
      <c r="I267" s="18"/>
      <c r="J267" s="17"/>
      <c r="K267" s="13"/>
      <c r="L267" s="27"/>
      <c r="M267" s="28"/>
      <c r="N267" s="27"/>
      <c r="O267" s="28"/>
      <c r="P267" s="27"/>
      <c r="Q267" s="35"/>
      <c r="R267" s="35"/>
      <c r="S267" s="35"/>
      <c r="T267" s="1"/>
      <c r="U267" s="1"/>
      <c r="V267" s="1"/>
    </row>
    <row r="268" ht="15.75" customHeight="1">
      <c r="A268" s="13"/>
      <c r="B268" s="43" t="s">
        <v>383</v>
      </c>
      <c r="C268" s="169" t="s">
        <v>436</v>
      </c>
      <c r="D268" s="101" t="s">
        <v>32</v>
      </c>
      <c r="E268" s="219"/>
      <c r="F268" s="190">
        <v>1.0</v>
      </c>
      <c r="G268" s="191">
        <v>11000.0</v>
      </c>
      <c r="H268" s="192">
        <f t="shared" si="14"/>
        <v>11000</v>
      </c>
      <c r="I268" s="193"/>
      <c r="J268" s="18"/>
      <c r="K268" s="13"/>
      <c r="L268" s="63"/>
      <c r="M268" s="63"/>
      <c r="N268" s="63"/>
      <c r="O268" s="63"/>
      <c r="P268" s="63"/>
      <c r="Q268" s="35"/>
      <c r="R268" s="35"/>
      <c r="S268" s="35"/>
      <c r="T268" s="1"/>
      <c r="U268" s="1"/>
      <c r="V268" s="1"/>
    </row>
    <row r="269" ht="15.75" hidden="1" customHeight="1">
      <c r="A269" s="13"/>
      <c r="B269" s="13"/>
      <c r="C269" s="169" t="s">
        <v>299</v>
      </c>
      <c r="D269" s="70" t="s">
        <v>24</v>
      </c>
      <c r="E269" s="15"/>
      <c r="F269" s="16">
        <v>0.0</v>
      </c>
      <c r="G269" s="17">
        <v>120.0</v>
      </c>
      <c r="H269" s="17">
        <f t="shared" si="14"/>
        <v>0</v>
      </c>
      <c r="I269" s="18"/>
      <c r="J269" s="18"/>
      <c r="K269" s="13"/>
      <c r="L269" s="63"/>
      <c r="M269" s="63"/>
      <c r="N269" s="63"/>
      <c r="O269" s="63"/>
      <c r="P269" s="63"/>
      <c r="Q269" s="35"/>
      <c r="R269" s="35"/>
      <c r="S269" s="35"/>
      <c r="T269" s="1"/>
      <c r="U269" s="1"/>
      <c r="V269" s="1"/>
    </row>
    <row r="270" ht="15.75" customHeight="1">
      <c r="A270" s="13"/>
      <c r="B270" s="18" t="s">
        <v>264</v>
      </c>
      <c r="C270" s="169" t="s">
        <v>308</v>
      </c>
      <c r="D270" s="101" t="s">
        <v>32</v>
      </c>
      <c r="E270" s="15">
        <v>201303.0</v>
      </c>
      <c r="F270" s="190">
        <v>1.0</v>
      </c>
      <c r="G270" s="191">
        <v>604.8</v>
      </c>
      <c r="H270" s="192">
        <f t="shared" si="14"/>
        <v>604.8</v>
      </c>
      <c r="I270" s="193"/>
      <c r="J270" s="18"/>
      <c r="K270" s="13"/>
      <c r="L270" s="27"/>
      <c r="M270" s="27"/>
      <c r="N270" s="27"/>
      <c r="O270" s="27"/>
      <c r="P270" s="27"/>
      <c r="Q270" s="35"/>
      <c r="R270" s="35"/>
      <c r="S270" s="35"/>
      <c r="T270" s="1"/>
      <c r="U270" s="1"/>
      <c r="V270" s="1"/>
    </row>
    <row r="271" ht="15.75" hidden="1" customHeight="1">
      <c r="A271" s="13"/>
      <c r="B271" s="13" t="s">
        <v>18</v>
      </c>
      <c r="C271" s="169" t="s">
        <v>301</v>
      </c>
      <c r="D271" s="14" t="s">
        <v>20</v>
      </c>
      <c r="E271" s="15" t="s">
        <v>302</v>
      </c>
      <c r="F271" s="16">
        <v>0.0</v>
      </c>
      <c r="G271" s="17">
        <v>6.2</v>
      </c>
      <c r="H271" s="17">
        <f t="shared" si="14"/>
        <v>0</v>
      </c>
      <c r="I271" s="18"/>
      <c r="J271" s="18"/>
      <c r="K271" s="13"/>
      <c r="L271" s="27"/>
      <c r="M271" s="27"/>
      <c r="N271" s="27"/>
      <c r="O271" s="27"/>
      <c r="P271" s="27"/>
      <c r="Q271" s="35"/>
      <c r="R271" s="35"/>
      <c r="S271" s="35"/>
      <c r="T271" s="1"/>
      <c r="U271" s="1"/>
      <c r="V271" s="1"/>
    </row>
    <row r="272" ht="15.75" hidden="1" customHeight="1">
      <c r="A272" s="13"/>
      <c r="B272" s="13"/>
      <c r="C272" s="169" t="s">
        <v>303</v>
      </c>
      <c r="D272" s="70" t="s">
        <v>24</v>
      </c>
      <c r="E272" s="15"/>
      <c r="F272" s="16">
        <v>0.0</v>
      </c>
      <c r="G272" s="17">
        <v>40.0</v>
      </c>
      <c r="H272" s="17">
        <f t="shared" si="14"/>
        <v>0</v>
      </c>
      <c r="I272" s="18"/>
      <c r="J272" s="18"/>
      <c r="K272" s="13"/>
      <c r="L272" s="27"/>
      <c r="M272" s="27"/>
      <c r="N272" s="27"/>
      <c r="O272" s="27"/>
      <c r="P272" s="27"/>
      <c r="Q272" s="35"/>
      <c r="R272" s="35"/>
      <c r="S272" s="35"/>
      <c r="T272" s="1"/>
      <c r="U272" s="1"/>
      <c r="V272" s="1"/>
    </row>
    <row r="273" ht="15.75" hidden="1" customHeight="1">
      <c r="A273" s="13"/>
      <c r="B273" s="13" t="s">
        <v>18</v>
      </c>
      <c r="C273" s="169" t="s">
        <v>47</v>
      </c>
      <c r="D273" s="14" t="s">
        <v>20</v>
      </c>
      <c r="E273" s="33" t="s">
        <v>388</v>
      </c>
      <c r="F273" s="40">
        <v>0.0</v>
      </c>
      <c r="G273" s="17">
        <v>139.0</v>
      </c>
      <c r="H273" s="17">
        <f t="shared" si="14"/>
        <v>0</v>
      </c>
      <c r="I273" s="18"/>
      <c r="J273" s="18"/>
      <c r="K273" s="13"/>
      <c r="L273" s="27"/>
      <c r="M273" s="27"/>
      <c r="N273" s="27"/>
      <c r="O273" s="27"/>
      <c r="P273" s="27"/>
      <c r="Q273" s="35"/>
      <c r="R273" s="35"/>
      <c r="S273" s="35"/>
      <c r="T273" s="1"/>
      <c r="U273" s="1"/>
      <c r="V273" s="1"/>
    </row>
    <row r="274" ht="15.75" hidden="1" customHeight="1">
      <c r="A274" s="13"/>
      <c r="B274" s="13"/>
      <c r="C274" s="169" t="s">
        <v>304</v>
      </c>
      <c r="D274" s="70" t="s">
        <v>24</v>
      </c>
      <c r="E274" s="15"/>
      <c r="F274" s="40">
        <v>0.0</v>
      </c>
      <c r="G274" s="17">
        <v>120.0</v>
      </c>
      <c r="H274" s="17">
        <f t="shared" si="14"/>
        <v>0</v>
      </c>
      <c r="I274" s="18"/>
      <c r="J274" s="18"/>
      <c r="K274" s="13"/>
      <c r="L274" s="27"/>
      <c r="M274" s="27"/>
      <c r="N274" s="27"/>
      <c r="O274" s="27"/>
      <c r="P274" s="27"/>
      <c r="Q274" s="35"/>
      <c r="R274" s="35"/>
      <c r="S274" s="35"/>
      <c r="T274" s="1"/>
      <c r="U274" s="1"/>
      <c r="V274" s="1"/>
    </row>
    <row r="275" ht="15.75" hidden="1" customHeight="1">
      <c r="A275" s="13"/>
      <c r="B275" s="13" t="s">
        <v>18</v>
      </c>
      <c r="C275" s="169" t="s">
        <v>389</v>
      </c>
      <c r="D275" s="14" t="s">
        <v>20</v>
      </c>
      <c r="E275" s="15"/>
      <c r="F275" s="40">
        <v>0.0</v>
      </c>
      <c r="G275" s="17">
        <v>5.0</v>
      </c>
      <c r="H275" s="17">
        <f t="shared" si="14"/>
        <v>0</v>
      </c>
      <c r="I275" s="18"/>
      <c r="J275" s="18"/>
      <c r="K275" s="13"/>
      <c r="L275" s="27"/>
      <c r="M275" s="27"/>
      <c r="N275" s="27"/>
      <c r="O275" s="27"/>
      <c r="P275" s="27"/>
      <c r="Q275" s="35"/>
      <c r="R275" s="35"/>
      <c r="S275" s="35"/>
      <c r="T275" s="1"/>
      <c r="U275" s="1"/>
      <c r="V275" s="1"/>
    </row>
    <row r="276" ht="15.75" customHeight="1">
      <c r="A276" s="13"/>
      <c r="B276" s="13" t="s">
        <v>18</v>
      </c>
      <c r="C276" s="195" t="s">
        <v>390</v>
      </c>
      <c r="D276" s="66" t="s">
        <v>22</v>
      </c>
      <c r="E276" s="171" t="s">
        <v>391</v>
      </c>
      <c r="F276" s="40">
        <v>2.0</v>
      </c>
      <c r="G276" s="34">
        <v>42.0</v>
      </c>
      <c r="H276" s="17">
        <f t="shared" si="14"/>
        <v>84</v>
      </c>
      <c r="I276" s="18"/>
      <c r="J276" s="18"/>
      <c r="K276" s="13"/>
      <c r="L276" s="13"/>
      <c r="M276" s="13"/>
      <c r="N276" s="13"/>
      <c r="O276" s="13"/>
      <c r="P276" s="13"/>
      <c r="Q276" s="35"/>
      <c r="R276" s="35"/>
      <c r="S276" s="35"/>
      <c r="T276" s="1"/>
      <c r="U276" s="1"/>
      <c r="V276" s="1"/>
    </row>
    <row r="277" ht="15.75" customHeight="1">
      <c r="A277" s="13"/>
      <c r="B277" s="13" t="s">
        <v>18</v>
      </c>
      <c r="C277" s="195" t="s">
        <v>960</v>
      </c>
      <c r="D277" s="66" t="s">
        <v>22</v>
      </c>
      <c r="E277" s="171" t="s">
        <v>961</v>
      </c>
      <c r="F277" s="40">
        <v>2.0</v>
      </c>
      <c r="G277" s="34">
        <v>60.0</v>
      </c>
      <c r="H277" s="17">
        <f t="shared" si="14"/>
        <v>120</v>
      </c>
      <c r="I277" s="18"/>
      <c r="J277" s="18"/>
      <c r="K277" s="13"/>
      <c r="L277" s="27"/>
      <c r="M277" s="28"/>
      <c r="N277" s="27"/>
      <c r="O277" s="27"/>
      <c r="P277" s="27"/>
      <c r="Q277" s="35"/>
      <c r="R277" s="35"/>
      <c r="S277" s="35"/>
      <c r="T277" s="1"/>
      <c r="U277" s="1"/>
      <c r="V277" s="1"/>
    </row>
    <row r="278" ht="15.75" customHeight="1">
      <c r="A278" s="13"/>
      <c r="B278" s="13" t="s">
        <v>18</v>
      </c>
      <c r="C278" s="169" t="s">
        <v>394</v>
      </c>
      <c r="D278" s="66" t="s">
        <v>22</v>
      </c>
      <c r="E278" s="171" t="s">
        <v>395</v>
      </c>
      <c r="F278" s="16">
        <v>4.0</v>
      </c>
      <c r="G278" s="34">
        <v>80.4</v>
      </c>
      <c r="H278" s="17">
        <f t="shared" si="14"/>
        <v>321.6</v>
      </c>
      <c r="I278" s="18"/>
      <c r="J278" s="18"/>
      <c r="K278" s="13"/>
      <c r="L278" s="27"/>
      <c r="M278" s="28"/>
      <c r="N278" s="27"/>
      <c r="O278" s="28"/>
      <c r="P278" s="28"/>
      <c r="Q278" s="35"/>
      <c r="R278" s="35"/>
      <c r="S278" s="35"/>
      <c r="T278" s="1"/>
      <c r="U278" s="1"/>
      <c r="V278" s="1"/>
    </row>
    <row r="279" ht="15.75" hidden="1" customHeight="1">
      <c r="A279" s="130"/>
      <c r="B279" s="130" t="s">
        <v>18</v>
      </c>
      <c r="C279" s="175" t="s">
        <v>309</v>
      </c>
      <c r="D279" s="176" t="s">
        <v>20</v>
      </c>
      <c r="E279" s="177" t="s">
        <v>310</v>
      </c>
      <c r="F279" s="178">
        <v>0.0</v>
      </c>
      <c r="G279" s="179">
        <v>15.0</v>
      </c>
      <c r="H279" s="179">
        <f t="shared" si="14"/>
        <v>0</v>
      </c>
      <c r="I279" s="180"/>
      <c r="J279" s="180"/>
      <c r="K279" s="130"/>
      <c r="L279" s="130"/>
      <c r="M279" s="181"/>
      <c r="N279" s="130"/>
      <c r="O279" s="181"/>
      <c r="P279" s="181"/>
      <c r="Q279" s="182"/>
      <c r="R279" s="182"/>
      <c r="S279" s="182"/>
      <c r="T279" s="182"/>
      <c r="U279" s="182"/>
      <c r="V279" s="182"/>
    </row>
    <row r="280" ht="15.75" hidden="1" customHeight="1">
      <c r="A280" s="130"/>
      <c r="B280" s="130" t="s">
        <v>18</v>
      </c>
      <c r="C280" s="175" t="s">
        <v>311</v>
      </c>
      <c r="D280" s="176" t="s">
        <v>20</v>
      </c>
      <c r="E280" s="177" t="s">
        <v>312</v>
      </c>
      <c r="F280" s="178">
        <v>0.0</v>
      </c>
      <c r="G280" s="179">
        <v>15.0</v>
      </c>
      <c r="H280" s="179">
        <f t="shared" si="14"/>
        <v>0</v>
      </c>
      <c r="I280" s="180"/>
      <c r="J280" s="180"/>
      <c r="K280" s="130"/>
      <c r="L280" s="130"/>
      <c r="M280" s="181"/>
      <c r="N280" s="130"/>
      <c r="O280" s="181"/>
      <c r="P280" s="181"/>
      <c r="Q280" s="182"/>
      <c r="R280" s="182"/>
      <c r="S280" s="182"/>
      <c r="T280" s="182"/>
      <c r="U280" s="182"/>
      <c r="V280" s="182"/>
    </row>
    <row r="281" ht="15.75" hidden="1" customHeight="1">
      <c r="A281" s="130"/>
      <c r="B281" s="130" t="s">
        <v>18</v>
      </c>
      <c r="C281" s="175" t="s">
        <v>313</v>
      </c>
      <c r="D281" s="176" t="s">
        <v>20</v>
      </c>
      <c r="E281" s="177" t="s">
        <v>314</v>
      </c>
      <c r="F281" s="178">
        <v>0.0</v>
      </c>
      <c r="G281" s="179">
        <v>1.6</v>
      </c>
      <c r="H281" s="179">
        <f t="shared" si="14"/>
        <v>0</v>
      </c>
      <c r="I281" s="180"/>
      <c r="J281" s="180"/>
      <c r="K281" s="130"/>
      <c r="L281" s="130"/>
      <c r="M281" s="181"/>
      <c r="N281" s="130"/>
      <c r="O281" s="181"/>
      <c r="P281" s="181"/>
      <c r="Q281" s="182"/>
      <c r="R281" s="182"/>
      <c r="S281" s="182"/>
      <c r="T281" s="182"/>
      <c r="U281" s="182"/>
      <c r="V281" s="182"/>
    </row>
    <row r="282" ht="15.75" hidden="1" customHeight="1">
      <c r="A282" s="13"/>
      <c r="B282" s="13"/>
      <c r="C282" s="169" t="s">
        <v>59</v>
      </c>
      <c r="D282" s="101" t="s">
        <v>32</v>
      </c>
      <c r="E282" s="15" t="s">
        <v>60</v>
      </c>
      <c r="F282" s="16">
        <v>0.0</v>
      </c>
      <c r="G282" s="17">
        <v>0.0</v>
      </c>
      <c r="H282" s="17">
        <f t="shared" si="14"/>
        <v>0</v>
      </c>
      <c r="I282" s="18"/>
      <c r="J282" s="18"/>
      <c r="K282" s="13"/>
      <c r="L282" s="27"/>
      <c r="M282" s="28"/>
      <c r="N282" s="27"/>
      <c r="O282" s="28"/>
      <c r="P282" s="28"/>
      <c r="Q282" s="35"/>
      <c r="R282" s="35"/>
      <c r="S282" s="35"/>
      <c r="T282" s="1"/>
      <c r="U282" s="1"/>
      <c r="V282" s="1"/>
    </row>
    <row r="283" ht="15.75" hidden="1" customHeight="1">
      <c r="A283" s="13"/>
      <c r="B283" s="18" t="s">
        <v>18</v>
      </c>
      <c r="C283" s="169" t="s">
        <v>315</v>
      </c>
      <c r="D283" s="14" t="s">
        <v>20</v>
      </c>
      <c r="E283" s="15" t="s">
        <v>396</v>
      </c>
      <c r="F283" s="40">
        <v>0.0</v>
      </c>
      <c r="G283" s="17">
        <v>30.0</v>
      </c>
      <c r="H283" s="17">
        <f t="shared" si="14"/>
        <v>0</v>
      </c>
      <c r="I283" s="18"/>
      <c r="J283" s="18"/>
      <c r="K283" s="13"/>
      <c r="L283" s="27"/>
      <c r="M283" s="28"/>
      <c r="N283" s="27"/>
      <c r="O283" s="28"/>
      <c r="P283" s="28"/>
      <c r="Q283" s="35"/>
      <c r="R283" s="35"/>
      <c r="S283" s="35"/>
      <c r="T283" s="1"/>
      <c r="U283" s="1"/>
      <c r="V283" s="1"/>
    </row>
    <row r="284" ht="15.75" hidden="1" customHeight="1">
      <c r="A284" s="13"/>
      <c r="B284" s="166"/>
      <c r="C284" s="188" t="s">
        <v>259</v>
      </c>
      <c r="D284" s="167" t="s">
        <v>32</v>
      </c>
      <c r="E284" s="219"/>
      <c r="F284" s="190">
        <v>0.0</v>
      </c>
      <c r="G284" s="192">
        <v>0.0</v>
      </c>
      <c r="H284" s="192">
        <f t="shared" si="14"/>
        <v>0</v>
      </c>
      <c r="I284" s="193"/>
      <c r="J284" s="18"/>
      <c r="K284" s="13"/>
      <c r="L284" s="27"/>
      <c r="M284" s="28"/>
      <c r="N284" s="27"/>
      <c r="O284" s="27"/>
      <c r="P284" s="27"/>
      <c r="Q284" s="35"/>
      <c r="R284" s="35"/>
      <c r="S284" s="35"/>
      <c r="T284" s="1"/>
      <c r="U284" s="1"/>
      <c r="V284" s="1"/>
    </row>
    <row r="285" ht="15.75" hidden="1" customHeight="1">
      <c r="A285" s="13"/>
      <c r="B285" s="166" t="s">
        <v>397</v>
      </c>
      <c r="C285" s="188" t="s">
        <v>318</v>
      </c>
      <c r="D285" s="167" t="s">
        <v>32</v>
      </c>
      <c r="E285" s="219" t="s">
        <v>398</v>
      </c>
      <c r="F285" s="190">
        <v>0.0</v>
      </c>
      <c r="G285" s="192">
        <v>354.0</v>
      </c>
      <c r="H285" s="192">
        <f t="shared" si="14"/>
        <v>0</v>
      </c>
      <c r="I285" s="193"/>
      <c r="J285" s="18"/>
      <c r="K285" s="13"/>
      <c r="L285" s="13"/>
      <c r="M285" s="13"/>
      <c r="N285" s="13"/>
      <c r="O285" s="13"/>
      <c r="P285" s="13"/>
      <c r="Q285" s="35"/>
      <c r="R285" s="35"/>
      <c r="S285" s="35"/>
      <c r="T285" s="1"/>
      <c r="U285" s="1"/>
      <c r="V285" s="1"/>
    </row>
    <row r="286" ht="15.75" hidden="1" customHeight="1">
      <c r="A286" s="13"/>
      <c r="B286" s="13"/>
      <c r="C286" s="169" t="s">
        <v>321</v>
      </c>
      <c r="D286" s="66" t="s">
        <v>22</v>
      </c>
      <c r="E286" s="15"/>
      <c r="F286" s="16">
        <v>0.0</v>
      </c>
      <c r="G286" s="17">
        <v>10.0</v>
      </c>
      <c r="H286" s="17">
        <f t="shared" si="14"/>
        <v>0</v>
      </c>
      <c r="I286" s="18"/>
      <c r="J286" s="18"/>
      <c r="K286" s="13"/>
      <c r="L286" s="13"/>
      <c r="M286" s="19"/>
      <c r="N286" s="13"/>
      <c r="O286" s="13"/>
      <c r="P286" s="13"/>
      <c r="Q286" s="35"/>
      <c r="R286" s="35"/>
      <c r="S286" s="35"/>
      <c r="T286" s="1"/>
      <c r="U286" s="1"/>
      <c r="V286" s="1"/>
    </row>
    <row r="287" ht="15.75" customHeight="1">
      <c r="A287" s="13"/>
      <c r="B287" s="13" t="s">
        <v>399</v>
      </c>
      <c r="C287" s="196" t="s">
        <v>364</v>
      </c>
      <c r="D287" s="150" t="s">
        <v>22</v>
      </c>
      <c r="E287" s="52" t="s">
        <v>365</v>
      </c>
      <c r="F287" s="48">
        <v>8.0</v>
      </c>
      <c r="G287" s="50">
        <v>6.0</v>
      </c>
      <c r="H287" s="50">
        <f t="shared" si="14"/>
        <v>48</v>
      </c>
      <c r="I287" s="50"/>
      <c r="J287" s="18"/>
      <c r="K287" s="13"/>
      <c r="L287" s="13"/>
      <c r="M287" s="19"/>
      <c r="N287" s="13"/>
      <c r="O287" s="19"/>
      <c r="P287" s="19"/>
      <c r="Q287" s="35"/>
      <c r="R287" s="35"/>
      <c r="S287" s="35"/>
      <c r="T287" s="1"/>
      <c r="U287" s="1"/>
      <c r="V287" s="1"/>
    </row>
    <row r="288" ht="15.75" customHeight="1">
      <c r="A288" s="13"/>
      <c r="B288" s="13" t="s">
        <v>18</v>
      </c>
      <c r="C288" s="169" t="s">
        <v>400</v>
      </c>
      <c r="D288" s="150" t="s">
        <v>22</v>
      </c>
      <c r="E288" s="52"/>
      <c r="F288" s="215">
        <v>2.0</v>
      </c>
      <c r="G288" s="50">
        <v>50.0</v>
      </c>
      <c r="H288" s="50">
        <f t="shared" si="14"/>
        <v>100</v>
      </c>
      <c r="I288" s="50"/>
      <c r="J288" s="18"/>
      <c r="K288" s="13"/>
      <c r="L288" s="63"/>
      <c r="M288" s="63"/>
      <c r="N288" s="63"/>
      <c r="O288" s="63"/>
      <c r="P288" s="63"/>
      <c r="Q288" s="35"/>
      <c r="R288" s="35"/>
      <c r="S288" s="35"/>
      <c r="T288" s="1"/>
      <c r="U288" s="1"/>
      <c r="V288" s="1"/>
    </row>
    <row r="289" ht="15.75" customHeight="1">
      <c r="A289" s="13"/>
      <c r="B289" s="13" t="s">
        <v>18</v>
      </c>
      <c r="C289" s="196" t="s">
        <v>401</v>
      </c>
      <c r="D289" s="66" t="s">
        <v>22</v>
      </c>
      <c r="E289" s="207"/>
      <c r="F289" s="48">
        <v>2.0</v>
      </c>
      <c r="G289" s="50">
        <v>50.0</v>
      </c>
      <c r="H289" s="17">
        <f t="shared" si="14"/>
        <v>100</v>
      </c>
      <c r="I289" s="51"/>
      <c r="J289" s="18"/>
      <c r="K289" s="13"/>
      <c r="L289" s="13"/>
      <c r="M289" s="19"/>
      <c r="N289" s="13"/>
      <c r="O289" s="19"/>
      <c r="P289" s="19"/>
      <c r="Q289" s="35"/>
      <c r="R289" s="35"/>
      <c r="S289" s="35"/>
      <c r="T289" s="1"/>
      <c r="U289" s="1"/>
      <c r="V289" s="1"/>
    </row>
    <row r="290" ht="15.75" hidden="1" customHeight="1">
      <c r="A290" s="13"/>
      <c r="B290" s="13"/>
      <c r="C290" s="169" t="s">
        <v>258</v>
      </c>
      <c r="D290" s="66" t="s">
        <v>22</v>
      </c>
      <c r="E290" s="15"/>
      <c r="F290" s="16">
        <v>0.0</v>
      </c>
      <c r="G290" s="17">
        <v>150.0</v>
      </c>
      <c r="H290" s="17">
        <f t="shared" si="14"/>
        <v>0</v>
      </c>
      <c r="I290" s="18"/>
      <c r="J290" s="18"/>
      <c r="K290" s="13"/>
      <c r="L290" s="13"/>
      <c r="M290" s="19"/>
      <c r="N290" s="13"/>
      <c r="O290" s="19"/>
      <c r="P290" s="19"/>
      <c r="Q290" s="35"/>
      <c r="R290" s="35"/>
      <c r="S290" s="35"/>
      <c r="T290" s="1"/>
      <c r="U290" s="1"/>
      <c r="V290" s="1"/>
    </row>
    <row r="291" ht="15.75" customHeight="1">
      <c r="A291" s="13"/>
      <c r="B291" s="13" t="s">
        <v>18</v>
      </c>
      <c r="C291" s="196" t="s">
        <v>502</v>
      </c>
      <c r="D291" s="66" t="s">
        <v>22</v>
      </c>
      <c r="E291" s="246" t="s">
        <v>404</v>
      </c>
      <c r="F291" s="48">
        <v>1.0</v>
      </c>
      <c r="G291" s="49">
        <v>20.0</v>
      </c>
      <c r="H291" s="17">
        <f t="shared" si="14"/>
        <v>20</v>
      </c>
      <c r="I291" s="51"/>
      <c r="J291" s="18"/>
      <c r="K291" s="13"/>
      <c r="L291" s="13"/>
      <c r="M291" s="13"/>
      <c r="N291" s="13"/>
      <c r="O291" s="19"/>
      <c r="P291" s="19"/>
      <c r="Q291" s="35"/>
      <c r="R291" s="35"/>
      <c r="S291" s="35"/>
      <c r="T291" s="1"/>
      <c r="U291" s="1"/>
      <c r="V291" s="1"/>
    </row>
    <row r="292" ht="15.75" hidden="1" customHeight="1">
      <c r="A292" s="13"/>
      <c r="B292" s="13"/>
      <c r="C292" s="197" t="s">
        <v>327</v>
      </c>
      <c r="D292" s="198" t="s">
        <v>22</v>
      </c>
      <c r="E292" s="54" t="s">
        <v>328</v>
      </c>
      <c r="F292" s="56">
        <v>0.0</v>
      </c>
      <c r="G292" s="57">
        <v>321.3</v>
      </c>
      <c r="H292" s="57">
        <f t="shared" si="14"/>
        <v>0</v>
      </c>
      <c r="I292" s="18"/>
      <c r="J292" s="18"/>
      <c r="K292" s="13"/>
      <c r="L292" s="13"/>
      <c r="M292" s="13"/>
      <c r="N292" s="13"/>
      <c r="O292" s="19"/>
      <c r="P292" s="19"/>
      <c r="Q292" s="35"/>
      <c r="R292" s="35"/>
      <c r="S292" s="35"/>
      <c r="T292" s="1"/>
      <c r="U292" s="1"/>
      <c r="V292" s="1"/>
    </row>
    <row r="293" ht="15.75" customHeight="1">
      <c r="A293" s="13"/>
      <c r="B293" s="13"/>
      <c r="C293" s="169" t="s">
        <v>405</v>
      </c>
      <c r="D293" s="150" t="s">
        <v>22</v>
      </c>
      <c r="E293" s="52"/>
      <c r="F293" s="215">
        <v>2.0</v>
      </c>
      <c r="G293" s="50">
        <v>25.0</v>
      </c>
      <c r="H293" s="50">
        <f t="shared" si="14"/>
        <v>50</v>
      </c>
      <c r="I293" s="50"/>
      <c r="J293" s="18"/>
      <c r="K293" s="13"/>
      <c r="L293" s="52"/>
      <c r="M293" s="52"/>
      <c r="N293" s="52"/>
      <c r="O293" s="200"/>
      <c r="P293" s="200"/>
      <c r="Q293" s="1"/>
      <c r="R293" s="1"/>
      <c r="S293" s="1"/>
      <c r="T293" s="1"/>
      <c r="U293" s="1"/>
      <c r="V293" s="1"/>
    </row>
    <row r="294" ht="15.75" customHeight="1">
      <c r="A294" s="13"/>
      <c r="B294" s="13" t="s">
        <v>239</v>
      </c>
      <c r="C294" s="195" t="s">
        <v>406</v>
      </c>
      <c r="D294" s="14" t="s">
        <v>20</v>
      </c>
      <c r="E294" s="15"/>
      <c r="F294" s="16">
        <v>1.0</v>
      </c>
      <c r="G294" s="34">
        <v>575.0</v>
      </c>
      <c r="H294" s="17">
        <f t="shared" si="14"/>
        <v>575</v>
      </c>
      <c r="I294" s="18"/>
      <c r="J294" s="18"/>
      <c r="K294" s="13"/>
      <c r="L294" s="54"/>
      <c r="M294" s="54"/>
      <c r="N294" s="54"/>
      <c r="O294" s="202"/>
      <c r="P294" s="202"/>
      <c r="Q294" s="1"/>
      <c r="R294" s="1"/>
      <c r="S294" s="1"/>
      <c r="T294" s="1"/>
      <c r="U294" s="1"/>
      <c r="V294" s="1"/>
    </row>
    <row r="295" ht="15.75" customHeight="1">
      <c r="A295" s="13"/>
      <c r="B295" s="13" t="s">
        <v>18</v>
      </c>
      <c r="C295" s="169" t="s">
        <v>407</v>
      </c>
      <c r="D295" s="66" t="s">
        <v>22</v>
      </c>
      <c r="E295" s="155" t="s">
        <v>408</v>
      </c>
      <c r="F295" s="16">
        <v>2.0</v>
      </c>
      <c r="G295" s="226">
        <v>153.6</v>
      </c>
      <c r="H295" s="17">
        <f t="shared" si="14"/>
        <v>307.2</v>
      </c>
      <c r="I295" s="18"/>
      <c r="J295" s="18"/>
      <c r="K295" s="13"/>
      <c r="L295" s="54"/>
      <c r="M295" s="54"/>
      <c r="N295" s="54"/>
      <c r="O295" s="202"/>
      <c r="P295" s="202"/>
      <c r="Q295" s="1"/>
      <c r="R295" s="1"/>
      <c r="S295" s="1"/>
      <c r="T295" s="1"/>
      <c r="U295" s="1"/>
      <c r="V295" s="1"/>
    </row>
    <row r="296" ht="15.75" hidden="1" customHeight="1">
      <c r="A296" s="53"/>
      <c r="B296" s="52" t="s">
        <v>18</v>
      </c>
      <c r="C296" s="196" t="s">
        <v>335</v>
      </c>
      <c r="D296" s="150" t="s">
        <v>22</v>
      </c>
      <c r="E296" s="52"/>
      <c r="F296" s="48">
        <v>0.0</v>
      </c>
      <c r="G296" s="50">
        <v>29.69</v>
      </c>
      <c r="H296" s="50">
        <f t="shared" si="14"/>
        <v>0</v>
      </c>
      <c r="I296" s="58"/>
      <c r="J296" s="58"/>
      <c r="K296" s="54"/>
      <c r="L296" s="54"/>
      <c r="M296" s="54"/>
      <c r="N296" s="54"/>
      <c r="O296" s="202"/>
      <c r="P296" s="202"/>
      <c r="Q296" s="1"/>
      <c r="R296" s="1"/>
      <c r="S296" s="1"/>
      <c r="T296" s="1"/>
      <c r="U296" s="1"/>
      <c r="V296" s="1"/>
    </row>
    <row r="297" ht="15.75" hidden="1" customHeight="1">
      <c r="A297" s="53"/>
      <c r="B297" s="54" t="s">
        <v>18</v>
      </c>
      <c r="C297" s="197" t="s">
        <v>336</v>
      </c>
      <c r="D297" s="198" t="s">
        <v>22</v>
      </c>
      <c r="E297" s="54" t="s">
        <v>337</v>
      </c>
      <c r="F297" s="56">
        <v>0.0</v>
      </c>
      <c r="G297" s="57">
        <v>29.99</v>
      </c>
      <c r="H297" s="57">
        <f t="shared" si="14"/>
        <v>0</v>
      </c>
      <c r="I297" s="58"/>
      <c r="J297" s="58"/>
      <c r="K297" s="54"/>
      <c r="L297" s="54"/>
      <c r="M297" s="54"/>
      <c r="N297" s="54"/>
      <c r="O297" s="202"/>
      <c r="P297" s="202"/>
      <c r="Q297" s="1"/>
      <c r="R297" s="1"/>
      <c r="S297" s="1"/>
      <c r="T297" s="1"/>
      <c r="U297" s="1"/>
      <c r="V297" s="1"/>
    </row>
    <row r="298" ht="15.75" hidden="1" customHeight="1">
      <c r="A298" s="15"/>
      <c r="B298" s="54" t="s">
        <v>18</v>
      </c>
      <c r="C298" s="203" t="s">
        <v>338</v>
      </c>
      <c r="D298" s="198" t="s">
        <v>22</v>
      </c>
      <c r="E298" s="54" t="s">
        <v>339</v>
      </c>
      <c r="F298" s="56">
        <v>0.0</v>
      </c>
      <c r="G298" s="57">
        <v>16.69</v>
      </c>
      <c r="H298" s="57">
        <f t="shared" si="14"/>
        <v>0</v>
      </c>
      <c r="I298" s="51"/>
      <c r="J298" s="51"/>
      <c r="K298" s="52"/>
      <c r="L298" s="52"/>
      <c r="M298" s="52"/>
      <c r="N298" s="52"/>
      <c r="O298" s="200"/>
      <c r="P298" s="200"/>
      <c r="Q298" s="1"/>
      <c r="R298" s="1"/>
      <c r="S298" s="1"/>
      <c r="T298" s="1"/>
      <c r="U298" s="1"/>
      <c r="V298" s="1"/>
    </row>
    <row r="299" ht="15.75" hidden="1" customHeight="1">
      <c r="A299" s="53"/>
      <c r="B299" s="52" t="s">
        <v>18</v>
      </c>
      <c r="C299" s="196" t="s">
        <v>340</v>
      </c>
      <c r="D299" s="150" t="s">
        <v>22</v>
      </c>
      <c r="E299" s="52"/>
      <c r="F299" s="48">
        <v>0.0</v>
      </c>
      <c r="G299" s="50">
        <v>29.69</v>
      </c>
      <c r="H299" s="50">
        <f t="shared" si="14"/>
        <v>0</v>
      </c>
      <c r="I299" s="58"/>
      <c r="J299" s="58"/>
      <c r="K299" s="54"/>
      <c r="L299" s="54"/>
      <c r="M299" s="54"/>
      <c r="N299" s="54"/>
      <c r="O299" s="202"/>
      <c r="P299" s="202"/>
      <c r="Q299" s="1"/>
      <c r="R299" s="1"/>
      <c r="S299" s="1"/>
      <c r="T299" s="1"/>
      <c r="U299" s="1"/>
      <c r="V299" s="1"/>
    </row>
    <row r="300" ht="15.75" hidden="1" customHeight="1">
      <c r="A300" s="53"/>
      <c r="B300" s="54" t="s">
        <v>18</v>
      </c>
      <c r="C300" s="197" t="s">
        <v>341</v>
      </c>
      <c r="D300" s="198" t="s">
        <v>22</v>
      </c>
      <c r="E300" s="54" t="s">
        <v>337</v>
      </c>
      <c r="F300" s="56">
        <v>0.0</v>
      </c>
      <c r="G300" s="57">
        <v>29.99</v>
      </c>
      <c r="H300" s="57">
        <f t="shared" si="14"/>
        <v>0</v>
      </c>
      <c r="I300" s="58"/>
      <c r="J300" s="58"/>
      <c r="K300" s="54"/>
      <c r="L300" s="54"/>
      <c r="M300" s="54"/>
      <c r="N300" s="54"/>
      <c r="O300" s="202"/>
      <c r="P300" s="202"/>
      <c r="Q300" s="1"/>
      <c r="R300" s="1"/>
      <c r="S300" s="1"/>
      <c r="T300" s="1"/>
      <c r="U300" s="1"/>
      <c r="V300" s="1"/>
    </row>
    <row r="301" ht="15.75" hidden="1" customHeight="1">
      <c r="A301" s="53"/>
      <c r="B301" s="54" t="s">
        <v>18</v>
      </c>
      <c r="C301" s="197" t="s">
        <v>342</v>
      </c>
      <c r="D301" s="198" t="s">
        <v>22</v>
      </c>
      <c r="E301" s="54" t="s">
        <v>343</v>
      </c>
      <c r="F301" s="56">
        <v>0.0</v>
      </c>
      <c r="G301" s="57">
        <v>17.99</v>
      </c>
      <c r="H301" s="57">
        <f t="shared" si="14"/>
        <v>0</v>
      </c>
      <c r="I301" s="58"/>
      <c r="J301" s="58"/>
      <c r="K301" s="54"/>
      <c r="L301" s="54"/>
      <c r="M301" s="54"/>
      <c r="N301" s="54"/>
      <c r="O301" s="202"/>
      <c r="P301" s="202"/>
      <c r="Q301" s="1"/>
      <c r="R301" s="1"/>
      <c r="S301" s="1"/>
      <c r="T301" s="1"/>
      <c r="U301" s="1"/>
      <c r="V301" s="1"/>
    </row>
    <row r="302" ht="15.75" hidden="1" customHeight="1">
      <c r="A302" s="15"/>
      <c r="B302" s="54" t="s">
        <v>18</v>
      </c>
      <c r="C302" s="197" t="s">
        <v>344</v>
      </c>
      <c r="D302" s="198" t="s">
        <v>22</v>
      </c>
      <c r="E302" s="205" t="s">
        <v>345</v>
      </c>
      <c r="F302" s="158">
        <v>0.0</v>
      </c>
      <c r="G302" s="57">
        <v>19.0</v>
      </c>
      <c r="H302" s="57">
        <f t="shared" si="14"/>
        <v>0</v>
      </c>
      <c r="I302" s="51"/>
      <c r="J302" s="51"/>
      <c r="K302" s="52"/>
      <c r="L302" s="52"/>
      <c r="M302" s="52"/>
      <c r="N302" s="52"/>
      <c r="O302" s="200"/>
      <c r="P302" s="200"/>
      <c r="Q302" s="1"/>
      <c r="R302" s="1"/>
      <c r="S302" s="1"/>
      <c r="T302" s="1"/>
      <c r="U302" s="1"/>
      <c r="V302" s="1"/>
    </row>
    <row r="303" ht="15.75" hidden="1" customHeight="1">
      <c r="A303" s="53"/>
      <c r="B303" s="206" t="s">
        <v>18</v>
      </c>
      <c r="C303" s="197" t="s">
        <v>346</v>
      </c>
      <c r="D303" s="198" t="s">
        <v>22</v>
      </c>
      <c r="E303" s="205" t="s">
        <v>347</v>
      </c>
      <c r="F303" s="158">
        <v>0.0</v>
      </c>
      <c r="G303" s="57">
        <v>35.0</v>
      </c>
      <c r="H303" s="57">
        <f t="shared" si="14"/>
        <v>0</v>
      </c>
      <c r="I303" s="58"/>
      <c r="J303" s="58"/>
      <c r="K303" s="54"/>
      <c r="L303" s="54"/>
      <c r="M303" s="54"/>
      <c r="N303" s="54"/>
      <c r="O303" s="202"/>
      <c r="P303" s="202"/>
      <c r="Q303" s="1"/>
      <c r="R303" s="1"/>
      <c r="S303" s="1"/>
      <c r="T303" s="1"/>
      <c r="U303" s="1"/>
      <c r="V303" s="1"/>
    </row>
    <row r="304" ht="15.75" customHeight="1">
      <c r="A304" s="13"/>
      <c r="B304" s="13" t="s">
        <v>18</v>
      </c>
      <c r="C304" s="169" t="s">
        <v>409</v>
      </c>
      <c r="D304" s="66" t="s">
        <v>22</v>
      </c>
      <c r="E304" s="33" t="s">
        <v>410</v>
      </c>
      <c r="F304" s="16">
        <v>2.0</v>
      </c>
      <c r="G304" s="227">
        <v>19.0</v>
      </c>
      <c r="H304" s="17">
        <f t="shared" si="14"/>
        <v>38</v>
      </c>
      <c r="I304" s="18"/>
      <c r="J304" s="18"/>
      <c r="K304" s="13"/>
      <c r="L304" s="54"/>
      <c r="M304" s="54"/>
      <c r="N304" s="54"/>
      <c r="O304" s="202"/>
      <c r="P304" s="202"/>
      <c r="Q304" s="1"/>
      <c r="R304" s="1"/>
      <c r="S304" s="1"/>
      <c r="T304" s="1"/>
      <c r="U304" s="1"/>
      <c r="V304" s="1"/>
    </row>
    <row r="305" ht="15.75" customHeight="1">
      <c r="A305" s="13"/>
      <c r="B305" s="43" t="s">
        <v>88</v>
      </c>
      <c r="C305" s="54" t="s">
        <v>411</v>
      </c>
      <c r="D305" s="14" t="s">
        <v>20</v>
      </c>
      <c r="E305" s="218" t="s">
        <v>412</v>
      </c>
      <c r="F305" s="16">
        <v>1.0</v>
      </c>
      <c r="G305" s="34">
        <v>334.0</v>
      </c>
      <c r="H305" s="17">
        <f t="shared" si="14"/>
        <v>334</v>
      </c>
      <c r="I305" s="18"/>
      <c r="J305" s="18"/>
      <c r="K305" s="13"/>
      <c r="L305" s="54"/>
      <c r="M305" s="54"/>
      <c r="N305" s="54"/>
      <c r="O305" s="202"/>
      <c r="P305" s="202"/>
      <c r="Q305" s="1"/>
      <c r="R305" s="1"/>
      <c r="S305" s="1"/>
      <c r="T305" s="1"/>
      <c r="U305" s="1"/>
      <c r="V305" s="1"/>
    </row>
    <row r="306" ht="15.75" customHeight="1">
      <c r="A306" s="13"/>
      <c r="B306" s="13" t="s">
        <v>18</v>
      </c>
      <c r="C306" s="169" t="s">
        <v>280</v>
      </c>
      <c r="D306" s="14" t="s">
        <v>20</v>
      </c>
      <c r="E306" s="15" t="s">
        <v>413</v>
      </c>
      <c r="F306" s="16">
        <v>1.0</v>
      </c>
      <c r="G306" s="34">
        <v>20.0</v>
      </c>
      <c r="H306" s="17">
        <f t="shared" si="14"/>
        <v>20</v>
      </c>
      <c r="I306" s="18"/>
      <c r="J306" s="18"/>
      <c r="K306" s="13"/>
      <c r="L306" s="13"/>
      <c r="M306" s="13"/>
      <c r="N306" s="13"/>
      <c r="O306" s="19"/>
      <c r="P306" s="19"/>
      <c r="Q306" s="35"/>
      <c r="R306" s="35"/>
      <c r="S306" s="35"/>
      <c r="T306" s="1"/>
      <c r="U306" s="1"/>
      <c r="V306" s="1"/>
    </row>
    <row r="307" ht="15.75" hidden="1" customHeight="1">
      <c r="A307" s="13"/>
      <c r="B307" s="206"/>
      <c r="C307" s="197" t="s">
        <v>354</v>
      </c>
      <c r="D307" s="198" t="s">
        <v>22</v>
      </c>
      <c r="E307" s="208" t="s">
        <v>352</v>
      </c>
      <c r="F307" s="56">
        <v>0.0</v>
      </c>
      <c r="G307" s="159">
        <v>97.0</v>
      </c>
      <c r="H307" s="57">
        <f t="shared" si="14"/>
        <v>0</v>
      </c>
      <c r="I307" s="18"/>
      <c r="J307" s="18"/>
      <c r="K307" s="13"/>
      <c r="L307" s="13"/>
      <c r="M307" s="13"/>
      <c r="N307" s="13"/>
      <c r="O307" s="13"/>
      <c r="P307" s="13"/>
      <c r="Q307" s="35"/>
      <c r="R307" s="35"/>
      <c r="S307" s="35"/>
      <c r="T307" s="1"/>
      <c r="U307" s="1"/>
      <c r="V307" s="1"/>
    </row>
    <row r="308" ht="15.75" hidden="1" customHeight="1">
      <c r="A308" s="13"/>
      <c r="B308" s="156" t="s">
        <v>350</v>
      </c>
      <c r="C308" s="197" t="s">
        <v>355</v>
      </c>
      <c r="D308" s="198" t="s">
        <v>22</v>
      </c>
      <c r="E308" s="208" t="s">
        <v>356</v>
      </c>
      <c r="F308" s="56">
        <v>0.0</v>
      </c>
      <c r="G308" s="159">
        <v>366.0</v>
      </c>
      <c r="H308" s="57">
        <f t="shared" si="14"/>
        <v>0</v>
      </c>
      <c r="I308" s="18"/>
      <c r="J308" s="18"/>
      <c r="K308" s="13"/>
      <c r="L308" s="13"/>
      <c r="M308" s="13"/>
      <c r="N308" s="13"/>
      <c r="O308" s="13"/>
      <c r="P308" s="13"/>
      <c r="Q308" s="35"/>
      <c r="R308" s="35"/>
      <c r="S308" s="35"/>
      <c r="T308" s="1"/>
      <c r="U308" s="1"/>
      <c r="V308" s="1"/>
    </row>
    <row r="309" ht="15.75" hidden="1" customHeight="1">
      <c r="A309" s="13"/>
      <c r="B309" s="206" t="s">
        <v>350</v>
      </c>
      <c r="C309" s="197" t="s">
        <v>357</v>
      </c>
      <c r="D309" s="198" t="s">
        <v>22</v>
      </c>
      <c r="E309" s="208" t="s">
        <v>356</v>
      </c>
      <c r="F309" s="56">
        <v>0.0</v>
      </c>
      <c r="G309" s="159">
        <v>107.5</v>
      </c>
      <c r="H309" s="57">
        <f t="shared" si="14"/>
        <v>0</v>
      </c>
      <c r="I309" s="18"/>
      <c r="J309" s="18"/>
      <c r="K309" s="13"/>
      <c r="L309" s="13"/>
      <c r="M309" s="19"/>
      <c r="N309" s="13"/>
      <c r="O309" s="19"/>
      <c r="P309" s="19"/>
      <c r="Q309" s="35"/>
      <c r="R309" s="35"/>
      <c r="S309" s="35"/>
      <c r="T309" s="1"/>
      <c r="U309" s="1"/>
      <c r="V309" s="1"/>
    </row>
    <row r="310" ht="15.75" hidden="1" customHeight="1">
      <c r="A310" s="13"/>
      <c r="B310" s="156" t="s">
        <v>350</v>
      </c>
      <c r="C310" s="197" t="s">
        <v>358</v>
      </c>
      <c r="D310" s="198" t="s">
        <v>22</v>
      </c>
      <c r="E310" s="208" t="s">
        <v>356</v>
      </c>
      <c r="F310" s="56">
        <v>0.0</v>
      </c>
      <c r="G310" s="159">
        <v>97.0</v>
      </c>
      <c r="H310" s="57">
        <f t="shared" si="14"/>
        <v>0</v>
      </c>
      <c r="I310" s="18"/>
      <c r="J310" s="18"/>
      <c r="K310" s="13"/>
      <c r="L310" s="27"/>
      <c r="M310" s="28"/>
      <c r="N310" s="27"/>
      <c r="O310" s="28"/>
      <c r="P310" s="27"/>
      <c r="Q310" s="35"/>
      <c r="R310" s="35"/>
      <c r="S310" s="35"/>
      <c r="T310" s="1"/>
      <c r="U310" s="1"/>
      <c r="V310" s="1"/>
    </row>
    <row r="311" ht="15.75" hidden="1" customHeight="1">
      <c r="A311" s="13"/>
      <c r="B311" s="13" t="s">
        <v>18</v>
      </c>
      <c r="C311" s="196" t="s">
        <v>359</v>
      </c>
      <c r="D311" s="150" t="s">
        <v>22</v>
      </c>
      <c r="E311" s="52" t="s">
        <v>360</v>
      </c>
      <c r="F311" s="48">
        <v>0.0</v>
      </c>
      <c r="G311" s="50">
        <v>18.0</v>
      </c>
      <c r="H311" s="50">
        <f t="shared" si="14"/>
        <v>0</v>
      </c>
      <c r="I311" s="18"/>
      <c r="J311" s="18"/>
      <c r="K311" s="13"/>
      <c r="L311" s="27"/>
      <c r="M311" s="28"/>
      <c r="N311" s="27"/>
      <c r="O311" s="28"/>
      <c r="P311" s="27"/>
      <c r="Q311" s="35"/>
      <c r="R311" s="35"/>
      <c r="S311" s="35"/>
      <c r="T311" s="1"/>
      <c r="U311" s="1"/>
      <c r="V311" s="1"/>
    </row>
    <row r="312" ht="15.75" customHeight="1">
      <c r="A312" s="13"/>
      <c r="B312" s="13"/>
      <c r="C312" s="169" t="s">
        <v>414</v>
      </c>
      <c r="D312" s="70" t="s">
        <v>24</v>
      </c>
      <c r="E312" s="15"/>
      <c r="F312" s="16">
        <v>1.0</v>
      </c>
      <c r="G312" s="17">
        <v>80.0</v>
      </c>
      <c r="H312" s="17">
        <f t="shared" si="14"/>
        <v>80</v>
      </c>
      <c r="I312" s="18"/>
      <c r="J312" s="18"/>
      <c r="K312" s="13"/>
      <c r="L312" s="27"/>
      <c r="M312" s="28"/>
      <c r="N312" s="27"/>
      <c r="O312" s="28"/>
      <c r="P312" s="27"/>
      <c r="Q312" s="35"/>
      <c r="R312" s="35"/>
      <c r="S312" s="35"/>
      <c r="T312" s="1"/>
      <c r="U312" s="1"/>
      <c r="V312" s="1"/>
    </row>
    <row r="313" ht="15.75" hidden="1" customHeight="1">
      <c r="A313" s="13"/>
      <c r="B313" s="13" t="s">
        <v>361</v>
      </c>
      <c r="C313" s="169" t="s">
        <v>364</v>
      </c>
      <c r="D313" s="66" t="s">
        <v>22</v>
      </c>
      <c r="E313" s="15" t="s">
        <v>365</v>
      </c>
      <c r="F313" s="16">
        <v>0.0</v>
      </c>
      <c r="G313" s="17">
        <v>6.0</v>
      </c>
      <c r="H313" s="17">
        <f t="shared" si="14"/>
        <v>0</v>
      </c>
      <c r="I313" s="18"/>
      <c r="J313" s="18"/>
      <c r="K313" s="13"/>
      <c r="L313" s="27"/>
      <c r="M313" s="28"/>
      <c r="N313" s="27"/>
      <c r="O313" s="28"/>
      <c r="P313" s="27"/>
      <c r="Q313" s="35"/>
      <c r="R313" s="35"/>
      <c r="S313" s="35"/>
      <c r="T313" s="1"/>
      <c r="U313" s="1"/>
      <c r="V313" s="1"/>
    </row>
    <row r="314" ht="15.75" customHeight="1">
      <c r="A314" s="13"/>
      <c r="B314" s="13" t="s">
        <v>18</v>
      </c>
      <c r="C314" s="169" t="s">
        <v>370</v>
      </c>
      <c r="D314" s="14" t="s">
        <v>20</v>
      </c>
      <c r="E314" s="15">
        <v>8.49069896E8</v>
      </c>
      <c r="F314" s="16">
        <v>1.0</v>
      </c>
      <c r="G314" s="17">
        <v>5.0</v>
      </c>
      <c r="H314" s="17">
        <f t="shared" si="14"/>
        <v>5</v>
      </c>
      <c r="I314" s="18"/>
      <c r="J314" s="18"/>
      <c r="K314" s="13"/>
      <c r="L314" s="27"/>
      <c r="M314" s="28"/>
      <c r="N314" s="27"/>
      <c r="O314" s="28"/>
      <c r="P314" s="27"/>
      <c r="Q314" s="35"/>
      <c r="R314" s="35"/>
      <c r="S314" s="35"/>
      <c r="T314" s="1"/>
      <c r="U314" s="1"/>
      <c r="V314" s="1"/>
    </row>
    <row r="315" ht="15.75" customHeight="1">
      <c r="A315" s="13"/>
      <c r="B315" s="13" t="s">
        <v>18</v>
      </c>
      <c r="C315" s="169" t="s">
        <v>371</v>
      </c>
      <c r="D315" s="14" t="s">
        <v>20</v>
      </c>
      <c r="E315" s="15" t="s">
        <v>286</v>
      </c>
      <c r="F315" s="16">
        <v>2.0</v>
      </c>
      <c r="G315" s="17">
        <v>3.0</v>
      </c>
      <c r="H315" s="17">
        <f t="shared" si="14"/>
        <v>6</v>
      </c>
      <c r="I315" s="18"/>
      <c r="J315" s="18"/>
      <c r="K315" s="13"/>
      <c r="L315" s="95"/>
      <c r="M315" s="96"/>
      <c r="N315" s="95"/>
      <c r="O315" s="95"/>
      <c r="P315" s="95"/>
      <c r="Q315" s="35"/>
      <c r="R315" s="35"/>
      <c r="S315" s="35"/>
      <c r="T315" s="1"/>
      <c r="U315" s="1"/>
      <c r="V315" s="1"/>
    </row>
    <row r="316" ht="15.75" hidden="1" customHeight="1">
      <c r="A316" s="13"/>
      <c r="B316" s="13" t="s">
        <v>18</v>
      </c>
      <c r="C316" s="169" t="s">
        <v>283</v>
      </c>
      <c r="D316" s="14" t="s">
        <v>20</v>
      </c>
      <c r="E316" s="15" t="s">
        <v>284</v>
      </c>
      <c r="F316" s="16">
        <v>0.0</v>
      </c>
      <c r="G316" s="17">
        <v>12.0</v>
      </c>
      <c r="H316" s="17">
        <f t="shared" si="14"/>
        <v>0</v>
      </c>
      <c r="I316" s="18"/>
      <c r="J316" s="18"/>
      <c r="K316" s="13"/>
      <c r="L316" s="13"/>
      <c r="M316" s="19"/>
      <c r="N316" s="13"/>
      <c r="O316" s="38"/>
      <c r="P316" s="19"/>
      <c r="Q316" s="35"/>
      <c r="R316" s="35"/>
      <c r="S316" s="35"/>
      <c r="T316" s="1"/>
      <c r="U316" s="1"/>
      <c r="V316" s="1"/>
    </row>
    <row r="317" ht="15.75" hidden="1" customHeight="1">
      <c r="A317" s="13"/>
      <c r="B317" s="13" t="s">
        <v>18</v>
      </c>
      <c r="C317" s="195" t="s">
        <v>372</v>
      </c>
      <c r="D317" s="14" t="s">
        <v>20</v>
      </c>
      <c r="E317" s="210"/>
      <c r="F317" s="228">
        <v>0.0</v>
      </c>
      <c r="G317" s="212">
        <v>70.0</v>
      </c>
      <c r="H317" s="17">
        <f t="shared" si="14"/>
        <v>0</v>
      </c>
      <c r="I317" s="18"/>
      <c r="J317" s="18"/>
      <c r="K317" s="13"/>
      <c r="L317" s="27"/>
      <c r="M317" s="28"/>
      <c r="N317" s="27"/>
      <c r="O317" s="28"/>
      <c r="P317" s="28"/>
      <c r="Q317" s="35"/>
      <c r="R317" s="35"/>
      <c r="S317" s="35"/>
      <c r="T317" s="1"/>
      <c r="U317" s="1"/>
      <c r="V317" s="1"/>
    </row>
    <row r="318" ht="15.75" hidden="1" customHeight="1">
      <c r="A318" s="13"/>
      <c r="B318" s="13"/>
      <c r="C318" s="169" t="s">
        <v>70</v>
      </c>
      <c r="D318" s="14" t="s">
        <v>20</v>
      </c>
      <c r="E318" s="15"/>
      <c r="F318" s="40">
        <v>0.0</v>
      </c>
      <c r="G318" s="34">
        <v>60.0</v>
      </c>
      <c r="H318" s="17">
        <f t="shared" si="14"/>
        <v>0</v>
      </c>
      <c r="I318" s="18"/>
      <c r="J318" s="18"/>
      <c r="K318" s="18"/>
      <c r="L318" s="13"/>
      <c r="M318" s="19"/>
      <c r="N318" s="13"/>
      <c r="O318" s="19"/>
      <c r="P318" s="19"/>
      <c r="Q318" s="35"/>
      <c r="R318" s="35"/>
      <c r="S318" s="35"/>
      <c r="T318" s="1"/>
      <c r="U318" s="1"/>
      <c r="V318" s="1"/>
    </row>
    <row r="319" ht="15.75" hidden="1" customHeight="1">
      <c r="A319" s="13"/>
      <c r="B319" s="13" t="s">
        <v>373</v>
      </c>
      <c r="C319" s="169" t="s">
        <v>69</v>
      </c>
      <c r="D319" s="14" t="s">
        <v>20</v>
      </c>
      <c r="E319" s="15"/>
      <c r="F319" s="16">
        <v>0.0</v>
      </c>
      <c r="G319" s="17">
        <v>70.0</v>
      </c>
      <c r="H319" s="17">
        <f t="shared" si="14"/>
        <v>0</v>
      </c>
      <c r="I319" s="18"/>
      <c r="J319" s="18"/>
      <c r="K319" s="13"/>
      <c r="L319" s="27"/>
      <c r="M319" s="28"/>
      <c r="N319" s="27"/>
      <c r="O319" s="28"/>
      <c r="P319" s="28"/>
      <c r="Q319" s="35"/>
      <c r="R319" s="35"/>
      <c r="S319" s="35"/>
      <c r="T319" s="1"/>
      <c r="U319" s="1"/>
      <c r="V319" s="1"/>
    </row>
    <row r="320" ht="15.75" hidden="1" customHeight="1">
      <c r="A320" s="13"/>
      <c r="B320" s="13"/>
      <c r="C320" s="169" t="s">
        <v>374</v>
      </c>
      <c r="D320" s="70" t="s">
        <v>24</v>
      </c>
      <c r="E320" s="15"/>
      <c r="F320" s="16">
        <v>0.0</v>
      </c>
      <c r="G320" s="17">
        <v>207.0</v>
      </c>
      <c r="H320" s="17">
        <f t="shared" si="14"/>
        <v>0</v>
      </c>
      <c r="I320" s="18"/>
      <c r="J320" s="18"/>
      <c r="K320" s="13"/>
      <c r="L320" s="107"/>
      <c r="M320" s="214"/>
      <c r="N320" s="13"/>
      <c r="O320" s="13"/>
      <c r="P320" s="13"/>
      <c r="Q320" s="35"/>
      <c r="R320" s="35"/>
      <c r="S320" s="35"/>
      <c r="T320" s="1"/>
      <c r="U320" s="1"/>
      <c r="V320" s="1"/>
    </row>
    <row r="321" ht="15.75" hidden="1" customHeight="1">
      <c r="A321" s="13"/>
      <c r="B321" s="13"/>
      <c r="C321" s="169" t="s">
        <v>375</v>
      </c>
      <c r="D321" s="70" t="s">
        <v>24</v>
      </c>
      <c r="E321" s="15"/>
      <c r="F321" s="16">
        <v>0.0</v>
      </c>
      <c r="G321" s="17">
        <v>450.0</v>
      </c>
      <c r="H321" s="17">
        <f t="shared" si="14"/>
        <v>0</v>
      </c>
      <c r="I321" s="18"/>
      <c r="J321" s="18"/>
      <c r="K321" s="13"/>
      <c r="L321" s="63"/>
      <c r="M321" s="63"/>
      <c r="N321" s="63"/>
      <c r="O321" s="63"/>
      <c r="P321" s="63"/>
      <c r="Q321" s="35"/>
      <c r="R321" s="35"/>
      <c r="S321" s="35"/>
      <c r="T321" s="1"/>
      <c r="U321" s="1"/>
      <c r="V321" s="1"/>
    </row>
    <row r="322" ht="15.75" hidden="1" customHeight="1">
      <c r="A322" s="13"/>
      <c r="B322" s="13"/>
      <c r="C322" s="13" t="s">
        <v>71</v>
      </c>
      <c r="D322" s="213" t="s">
        <v>24</v>
      </c>
      <c r="E322" s="52"/>
      <c r="F322" s="48">
        <v>0.0</v>
      </c>
      <c r="G322" s="50">
        <v>80.0</v>
      </c>
      <c r="H322" s="50">
        <f t="shared" si="14"/>
        <v>0</v>
      </c>
      <c r="I322" s="18"/>
      <c r="J322" s="18"/>
      <c r="K322" s="13" t="s">
        <v>376</v>
      </c>
      <c r="L322" s="63"/>
      <c r="M322" s="63"/>
      <c r="N322" s="63"/>
      <c r="O322" s="63"/>
      <c r="P322" s="63"/>
      <c r="Q322" s="35"/>
      <c r="R322" s="35"/>
      <c r="S322" s="35"/>
      <c r="T322" s="1"/>
      <c r="U322" s="1"/>
      <c r="V322" s="1"/>
    </row>
    <row r="323" ht="15.75" hidden="1" customHeight="1">
      <c r="A323" s="13"/>
      <c r="B323" s="13" t="s">
        <v>18</v>
      </c>
      <c r="C323" s="13" t="s">
        <v>377</v>
      </c>
      <c r="D323" s="14" t="s">
        <v>20</v>
      </c>
      <c r="E323" s="52" t="s">
        <v>28</v>
      </c>
      <c r="F323" s="48">
        <v>0.0</v>
      </c>
      <c r="G323" s="50">
        <v>70.0</v>
      </c>
      <c r="H323" s="50">
        <f t="shared" si="14"/>
        <v>0</v>
      </c>
      <c r="I323" s="18"/>
      <c r="J323" s="18"/>
      <c r="K323" s="13"/>
      <c r="L323" s="63"/>
      <c r="M323" s="63"/>
      <c r="N323" s="63"/>
      <c r="O323" s="63"/>
      <c r="P323" s="63"/>
      <c r="Q323" s="35"/>
      <c r="R323" s="35"/>
      <c r="S323" s="35"/>
      <c r="T323" s="1"/>
      <c r="U323" s="1"/>
      <c r="V323" s="1"/>
    </row>
    <row r="324" ht="15.75" hidden="1" customHeight="1">
      <c r="A324" s="13"/>
      <c r="B324" s="13"/>
      <c r="C324" s="13" t="s">
        <v>221</v>
      </c>
      <c r="D324" s="213" t="s">
        <v>24</v>
      </c>
      <c r="E324" s="52"/>
      <c r="F324" s="215">
        <v>0.0</v>
      </c>
      <c r="G324" s="50">
        <v>50.0</v>
      </c>
      <c r="H324" s="50">
        <f t="shared" si="14"/>
        <v>0</v>
      </c>
      <c r="I324" s="18"/>
      <c r="J324" s="18"/>
      <c r="K324" s="13"/>
      <c r="L324" s="63"/>
      <c r="M324" s="63"/>
      <c r="N324" s="63"/>
      <c r="O324" s="63"/>
      <c r="P324" s="63"/>
      <c r="Q324" s="35"/>
      <c r="R324" s="35"/>
      <c r="S324" s="35"/>
      <c r="T324" s="1"/>
      <c r="U324" s="1"/>
      <c r="V324" s="1"/>
    </row>
    <row r="325" ht="15.75" hidden="1" customHeight="1">
      <c r="A325" s="13"/>
      <c r="B325" s="43" t="s">
        <v>18</v>
      </c>
      <c r="C325" s="156" t="s">
        <v>230</v>
      </c>
      <c r="D325" s="14" t="s">
        <v>20</v>
      </c>
      <c r="E325" s="157" t="s">
        <v>231</v>
      </c>
      <c r="F325" s="158">
        <v>0.0</v>
      </c>
      <c r="G325" s="159">
        <v>35.0</v>
      </c>
      <c r="H325" s="50">
        <f t="shared" si="14"/>
        <v>0</v>
      </c>
      <c r="I325" s="18"/>
      <c r="J325" s="18"/>
      <c r="K325" s="13"/>
      <c r="L325" s="63"/>
      <c r="M325" s="63"/>
      <c r="N325" s="63"/>
      <c r="O325" s="63"/>
      <c r="P325" s="63"/>
      <c r="Q325" s="35"/>
      <c r="R325" s="35"/>
      <c r="S325" s="35"/>
      <c r="T325" s="1"/>
      <c r="U325" s="1"/>
      <c r="V325" s="1"/>
    </row>
    <row r="326" ht="15.75" hidden="1" customHeight="1">
      <c r="A326" s="13"/>
      <c r="B326" s="43"/>
      <c r="C326" s="156" t="s">
        <v>232</v>
      </c>
      <c r="D326" s="70" t="s">
        <v>24</v>
      </c>
      <c r="E326" s="160"/>
      <c r="F326" s="158">
        <v>0.0</v>
      </c>
      <c r="G326" s="159">
        <v>150.0</v>
      </c>
      <c r="H326" s="50">
        <f t="shared" si="14"/>
        <v>0</v>
      </c>
      <c r="I326" s="18"/>
      <c r="J326" s="18"/>
      <c r="K326" s="13"/>
      <c r="L326" s="63"/>
      <c r="M326" s="63"/>
      <c r="N326" s="63"/>
      <c r="O326" s="63"/>
      <c r="P326" s="63"/>
      <c r="Q326" s="35"/>
      <c r="R326" s="35"/>
      <c r="S326" s="35"/>
      <c r="T326" s="1"/>
      <c r="U326" s="1"/>
      <c r="V326" s="1"/>
    </row>
    <row r="327" ht="15.75" hidden="1" customHeight="1">
      <c r="A327" s="13"/>
      <c r="B327" s="13"/>
      <c r="C327" s="206" t="s">
        <v>222</v>
      </c>
      <c r="D327" s="216" t="s">
        <v>24</v>
      </c>
      <c r="E327" s="54"/>
      <c r="F327" s="56">
        <v>0.0</v>
      </c>
      <c r="G327" s="57">
        <v>40.0</v>
      </c>
      <c r="H327" s="57">
        <f t="shared" si="14"/>
        <v>0</v>
      </c>
      <c r="I327" s="18"/>
      <c r="J327" s="18"/>
      <c r="K327" s="13"/>
      <c r="L327" s="63"/>
      <c r="M327" s="63"/>
      <c r="N327" s="63"/>
      <c r="O327" s="63"/>
      <c r="P327" s="63"/>
      <c r="Q327" s="35"/>
      <c r="R327" s="35"/>
      <c r="S327" s="35"/>
      <c r="T327" s="1"/>
      <c r="U327" s="1"/>
      <c r="V327" s="1"/>
    </row>
    <row r="328" ht="28.5" customHeight="1">
      <c r="A328" s="6"/>
      <c r="B328" s="172" t="s">
        <v>415</v>
      </c>
      <c r="C328" s="7">
        <f>SUM(H329:H399)</f>
        <v>5991.31</v>
      </c>
      <c r="D328" s="148"/>
      <c r="E328" s="148"/>
      <c r="F328" s="83"/>
      <c r="G328" s="82"/>
      <c r="H328" s="82"/>
      <c r="I328" s="82"/>
      <c r="J328" s="82"/>
      <c r="K328" s="83"/>
      <c r="L328" s="83"/>
      <c r="M328" s="83"/>
      <c r="N328" s="83"/>
      <c r="O328" s="83"/>
      <c r="P328" s="83"/>
      <c r="Q328" s="35"/>
      <c r="R328" s="35"/>
      <c r="S328" s="35"/>
      <c r="T328" s="1"/>
      <c r="U328" s="1"/>
      <c r="V328" s="1"/>
    </row>
    <row r="329" ht="15.75" customHeight="1">
      <c r="A329" s="13"/>
      <c r="B329" s="43" t="s">
        <v>64</v>
      </c>
      <c r="C329" s="169" t="s">
        <v>191</v>
      </c>
      <c r="D329" s="66" t="s">
        <v>22</v>
      </c>
      <c r="E329" s="15"/>
      <c r="F329" s="16">
        <v>1.0</v>
      </c>
      <c r="G329" s="34">
        <v>100.0</v>
      </c>
      <c r="H329" s="17">
        <f t="shared" ref="H329:H399" si="15">SUM(F329*G329)</f>
        <v>100</v>
      </c>
      <c r="I329" s="18"/>
      <c r="J329" s="18"/>
      <c r="K329" s="13"/>
      <c r="L329" s="13"/>
      <c r="M329" s="13"/>
      <c r="N329" s="13"/>
      <c r="O329" s="13"/>
      <c r="P329" s="13"/>
      <c r="Q329" s="35"/>
      <c r="R329" s="35"/>
      <c r="S329" s="35"/>
      <c r="T329" s="1"/>
      <c r="U329" s="1"/>
      <c r="V329" s="1"/>
    </row>
    <row r="330" ht="15.75" customHeight="1">
      <c r="A330" s="13"/>
      <c r="B330" s="13" t="s">
        <v>18</v>
      </c>
      <c r="C330" s="169" t="s">
        <v>416</v>
      </c>
      <c r="D330" s="14" t="s">
        <v>20</v>
      </c>
      <c r="E330" s="15"/>
      <c r="F330" s="16">
        <v>1.0</v>
      </c>
      <c r="G330" s="17">
        <v>5.0</v>
      </c>
      <c r="H330" s="17">
        <f t="shared" si="15"/>
        <v>5</v>
      </c>
      <c r="I330" s="18"/>
      <c r="J330" s="18"/>
      <c r="K330" s="13"/>
      <c r="L330" s="13"/>
      <c r="M330" s="19"/>
      <c r="N330" s="19"/>
      <c r="O330" s="38"/>
      <c r="P330" s="19"/>
      <c r="Q330" s="35"/>
      <c r="R330" s="35"/>
      <c r="S330" s="35"/>
      <c r="T330" s="1"/>
      <c r="U330" s="1"/>
      <c r="V330" s="1"/>
    </row>
    <row r="331" ht="15.75" customHeight="1">
      <c r="A331" s="13"/>
      <c r="B331" s="13" t="s">
        <v>18</v>
      </c>
      <c r="C331" s="169" t="s">
        <v>296</v>
      </c>
      <c r="D331" s="14" t="s">
        <v>20</v>
      </c>
      <c r="E331" s="218" t="s">
        <v>417</v>
      </c>
      <c r="F331" s="16">
        <v>1.0</v>
      </c>
      <c r="G331" s="34">
        <v>132.0</v>
      </c>
      <c r="H331" s="17">
        <f t="shared" si="15"/>
        <v>132</v>
      </c>
      <c r="I331" s="18"/>
      <c r="J331" s="18"/>
      <c r="K331" s="13"/>
      <c r="L331" s="27"/>
      <c r="M331" s="28"/>
      <c r="N331" s="27"/>
      <c r="O331" s="28"/>
      <c r="P331" s="27"/>
      <c r="Q331" s="35"/>
      <c r="R331" s="35"/>
      <c r="S331" s="35"/>
      <c r="T331" s="1"/>
      <c r="U331" s="1"/>
      <c r="V331" s="1"/>
    </row>
    <row r="332" ht="15.75" customHeight="1">
      <c r="A332" s="13"/>
      <c r="B332" s="13"/>
      <c r="C332" s="169" t="s">
        <v>298</v>
      </c>
      <c r="D332" s="70" t="s">
        <v>24</v>
      </c>
      <c r="E332" s="15"/>
      <c r="F332" s="16">
        <v>1.0</v>
      </c>
      <c r="G332" s="17">
        <v>95.0</v>
      </c>
      <c r="H332" s="17">
        <f t="shared" si="15"/>
        <v>95</v>
      </c>
      <c r="I332" s="18"/>
      <c r="J332" s="18"/>
      <c r="K332" s="13"/>
      <c r="L332" s="63"/>
      <c r="M332" s="63"/>
      <c r="N332" s="63"/>
      <c r="O332" s="63"/>
      <c r="P332" s="63"/>
      <c r="Q332" s="35"/>
      <c r="R332" s="35"/>
      <c r="S332" s="35"/>
      <c r="T332" s="1"/>
      <c r="U332" s="1"/>
      <c r="V332" s="1"/>
    </row>
    <row r="333" ht="15.75" hidden="1" customHeight="1">
      <c r="A333" s="13"/>
      <c r="B333" s="13"/>
      <c r="C333" s="169" t="s">
        <v>299</v>
      </c>
      <c r="D333" s="70" t="s">
        <v>24</v>
      </c>
      <c r="E333" s="15"/>
      <c r="F333" s="16">
        <v>0.0</v>
      </c>
      <c r="G333" s="17">
        <v>120.0</v>
      </c>
      <c r="H333" s="17">
        <f t="shared" si="15"/>
        <v>0</v>
      </c>
      <c r="I333" s="18"/>
      <c r="J333" s="18"/>
      <c r="K333" s="13"/>
      <c r="L333" s="63"/>
      <c r="M333" s="63"/>
      <c r="N333" s="63"/>
      <c r="O333" s="63"/>
      <c r="P333" s="63"/>
      <c r="Q333" s="35"/>
      <c r="R333" s="35"/>
      <c r="S333" s="35"/>
      <c r="T333" s="1"/>
      <c r="U333" s="1"/>
      <c r="V333" s="1"/>
    </row>
    <row r="334" ht="15.75" customHeight="1">
      <c r="A334" s="13"/>
      <c r="B334" s="13" t="s">
        <v>18</v>
      </c>
      <c r="C334" s="169" t="s">
        <v>300</v>
      </c>
      <c r="D334" s="14" t="s">
        <v>20</v>
      </c>
      <c r="E334" s="15"/>
      <c r="F334" s="40">
        <v>6.0</v>
      </c>
      <c r="G334" s="17">
        <v>5.0</v>
      </c>
      <c r="H334" s="17">
        <f t="shared" si="15"/>
        <v>30</v>
      </c>
      <c r="I334" s="18"/>
      <c r="J334" s="18"/>
      <c r="K334" s="13"/>
      <c r="L334" s="27"/>
      <c r="M334" s="27"/>
      <c r="N334" s="27"/>
      <c r="O334" s="27"/>
      <c r="P334" s="27"/>
      <c r="Q334" s="35"/>
      <c r="R334" s="35"/>
      <c r="S334" s="35"/>
      <c r="T334" s="1"/>
      <c r="U334" s="1"/>
      <c r="V334" s="1"/>
    </row>
    <row r="335" ht="15.75" hidden="1" customHeight="1">
      <c r="A335" s="13"/>
      <c r="B335" s="13" t="s">
        <v>18</v>
      </c>
      <c r="C335" s="169" t="s">
        <v>301</v>
      </c>
      <c r="D335" s="14" t="s">
        <v>20</v>
      </c>
      <c r="E335" s="15" t="s">
        <v>302</v>
      </c>
      <c r="F335" s="16">
        <v>0.0</v>
      </c>
      <c r="G335" s="17">
        <v>6.2</v>
      </c>
      <c r="H335" s="17">
        <f t="shared" si="15"/>
        <v>0</v>
      </c>
      <c r="I335" s="18"/>
      <c r="J335" s="18"/>
      <c r="K335" s="13"/>
      <c r="L335" s="27"/>
      <c r="M335" s="27"/>
      <c r="N335" s="27"/>
      <c r="O335" s="27"/>
      <c r="P335" s="27"/>
      <c r="Q335" s="35"/>
      <c r="R335" s="35"/>
      <c r="S335" s="35"/>
      <c r="T335" s="1"/>
      <c r="U335" s="1"/>
      <c r="V335" s="1"/>
    </row>
    <row r="336" ht="15.75" hidden="1" customHeight="1">
      <c r="A336" s="13"/>
      <c r="B336" s="13"/>
      <c r="C336" s="169" t="s">
        <v>303</v>
      </c>
      <c r="D336" s="70" t="s">
        <v>24</v>
      </c>
      <c r="E336" s="15"/>
      <c r="F336" s="16">
        <v>0.0</v>
      </c>
      <c r="G336" s="17">
        <v>40.0</v>
      </c>
      <c r="H336" s="17">
        <f t="shared" si="15"/>
        <v>0</v>
      </c>
      <c r="I336" s="18"/>
      <c r="J336" s="18"/>
      <c r="K336" s="13"/>
      <c r="L336" s="27"/>
      <c r="M336" s="27"/>
      <c r="N336" s="27"/>
      <c r="O336" s="27"/>
      <c r="P336" s="27"/>
      <c r="Q336" s="35"/>
      <c r="R336" s="35"/>
      <c r="S336" s="35"/>
      <c r="T336" s="1"/>
      <c r="U336" s="1"/>
      <c r="V336" s="1"/>
    </row>
    <row r="337" ht="15.75" hidden="1" customHeight="1">
      <c r="A337" s="13"/>
      <c r="B337" s="13" t="s">
        <v>18</v>
      </c>
      <c r="C337" s="169" t="s">
        <v>47</v>
      </c>
      <c r="D337" s="14" t="s">
        <v>20</v>
      </c>
      <c r="E337" s="15" t="s">
        <v>418</v>
      </c>
      <c r="F337" s="16">
        <v>0.0</v>
      </c>
      <c r="G337" s="17">
        <v>63.0</v>
      </c>
      <c r="H337" s="17">
        <f t="shared" si="15"/>
        <v>0</v>
      </c>
      <c r="I337" s="18"/>
      <c r="J337" s="18"/>
      <c r="K337" s="13"/>
      <c r="L337" s="27"/>
      <c r="M337" s="27"/>
      <c r="N337" s="27"/>
      <c r="O337" s="27"/>
      <c r="P337" s="27"/>
      <c r="Q337" s="35"/>
      <c r="R337" s="35"/>
      <c r="S337" s="35"/>
      <c r="T337" s="1"/>
      <c r="U337" s="1"/>
      <c r="V337" s="1"/>
    </row>
    <row r="338" ht="15.75" hidden="1" customHeight="1">
      <c r="A338" s="13"/>
      <c r="B338" s="13"/>
      <c r="C338" s="169" t="s">
        <v>304</v>
      </c>
      <c r="D338" s="70" t="s">
        <v>24</v>
      </c>
      <c r="E338" s="15"/>
      <c r="F338" s="16">
        <v>0.0</v>
      </c>
      <c r="G338" s="17">
        <v>120.0</v>
      </c>
      <c r="H338" s="17">
        <f t="shared" si="15"/>
        <v>0</v>
      </c>
      <c r="I338" s="18"/>
      <c r="J338" s="18"/>
      <c r="K338" s="13"/>
      <c r="L338" s="27"/>
      <c r="M338" s="27"/>
      <c r="N338" s="27"/>
      <c r="O338" s="27"/>
      <c r="P338" s="27"/>
      <c r="Q338" s="35"/>
      <c r="R338" s="35"/>
      <c r="S338" s="35"/>
      <c r="T338" s="1"/>
      <c r="U338" s="1"/>
      <c r="V338" s="1"/>
    </row>
    <row r="339" ht="15.75" hidden="1" customHeight="1">
      <c r="A339" s="13"/>
      <c r="B339" s="13" t="s">
        <v>18</v>
      </c>
      <c r="C339" s="169" t="s">
        <v>389</v>
      </c>
      <c r="D339" s="14" t="s">
        <v>20</v>
      </c>
      <c r="E339" s="15"/>
      <c r="F339" s="16">
        <v>0.0</v>
      </c>
      <c r="G339" s="17">
        <v>5.0</v>
      </c>
      <c r="H339" s="17">
        <f t="shared" si="15"/>
        <v>0</v>
      </c>
      <c r="I339" s="18"/>
      <c r="J339" s="18"/>
      <c r="K339" s="13"/>
      <c r="L339" s="27"/>
      <c r="M339" s="27"/>
      <c r="N339" s="27"/>
      <c r="O339" s="27"/>
      <c r="P339" s="27"/>
      <c r="Q339" s="35"/>
      <c r="R339" s="35"/>
      <c r="S339" s="35"/>
      <c r="T339" s="1"/>
      <c r="U339" s="1"/>
      <c r="V339" s="1"/>
    </row>
    <row r="340" ht="15.75" customHeight="1">
      <c r="A340" s="13"/>
      <c r="B340" s="43" t="s">
        <v>234</v>
      </c>
      <c r="C340" s="169" t="s">
        <v>305</v>
      </c>
      <c r="D340" s="101" t="s">
        <v>32</v>
      </c>
      <c r="E340" s="154" t="s">
        <v>419</v>
      </c>
      <c r="F340" s="40">
        <v>2.0</v>
      </c>
      <c r="G340" s="34">
        <v>451.4</v>
      </c>
      <c r="H340" s="17">
        <f t="shared" si="15"/>
        <v>902.8</v>
      </c>
      <c r="I340" s="18"/>
      <c r="J340" s="18"/>
      <c r="K340" s="13"/>
      <c r="L340" s="13"/>
      <c r="M340" s="13"/>
      <c r="N340" s="13"/>
      <c r="O340" s="13"/>
      <c r="P340" s="13"/>
      <c r="Q340" s="35"/>
      <c r="R340" s="35"/>
      <c r="S340" s="35"/>
      <c r="T340" s="1"/>
      <c r="U340" s="1"/>
      <c r="V340" s="1"/>
    </row>
    <row r="341" ht="15.75" customHeight="1">
      <c r="A341" s="13"/>
      <c r="B341" s="43" t="s">
        <v>217</v>
      </c>
      <c r="C341" s="169" t="s">
        <v>307</v>
      </c>
      <c r="D341" s="101" t="s">
        <v>32</v>
      </c>
      <c r="E341" s="154">
        <v>82570.0</v>
      </c>
      <c r="F341" s="40">
        <v>1.0</v>
      </c>
      <c r="G341" s="34">
        <v>387.84</v>
      </c>
      <c r="H341" s="17">
        <f t="shared" si="15"/>
        <v>387.84</v>
      </c>
      <c r="I341" s="18"/>
      <c r="J341" s="18"/>
      <c r="K341" s="43"/>
      <c r="L341" s="27"/>
      <c r="M341" s="28"/>
      <c r="N341" s="27"/>
      <c r="O341" s="27"/>
      <c r="P341" s="27"/>
      <c r="Q341" s="35"/>
      <c r="R341" s="35"/>
      <c r="S341" s="35"/>
      <c r="T341" s="1"/>
      <c r="U341" s="1"/>
      <c r="V341" s="1"/>
    </row>
    <row r="342" ht="15.75" customHeight="1">
      <c r="A342" s="13"/>
      <c r="B342" s="43" t="s">
        <v>217</v>
      </c>
      <c r="C342" s="169" t="s">
        <v>308</v>
      </c>
      <c r="D342" s="101" t="s">
        <v>32</v>
      </c>
      <c r="E342" s="154">
        <v>82572.0</v>
      </c>
      <c r="F342" s="16">
        <v>1.0</v>
      </c>
      <c r="G342" s="34">
        <v>1014.55</v>
      </c>
      <c r="H342" s="17">
        <f t="shared" si="15"/>
        <v>1014.55</v>
      </c>
      <c r="I342" s="18"/>
      <c r="J342" s="18"/>
      <c r="K342" s="43"/>
      <c r="L342" s="27"/>
      <c r="M342" s="28"/>
      <c r="N342" s="27"/>
      <c r="O342" s="28"/>
      <c r="P342" s="28"/>
      <c r="Q342" s="35"/>
      <c r="R342" s="35"/>
      <c r="S342" s="35"/>
      <c r="T342" s="1"/>
      <c r="U342" s="1"/>
      <c r="V342" s="1"/>
    </row>
    <row r="343" ht="15.75" hidden="1" customHeight="1">
      <c r="A343" s="130"/>
      <c r="B343" s="130" t="s">
        <v>18</v>
      </c>
      <c r="C343" s="175" t="s">
        <v>309</v>
      </c>
      <c r="D343" s="176" t="s">
        <v>20</v>
      </c>
      <c r="E343" s="177" t="s">
        <v>310</v>
      </c>
      <c r="F343" s="178">
        <v>0.0</v>
      </c>
      <c r="G343" s="179">
        <v>15.0</v>
      </c>
      <c r="H343" s="179">
        <f t="shared" si="15"/>
        <v>0</v>
      </c>
      <c r="I343" s="180"/>
      <c r="J343" s="180"/>
      <c r="K343" s="130"/>
      <c r="L343" s="130"/>
      <c r="M343" s="181"/>
      <c r="N343" s="130"/>
      <c r="O343" s="181"/>
      <c r="P343" s="181"/>
      <c r="Q343" s="182"/>
      <c r="R343" s="182"/>
      <c r="S343" s="182"/>
      <c r="T343" s="182"/>
      <c r="U343" s="182"/>
      <c r="V343" s="182"/>
    </row>
    <row r="344" ht="15.75" hidden="1" customHeight="1">
      <c r="A344" s="130"/>
      <c r="B344" s="130" t="s">
        <v>18</v>
      </c>
      <c r="C344" s="175" t="s">
        <v>311</v>
      </c>
      <c r="D344" s="176" t="s">
        <v>20</v>
      </c>
      <c r="E344" s="177" t="s">
        <v>312</v>
      </c>
      <c r="F344" s="178">
        <v>0.0</v>
      </c>
      <c r="G344" s="179">
        <v>15.0</v>
      </c>
      <c r="H344" s="179">
        <f t="shared" si="15"/>
        <v>0</v>
      </c>
      <c r="I344" s="180"/>
      <c r="J344" s="180"/>
      <c r="K344" s="130"/>
      <c r="L344" s="130"/>
      <c r="M344" s="181"/>
      <c r="N344" s="130"/>
      <c r="O344" s="181"/>
      <c r="P344" s="181"/>
      <c r="Q344" s="182"/>
      <c r="R344" s="182"/>
      <c r="S344" s="182"/>
      <c r="T344" s="182"/>
      <c r="U344" s="182"/>
      <c r="V344" s="182"/>
    </row>
    <row r="345" ht="15.75" hidden="1" customHeight="1">
      <c r="A345" s="130"/>
      <c r="B345" s="130" t="s">
        <v>18</v>
      </c>
      <c r="C345" s="175" t="s">
        <v>313</v>
      </c>
      <c r="D345" s="176" t="s">
        <v>20</v>
      </c>
      <c r="E345" s="177" t="s">
        <v>314</v>
      </c>
      <c r="F345" s="178">
        <v>0.0</v>
      </c>
      <c r="G345" s="179">
        <v>1.6</v>
      </c>
      <c r="H345" s="179">
        <f t="shared" si="15"/>
        <v>0</v>
      </c>
      <c r="I345" s="180"/>
      <c r="J345" s="180"/>
      <c r="K345" s="130"/>
      <c r="L345" s="130"/>
      <c r="M345" s="181"/>
      <c r="N345" s="130"/>
      <c r="O345" s="181"/>
      <c r="P345" s="181"/>
      <c r="Q345" s="182"/>
      <c r="R345" s="182"/>
      <c r="S345" s="182"/>
      <c r="T345" s="182"/>
      <c r="U345" s="182"/>
      <c r="V345" s="182"/>
    </row>
    <row r="346" ht="15.75" hidden="1" customHeight="1">
      <c r="A346" s="13"/>
      <c r="B346" s="13"/>
      <c r="C346" s="169" t="s">
        <v>59</v>
      </c>
      <c r="D346" s="101" t="s">
        <v>32</v>
      </c>
      <c r="E346" s="15" t="s">
        <v>60</v>
      </c>
      <c r="F346" s="16">
        <v>0.0</v>
      </c>
      <c r="G346" s="17">
        <v>0.0</v>
      </c>
      <c r="H346" s="17">
        <f t="shared" si="15"/>
        <v>0</v>
      </c>
      <c r="I346" s="18"/>
      <c r="J346" s="18"/>
      <c r="K346" s="13"/>
      <c r="L346" s="27"/>
      <c r="M346" s="28"/>
      <c r="N346" s="27"/>
      <c r="O346" s="28"/>
      <c r="P346" s="28"/>
      <c r="Q346" s="35"/>
      <c r="R346" s="35"/>
      <c r="S346" s="35"/>
      <c r="T346" s="1"/>
      <c r="U346" s="1"/>
      <c r="V346" s="1"/>
    </row>
    <row r="347" ht="15.75" customHeight="1">
      <c r="A347" s="13"/>
      <c r="B347" s="220" t="s">
        <v>234</v>
      </c>
      <c r="C347" s="195" t="s">
        <v>259</v>
      </c>
      <c r="D347" s="101" t="s">
        <v>32</v>
      </c>
      <c r="E347" s="154">
        <v>506.0</v>
      </c>
      <c r="F347" s="40">
        <v>1.0</v>
      </c>
      <c r="G347" s="34">
        <v>238.0</v>
      </c>
      <c r="H347" s="17">
        <f t="shared" si="15"/>
        <v>238</v>
      </c>
      <c r="I347" s="18"/>
      <c r="J347" s="18"/>
      <c r="K347" s="13"/>
      <c r="L347" s="27"/>
      <c r="M347" s="28"/>
      <c r="N347" s="27"/>
      <c r="O347" s="28"/>
      <c r="P347" s="28"/>
      <c r="Q347" s="35"/>
      <c r="R347" s="35"/>
      <c r="S347" s="35"/>
      <c r="T347" s="1"/>
      <c r="U347" s="1"/>
      <c r="V347" s="1"/>
    </row>
    <row r="348" ht="15.75" hidden="1" customHeight="1">
      <c r="A348" s="13"/>
      <c r="B348" s="18" t="s">
        <v>18</v>
      </c>
      <c r="C348" s="169" t="s">
        <v>315</v>
      </c>
      <c r="D348" s="14" t="s">
        <v>20</v>
      </c>
      <c r="E348" s="33" t="s">
        <v>420</v>
      </c>
      <c r="F348" s="40">
        <v>0.0</v>
      </c>
      <c r="G348" s="17">
        <v>40.0</v>
      </c>
      <c r="H348" s="17">
        <f t="shared" si="15"/>
        <v>0</v>
      </c>
      <c r="I348" s="18"/>
      <c r="J348" s="18"/>
      <c r="K348" s="13"/>
      <c r="L348" s="27"/>
      <c r="M348" s="28"/>
      <c r="N348" s="27"/>
      <c r="O348" s="28"/>
      <c r="P348" s="28"/>
      <c r="Q348" s="35"/>
      <c r="R348" s="35"/>
      <c r="S348" s="35"/>
      <c r="T348" s="1"/>
      <c r="U348" s="1"/>
      <c r="V348" s="1"/>
    </row>
    <row r="349" ht="15.75" hidden="1" customHeight="1">
      <c r="A349" s="13"/>
      <c r="B349" s="166"/>
      <c r="C349" s="188" t="s">
        <v>259</v>
      </c>
      <c r="D349" s="167" t="s">
        <v>32</v>
      </c>
      <c r="E349" s="219"/>
      <c r="F349" s="190">
        <v>0.0</v>
      </c>
      <c r="G349" s="192">
        <v>0.0</v>
      </c>
      <c r="H349" s="192">
        <f t="shared" si="15"/>
        <v>0</v>
      </c>
      <c r="I349" s="193"/>
      <c r="J349" s="18"/>
      <c r="K349" s="13"/>
      <c r="L349" s="27"/>
      <c r="M349" s="28"/>
      <c r="N349" s="27"/>
      <c r="O349" s="27"/>
      <c r="P349" s="27"/>
      <c r="Q349" s="35"/>
      <c r="R349" s="35"/>
      <c r="S349" s="35"/>
      <c r="T349" s="1"/>
      <c r="U349" s="1"/>
      <c r="V349" s="1"/>
    </row>
    <row r="350" ht="15.75" hidden="1" customHeight="1">
      <c r="A350" s="13"/>
      <c r="B350" s="166" t="s">
        <v>397</v>
      </c>
      <c r="C350" s="188" t="s">
        <v>318</v>
      </c>
      <c r="D350" s="167" t="s">
        <v>32</v>
      </c>
      <c r="E350" s="219" t="s">
        <v>398</v>
      </c>
      <c r="F350" s="190">
        <v>0.0</v>
      </c>
      <c r="G350" s="192">
        <v>354.0</v>
      </c>
      <c r="H350" s="192">
        <f t="shared" si="15"/>
        <v>0</v>
      </c>
      <c r="I350" s="193"/>
      <c r="J350" s="18"/>
      <c r="K350" s="13"/>
      <c r="L350" s="13"/>
      <c r="M350" s="13"/>
      <c r="N350" s="13"/>
      <c r="O350" s="13"/>
      <c r="P350" s="13"/>
      <c r="Q350" s="35"/>
      <c r="R350" s="35"/>
      <c r="S350" s="35"/>
      <c r="T350" s="1"/>
      <c r="U350" s="1"/>
      <c r="V350" s="1"/>
    </row>
    <row r="351" ht="15.75" hidden="1" customHeight="1">
      <c r="A351" s="13"/>
      <c r="B351" s="13" t="s">
        <v>320</v>
      </c>
      <c r="C351" s="169" t="s">
        <v>321</v>
      </c>
      <c r="D351" s="66" t="s">
        <v>22</v>
      </c>
      <c r="E351" s="15"/>
      <c r="F351" s="16">
        <v>0.0</v>
      </c>
      <c r="G351" s="17">
        <v>10.0</v>
      </c>
      <c r="H351" s="17">
        <f t="shared" si="15"/>
        <v>0</v>
      </c>
      <c r="I351" s="18"/>
      <c r="J351" s="18"/>
      <c r="K351" s="13"/>
      <c r="L351" s="13"/>
      <c r="M351" s="19"/>
      <c r="N351" s="13"/>
      <c r="O351" s="13"/>
      <c r="P351" s="13"/>
      <c r="Q351" s="35"/>
      <c r="R351" s="35"/>
      <c r="S351" s="35"/>
      <c r="T351" s="1"/>
      <c r="U351" s="1"/>
      <c r="V351" s="1"/>
    </row>
    <row r="352" ht="15.75" customHeight="1">
      <c r="A352" s="13"/>
      <c r="B352" s="13" t="s">
        <v>239</v>
      </c>
      <c r="C352" s="195" t="s">
        <v>322</v>
      </c>
      <c r="D352" s="14" t="s">
        <v>20</v>
      </c>
      <c r="E352" s="15"/>
      <c r="F352" s="16">
        <v>1.0</v>
      </c>
      <c r="G352" s="34">
        <v>877.0</v>
      </c>
      <c r="H352" s="17">
        <f t="shared" si="15"/>
        <v>877</v>
      </c>
      <c r="I352" s="18"/>
      <c r="J352" s="18"/>
      <c r="K352" s="13"/>
      <c r="L352" s="13"/>
      <c r="M352" s="19"/>
      <c r="N352" s="13"/>
      <c r="O352" s="19"/>
      <c r="P352" s="19"/>
      <c r="Q352" s="35"/>
      <c r="R352" s="35"/>
      <c r="S352" s="35"/>
      <c r="T352" s="1"/>
      <c r="U352" s="1"/>
      <c r="V352" s="1"/>
    </row>
    <row r="353" ht="15.75" customHeight="1">
      <c r="A353" s="13"/>
      <c r="B353" s="13"/>
      <c r="C353" s="169" t="s">
        <v>323</v>
      </c>
      <c r="D353" s="70" t="s">
        <v>24</v>
      </c>
      <c r="E353" s="15"/>
      <c r="F353" s="16">
        <v>1.0</v>
      </c>
      <c r="G353" s="17">
        <v>80.0</v>
      </c>
      <c r="H353" s="17">
        <f t="shared" si="15"/>
        <v>80</v>
      </c>
      <c r="I353" s="18"/>
      <c r="J353" s="18"/>
      <c r="K353" s="13"/>
      <c r="L353" s="63"/>
      <c r="M353" s="63"/>
      <c r="N353" s="63"/>
      <c r="O353" s="63"/>
      <c r="P353" s="63"/>
      <c r="Q353" s="35"/>
      <c r="R353" s="35"/>
      <c r="S353" s="35"/>
      <c r="T353" s="1"/>
      <c r="U353" s="1"/>
      <c r="V353" s="1"/>
    </row>
    <row r="354" ht="15.75" customHeight="1">
      <c r="A354" s="13"/>
      <c r="B354" s="13"/>
      <c r="C354" s="169" t="s">
        <v>324</v>
      </c>
      <c r="D354" s="14" t="s">
        <v>20</v>
      </c>
      <c r="E354" s="15"/>
      <c r="F354" s="16">
        <v>1.0</v>
      </c>
      <c r="G354" s="17">
        <v>35.0</v>
      </c>
      <c r="H354" s="17">
        <f t="shared" si="15"/>
        <v>35</v>
      </c>
      <c r="I354" s="18"/>
      <c r="J354" s="18"/>
      <c r="K354" s="13"/>
      <c r="L354" s="13"/>
      <c r="M354" s="19"/>
      <c r="N354" s="13"/>
      <c r="O354" s="19"/>
      <c r="P354" s="19"/>
      <c r="Q354" s="35"/>
      <c r="R354" s="35"/>
      <c r="S354" s="35"/>
      <c r="T354" s="1"/>
      <c r="U354" s="1"/>
      <c r="V354" s="1"/>
    </row>
    <row r="355" ht="15.75" hidden="1" customHeight="1">
      <c r="A355" s="13"/>
      <c r="B355" s="13"/>
      <c r="C355" s="169" t="s">
        <v>258</v>
      </c>
      <c r="D355" s="66" t="s">
        <v>22</v>
      </c>
      <c r="E355" s="15"/>
      <c r="F355" s="16">
        <v>0.0</v>
      </c>
      <c r="G355" s="17">
        <v>150.0</v>
      </c>
      <c r="H355" s="17">
        <f t="shared" si="15"/>
        <v>0</v>
      </c>
      <c r="I355" s="18"/>
      <c r="J355" s="18"/>
      <c r="K355" s="13"/>
      <c r="L355" s="13"/>
      <c r="M355" s="19"/>
      <c r="N355" s="13"/>
      <c r="O355" s="19"/>
      <c r="P355" s="19"/>
      <c r="Q355" s="35"/>
      <c r="R355" s="35"/>
      <c r="S355" s="35"/>
      <c r="T355" s="1"/>
      <c r="U355" s="1"/>
      <c r="V355" s="1"/>
    </row>
    <row r="356" ht="15.75" customHeight="1">
      <c r="A356" s="13"/>
      <c r="B356" s="43" t="s">
        <v>18</v>
      </c>
      <c r="C356" s="196" t="s">
        <v>421</v>
      </c>
      <c r="D356" s="150" t="s">
        <v>22</v>
      </c>
      <c r="E356" s="229" t="s">
        <v>422</v>
      </c>
      <c r="F356" s="215">
        <v>2.0</v>
      </c>
      <c r="G356" s="49">
        <v>72.0</v>
      </c>
      <c r="H356" s="50">
        <f t="shared" si="15"/>
        <v>144</v>
      </c>
      <c r="I356" s="18"/>
      <c r="J356" s="18"/>
      <c r="K356" s="13"/>
      <c r="L356" s="13"/>
      <c r="M356" s="13"/>
      <c r="N356" s="13"/>
      <c r="O356" s="19"/>
      <c r="P356" s="19"/>
      <c r="Q356" s="35"/>
      <c r="R356" s="35"/>
      <c r="S356" s="35"/>
      <c r="T356" s="1"/>
      <c r="U356" s="1"/>
      <c r="V356" s="1"/>
    </row>
    <row r="357" ht="15.75" hidden="1" customHeight="1">
      <c r="A357" s="13"/>
      <c r="B357" s="13" t="s">
        <v>18</v>
      </c>
      <c r="C357" s="196" t="s">
        <v>325</v>
      </c>
      <c r="D357" s="150" t="s">
        <v>22</v>
      </c>
      <c r="E357" s="199" t="s">
        <v>423</v>
      </c>
      <c r="F357" s="215">
        <v>0.0</v>
      </c>
      <c r="G357" s="50">
        <v>150.0</v>
      </c>
      <c r="H357" s="50">
        <f t="shared" si="15"/>
        <v>0</v>
      </c>
      <c r="I357" s="18"/>
      <c r="J357" s="18"/>
      <c r="K357" s="13"/>
      <c r="L357" s="13"/>
      <c r="M357" s="13"/>
      <c r="N357" s="13"/>
      <c r="O357" s="19"/>
      <c r="P357" s="19"/>
      <c r="Q357" s="35"/>
      <c r="R357" s="35"/>
      <c r="S357" s="35"/>
      <c r="T357" s="1"/>
      <c r="U357" s="1"/>
      <c r="V357" s="1"/>
    </row>
    <row r="358" ht="15.75" hidden="1" customHeight="1">
      <c r="A358" s="15"/>
      <c r="B358" s="52" t="s">
        <v>18</v>
      </c>
      <c r="C358" s="196" t="s">
        <v>329</v>
      </c>
      <c r="D358" s="150" t="s">
        <v>22</v>
      </c>
      <c r="E358" s="199" t="s">
        <v>330</v>
      </c>
      <c r="F358" s="215">
        <v>0.0</v>
      </c>
      <c r="G358" s="49">
        <v>25.2</v>
      </c>
      <c r="H358" s="50">
        <f t="shared" si="15"/>
        <v>0</v>
      </c>
      <c r="I358" s="51"/>
      <c r="J358" s="51"/>
      <c r="K358" s="52"/>
      <c r="L358" s="52"/>
      <c r="M358" s="52"/>
      <c r="N358" s="52"/>
      <c r="O358" s="200"/>
      <c r="P358" s="200"/>
      <c r="Q358" s="1"/>
      <c r="R358" s="1"/>
      <c r="S358" s="1"/>
      <c r="T358" s="1"/>
      <c r="U358" s="1"/>
      <c r="V358" s="1"/>
    </row>
    <row r="359" ht="15.75" hidden="1" customHeight="1">
      <c r="A359" s="53"/>
      <c r="B359" s="54" t="s">
        <v>18</v>
      </c>
      <c r="C359" s="197" t="s">
        <v>331</v>
      </c>
      <c r="D359" s="198" t="s">
        <v>22</v>
      </c>
      <c r="E359" s="201" t="s">
        <v>332</v>
      </c>
      <c r="F359" s="158">
        <v>0.0</v>
      </c>
      <c r="G359" s="159">
        <v>48.0</v>
      </c>
      <c r="H359" s="57">
        <f t="shared" si="15"/>
        <v>0</v>
      </c>
      <c r="I359" s="58"/>
      <c r="J359" s="58"/>
      <c r="K359" s="54"/>
      <c r="L359" s="54"/>
      <c r="M359" s="54"/>
      <c r="N359" s="54"/>
      <c r="O359" s="202"/>
      <c r="P359" s="202"/>
      <c r="Q359" s="1"/>
      <c r="R359" s="1"/>
      <c r="S359" s="1"/>
      <c r="T359" s="1"/>
      <c r="U359" s="1"/>
      <c r="V359" s="1"/>
    </row>
    <row r="360" ht="15.75" hidden="1" customHeight="1">
      <c r="A360" s="53"/>
      <c r="B360" s="54" t="s">
        <v>18</v>
      </c>
      <c r="C360" s="203" t="s">
        <v>333</v>
      </c>
      <c r="D360" s="198" t="s">
        <v>22</v>
      </c>
      <c r="E360" s="204" t="s">
        <v>334</v>
      </c>
      <c r="F360" s="158">
        <v>0.0</v>
      </c>
      <c r="G360" s="159">
        <v>46.8</v>
      </c>
      <c r="H360" s="57">
        <f t="shared" si="15"/>
        <v>0</v>
      </c>
      <c r="I360" s="58"/>
      <c r="J360" s="58"/>
      <c r="K360" s="54"/>
      <c r="L360" s="54"/>
      <c r="M360" s="54"/>
      <c r="N360" s="54"/>
      <c r="O360" s="202"/>
      <c r="P360" s="202"/>
      <c r="Q360" s="1"/>
      <c r="R360" s="1"/>
      <c r="S360" s="1"/>
      <c r="T360" s="1"/>
      <c r="U360" s="1"/>
      <c r="V360" s="1"/>
    </row>
    <row r="361" ht="15.75" hidden="1" customHeight="1">
      <c r="A361" s="53"/>
      <c r="B361" s="52" t="s">
        <v>18</v>
      </c>
      <c r="C361" s="196" t="s">
        <v>335</v>
      </c>
      <c r="D361" s="150" t="s">
        <v>22</v>
      </c>
      <c r="E361" s="44"/>
      <c r="F361" s="48">
        <v>0.0</v>
      </c>
      <c r="G361" s="50">
        <v>29.69</v>
      </c>
      <c r="H361" s="50">
        <f t="shared" si="15"/>
        <v>0</v>
      </c>
      <c r="I361" s="58"/>
      <c r="J361" s="58"/>
      <c r="K361" s="54"/>
      <c r="L361" s="54"/>
      <c r="M361" s="54"/>
      <c r="N361" s="54"/>
      <c r="O361" s="202"/>
      <c r="P361" s="202"/>
      <c r="Q361" s="1"/>
      <c r="R361" s="1"/>
      <c r="S361" s="1"/>
      <c r="T361" s="1"/>
      <c r="U361" s="1"/>
      <c r="V361" s="1"/>
    </row>
    <row r="362" ht="15.75" hidden="1" customHeight="1">
      <c r="A362" s="15"/>
      <c r="B362" s="54" t="s">
        <v>18</v>
      </c>
      <c r="C362" s="197" t="s">
        <v>336</v>
      </c>
      <c r="D362" s="198" t="s">
        <v>22</v>
      </c>
      <c r="E362" s="54" t="s">
        <v>337</v>
      </c>
      <c r="F362" s="56">
        <v>0.0</v>
      </c>
      <c r="G362" s="57">
        <v>29.99</v>
      </c>
      <c r="H362" s="57">
        <f t="shared" si="15"/>
        <v>0</v>
      </c>
      <c r="I362" s="51"/>
      <c r="J362" s="51"/>
      <c r="K362" s="52"/>
      <c r="L362" s="52"/>
      <c r="M362" s="52"/>
      <c r="N362" s="52"/>
      <c r="O362" s="200"/>
      <c r="P362" s="200"/>
      <c r="Q362" s="1"/>
      <c r="R362" s="1"/>
      <c r="S362" s="1"/>
      <c r="T362" s="1"/>
      <c r="U362" s="1"/>
      <c r="V362" s="1"/>
    </row>
    <row r="363" ht="15.75" hidden="1" customHeight="1">
      <c r="A363" s="53"/>
      <c r="B363" s="54" t="s">
        <v>18</v>
      </c>
      <c r="C363" s="203" t="s">
        <v>338</v>
      </c>
      <c r="D363" s="198" t="s">
        <v>22</v>
      </c>
      <c r="E363" s="54" t="s">
        <v>339</v>
      </c>
      <c r="F363" s="56">
        <v>0.0</v>
      </c>
      <c r="G363" s="57">
        <v>16.69</v>
      </c>
      <c r="H363" s="57">
        <f t="shared" si="15"/>
        <v>0</v>
      </c>
      <c r="I363" s="58"/>
      <c r="J363" s="58"/>
      <c r="K363" s="54"/>
      <c r="L363" s="54"/>
      <c r="M363" s="54"/>
      <c r="N363" s="54"/>
      <c r="O363" s="202"/>
      <c r="P363" s="202"/>
      <c r="Q363" s="1"/>
      <c r="R363" s="1"/>
      <c r="S363" s="1"/>
      <c r="T363" s="1"/>
      <c r="U363" s="1"/>
      <c r="V363" s="1"/>
    </row>
    <row r="364" ht="15.75" customHeight="1">
      <c r="A364" s="53"/>
      <c r="B364" s="52" t="s">
        <v>18</v>
      </c>
      <c r="C364" s="196" t="s">
        <v>340</v>
      </c>
      <c r="D364" s="150" t="s">
        <v>22</v>
      </c>
      <c r="E364" s="199" t="s">
        <v>330</v>
      </c>
      <c r="F364" s="215">
        <v>4.0</v>
      </c>
      <c r="G364" s="49">
        <v>24.33</v>
      </c>
      <c r="H364" s="50">
        <f t="shared" si="15"/>
        <v>97.32</v>
      </c>
      <c r="I364" s="58"/>
      <c r="J364" s="58"/>
      <c r="K364" s="54"/>
      <c r="L364" s="54"/>
      <c r="M364" s="54"/>
      <c r="N364" s="54"/>
      <c r="O364" s="202"/>
      <c r="P364" s="202"/>
      <c r="Q364" s="1"/>
      <c r="R364" s="1"/>
      <c r="S364" s="1"/>
      <c r="T364" s="1"/>
      <c r="U364" s="1"/>
      <c r="V364" s="1"/>
    </row>
    <row r="365" ht="15.75" customHeight="1">
      <c r="A365" s="53"/>
      <c r="B365" s="54" t="s">
        <v>18</v>
      </c>
      <c r="C365" s="197" t="s">
        <v>341</v>
      </c>
      <c r="D365" s="198" t="s">
        <v>22</v>
      </c>
      <c r="E365" s="230" t="s">
        <v>424</v>
      </c>
      <c r="F365" s="158">
        <v>2.0</v>
      </c>
      <c r="G365" s="159">
        <v>33.6</v>
      </c>
      <c r="H365" s="57">
        <f t="shared" si="15"/>
        <v>67.2</v>
      </c>
      <c r="I365" s="58"/>
      <c r="J365" s="58"/>
      <c r="K365" s="54"/>
      <c r="L365" s="54"/>
      <c r="M365" s="54"/>
      <c r="N365" s="54"/>
      <c r="O365" s="202"/>
      <c r="P365" s="202"/>
      <c r="Q365" s="1"/>
      <c r="R365" s="1"/>
      <c r="S365" s="1"/>
      <c r="T365" s="1"/>
      <c r="U365" s="1"/>
      <c r="V365" s="1"/>
    </row>
    <row r="366" ht="15.75" customHeight="1">
      <c r="A366" s="15"/>
      <c r="B366" s="54" t="s">
        <v>18</v>
      </c>
      <c r="C366" s="197" t="s">
        <v>342</v>
      </c>
      <c r="D366" s="198" t="s">
        <v>22</v>
      </c>
      <c r="E366" s="230" t="s">
        <v>962</v>
      </c>
      <c r="F366" s="158">
        <v>2.0</v>
      </c>
      <c r="G366" s="159">
        <v>39.6</v>
      </c>
      <c r="H366" s="57">
        <f t="shared" si="15"/>
        <v>79.2</v>
      </c>
      <c r="I366" s="51"/>
      <c r="J366" s="51"/>
      <c r="K366" s="52"/>
      <c r="L366" s="52"/>
      <c r="M366" s="52"/>
      <c r="N366" s="52"/>
      <c r="O366" s="200"/>
      <c r="P366" s="200"/>
      <c r="Q366" s="1"/>
      <c r="R366" s="1"/>
      <c r="S366" s="1"/>
      <c r="T366" s="1"/>
      <c r="U366" s="1"/>
      <c r="V366" s="1"/>
    </row>
    <row r="367" ht="15.75" hidden="1" customHeight="1">
      <c r="A367" s="53"/>
      <c r="B367" s="54" t="s">
        <v>18</v>
      </c>
      <c r="C367" s="197" t="s">
        <v>344</v>
      </c>
      <c r="D367" s="198" t="s">
        <v>22</v>
      </c>
      <c r="E367" s="205" t="s">
        <v>345</v>
      </c>
      <c r="F367" s="158">
        <v>0.0</v>
      </c>
      <c r="G367" s="57">
        <v>19.0</v>
      </c>
      <c r="H367" s="57">
        <f t="shared" si="15"/>
        <v>0</v>
      </c>
      <c r="I367" s="58"/>
      <c r="J367" s="58"/>
      <c r="K367" s="54"/>
      <c r="L367" s="54"/>
      <c r="M367" s="54"/>
      <c r="N367" s="54"/>
      <c r="O367" s="202"/>
      <c r="P367" s="202"/>
      <c r="Q367" s="1"/>
      <c r="R367" s="1"/>
      <c r="S367" s="1"/>
      <c r="T367" s="1"/>
      <c r="U367" s="1"/>
      <c r="V367" s="1"/>
    </row>
    <row r="368" ht="15.75" hidden="1" customHeight="1">
      <c r="A368" s="53"/>
      <c r="B368" s="206" t="s">
        <v>18</v>
      </c>
      <c r="C368" s="197" t="s">
        <v>346</v>
      </c>
      <c r="D368" s="198" t="s">
        <v>22</v>
      </c>
      <c r="E368" s="205" t="s">
        <v>347</v>
      </c>
      <c r="F368" s="158">
        <v>0.0</v>
      </c>
      <c r="G368" s="57">
        <v>35.0</v>
      </c>
      <c r="H368" s="57">
        <f t="shared" si="15"/>
        <v>0</v>
      </c>
      <c r="I368" s="58"/>
      <c r="J368" s="58"/>
      <c r="K368" s="54"/>
      <c r="L368" s="54"/>
      <c r="M368" s="54"/>
      <c r="N368" s="54"/>
      <c r="O368" s="202"/>
      <c r="P368" s="202"/>
      <c r="Q368" s="1"/>
      <c r="R368" s="1"/>
      <c r="S368" s="1"/>
      <c r="T368" s="1"/>
      <c r="U368" s="1"/>
      <c r="V368" s="1"/>
    </row>
    <row r="369" ht="15.75" hidden="1" customHeight="1">
      <c r="A369" s="53"/>
      <c r="B369" s="13" t="s">
        <v>18</v>
      </c>
      <c r="C369" s="196" t="s">
        <v>348</v>
      </c>
      <c r="D369" s="150" t="s">
        <v>22</v>
      </c>
      <c r="E369" s="199" t="s">
        <v>349</v>
      </c>
      <c r="F369" s="215">
        <v>0.0</v>
      </c>
      <c r="G369" s="49">
        <v>24.0</v>
      </c>
      <c r="H369" s="50">
        <f t="shared" si="15"/>
        <v>0</v>
      </c>
      <c r="I369" s="58"/>
      <c r="J369" s="58"/>
      <c r="K369" s="54"/>
      <c r="L369" s="54"/>
      <c r="M369" s="54"/>
      <c r="N369" s="54"/>
      <c r="O369" s="202"/>
      <c r="P369" s="202"/>
      <c r="Q369" s="1"/>
      <c r="R369" s="1"/>
      <c r="S369" s="1"/>
      <c r="T369" s="1"/>
      <c r="U369" s="1"/>
      <c r="V369" s="1"/>
    </row>
    <row r="370" ht="15.75" hidden="1" customHeight="1">
      <c r="A370" s="13"/>
      <c r="B370" s="13" t="s">
        <v>350</v>
      </c>
      <c r="C370" s="196" t="s">
        <v>351</v>
      </c>
      <c r="D370" s="150" t="s">
        <v>22</v>
      </c>
      <c r="E370" s="207" t="s">
        <v>352</v>
      </c>
      <c r="F370" s="215">
        <v>0.0</v>
      </c>
      <c r="G370" s="49">
        <v>420.0</v>
      </c>
      <c r="H370" s="50">
        <f t="shared" si="15"/>
        <v>0</v>
      </c>
      <c r="I370" s="18"/>
      <c r="J370" s="18"/>
      <c r="K370" s="13"/>
      <c r="L370" s="13"/>
      <c r="M370" s="13"/>
      <c r="N370" s="13"/>
      <c r="O370" s="19"/>
      <c r="P370" s="19"/>
      <c r="Q370" s="35"/>
      <c r="R370" s="35"/>
      <c r="S370" s="35"/>
      <c r="T370" s="1"/>
      <c r="U370" s="1"/>
      <c r="V370" s="1"/>
    </row>
    <row r="371" ht="15.75" hidden="1" customHeight="1">
      <c r="A371" s="53"/>
      <c r="B371" s="206" t="s">
        <v>350</v>
      </c>
      <c r="C371" s="197" t="s">
        <v>353</v>
      </c>
      <c r="D371" s="198" t="s">
        <v>22</v>
      </c>
      <c r="E371" s="208" t="s">
        <v>352</v>
      </c>
      <c r="F371" s="158">
        <v>0.0</v>
      </c>
      <c r="G371" s="159">
        <v>172.0</v>
      </c>
      <c r="H371" s="57">
        <f t="shared" si="15"/>
        <v>0</v>
      </c>
      <c r="I371" s="58"/>
      <c r="J371" s="58"/>
      <c r="K371" s="54"/>
      <c r="L371" s="54"/>
      <c r="M371" s="54"/>
      <c r="N371" s="54"/>
      <c r="O371" s="202"/>
      <c r="P371" s="202"/>
      <c r="Q371" s="1"/>
      <c r="R371" s="1"/>
      <c r="S371" s="1"/>
      <c r="T371" s="1"/>
      <c r="U371" s="1"/>
      <c r="V371" s="1"/>
    </row>
    <row r="372" ht="15.75" hidden="1" customHeight="1">
      <c r="A372" s="13"/>
      <c r="B372" s="130" t="s">
        <v>426</v>
      </c>
      <c r="C372" s="197" t="s">
        <v>354</v>
      </c>
      <c r="D372" s="198" t="s">
        <v>22</v>
      </c>
      <c r="E372" s="208" t="s">
        <v>352</v>
      </c>
      <c r="F372" s="56">
        <v>0.0</v>
      </c>
      <c r="G372" s="159">
        <v>97.0</v>
      </c>
      <c r="H372" s="57">
        <f t="shared" si="15"/>
        <v>0</v>
      </c>
      <c r="I372" s="18"/>
      <c r="J372" s="18"/>
      <c r="K372" s="13"/>
      <c r="L372" s="13"/>
      <c r="M372" s="13"/>
      <c r="N372" s="13"/>
      <c r="O372" s="13"/>
      <c r="P372" s="13"/>
      <c r="Q372" s="35"/>
      <c r="R372" s="35"/>
      <c r="S372" s="35"/>
      <c r="T372" s="1"/>
      <c r="U372" s="1"/>
      <c r="V372" s="1"/>
    </row>
    <row r="373" ht="15.75" hidden="1" customHeight="1">
      <c r="A373" s="13"/>
      <c r="B373" s="156" t="s">
        <v>350</v>
      </c>
      <c r="C373" s="197" t="s">
        <v>355</v>
      </c>
      <c r="D373" s="198" t="s">
        <v>22</v>
      </c>
      <c r="E373" s="208" t="s">
        <v>356</v>
      </c>
      <c r="F373" s="56">
        <v>0.0</v>
      </c>
      <c r="G373" s="159">
        <v>366.0</v>
      </c>
      <c r="H373" s="57">
        <f t="shared" si="15"/>
        <v>0</v>
      </c>
      <c r="I373" s="18"/>
      <c r="J373" s="18"/>
      <c r="K373" s="13"/>
      <c r="L373" s="13"/>
      <c r="M373" s="13"/>
      <c r="N373" s="13"/>
      <c r="O373" s="13"/>
      <c r="P373" s="13"/>
      <c r="Q373" s="35"/>
      <c r="R373" s="35"/>
      <c r="S373" s="35"/>
      <c r="T373" s="1"/>
      <c r="U373" s="1"/>
      <c r="V373" s="1"/>
    </row>
    <row r="374" ht="15.75" hidden="1" customHeight="1">
      <c r="A374" s="13"/>
      <c r="B374" s="206" t="s">
        <v>350</v>
      </c>
      <c r="C374" s="197" t="s">
        <v>357</v>
      </c>
      <c r="D374" s="198" t="s">
        <v>22</v>
      </c>
      <c r="E374" s="208" t="s">
        <v>356</v>
      </c>
      <c r="F374" s="56">
        <v>0.0</v>
      </c>
      <c r="G374" s="159">
        <v>107.5</v>
      </c>
      <c r="H374" s="57">
        <f t="shared" si="15"/>
        <v>0</v>
      </c>
      <c r="I374" s="18"/>
      <c r="J374" s="18"/>
      <c r="K374" s="13"/>
      <c r="L374" s="13"/>
      <c r="M374" s="19"/>
      <c r="N374" s="13"/>
      <c r="O374" s="19"/>
      <c r="P374" s="19"/>
      <c r="Q374" s="35"/>
      <c r="R374" s="35"/>
      <c r="S374" s="35"/>
      <c r="T374" s="1"/>
      <c r="U374" s="1"/>
      <c r="V374" s="1"/>
    </row>
    <row r="375" ht="15.75" hidden="1" customHeight="1">
      <c r="A375" s="13"/>
      <c r="B375" s="156" t="s">
        <v>350</v>
      </c>
      <c r="C375" s="197" t="s">
        <v>358</v>
      </c>
      <c r="D375" s="198" t="s">
        <v>22</v>
      </c>
      <c r="E375" s="208" t="s">
        <v>356</v>
      </c>
      <c r="F375" s="56">
        <v>0.0</v>
      </c>
      <c r="G375" s="159">
        <v>97.0</v>
      </c>
      <c r="H375" s="57">
        <f t="shared" si="15"/>
        <v>0</v>
      </c>
      <c r="I375" s="18"/>
      <c r="J375" s="18"/>
      <c r="K375" s="13"/>
      <c r="L375" s="27"/>
      <c r="M375" s="28"/>
      <c r="N375" s="27"/>
      <c r="O375" s="28"/>
      <c r="P375" s="27"/>
      <c r="Q375" s="35"/>
      <c r="R375" s="35"/>
      <c r="S375" s="35"/>
      <c r="T375" s="1"/>
      <c r="U375" s="1"/>
      <c r="V375" s="1"/>
    </row>
    <row r="376" ht="15.75" hidden="1" customHeight="1">
      <c r="A376" s="13"/>
      <c r="B376" s="13" t="s">
        <v>18</v>
      </c>
      <c r="C376" s="196" t="s">
        <v>359</v>
      </c>
      <c r="D376" s="150" t="s">
        <v>22</v>
      </c>
      <c r="E376" s="52" t="s">
        <v>360</v>
      </c>
      <c r="F376" s="48">
        <v>0.0</v>
      </c>
      <c r="G376" s="50">
        <v>18.0</v>
      </c>
      <c r="H376" s="50">
        <f t="shared" si="15"/>
        <v>0</v>
      </c>
      <c r="I376" s="18"/>
      <c r="J376" s="18"/>
      <c r="K376" s="13"/>
      <c r="L376" s="27"/>
      <c r="M376" s="28"/>
      <c r="N376" s="27"/>
      <c r="O376" s="28"/>
      <c r="P376" s="27"/>
      <c r="Q376" s="35"/>
      <c r="R376" s="35"/>
      <c r="S376" s="35"/>
      <c r="T376" s="1"/>
      <c r="U376" s="1"/>
      <c r="V376" s="1"/>
    </row>
    <row r="377" ht="15.75" customHeight="1">
      <c r="A377" s="13"/>
      <c r="B377" s="130" t="s">
        <v>426</v>
      </c>
      <c r="C377" s="232" t="s">
        <v>407</v>
      </c>
      <c r="D377" s="233" t="s">
        <v>22</v>
      </c>
      <c r="E377" s="130"/>
      <c r="F377" s="178">
        <v>2.0</v>
      </c>
      <c r="G377" s="234">
        <v>300.0</v>
      </c>
      <c r="H377" s="179">
        <f t="shared" si="15"/>
        <v>600</v>
      </c>
      <c r="I377" s="18"/>
      <c r="J377" s="18"/>
      <c r="K377" s="13"/>
      <c r="L377" s="27"/>
      <c r="M377" s="28"/>
      <c r="N377" s="27"/>
      <c r="O377" s="28"/>
      <c r="P377" s="27"/>
      <c r="Q377" s="35"/>
      <c r="R377" s="35"/>
      <c r="S377" s="35"/>
      <c r="T377" s="1"/>
      <c r="U377" s="1"/>
      <c r="V377" s="1"/>
    </row>
    <row r="378" ht="15.75" customHeight="1">
      <c r="A378" s="13"/>
      <c r="B378" s="231" t="s">
        <v>350</v>
      </c>
      <c r="C378" s="232" t="s">
        <v>427</v>
      </c>
      <c r="D378" s="233" t="s">
        <v>22</v>
      </c>
      <c r="E378" s="231" t="s">
        <v>428</v>
      </c>
      <c r="F378" s="178">
        <v>2.0</v>
      </c>
      <c r="G378" s="235">
        <v>107.5</v>
      </c>
      <c r="H378" s="179">
        <f t="shared" si="15"/>
        <v>215</v>
      </c>
      <c r="I378" s="18"/>
      <c r="J378" s="18"/>
      <c r="K378" s="13"/>
      <c r="L378" s="27"/>
      <c r="M378" s="28"/>
      <c r="N378" s="27"/>
      <c r="O378" s="28"/>
      <c r="P378" s="27"/>
      <c r="Q378" s="35"/>
      <c r="R378" s="35"/>
      <c r="S378" s="35"/>
      <c r="T378" s="1"/>
      <c r="U378" s="1"/>
      <c r="V378" s="1"/>
    </row>
    <row r="379" ht="15.75" hidden="1" customHeight="1">
      <c r="A379" s="13"/>
      <c r="B379" s="231" t="s">
        <v>350</v>
      </c>
      <c r="C379" s="232" t="s">
        <v>429</v>
      </c>
      <c r="D379" s="233" t="s">
        <v>22</v>
      </c>
      <c r="E379" s="130"/>
      <c r="F379" s="184">
        <v>0.0</v>
      </c>
      <c r="G379" s="235">
        <v>97.0</v>
      </c>
      <c r="H379" s="179">
        <f t="shared" si="15"/>
        <v>0</v>
      </c>
      <c r="I379" s="18"/>
      <c r="J379" s="18"/>
      <c r="K379" s="13"/>
      <c r="L379" s="27"/>
      <c r="M379" s="28"/>
      <c r="N379" s="27"/>
      <c r="O379" s="28"/>
      <c r="P379" s="27"/>
      <c r="Q379" s="35"/>
      <c r="R379" s="35"/>
      <c r="S379" s="35"/>
      <c r="T379" s="1"/>
      <c r="U379" s="1"/>
      <c r="V379" s="1"/>
    </row>
    <row r="380" ht="15.75" customHeight="1">
      <c r="A380" s="13"/>
      <c r="B380" s="130" t="s">
        <v>18</v>
      </c>
      <c r="C380" s="232" t="s">
        <v>409</v>
      </c>
      <c r="D380" s="233" t="s">
        <v>22</v>
      </c>
      <c r="E380" s="236" t="s">
        <v>430</v>
      </c>
      <c r="F380" s="178">
        <v>2.0</v>
      </c>
      <c r="G380" s="235">
        <v>19.2</v>
      </c>
      <c r="H380" s="179">
        <f t="shared" si="15"/>
        <v>38.4</v>
      </c>
      <c r="I380" s="18"/>
      <c r="J380" s="18"/>
      <c r="K380" s="13"/>
      <c r="L380" s="27"/>
      <c r="M380" s="28"/>
      <c r="N380" s="27"/>
      <c r="O380" s="28"/>
      <c r="P380" s="27"/>
      <c r="Q380" s="35"/>
      <c r="R380" s="35"/>
      <c r="S380" s="35"/>
      <c r="T380" s="1"/>
      <c r="U380" s="1"/>
      <c r="V380" s="1"/>
    </row>
    <row r="381" ht="15.75" hidden="1" customHeight="1">
      <c r="A381" s="13"/>
      <c r="B381" s="13" t="s">
        <v>361</v>
      </c>
      <c r="C381" s="169" t="s">
        <v>362</v>
      </c>
      <c r="D381" s="66" t="s">
        <v>22</v>
      </c>
      <c r="E381" s="15" t="s">
        <v>363</v>
      </c>
      <c r="F381" s="40">
        <v>0.0</v>
      </c>
      <c r="G381" s="17">
        <v>11.0</v>
      </c>
      <c r="H381" s="17">
        <f t="shared" si="15"/>
        <v>0</v>
      </c>
      <c r="I381" s="18"/>
      <c r="J381" s="18"/>
      <c r="K381" s="13"/>
      <c r="L381" s="27"/>
      <c r="M381" s="28"/>
      <c r="N381" s="27"/>
      <c r="O381" s="28"/>
      <c r="P381" s="27"/>
      <c r="Q381" s="35"/>
      <c r="R381" s="35"/>
      <c r="S381" s="35"/>
      <c r="T381" s="1"/>
      <c r="U381" s="1"/>
      <c r="V381" s="1"/>
    </row>
    <row r="382" ht="15.75" customHeight="1">
      <c r="A382" s="13"/>
      <c r="B382" s="13" t="s">
        <v>361</v>
      </c>
      <c r="C382" s="169" t="s">
        <v>364</v>
      </c>
      <c r="D382" s="66" t="s">
        <v>22</v>
      </c>
      <c r="E382" s="15" t="s">
        <v>365</v>
      </c>
      <c r="F382" s="40">
        <v>8.0</v>
      </c>
      <c r="G382" s="17">
        <v>6.0</v>
      </c>
      <c r="H382" s="17">
        <f t="shared" si="15"/>
        <v>48</v>
      </c>
      <c r="I382" s="18"/>
      <c r="J382" s="18"/>
      <c r="K382" s="13"/>
      <c r="L382" s="27"/>
      <c r="M382" s="28"/>
      <c r="N382" s="27"/>
      <c r="O382" s="28"/>
      <c r="P382" s="27"/>
      <c r="Q382" s="35"/>
      <c r="R382" s="35"/>
      <c r="S382" s="35"/>
      <c r="T382" s="1"/>
      <c r="U382" s="1"/>
      <c r="V382" s="1"/>
    </row>
    <row r="383" ht="15.75" hidden="1" customHeight="1">
      <c r="A383" s="13"/>
      <c r="B383" s="43" t="s">
        <v>64</v>
      </c>
      <c r="C383" s="169" t="s">
        <v>263</v>
      </c>
      <c r="D383" s="66" t="s">
        <v>22</v>
      </c>
      <c r="E383" s="15"/>
      <c r="F383" s="40">
        <v>0.0</v>
      </c>
      <c r="G383" s="17">
        <v>180.0</v>
      </c>
      <c r="H383" s="17">
        <f t="shared" si="15"/>
        <v>0</v>
      </c>
      <c r="I383" s="18"/>
      <c r="J383" s="18"/>
      <c r="K383" s="13"/>
      <c r="L383" s="27"/>
      <c r="M383" s="28"/>
      <c r="N383" s="27"/>
      <c r="O383" s="28"/>
      <c r="P383" s="27"/>
      <c r="Q383" s="35"/>
      <c r="R383" s="35"/>
      <c r="S383" s="35"/>
      <c r="T383" s="1"/>
      <c r="U383" s="1"/>
      <c r="V383" s="1"/>
    </row>
    <row r="384" ht="15.75" hidden="1" customHeight="1">
      <c r="A384" s="13"/>
      <c r="B384" s="13"/>
      <c r="C384" s="13" t="s">
        <v>67</v>
      </c>
      <c r="D384" s="70" t="s">
        <v>24</v>
      </c>
      <c r="E384" s="15"/>
      <c r="F384" s="40">
        <v>0.0</v>
      </c>
      <c r="G384" s="17">
        <v>18.0</v>
      </c>
      <c r="H384" s="17">
        <f t="shared" si="15"/>
        <v>0</v>
      </c>
      <c r="I384" s="18"/>
      <c r="J384" s="18"/>
      <c r="K384" s="13"/>
      <c r="L384" s="27"/>
      <c r="M384" s="28"/>
      <c r="N384" s="27"/>
      <c r="O384" s="28"/>
      <c r="P384" s="27"/>
      <c r="Q384" s="35"/>
      <c r="R384" s="35"/>
      <c r="S384" s="35"/>
      <c r="T384" s="1"/>
      <c r="U384" s="1"/>
      <c r="V384" s="1"/>
    </row>
    <row r="385" ht="15.75" customHeight="1">
      <c r="A385" s="13"/>
      <c r="B385" s="43" t="s">
        <v>88</v>
      </c>
      <c r="C385" s="195" t="s">
        <v>431</v>
      </c>
      <c r="D385" s="14" t="s">
        <v>20</v>
      </c>
      <c r="E385" s="171" t="s">
        <v>412</v>
      </c>
      <c r="F385" s="16">
        <v>1.0</v>
      </c>
      <c r="G385" s="34">
        <v>334.0</v>
      </c>
      <c r="H385" s="17">
        <f t="shared" si="15"/>
        <v>334</v>
      </c>
      <c r="I385" s="18"/>
      <c r="J385" s="18"/>
      <c r="K385" s="13"/>
      <c r="L385" s="27"/>
      <c r="M385" s="28"/>
      <c r="N385" s="27"/>
      <c r="O385" s="28"/>
      <c r="P385" s="27"/>
      <c r="Q385" s="35"/>
      <c r="R385" s="35"/>
      <c r="S385" s="35"/>
      <c r="T385" s="1"/>
      <c r="U385" s="1"/>
      <c r="V385" s="1"/>
    </row>
    <row r="386" ht="15.75" customHeight="1">
      <c r="A386" s="13"/>
      <c r="B386" s="13" t="s">
        <v>18</v>
      </c>
      <c r="C386" s="169" t="s">
        <v>280</v>
      </c>
      <c r="D386" s="14" t="s">
        <v>20</v>
      </c>
      <c r="E386" s="33" t="s">
        <v>368</v>
      </c>
      <c r="F386" s="16">
        <v>1.0</v>
      </c>
      <c r="G386" s="34">
        <v>20.0</v>
      </c>
      <c r="H386" s="17">
        <f t="shared" si="15"/>
        <v>20</v>
      </c>
      <c r="I386" s="18"/>
      <c r="J386" s="18"/>
      <c r="K386" s="13"/>
      <c r="L386" s="27"/>
      <c r="M386" s="28"/>
      <c r="N386" s="27"/>
      <c r="O386" s="28"/>
      <c r="P386" s="27"/>
      <c r="Q386" s="35"/>
      <c r="R386" s="35"/>
      <c r="S386" s="35"/>
      <c r="T386" s="1"/>
      <c r="U386" s="1"/>
      <c r="V386" s="1"/>
    </row>
    <row r="387" ht="15.75" customHeight="1">
      <c r="A387" s="13"/>
      <c r="B387" s="13"/>
      <c r="C387" s="169" t="s">
        <v>282</v>
      </c>
      <c r="D387" s="70" t="s">
        <v>24</v>
      </c>
      <c r="E387" s="15"/>
      <c r="F387" s="16">
        <v>1.0</v>
      </c>
      <c r="G387" s="17">
        <v>80.0</v>
      </c>
      <c r="H387" s="17">
        <f t="shared" si="15"/>
        <v>80</v>
      </c>
      <c r="I387" s="18"/>
      <c r="J387" s="18"/>
      <c r="K387" s="13"/>
      <c r="L387" s="27"/>
      <c r="M387" s="28"/>
      <c r="N387" s="27"/>
      <c r="O387" s="28"/>
      <c r="P387" s="27"/>
      <c r="Q387" s="35"/>
      <c r="R387" s="35"/>
      <c r="S387" s="35"/>
      <c r="T387" s="1"/>
      <c r="U387" s="1"/>
      <c r="V387" s="1"/>
    </row>
    <row r="388" ht="15.75" hidden="1" customHeight="1">
      <c r="A388" s="13"/>
      <c r="B388" s="13" t="s">
        <v>18</v>
      </c>
      <c r="C388" s="169" t="s">
        <v>283</v>
      </c>
      <c r="D388" s="14" t="s">
        <v>20</v>
      </c>
      <c r="E388" s="15" t="s">
        <v>284</v>
      </c>
      <c r="F388" s="16">
        <v>0.0</v>
      </c>
      <c r="G388" s="17">
        <v>12.0</v>
      </c>
      <c r="H388" s="17">
        <f t="shared" si="15"/>
        <v>0</v>
      </c>
      <c r="I388" s="18"/>
      <c r="J388" s="18"/>
      <c r="K388" s="13"/>
      <c r="L388" s="95"/>
      <c r="M388" s="96"/>
      <c r="N388" s="95"/>
      <c r="O388" s="95"/>
      <c r="P388" s="95"/>
      <c r="Q388" s="35"/>
      <c r="R388" s="35"/>
      <c r="S388" s="35"/>
      <c r="T388" s="1"/>
      <c r="U388" s="1"/>
      <c r="V388" s="1"/>
    </row>
    <row r="389" ht="15.75" customHeight="1">
      <c r="A389" s="13"/>
      <c r="B389" s="13" t="s">
        <v>369</v>
      </c>
      <c r="C389" s="169" t="s">
        <v>370</v>
      </c>
      <c r="D389" s="14" t="s">
        <v>20</v>
      </c>
      <c r="E389" s="15">
        <v>8.49069896E8</v>
      </c>
      <c r="F389" s="16">
        <v>1.0</v>
      </c>
      <c r="G389" s="17">
        <v>5.0</v>
      </c>
      <c r="H389" s="17">
        <f t="shared" si="15"/>
        <v>5</v>
      </c>
      <c r="I389" s="18"/>
      <c r="J389" s="18"/>
      <c r="K389" s="13"/>
      <c r="L389" s="95"/>
      <c r="M389" s="96"/>
      <c r="N389" s="95"/>
      <c r="O389" s="95"/>
      <c r="P389" s="95"/>
      <c r="Q389" s="35"/>
      <c r="R389" s="35"/>
      <c r="S389" s="35"/>
      <c r="T389" s="1"/>
      <c r="U389" s="1"/>
      <c r="V389" s="1"/>
    </row>
    <row r="390" ht="15.75" customHeight="1">
      <c r="A390" s="13"/>
      <c r="B390" s="13" t="s">
        <v>18</v>
      </c>
      <c r="C390" s="169" t="s">
        <v>371</v>
      </c>
      <c r="D390" s="14" t="s">
        <v>20</v>
      </c>
      <c r="E390" s="15" t="s">
        <v>286</v>
      </c>
      <c r="F390" s="16">
        <v>2.0</v>
      </c>
      <c r="G390" s="17">
        <v>3.0</v>
      </c>
      <c r="H390" s="17">
        <f t="shared" si="15"/>
        <v>6</v>
      </c>
      <c r="I390" s="18"/>
      <c r="J390" s="18"/>
      <c r="K390" s="13"/>
      <c r="L390" s="13"/>
      <c r="M390" s="19"/>
      <c r="N390" s="13"/>
      <c r="O390" s="19"/>
      <c r="P390" s="19"/>
      <c r="Q390" s="35"/>
      <c r="R390" s="35"/>
      <c r="S390" s="35"/>
      <c r="T390" s="1"/>
      <c r="U390" s="1"/>
      <c r="V390" s="1"/>
    </row>
    <row r="391" ht="15.75" customHeight="1">
      <c r="A391" s="13"/>
      <c r="B391" s="13" t="s">
        <v>18</v>
      </c>
      <c r="C391" s="195" t="s">
        <v>372</v>
      </c>
      <c r="D391" s="14" t="s">
        <v>20</v>
      </c>
      <c r="E391" s="210"/>
      <c r="F391" s="228">
        <v>2.0</v>
      </c>
      <c r="G391" s="212">
        <v>70.0</v>
      </c>
      <c r="H391" s="17">
        <f t="shared" si="15"/>
        <v>140</v>
      </c>
      <c r="I391" s="18"/>
      <c r="J391" s="18"/>
      <c r="K391" s="13"/>
      <c r="L391" s="63"/>
      <c r="M391" s="79"/>
      <c r="N391" s="63"/>
      <c r="O391" s="79"/>
      <c r="P391" s="79"/>
      <c r="Q391" s="35"/>
      <c r="R391" s="35"/>
      <c r="S391" s="35"/>
      <c r="T391" s="1"/>
      <c r="U391" s="1"/>
      <c r="V391" s="1"/>
    </row>
    <row r="392" ht="15.75" customHeight="1">
      <c r="A392" s="13"/>
      <c r="B392" s="13"/>
      <c r="C392" s="169" t="s">
        <v>70</v>
      </c>
      <c r="D392" s="14" t="s">
        <v>20</v>
      </c>
      <c r="E392" s="15"/>
      <c r="F392" s="40">
        <v>2.0</v>
      </c>
      <c r="G392" s="34">
        <v>60.0</v>
      </c>
      <c r="H392" s="17">
        <f t="shared" si="15"/>
        <v>120</v>
      </c>
      <c r="I392" s="18"/>
      <c r="J392" s="18"/>
      <c r="K392" s="13"/>
      <c r="L392" s="13"/>
      <c r="M392" s="19"/>
      <c r="N392" s="13"/>
      <c r="O392" s="38"/>
      <c r="P392" s="19"/>
      <c r="Q392" s="35"/>
      <c r="R392" s="35"/>
      <c r="S392" s="35"/>
      <c r="T392" s="1"/>
      <c r="U392" s="1"/>
      <c r="V392" s="1"/>
    </row>
    <row r="393" ht="15.75" hidden="1" customHeight="1">
      <c r="A393" s="13"/>
      <c r="B393" s="13" t="s">
        <v>373</v>
      </c>
      <c r="C393" s="169" t="s">
        <v>69</v>
      </c>
      <c r="D393" s="14" t="s">
        <v>20</v>
      </c>
      <c r="E393" s="15"/>
      <c r="F393" s="16">
        <v>0.0</v>
      </c>
      <c r="G393" s="17">
        <v>70.0</v>
      </c>
      <c r="H393" s="17">
        <f t="shared" si="15"/>
        <v>0</v>
      </c>
      <c r="I393" s="18"/>
      <c r="J393" s="18"/>
      <c r="K393" s="13"/>
      <c r="L393" s="27"/>
      <c r="M393" s="27"/>
      <c r="N393" s="27"/>
      <c r="O393" s="27"/>
      <c r="P393" s="27"/>
      <c r="Q393" s="35"/>
      <c r="R393" s="35"/>
      <c r="S393" s="35"/>
      <c r="T393" s="1"/>
      <c r="U393" s="1"/>
      <c r="V393" s="1"/>
    </row>
    <row r="394" ht="15.75" hidden="1" customHeight="1">
      <c r="A394" s="13"/>
      <c r="B394" s="13"/>
      <c r="C394" s="169" t="s">
        <v>374</v>
      </c>
      <c r="D394" s="70" t="s">
        <v>24</v>
      </c>
      <c r="E394" s="15"/>
      <c r="F394" s="16">
        <v>0.0</v>
      </c>
      <c r="G394" s="17">
        <v>207.0</v>
      </c>
      <c r="H394" s="17">
        <f t="shared" si="15"/>
        <v>0</v>
      </c>
      <c r="I394" s="18"/>
      <c r="J394" s="18"/>
      <c r="K394" s="13"/>
      <c r="L394" s="63"/>
      <c r="M394" s="63"/>
      <c r="N394" s="63"/>
      <c r="O394" s="63"/>
      <c r="P394" s="63"/>
      <c r="Q394" s="35"/>
      <c r="R394" s="35"/>
      <c r="S394" s="35"/>
      <c r="T394" s="1"/>
      <c r="U394" s="1"/>
      <c r="V394" s="1"/>
    </row>
    <row r="395" ht="15.75" hidden="1" customHeight="1">
      <c r="A395" s="13"/>
      <c r="B395" s="13"/>
      <c r="C395" s="169" t="s">
        <v>375</v>
      </c>
      <c r="D395" s="70" t="s">
        <v>24</v>
      </c>
      <c r="E395" s="15"/>
      <c r="F395" s="16">
        <v>0.0</v>
      </c>
      <c r="G395" s="17">
        <v>450.0</v>
      </c>
      <c r="H395" s="17">
        <f t="shared" si="15"/>
        <v>0</v>
      </c>
      <c r="I395" s="18"/>
      <c r="J395" s="18"/>
      <c r="K395" s="13"/>
      <c r="L395" s="27"/>
      <c r="M395" s="28"/>
      <c r="N395" s="27"/>
      <c r="O395" s="28"/>
      <c r="P395" s="28"/>
      <c r="Q395" s="35"/>
      <c r="R395" s="35"/>
      <c r="S395" s="35"/>
      <c r="T395" s="1"/>
      <c r="U395" s="1"/>
      <c r="V395" s="1"/>
    </row>
    <row r="396" ht="15.75" hidden="1" customHeight="1">
      <c r="A396" s="13"/>
      <c r="B396" s="13"/>
      <c r="C396" s="13" t="s">
        <v>71</v>
      </c>
      <c r="D396" s="213" t="s">
        <v>24</v>
      </c>
      <c r="E396" s="52"/>
      <c r="F396" s="48">
        <v>0.0</v>
      </c>
      <c r="G396" s="50">
        <v>80.0</v>
      </c>
      <c r="H396" s="50">
        <f t="shared" si="15"/>
        <v>0</v>
      </c>
      <c r="I396" s="18"/>
      <c r="J396" s="18"/>
      <c r="K396" s="18"/>
      <c r="L396" s="13"/>
      <c r="M396" s="19"/>
      <c r="N396" s="13"/>
      <c r="O396" s="19"/>
      <c r="P396" s="19"/>
      <c r="Q396" s="35"/>
      <c r="R396" s="35"/>
      <c r="S396" s="35"/>
      <c r="T396" s="1"/>
      <c r="U396" s="1"/>
      <c r="V396" s="1"/>
    </row>
    <row r="397" ht="15.75" hidden="1" customHeight="1">
      <c r="A397" s="13"/>
      <c r="B397" s="13" t="s">
        <v>18</v>
      </c>
      <c r="C397" s="13" t="s">
        <v>377</v>
      </c>
      <c r="D397" s="14" t="s">
        <v>20</v>
      </c>
      <c r="E397" s="52" t="s">
        <v>28</v>
      </c>
      <c r="F397" s="48">
        <v>0.0</v>
      </c>
      <c r="G397" s="50">
        <v>70.0</v>
      </c>
      <c r="H397" s="50">
        <f t="shared" si="15"/>
        <v>0</v>
      </c>
      <c r="I397" s="18"/>
      <c r="J397" s="18"/>
      <c r="K397" s="13"/>
      <c r="L397" s="27"/>
      <c r="M397" s="28"/>
      <c r="N397" s="27"/>
      <c r="O397" s="28"/>
      <c r="P397" s="28"/>
      <c r="Q397" s="35"/>
      <c r="R397" s="35"/>
      <c r="S397" s="35"/>
      <c r="T397" s="1"/>
      <c r="U397" s="1"/>
      <c r="V397" s="1"/>
    </row>
    <row r="398" ht="15.75" customHeight="1">
      <c r="A398" s="13"/>
      <c r="B398" s="13"/>
      <c r="C398" s="13" t="s">
        <v>221</v>
      </c>
      <c r="D398" s="213" t="s">
        <v>24</v>
      </c>
      <c r="E398" s="52"/>
      <c r="F398" s="215">
        <v>2.0</v>
      </c>
      <c r="G398" s="50">
        <v>50.0</v>
      </c>
      <c r="H398" s="50">
        <f t="shared" si="15"/>
        <v>100</v>
      </c>
      <c r="I398" s="239"/>
      <c r="J398" s="239"/>
      <c r="K398" s="170"/>
      <c r="L398" s="107"/>
      <c r="M398" s="214"/>
      <c r="N398" s="13"/>
      <c r="O398" s="13"/>
      <c r="P398" s="13"/>
      <c r="Q398" s="35"/>
      <c r="R398" s="35"/>
      <c r="S398" s="35"/>
      <c r="T398" s="1"/>
      <c r="U398" s="1"/>
      <c r="V398" s="1"/>
    </row>
    <row r="399" ht="15.75" hidden="1" customHeight="1">
      <c r="A399" s="13"/>
      <c r="B399" s="13"/>
      <c r="C399" s="206" t="s">
        <v>222</v>
      </c>
      <c r="D399" s="216" t="s">
        <v>24</v>
      </c>
      <c r="E399" s="54"/>
      <c r="F399" s="56">
        <v>0.0</v>
      </c>
      <c r="G399" s="57">
        <v>40.0</v>
      </c>
      <c r="H399" s="57">
        <f t="shared" si="15"/>
        <v>0</v>
      </c>
      <c r="I399" s="18"/>
      <c r="J399" s="18"/>
      <c r="K399" s="13"/>
      <c r="L399" s="63"/>
      <c r="M399" s="63"/>
      <c r="N399" s="63"/>
      <c r="O399" s="63"/>
      <c r="P399" s="63"/>
      <c r="Q399" s="35"/>
      <c r="R399" s="35"/>
      <c r="S399" s="35"/>
      <c r="T399" s="1"/>
      <c r="U399" s="1"/>
      <c r="V399" s="1"/>
    </row>
    <row r="400" ht="30.75" customHeight="1">
      <c r="A400" s="217"/>
      <c r="B400" s="240" t="s">
        <v>963</v>
      </c>
      <c r="C400" s="7">
        <f>SUM(H401:H477)</f>
        <v>12117.2</v>
      </c>
      <c r="D400" s="148"/>
      <c r="E400" s="148"/>
      <c r="F400" s="81"/>
      <c r="G400" s="82"/>
      <c r="H400" s="82"/>
      <c r="I400" s="82"/>
      <c r="J400" s="82"/>
      <c r="K400" s="81"/>
      <c r="L400" s="83"/>
      <c r="M400" s="83"/>
      <c r="N400" s="83"/>
      <c r="O400" s="83"/>
      <c r="P400" s="83"/>
      <c r="Q400" s="35"/>
      <c r="R400" s="35"/>
      <c r="S400" s="35"/>
      <c r="T400" s="1"/>
      <c r="U400" s="1"/>
      <c r="V400" s="1"/>
    </row>
    <row r="401" ht="15.75" hidden="1" customHeight="1">
      <c r="A401" s="13"/>
      <c r="B401" s="13"/>
      <c r="C401" s="169" t="s">
        <v>191</v>
      </c>
      <c r="D401" s="66" t="s">
        <v>22</v>
      </c>
      <c r="E401" s="15"/>
      <c r="F401" s="16">
        <v>0.0</v>
      </c>
      <c r="G401" s="17">
        <v>100.0</v>
      </c>
      <c r="H401" s="17">
        <f t="shared" ref="H401:H500" si="16">SUM(F401*G401)</f>
        <v>0</v>
      </c>
      <c r="I401" s="18"/>
      <c r="J401" s="18"/>
      <c r="K401" s="13"/>
      <c r="L401" s="13"/>
      <c r="M401" s="13"/>
      <c r="N401" s="13"/>
      <c r="O401" s="13"/>
      <c r="P401" s="13"/>
      <c r="Q401" s="35"/>
      <c r="R401" s="35"/>
      <c r="S401" s="35"/>
      <c r="T401" s="1"/>
      <c r="U401" s="1"/>
      <c r="V401" s="1"/>
    </row>
    <row r="402" ht="15.75" hidden="1" customHeight="1">
      <c r="A402" s="13"/>
      <c r="B402" s="13" t="s">
        <v>18</v>
      </c>
      <c r="C402" s="169" t="s">
        <v>433</v>
      </c>
      <c r="D402" s="14" t="s">
        <v>20</v>
      </c>
      <c r="E402" s="15"/>
      <c r="F402" s="16">
        <v>0.0</v>
      </c>
      <c r="G402" s="17">
        <v>5.0</v>
      </c>
      <c r="H402" s="17">
        <f t="shared" si="16"/>
        <v>0</v>
      </c>
      <c r="I402" s="18"/>
      <c r="J402" s="18"/>
      <c r="K402" s="13"/>
      <c r="L402" s="13"/>
      <c r="M402" s="13"/>
      <c r="N402" s="13"/>
      <c r="O402" s="13"/>
      <c r="P402" s="13"/>
      <c r="Q402" s="35"/>
      <c r="R402" s="35"/>
      <c r="S402" s="35"/>
      <c r="T402" s="1"/>
      <c r="U402" s="1"/>
      <c r="V402" s="1"/>
    </row>
    <row r="403" ht="15.75" hidden="1" customHeight="1">
      <c r="A403" s="13"/>
      <c r="B403" s="13" t="s">
        <v>18</v>
      </c>
      <c r="C403" s="169" t="s">
        <v>19</v>
      </c>
      <c r="D403" s="14" t="s">
        <v>20</v>
      </c>
      <c r="E403" s="15"/>
      <c r="F403" s="16">
        <v>0.0</v>
      </c>
      <c r="G403" s="17">
        <v>0.0</v>
      </c>
      <c r="H403" s="17">
        <f t="shared" si="16"/>
        <v>0</v>
      </c>
      <c r="I403" s="18"/>
      <c r="J403" s="17"/>
      <c r="K403" s="13"/>
      <c r="L403" s="13"/>
      <c r="M403" s="19"/>
      <c r="N403" s="19"/>
      <c r="O403" s="38"/>
      <c r="P403" s="19"/>
      <c r="Q403" s="35"/>
      <c r="R403" s="35"/>
      <c r="S403" s="35"/>
      <c r="T403" s="1"/>
      <c r="U403" s="1"/>
      <c r="V403" s="1"/>
    </row>
    <row r="404" ht="15.75" hidden="1" customHeight="1">
      <c r="A404" s="13"/>
      <c r="B404" s="13" t="s">
        <v>18</v>
      </c>
      <c r="C404" s="169" t="s">
        <v>434</v>
      </c>
      <c r="D404" s="14" t="s">
        <v>20</v>
      </c>
      <c r="E404" s="15"/>
      <c r="F404" s="16">
        <v>0.0</v>
      </c>
      <c r="G404" s="17">
        <v>5.0</v>
      </c>
      <c r="H404" s="17">
        <f t="shared" si="16"/>
        <v>0</v>
      </c>
      <c r="I404" s="18"/>
      <c r="J404" s="17"/>
      <c r="K404" s="13"/>
      <c r="L404" s="13"/>
      <c r="M404" s="19"/>
      <c r="N404" s="19"/>
      <c r="O404" s="38"/>
      <c r="P404" s="19"/>
      <c r="Q404" s="35"/>
      <c r="R404" s="35"/>
      <c r="S404" s="35"/>
      <c r="T404" s="1"/>
      <c r="U404" s="1"/>
      <c r="V404" s="1"/>
    </row>
    <row r="405" ht="15.75" hidden="1" customHeight="1">
      <c r="A405" s="13"/>
      <c r="B405" s="13"/>
      <c r="C405" s="169" t="s">
        <v>435</v>
      </c>
      <c r="D405" s="70" t="s">
        <v>24</v>
      </c>
      <c r="E405" s="15"/>
      <c r="F405" s="16">
        <v>0.0</v>
      </c>
      <c r="G405" s="17">
        <v>103.5</v>
      </c>
      <c r="H405" s="17">
        <f t="shared" si="16"/>
        <v>0</v>
      </c>
      <c r="I405" s="18"/>
      <c r="J405" s="17"/>
      <c r="K405" s="13"/>
      <c r="L405" s="13"/>
      <c r="M405" s="19"/>
      <c r="N405" s="19"/>
      <c r="O405" s="38"/>
      <c r="P405" s="19"/>
      <c r="Q405" s="35"/>
      <c r="R405" s="35"/>
      <c r="S405" s="35"/>
      <c r="T405" s="1"/>
      <c r="U405" s="1"/>
      <c r="V405" s="1"/>
    </row>
    <row r="406" ht="15.75" customHeight="1">
      <c r="A406" s="13"/>
      <c r="B406" s="13" t="s">
        <v>637</v>
      </c>
      <c r="C406" s="169" t="s">
        <v>436</v>
      </c>
      <c r="D406" s="101" t="s">
        <v>32</v>
      </c>
      <c r="E406" s="219"/>
      <c r="F406" s="190">
        <v>1.0</v>
      </c>
      <c r="G406" s="191">
        <v>10000.0</v>
      </c>
      <c r="H406" s="192">
        <f t="shared" si="16"/>
        <v>10000</v>
      </c>
      <c r="I406" s="193"/>
      <c r="J406" s="18"/>
      <c r="K406" s="13"/>
      <c r="L406" s="13"/>
      <c r="M406" s="19"/>
      <c r="N406" s="19"/>
      <c r="O406" s="38"/>
      <c r="P406" s="19"/>
      <c r="Q406" s="35"/>
      <c r="R406" s="35"/>
      <c r="S406" s="35"/>
      <c r="T406" s="1"/>
      <c r="U406" s="1"/>
      <c r="V406" s="1"/>
    </row>
    <row r="407" ht="15.75" customHeight="1">
      <c r="A407" s="13"/>
      <c r="B407" s="220" t="s">
        <v>18</v>
      </c>
      <c r="C407" s="169" t="s">
        <v>308</v>
      </c>
      <c r="D407" s="101" t="s">
        <v>32</v>
      </c>
      <c r="E407" s="171" t="s">
        <v>437</v>
      </c>
      <c r="F407" s="190">
        <v>1.0</v>
      </c>
      <c r="G407" s="191">
        <v>288.0</v>
      </c>
      <c r="H407" s="192">
        <f t="shared" si="16"/>
        <v>288</v>
      </c>
      <c r="I407" s="193"/>
      <c r="J407" s="18"/>
      <c r="K407" s="13"/>
      <c r="L407" s="13"/>
      <c r="M407" s="19"/>
      <c r="N407" s="19"/>
      <c r="O407" s="38"/>
      <c r="P407" s="19"/>
      <c r="Q407" s="35"/>
      <c r="R407" s="35"/>
      <c r="S407" s="35"/>
      <c r="T407" s="1"/>
      <c r="U407" s="1"/>
      <c r="V407" s="1"/>
    </row>
    <row r="408" ht="15.75" hidden="1" customHeight="1">
      <c r="A408" s="13"/>
      <c r="B408" s="13"/>
      <c r="C408" s="169" t="s">
        <v>19</v>
      </c>
      <c r="D408" s="14" t="s">
        <v>20</v>
      </c>
      <c r="E408" s="155" t="s">
        <v>438</v>
      </c>
      <c r="F408" s="40">
        <v>0.0</v>
      </c>
      <c r="G408" s="17">
        <v>5.0</v>
      </c>
      <c r="H408" s="17">
        <f t="shared" si="16"/>
        <v>0</v>
      </c>
      <c r="I408" s="18"/>
      <c r="J408" s="17"/>
      <c r="K408" s="13"/>
      <c r="L408" s="13"/>
      <c r="M408" s="19"/>
      <c r="N408" s="19"/>
      <c r="O408" s="38"/>
      <c r="P408" s="19"/>
      <c r="Q408" s="35"/>
      <c r="R408" s="35"/>
      <c r="S408" s="35"/>
      <c r="T408" s="1"/>
      <c r="U408" s="1"/>
      <c r="V408" s="1"/>
    </row>
    <row r="409" ht="15.75" customHeight="1">
      <c r="A409" s="13"/>
      <c r="B409" s="18" t="s">
        <v>18</v>
      </c>
      <c r="C409" s="195" t="s">
        <v>439</v>
      </c>
      <c r="D409" s="46" t="s">
        <v>20</v>
      </c>
      <c r="E409" s="52"/>
      <c r="F409" s="215">
        <v>1.0</v>
      </c>
      <c r="G409" s="49">
        <v>20.0</v>
      </c>
      <c r="H409" s="50">
        <f t="shared" si="16"/>
        <v>20</v>
      </c>
      <c r="I409" s="193"/>
      <c r="J409" s="18"/>
      <c r="K409" s="13"/>
      <c r="L409" s="13"/>
      <c r="M409" s="19"/>
      <c r="N409" s="19"/>
      <c r="O409" s="38"/>
      <c r="P409" s="19"/>
      <c r="Q409" s="35"/>
      <c r="R409" s="35"/>
      <c r="S409" s="35"/>
      <c r="T409" s="1"/>
      <c r="U409" s="1"/>
      <c r="V409" s="1"/>
    </row>
    <row r="410" ht="15.75" hidden="1" customHeight="1">
      <c r="A410" s="13"/>
      <c r="B410" s="13"/>
      <c r="C410" s="169" t="s">
        <v>440</v>
      </c>
      <c r="D410" s="70" t="s">
        <v>24</v>
      </c>
      <c r="E410" s="15"/>
      <c r="F410" s="16">
        <v>0.0</v>
      </c>
      <c r="G410" s="17">
        <v>200.0</v>
      </c>
      <c r="H410" s="17">
        <f t="shared" si="16"/>
        <v>0</v>
      </c>
      <c r="I410" s="18"/>
      <c r="J410" s="17"/>
      <c r="K410" s="13"/>
      <c r="L410" s="13"/>
      <c r="M410" s="19"/>
      <c r="N410" s="19"/>
      <c r="O410" s="38"/>
      <c r="P410" s="19"/>
      <c r="Q410" s="35"/>
      <c r="R410" s="35"/>
      <c r="S410" s="35"/>
      <c r="T410" s="1"/>
      <c r="U410" s="1"/>
      <c r="V410" s="1"/>
    </row>
    <row r="411" ht="15.75" customHeight="1">
      <c r="A411" s="13"/>
      <c r="B411" s="43" t="s">
        <v>18</v>
      </c>
      <c r="C411" s="169" t="s">
        <v>394</v>
      </c>
      <c r="D411" s="66" t="s">
        <v>22</v>
      </c>
      <c r="E411" s="171" t="s">
        <v>964</v>
      </c>
      <c r="F411" s="16">
        <v>4.0</v>
      </c>
      <c r="G411" s="34">
        <v>85.0</v>
      </c>
      <c r="H411" s="17">
        <f t="shared" si="16"/>
        <v>340</v>
      </c>
      <c r="I411" s="18"/>
      <c r="J411" s="18"/>
      <c r="K411" s="13"/>
      <c r="L411" s="13"/>
      <c r="M411" s="19"/>
      <c r="N411" s="13"/>
      <c r="O411" s="19"/>
      <c r="P411" s="13"/>
      <c r="Q411" s="35"/>
      <c r="R411" s="35"/>
      <c r="S411" s="35"/>
      <c r="T411" s="1"/>
      <c r="U411" s="1"/>
      <c r="V411" s="1"/>
    </row>
    <row r="412" ht="15.75" hidden="1" customHeight="1">
      <c r="A412" s="13"/>
      <c r="B412" s="13"/>
      <c r="C412" s="169" t="s">
        <v>307</v>
      </c>
      <c r="D412" s="101" t="s">
        <v>32</v>
      </c>
      <c r="E412" s="219"/>
      <c r="F412" s="190">
        <v>0.0</v>
      </c>
      <c r="G412" s="192">
        <v>0.0</v>
      </c>
      <c r="H412" s="192">
        <f t="shared" si="16"/>
        <v>0</v>
      </c>
      <c r="I412" s="193"/>
      <c r="J412" s="18"/>
      <c r="K412" s="13"/>
      <c r="L412" s="27"/>
      <c r="M412" s="27"/>
      <c r="N412" s="27"/>
      <c r="O412" s="27"/>
      <c r="P412" s="27"/>
      <c r="Q412" s="35"/>
      <c r="R412" s="35"/>
      <c r="S412" s="35"/>
      <c r="T412" s="1"/>
      <c r="U412" s="1"/>
      <c r="V412" s="1"/>
    </row>
    <row r="413" ht="15.75" customHeight="1">
      <c r="A413" s="13"/>
      <c r="B413" s="13" t="s">
        <v>965</v>
      </c>
      <c r="C413" s="196" t="s">
        <v>405</v>
      </c>
      <c r="D413" s="66" t="s">
        <v>22</v>
      </c>
      <c r="E413" s="207" t="s">
        <v>446</v>
      </c>
      <c r="F413" s="215">
        <v>5.0</v>
      </c>
      <c r="G413" s="50">
        <v>25.0</v>
      </c>
      <c r="H413" s="17">
        <f t="shared" si="16"/>
        <v>125</v>
      </c>
      <c r="I413" s="51"/>
      <c r="J413" s="18"/>
      <c r="K413" s="13"/>
      <c r="L413" s="27"/>
      <c r="M413" s="241"/>
      <c r="N413" s="27"/>
      <c r="O413" s="27"/>
      <c r="P413" s="27"/>
      <c r="Q413" s="35"/>
      <c r="R413" s="35"/>
      <c r="S413" s="35"/>
      <c r="T413" s="1"/>
      <c r="U413" s="1"/>
      <c r="V413" s="1"/>
    </row>
    <row r="414" ht="15.75" hidden="1" customHeight="1">
      <c r="A414" s="13"/>
      <c r="B414" s="18" t="s">
        <v>18</v>
      </c>
      <c r="C414" s="169" t="s">
        <v>447</v>
      </c>
      <c r="D414" s="46" t="s">
        <v>20</v>
      </c>
      <c r="E414" s="207" t="s">
        <v>448</v>
      </c>
      <c r="F414" s="242">
        <v>0.0</v>
      </c>
      <c r="G414" s="243">
        <v>19.0</v>
      </c>
      <c r="H414" s="192">
        <f t="shared" si="16"/>
        <v>0</v>
      </c>
      <c r="I414" s="193"/>
      <c r="J414" s="18"/>
      <c r="K414" s="13"/>
      <c r="L414" s="27"/>
      <c r="M414" s="241"/>
      <c r="N414" s="27"/>
      <c r="O414" s="27"/>
      <c r="P414" s="27"/>
      <c r="Q414" s="35"/>
      <c r="R414" s="35"/>
      <c r="S414" s="35"/>
      <c r="T414" s="1"/>
      <c r="U414" s="1"/>
      <c r="V414" s="1"/>
    </row>
    <row r="415" ht="15.75" hidden="1" customHeight="1">
      <c r="A415" s="13"/>
      <c r="B415" s="18" t="s">
        <v>18</v>
      </c>
      <c r="C415" s="169" t="s">
        <v>447</v>
      </c>
      <c r="D415" s="46" t="s">
        <v>20</v>
      </c>
      <c r="E415" s="207" t="s">
        <v>449</v>
      </c>
      <c r="F415" s="242">
        <v>0.0</v>
      </c>
      <c r="G415" s="243">
        <v>15.0</v>
      </c>
      <c r="H415" s="192">
        <f t="shared" si="16"/>
        <v>0</v>
      </c>
      <c r="I415" s="193"/>
      <c r="J415" s="18"/>
      <c r="K415" s="13"/>
      <c r="L415" s="27"/>
      <c r="M415" s="241"/>
      <c r="N415" s="27"/>
      <c r="O415" s="27"/>
      <c r="P415" s="27"/>
      <c r="Q415" s="35"/>
      <c r="R415" s="35"/>
      <c r="S415" s="35"/>
      <c r="T415" s="1"/>
      <c r="U415" s="1"/>
      <c r="V415" s="1"/>
    </row>
    <row r="416" ht="15.75" hidden="1" customHeight="1">
      <c r="A416" s="13"/>
      <c r="B416" s="18" t="s">
        <v>18</v>
      </c>
      <c r="C416" s="169" t="s">
        <v>450</v>
      </c>
      <c r="D416" s="46" t="s">
        <v>20</v>
      </c>
      <c r="E416" s="52" t="s">
        <v>451</v>
      </c>
      <c r="F416" s="48">
        <v>0.0</v>
      </c>
      <c r="G416" s="50">
        <v>19.99</v>
      </c>
      <c r="H416" s="50">
        <f t="shared" si="16"/>
        <v>0</v>
      </c>
      <c r="I416" s="193"/>
      <c r="J416" s="18"/>
      <c r="K416" s="13"/>
      <c r="L416" s="27"/>
      <c r="M416" s="241"/>
      <c r="N416" s="27"/>
      <c r="O416" s="27"/>
      <c r="P416" s="27"/>
      <c r="Q416" s="35"/>
      <c r="R416" s="35"/>
      <c r="S416" s="35"/>
      <c r="T416" s="1"/>
      <c r="U416" s="1"/>
      <c r="V416" s="1"/>
    </row>
    <row r="417" ht="15.75" customHeight="1">
      <c r="A417" s="13"/>
      <c r="B417" s="13" t="s">
        <v>399</v>
      </c>
      <c r="C417" s="196" t="s">
        <v>364</v>
      </c>
      <c r="D417" s="150" t="s">
        <v>22</v>
      </c>
      <c r="E417" s="52" t="s">
        <v>365</v>
      </c>
      <c r="F417" s="215">
        <v>8.0</v>
      </c>
      <c r="G417" s="50">
        <v>6.0</v>
      </c>
      <c r="H417" s="50">
        <f t="shared" si="16"/>
        <v>48</v>
      </c>
      <c r="I417" s="50"/>
      <c r="J417" s="18"/>
      <c r="K417" s="13"/>
      <c r="L417" s="13"/>
      <c r="M417" s="13"/>
      <c r="N417" s="13"/>
      <c r="O417" s="13"/>
      <c r="P417" s="13"/>
      <c r="Q417" s="35"/>
      <c r="R417" s="35"/>
      <c r="S417" s="35"/>
      <c r="T417" s="1"/>
      <c r="U417" s="1"/>
      <c r="V417" s="1"/>
    </row>
    <row r="418" ht="15.75" customHeight="1">
      <c r="A418" s="13"/>
      <c r="B418" s="13" t="s">
        <v>18</v>
      </c>
      <c r="C418" s="244" t="s">
        <v>452</v>
      </c>
      <c r="D418" s="198" t="s">
        <v>22</v>
      </c>
      <c r="E418" s="204" t="s">
        <v>453</v>
      </c>
      <c r="F418" s="158">
        <v>1.0</v>
      </c>
      <c r="G418" s="159">
        <v>144.0</v>
      </c>
      <c r="H418" s="50">
        <f t="shared" si="16"/>
        <v>144</v>
      </c>
      <c r="I418" s="57"/>
      <c r="J418" s="18"/>
      <c r="K418" s="13"/>
      <c r="L418" s="13"/>
      <c r="M418" s="13"/>
      <c r="N418" s="13"/>
      <c r="O418" s="13"/>
      <c r="P418" s="13"/>
      <c r="Q418" s="35"/>
      <c r="R418" s="35"/>
      <c r="S418" s="35"/>
      <c r="T418" s="1"/>
      <c r="U418" s="1"/>
      <c r="V418" s="1"/>
    </row>
    <row r="419" ht="15.75" hidden="1" customHeight="1">
      <c r="A419" s="13"/>
      <c r="B419" s="13" t="s">
        <v>454</v>
      </c>
      <c r="C419" s="169" t="s">
        <v>321</v>
      </c>
      <c r="D419" s="66" t="s">
        <v>22</v>
      </c>
      <c r="E419" s="15"/>
      <c r="F419" s="16">
        <v>0.0</v>
      </c>
      <c r="G419" s="17">
        <v>10.0</v>
      </c>
      <c r="H419" s="17">
        <f t="shared" si="16"/>
        <v>0</v>
      </c>
      <c r="I419" s="18"/>
      <c r="J419" s="18"/>
      <c r="K419" s="13"/>
      <c r="L419" s="13"/>
      <c r="M419" s="19"/>
      <c r="N419" s="13"/>
      <c r="O419" s="13"/>
      <c r="P419" s="13"/>
      <c r="Q419" s="35"/>
      <c r="R419" s="35"/>
      <c r="S419" s="35"/>
      <c r="T419" s="1"/>
      <c r="U419" s="1"/>
      <c r="V419" s="1"/>
    </row>
    <row r="420" ht="15.75" customHeight="1">
      <c r="A420" s="13"/>
      <c r="B420" s="13" t="s">
        <v>18</v>
      </c>
      <c r="C420" s="244" t="s">
        <v>455</v>
      </c>
      <c r="D420" s="198" t="s">
        <v>22</v>
      </c>
      <c r="E420" s="201" t="s">
        <v>456</v>
      </c>
      <c r="F420" s="56">
        <v>1.0</v>
      </c>
      <c r="G420" s="57">
        <v>32.0</v>
      </c>
      <c r="H420" s="50">
        <f t="shared" si="16"/>
        <v>32</v>
      </c>
      <c r="I420" s="57"/>
      <c r="J420" s="18"/>
      <c r="K420" s="13"/>
      <c r="L420" s="13"/>
      <c r="M420" s="13"/>
      <c r="N420" s="13"/>
      <c r="O420" s="13"/>
      <c r="P420" s="13"/>
      <c r="Q420" s="35"/>
      <c r="R420" s="35"/>
      <c r="S420" s="35"/>
      <c r="T420" s="1"/>
      <c r="U420" s="1"/>
      <c r="V420" s="1"/>
    </row>
    <row r="421" ht="15.75" customHeight="1">
      <c r="A421" s="13"/>
      <c r="B421" s="13" t="s">
        <v>953</v>
      </c>
      <c r="C421" s="244" t="s">
        <v>258</v>
      </c>
      <c r="D421" s="198" t="s">
        <v>22</v>
      </c>
      <c r="E421" s="54"/>
      <c r="F421" s="56">
        <v>1.0</v>
      </c>
      <c r="G421" s="159">
        <v>100.0</v>
      </c>
      <c r="H421" s="50">
        <f t="shared" si="16"/>
        <v>100</v>
      </c>
      <c r="I421" s="57"/>
      <c r="J421" s="18"/>
      <c r="K421" s="13"/>
      <c r="L421" s="13"/>
      <c r="M421" s="13"/>
      <c r="N421" s="13"/>
      <c r="O421" s="13"/>
      <c r="P421" s="13"/>
      <c r="Q421" s="35"/>
      <c r="R421" s="35"/>
      <c r="S421" s="35"/>
      <c r="T421" s="1"/>
      <c r="U421" s="1"/>
      <c r="V421" s="1"/>
    </row>
    <row r="422" ht="15.75" customHeight="1">
      <c r="A422" s="13"/>
      <c r="B422" s="13" t="s">
        <v>239</v>
      </c>
      <c r="C422" s="195" t="s">
        <v>406</v>
      </c>
      <c r="D422" s="14" t="s">
        <v>20</v>
      </c>
      <c r="E422" s="15"/>
      <c r="F422" s="16">
        <v>1.0</v>
      </c>
      <c r="G422" s="34">
        <v>300.0</v>
      </c>
      <c r="H422" s="17">
        <f t="shared" si="16"/>
        <v>300</v>
      </c>
      <c r="I422" s="18"/>
      <c r="J422" s="18"/>
      <c r="K422" s="13"/>
      <c r="L422" s="13"/>
      <c r="M422" s="13"/>
      <c r="N422" s="13"/>
      <c r="O422" s="13"/>
      <c r="P422" s="13"/>
      <c r="Q422" s="35"/>
      <c r="R422" s="35"/>
      <c r="S422" s="35"/>
      <c r="T422" s="1"/>
      <c r="U422" s="1"/>
      <c r="V422" s="1"/>
    </row>
    <row r="423" ht="15.75" hidden="1" customHeight="1">
      <c r="A423" s="13"/>
      <c r="B423" s="13" t="s">
        <v>18</v>
      </c>
      <c r="C423" s="196" t="s">
        <v>258</v>
      </c>
      <c r="D423" s="150" t="s">
        <v>22</v>
      </c>
      <c r="E423" s="245" t="s">
        <v>457</v>
      </c>
      <c r="F423" s="215">
        <v>0.0</v>
      </c>
      <c r="G423" s="50">
        <v>0.0</v>
      </c>
      <c r="H423" s="50">
        <f t="shared" si="16"/>
        <v>0</v>
      </c>
      <c r="I423" s="50"/>
      <c r="J423" s="18"/>
      <c r="K423" s="13"/>
      <c r="L423" s="13"/>
      <c r="M423" s="13"/>
      <c r="N423" s="13"/>
      <c r="O423" s="13"/>
      <c r="P423" s="13"/>
      <c r="Q423" s="35"/>
      <c r="R423" s="35"/>
      <c r="S423" s="35"/>
      <c r="T423" s="1"/>
      <c r="U423" s="1"/>
      <c r="V423" s="1"/>
    </row>
    <row r="424" ht="15.75" customHeight="1">
      <c r="A424" s="13"/>
      <c r="B424" s="43" t="s">
        <v>18</v>
      </c>
      <c r="C424" s="169" t="s">
        <v>407</v>
      </c>
      <c r="D424" s="66" t="s">
        <v>22</v>
      </c>
      <c r="E424" s="218" t="s">
        <v>966</v>
      </c>
      <c r="F424" s="40">
        <v>2.0</v>
      </c>
      <c r="G424" s="226">
        <v>153.6</v>
      </c>
      <c r="H424" s="17">
        <f t="shared" si="16"/>
        <v>307.2</v>
      </c>
      <c r="I424" s="18"/>
      <c r="J424" s="18"/>
      <c r="K424" s="13"/>
      <c r="L424" s="13"/>
      <c r="M424" s="13"/>
      <c r="N424" s="13"/>
      <c r="O424" s="13"/>
      <c r="P424" s="13"/>
      <c r="Q424" s="35"/>
      <c r="R424" s="35"/>
      <c r="S424" s="35"/>
      <c r="T424" s="1"/>
      <c r="U424" s="1"/>
      <c r="V424" s="1"/>
    </row>
    <row r="425" ht="15.75" customHeight="1">
      <c r="A425" s="13"/>
      <c r="B425" s="13" t="s">
        <v>18</v>
      </c>
      <c r="C425" s="169" t="s">
        <v>409</v>
      </c>
      <c r="D425" s="66" t="s">
        <v>22</v>
      </c>
      <c r="E425" s="194" t="s">
        <v>967</v>
      </c>
      <c r="F425" s="40">
        <v>2.0</v>
      </c>
      <c r="G425" s="227">
        <v>24.0</v>
      </c>
      <c r="H425" s="17">
        <f t="shared" si="16"/>
        <v>48</v>
      </c>
      <c r="I425" s="18"/>
      <c r="J425" s="18"/>
      <c r="K425" s="13"/>
      <c r="L425" s="13"/>
      <c r="M425" s="13"/>
      <c r="N425" s="13"/>
      <c r="O425" s="13"/>
      <c r="P425" s="13"/>
      <c r="Q425" s="35"/>
      <c r="R425" s="35"/>
      <c r="S425" s="35"/>
      <c r="T425" s="1"/>
      <c r="U425" s="1"/>
      <c r="V425" s="1"/>
    </row>
    <row r="426" ht="15.75" hidden="1" customHeight="1">
      <c r="A426" s="13"/>
      <c r="B426" s="13" t="s">
        <v>18</v>
      </c>
      <c r="C426" s="196" t="s">
        <v>459</v>
      </c>
      <c r="D426" s="66" t="s">
        <v>22</v>
      </c>
      <c r="E426" s="246" t="s">
        <v>460</v>
      </c>
      <c r="F426" s="215">
        <v>0.0</v>
      </c>
      <c r="G426" s="50">
        <v>0.0</v>
      </c>
      <c r="H426" s="17">
        <f t="shared" si="16"/>
        <v>0</v>
      </c>
      <c r="I426" s="51"/>
      <c r="J426" s="18"/>
      <c r="K426" s="13"/>
      <c r="L426" s="13"/>
      <c r="M426" s="13"/>
      <c r="N426" s="13"/>
      <c r="O426" s="13"/>
      <c r="P426" s="13"/>
      <c r="Q426" s="35"/>
      <c r="R426" s="35"/>
      <c r="S426" s="35"/>
      <c r="T426" s="1"/>
      <c r="U426" s="1"/>
      <c r="V426" s="1"/>
    </row>
    <row r="427" ht="15.75" customHeight="1">
      <c r="A427" s="13"/>
      <c r="B427" s="43" t="s">
        <v>88</v>
      </c>
      <c r="C427" s="54" t="s">
        <v>411</v>
      </c>
      <c r="D427" s="14" t="s">
        <v>20</v>
      </c>
      <c r="E427" s="171" t="s">
        <v>412</v>
      </c>
      <c r="F427" s="16">
        <v>1.0</v>
      </c>
      <c r="G427" s="34">
        <v>334.0</v>
      </c>
      <c r="H427" s="17">
        <f t="shared" si="16"/>
        <v>334</v>
      </c>
      <c r="I427" s="18"/>
      <c r="J427" s="18"/>
      <c r="K427" s="13"/>
      <c r="L427" s="13"/>
      <c r="M427" s="13"/>
      <c r="N427" s="13"/>
      <c r="O427" s="13"/>
      <c r="P427" s="13"/>
      <c r="Q427" s="35"/>
      <c r="R427" s="35"/>
      <c r="S427" s="35"/>
      <c r="T427" s="1"/>
      <c r="U427" s="1"/>
      <c r="V427" s="1"/>
    </row>
    <row r="428" ht="15.75" hidden="1" customHeight="1">
      <c r="A428" s="13"/>
      <c r="B428" s="13" t="s">
        <v>18</v>
      </c>
      <c r="C428" s="244" t="s">
        <v>461</v>
      </c>
      <c r="D428" s="150" t="s">
        <v>22</v>
      </c>
      <c r="E428" s="201" t="s">
        <v>462</v>
      </c>
      <c r="F428" s="158">
        <v>0.0</v>
      </c>
      <c r="G428" s="57">
        <v>0.0</v>
      </c>
      <c r="H428" s="50">
        <f t="shared" si="16"/>
        <v>0</v>
      </c>
      <c r="I428" s="57"/>
      <c r="J428" s="18"/>
      <c r="K428" s="13"/>
      <c r="L428" s="13"/>
      <c r="M428" s="13"/>
      <c r="N428" s="13"/>
      <c r="O428" s="13"/>
      <c r="P428" s="13"/>
      <c r="Q428" s="35"/>
      <c r="R428" s="35"/>
      <c r="S428" s="35"/>
      <c r="T428" s="1"/>
      <c r="U428" s="1"/>
      <c r="V428" s="1"/>
    </row>
    <row r="429" ht="15.75" hidden="1" customHeight="1">
      <c r="A429" s="13"/>
      <c r="B429" s="13" t="s">
        <v>463</v>
      </c>
      <c r="C429" s="244" t="s">
        <v>405</v>
      </c>
      <c r="D429" s="150" t="s">
        <v>22</v>
      </c>
      <c r="E429" s="201" t="s">
        <v>464</v>
      </c>
      <c r="F429" s="158">
        <v>0.0</v>
      </c>
      <c r="G429" s="57">
        <v>0.0</v>
      </c>
      <c r="H429" s="50">
        <f t="shared" si="16"/>
        <v>0</v>
      </c>
      <c r="I429" s="57"/>
      <c r="J429" s="18"/>
      <c r="K429" s="13"/>
      <c r="L429" s="13"/>
      <c r="M429" s="13"/>
      <c r="N429" s="13"/>
      <c r="O429" s="13"/>
      <c r="P429" s="13"/>
      <c r="Q429" s="35"/>
      <c r="R429" s="35"/>
      <c r="S429" s="35"/>
      <c r="T429" s="1"/>
      <c r="U429" s="1"/>
      <c r="V429" s="1"/>
    </row>
    <row r="430" ht="15.75" hidden="1" customHeight="1">
      <c r="A430" s="13"/>
      <c r="B430" s="13" t="s">
        <v>463</v>
      </c>
      <c r="C430" s="244" t="s">
        <v>465</v>
      </c>
      <c r="D430" s="150" t="s">
        <v>22</v>
      </c>
      <c r="E430" s="201" t="s">
        <v>466</v>
      </c>
      <c r="F430" s="158">
        <v>0.0</v>
      </c>
      <c r="G430" s="57">
        <v>0.0</v>
      </c>
      <c r="H430" s="50">
        <f t="shared" si="16"/>
        <v>0</v>
      </c>
      <c r="I430" s="57"/>
      <c r="J430" s="18"/>
      <c r="K430" s="13"/>
      <c r="L430" s="13"/>
      <c r="M430" s="13"/>
      <c r="N430" s="13"/>
      <c r="O430" s="13"/>
      <c r="P430" s="13"/>
      <c r="Q430" s="35"/>
      <c r="R430" s="35"/>
      <c r="S430" s="35"/>
      <c r="T430" s="1"/>
      <c r="U430" s="1"/>
      <c r="V430" s="1"/>
    </row>
    <row r="431" ht="15.75" hidden="1" customHeight="1">
      <c r="A431" s="13"/>
      <c r="B431" s="13" t="s">
        <v>18</v>
      </c>
      <c r="C431" s="244" t="s">
        <v>442</v>
      </c>
      <c r="D431" s="198" t="s">
        <v>22</v>
      </c>
      <c r="E431" s="201" t="s">
        <v>467</v>
      </c>
      <c r="F431" s="158">
        <v>0.0</v>
      </c>
      <c r="G431" s="57">
        <v>30.0</v>
      </c>
      <c r="H431" s="57">
        <f t="shared" si="16"/>
        <v>0</v>
      </c>
      <c r="I431" s="57"/>
      <c r="J431" s="18"/>
      <c r="K431" s="13"/>
      <c r="L431" s="13"/>
      <c r="M431" s="13"/>
      <c r="N431" s="13"/>
      <c r="O431" s="13"/>
      <c r="P431" s="13"/>
      <c r="Q431" s="35"/>
      <c r="R431" s="35"/>
      <c r="S431" s="35"/>
      <c r="T431" s="1"/>
      <c r="U431" s="1"/>
      <c r="V431" s="1"/>
    </row>
    <row r="432" ht="15.75" customHeight="1">
      <c r="A432" s="13"/>
      <c r="B432" s="13" t="s">
        <v>18</v>
      </c>
      <c r="C432" s="169" t="s">
        <v>280</v>
      </c>
      <c r="D432" s="14" t="s">
        <v>20</v>
      </c>
      <c r="E432" s="15" t="s">
        <v>468</v>
      </c>
      <c r="F432" s="16">
        <v>1.0</v>
      </c>
      <c r="G432" s="34">
        <v>20.0</v>
      </c>
      <c r="H432" s="17">
        <f t="shared" si="16"/>
        <v>20</v>
      </c>
      <c r="I432" s="18"/>
      <c r="J432" s="18"/>
      <c r="K432" s="13"/>
      <c r="L432" s="13"/>
      <c r="M432" s="13"/>
      <c r="N432" s="13"/>
      <c r="O432" s="13"/>
      <c r="P432" s="13"/>
      <c r="Q432" s="35"/>
      <c r="R432" s="35"/>
      <c r="S432" s="35"/>
      <c r="T432" s="1"/>
      <c r="U432" s="1"/>
      <c r="V432" s="1"/>
    </row>
    <row r="433" ht="15.75" hidden="1" customHeight="1">
      <c r="A433" s="13"/>
      <c r="B433" s="13"/>
      <c r="C433" s="169" t="s">
        <v>323</v>
      </c>
      <c r="D433" s="70" t="s">
        <v>24</v>
      </c>
      <c r="E433" s="15"/>
      <c r="F433" s="16">
        <v>0.0</v>
      </c>
      <c r="G433" s="17">
        <v>80.0</v>
      </c>
      <c r="H433" s="17">
        <f t="shared" si="16"/>
        <v>0</v>
      </c>
      <c r="I433" s="18"/>
      <c r="J433" s="18"/>
      <c r="K433" s="13"/>
      <c r="L433" s="13"/>
      <c r="M433" s="13"/>
      <c r="N433" s="13"/>
      <c r="O433" s="13"/>
      <c r="P433" s="13"/>
      <c r="Q433" s="35"/>
      <c r="R433" s="35"/>
      <c r="S433" s="35"/>
      <c r="T433" s="1"/>
      <c r="U433" s="1"/>
      <c r="V433" s="1"/>
    </row>
    <row r="434" ht="15.75" hidden="1" customHeight="1">
      <c r="A434" s="13"/>
      <c r="B434" s="13"/>
      <c r="C434" s="169" t="s">
        <v>324</v>
      </c>
      <c r="D434" s="14" t="s">
        <v>20</v>
      </c>
      <c r="E434" s="15"/>
      <c r="F434" s="16">
        <v>0.0</v>
      </c>
      <c r="G434" s="17">
        <v>35.0</v>
      </c>
      <c r="H434" s="17">
        <f t="shared" si="16"/>
        <v>0</v>
      </c>
      <c r="I434" s="18"/>
      <c r="J434" s="18"/>
      <c r="K434" s="13"/>
      <c r="L434" s="13"/>
      <c r="M434" s="19"/>
      <c r="N434" s="13"/>
      <c r="O434" s="19"/>
      <c r="P434" s="19"/>
      <c r="Q434" s="35"/>
      <c r="R434" s="35"/>
      <c r="S434" s="35"/>
      <c r="T434" s="1"/>
      <c r="U434" s="1"/>
      <c r="V434" s="1"/>
    </row>
    <row r="435" ht="15.75" hidden="1" customHeight="1">
      <c r="A435" s="13"/>
      <c r="B435" s="13"/>
      <c r="C435" s="169" t="s">
        <v>469</v>
      </c>
      <c r="D435" s="70" t="s">
        <v>24</v>
      </c>
      <c r="E435" s="15"/>
      <c r="F435" s="16">
        <v>0.0</v>
      </c>
      <c r="G435" s="17">
        <v>290.0</v>
      </c>
      <c r="H435" s="17">
        <f t="shared" si="16"/>
        <v>0</v>
      </c>
      <c r="I435" s="18"/>
      <c r="J435" s="18"/>
      <c r="K435" s="13"/>
      <c r="L435" s="63"/>
      <c r="M435" s="63"/>
      <c r="N435" s="63"/>
      <c r="O435" s="63"/>
      <c r="P435" s="63"/>
      <c r="Q435" s="35"/>
      <c r="R435" s="35"/>
      <c r="S435" s="35"/>
      <c r="T435" s="1"/>
      <c r="U435" s="1"/>
      <c r="V435" s="1"/>
    </row>
    <row r="436" ht="15.75" hidden="1" customHeight="1">
      <c r="A436" s="13"/>
      <c r="B436" s="13"/>
      <c r="C436" s="169" t="s">
        <v>470</v>
      </c>
      <c r="D436" s="14" t="s">
        <v>20</v>
      </c>
      <c r="E436" s="15"/>
      <c r="F436" s="16">
        <v>0.0</v>
      </c>
      <c r="G436" s="17">
        <v>150.0</v>
      </c>
      <c r="H436" s="17">
        <f t="shared" si="16"/>
        <v>0</v>
      </c>
      <c r="I436" s="18"/>
      <c r="J436" s="18"/>
      <c r="K436" s="13"/>
      <c r="L436" s="13"/>
      <c r="M436" s="19"/>
      <c r="N436" s="13"/>
      <c r="O436" s="19"/>
      <c r="P436" s="19"/>
      <c r="Q436" s="35"/>
      <c r="R436" s="35"/>
      <c r="S436" s="35"/>
      <c r="T436" s="1"/>
      <c r="U436" s="1"/>
      <c r="V436" s="1"/>
    </row>
    <row r="437" ht="15.75" hidden="1" customHeight="1">
      <c r="A437" s="13"/>
      <c r="B437" s="13"/>
      <c r="C437" s="169" t="s">
        <v>471</v>
      </c>
      <c r="D437" s="70" t="s">
        <v>24</v>
      </c>
      <c r="E437" s="15"/>
      <c r="F437" s="16">
        <v>0.0</v>
      </c>
      <c r="G437" s="17">
        <v>250.0</v>
      </c>
      <c r="H437" s="17">
        <f t="shared" si="16"/>
        <v>0</v>
      </c>
      <c r="I437" s="18"/>
      <c r="J437" s="18"/>
      <c r="K437" s="13"/>
      <c r="L437" s="13"/>
      <c r="M437" s="19"/>
      <c r="N437" s="13"/>
      <c r="O437" s="19"/>
      <c r="P437" s="19"/>
      <c r="Q437" s="35"/>
      <c r="R437" s="35"/>
      <c r="S437" s="35"/>
      <c r="T437" s="1"/>
      <c r="U437" s="1"/>
      <c r="V437" s="1"/>
    </row>
    <row r="438" ht="15.75" hidden="1" customHeight="1">
      <c r="A438" s="13"/>
      <c r="B438" s="13"/>
      <c r="C438" s="247" t="s">
        <v>472</v>
      </c>
      <c r="D438" s="14" t="s">
        <v>20</v>
      </c>
      <c r="E438" s="15"/>
      <c r="F438" s="16">
        <v>0.0</v>
      </c>
      <c r="G438" s="17">
        <v>150.0</v>
      </c>
      <c r="H438" s="17">
        <f t="shared" si="16"/>
        <v>0</v>
      </c>
      <c r="I438" s="18"/>
      <c r="J438" s="18"/>
      <c r="K438" s="13"/>
      <c r="L438" s="13"/>
      <c r="M438" s="19"/>
      <c r="N438" s="13"/>
      <c r="O438" s="19"/>
      <c r="P438" s="19"/>
      <c r="Q438" s="35"/>
      <c r="R438" s="35"/>
      <c r="S438" s="35"/>
      <c r="T438" s="1"/>
      <c r="U438" s="1"/>
      <c r="V438" s="1"/>
    </row>
    <row r="439" ht="15.75" hidden="1" customHeight="1">
      <c r="A439" s="13"/>
      <c r="B439" s="13" t="s">
        <v>18</v>
      </c>
      <c r="C439" s="196" t="s">
        <v>309</v>
      </c>
      <c r="D439" s="46" t="s">
        <v>20</v>
      </c>
      <c r="E439" s="207" t="s">
        <v>473</v>
      </c>
      <c r="F439" s="48">
        <v>0.0</v>
      </c>
      <c r="G439" s="50">
        <v>20.0</v>
      </c>
      <c r="H439" s="50">
        <f t="shared" si="16"/>
        <v>0</v>
      </c>
      <c r="I439" s="18"/>
      <c r="J439" s="18"/>
      <c r="K439" s="13"/>
      <c r="L439" s="13"/>
      <c r="M439" s="19"/>
      <c r="N439" s="13"/>
      <c r="O439" s="19"/>
      <c r="P439" s="19"/>
      <c r="Q439" s="35"/>
      <c r="R439" s="35"/>
      <c r="S439" s="35"/>
      <c r="T439" s="1"/>
      <c r="U439" s="1"/>
      <c r="V439" s="1"/>
    </row>
    <row r="440" ht="15.75" hidden="1" customHeight="1">
      <c r="A440" s="13"/>
      <c r="B440" s="206" t="s">
        <v>18</v>
      </c>
      <c r="C440" s="197" t="s">
        <v>474</v>
      </c>
      <c r="D440" s="55" t="s">
        <v>20</v>
      </c>
      <c r="E440" s="208" t="s">
        <v>475</v>
      </c>
      <c r="F440" s="56">
        <v>0.0</v>
      </c>
      <c r="G440" s="57">
        <v>24.0</v>
      </c>
      <c r="H440" s="57">
        <f t="shared" si="16"/>
        <v>0</v>
      </c>
      <c r="I440" s="18"/>
      <c r="J440" s="18"/>
      <c r="K440" s="13"/>
      <c r="L440" s="13"/>
      <c r="M440" s="19"/>
      <c r="N440" s="13"/>
      <c r="O440" s="19"/>
      <c r="P440" s="19"/>
      <c r="Q440" s="35"/>
      <c r="R440" s="35"/>
      <c r="S440" s="35"/>
      <c r="T440" s="1"/>
      <c r="U440" s="1"/>
      <c r="V440" s="1"/>
    </row>
    <row r="441" ht="15.75" hidden="1" customHeight="1">
      <c r="A441" s="13"/>
      <c r="B441" s="13"/>
      <c r="C441" s="169" t="s">
        <v>258</v>
      </c>
      <c r="D441" s="66" t="s">
        <v>22</v>
      </c>
      <c r="E441" s="15"/>
      <c r="F441" s="16">
        <v>0.0</v>
      </c>
      <c r="G441" s="17">
        <v>150.0</v>
      </c>
      <c r="H441" s="17">
        <f t="shared" si="16"/>
        <v>0</v>
      </c>
      <c r="I441" s="18"/>
      <c r="J441" s="17"/>
      <c r="K441" s="13"/>
      <c r="L441" s="13"/>
      <c r="M441" s="13"/>
      <c r="N441" s="13"/>
      <c r="O441" s="19"/>
      <c r="P441" s="19"/>
      <c r="Q441" s="35"/>
      <c r="R441" s="35"/>
      <c r="S441" s="35"/>
      <c r="T441" s="1"/>
      <c r="U441" s="1"/>
      <c r="V441" s="1"/>
    </row>
    <row r="442" ht="15.75" hidden="1" customHeight="1">
      <c r="A442" s="13"/>
      <c r="B442" s="13" t="s">
        <v>18</v>
      </c>
      <c r="C442" s="169" t="s">
        <v>476</v>
      </c>
      <c r="D442" s="66" t="s">
        <v>22</v>
      </c>
      <c r="E442" s="15" t="s">
        <v>477</v>
      </c>
      <c r="F442" s="16">
        <v>0.0</v>
      </c>
      <c r="G442" s="17">
        <v>15.0</v>
      </c>
      <c r="H442" s="17">
        <f t="shared" si="16"/>
        <v>0</v>
      </c>
      <c r="I442" s="18"/>
      <c r="J442" s="18"/>
      <c r="K442" s="13"/>
      <c r="L442" s="13"/>
      <c r="M442" s="13"/>
      <c r="N442" s="13"/>
      <c r="O442" s="13"/>
      <c r="P442" s="13"/>
      <c r="Q442" s="35"/>
      <c r="R442" s="35"/>
      <c r="S442" s="35"/>
      <c r="T442" s="1"/>
      <c r="U442" s="1"/>
      <c r="V442" s="1"/>
    </row>
    <row r="443" ht="15.75" hidden="1" customHeight="1">
      <c r="A443" s="13"/>
      <c r="B443" s="13"/>
      <c r="C443" s="169" t="s">
        <v>478</v>
      </c>
      <c r="D443" s="14" t="s">
        <v>20</v>
      </c>
      <c r="E443" s="15"/>
      <c r="F443" s="16">
        <v>0.0</v>
      </c>
      <c r="G443" s="17">
        <v>500.0</v>
      </c>
      <c r="H443" s="17">
        <f t="shared" si="16"/>
        <v>0</v>
      </c>
      <c r="I443" s="18"/>
      <c r="J443" s="18"/>
      <c r="K443" s="13"/>
      <c r="L443" s="13"/>
      <c r="M443" s="13"/>
      <c r="N443" s="13"/>
      <c r="O443" s="13"/>
      <c r="P443" s="13"/>
      <c r="Q443" s="35"/>
      <c r="R443" s="35"/>
      <c r="S443" s="35"/>
      <c r="T443" s="1"/>
      <c r="U443" s="1"/>
      <c r="V443" s="1"/>
    </row>
    <row r="444" ht="15.75" hidden="1" customHeight="1">
      <c r="A444" s="13"/>
      <c r="B444" s="13"/>
      <c r="C444" s="13" t="s">
        <v>479</v>
      </c>
      <c r="D444" s="70" t="s">
        <v>24</v>
      </c>
      <c r="E444" s="15"/>
      <c r="F444" s="16">
        <v>0.0</v>
      </c>
      <c r="G444" s="17">
        <v>210.0</v>
      </c>
      <c r="H444" s="17">
        <f t="shared" si="16"/>
        <v>0</v>
      </c>
      <c r="I444" s="18"/>
      <c r="J444" s="18"/>
      <c r="K444" s="13"/>
      <c r="L444" s="63"/>
      <c r="M444" s="63"/>
      <c r="N444" s="63"/>
      <c r="O444" s="63"/>
      <c r="P444" s="63"/>
      <c r="Q444" s="35"/>
      <c r="R444" s="35"/>
      <c r="S444" s="35"/>
      <c r="T444" s="1"/>
      <c r="U444" s="1"/>
      <c r="V444" s="1"/>
    </row>
    <row r="445" ht="15.75" hidden="1" customHeight="1">
      <c r="A445" s="13"/>
      <c r="B445" s="13"/>
      <c r="C445" s="169" t="s">
        <v>480</v>
      </c>
      <c r="D445" s="14" t="s">
        <v>20</v>
      </c>
      <c r="E445" s="15"/>
      <c r="F445" s="16">
        <v>0.0</v>
      </c>
      <c r="G445" s="17">
        <v>155.0</v>
      </c>
      <c r="H445" s="17">
        <f t="shared" si="16"/>
        <v>0</v>
      </c>
      <c r="I445" s="18"/>
      <c r="J445" s="18"/>
      <c r="K445" s="13"/>
      <c r="L445" s="13"/>
      <c r="M445" s="13"/>
      <c r="N445" s="13"/>
      <c r="O445" s="13"/>
      <c r="P445" s="13"/>
      <c r="Q445" s="35"/>
      <c r="R445" s="35"/>
      <c r="S445" s="35"/>
      <c r="T445" s="1"/>
      <c r="U445" s="1"/>
      <c r="V445" s="1"/>
    </row>
    <row r="446" ht="15.75" hidden="1" customHeight="1">
      <c r="A446" s="13"/>
      <c r="B446" s="13"/>
      <c r="C446" s="169" t="s">
        <v>481</v>
      </c>
      <c r="D446" s="70" t="s">
        <v>24</v>
      </c>
      <c r="E446" s="15"/>
      <c r="F446" s="16">
        <v>0.0</v>
      </c>
      <c r="G446" s="17">
        <v>70.0</v>
      </c>
      <c r="H446" s="17">
        <f t="shared" si="16"/>
        <v>0</v>
      </c>
      <c r="I446" s="18"/>
      <c r="J446" s="18"/>
      <c r="K446" s="13"/>
      <c r="L446" s="13"/>
      <c r="M446" s="19"/>
      <c r="N446" s="13"/>
      <c r="O446" s="19"/>
      <c r="P446" s="19"/>
      <c r="Q446" s="35"/>
      <c r="R446" s="35"/>
      <c r="S446" s="35"/>
      <c r="T446" s="1"/>
      <c r="U446" s="1"/>
      <c r="V446" s="1"/>
    </row>
    <row r="447" ht="15.75" hidden="1" customHeight="1">
      <c r="A447" s="13"/>
      <c r="B447" s="13"/>
      <c r="C447" s="169" t="s">
        <v>482</v>
      </c>
      <c r="D447" s="14" t="s">
        <v>20</v>
      </c>
      <c r="E447" s="15"/>
      <c r="F447" s="16">
        <v>0.0</v>
      </c>
      <c r="G447" s="17">
        <v>400.0</v>
      </c>
      <c r="H447" s="17">
        <f t="shared" si="16"/>
        <v>0</v>
      </c>
      <c r="I447" s="18"/>
      <c r="J447" s="17"/>
      <c r="K447" s="13"/>
      <c r="L447" s="13"/>
      <c r="M447" s="19"/>
      <c r="N447" s="13"/>
      <c r="O447" s="19"/>
      <c r="P447" s="19"/>
      <c r="Q447" s="35"/>
      <c r="R447" s="35"/>
      <c r="S447" s="35"/>
      <c r="T447" s="1"/>
      <c r="U447" s="1"/>
      <c r="V447" s="1"/>
    </row>
    <row r="448" ht="15.75" hidden="1" customHeight="1">
      <c r="A448" s="13"/>
      <c r="B448" s="13"/>
      <c r="C448" s="169" t="s">
        <v>483</v>
      </c>
      <c r="D448" s="14" t="s">
        <v>20</v>
      </c>
      <c r="E448" s="15"/>
      <c r="F448" s="16">
        <v>0.0</v>
      </c>
      <c r="G448" s="17">
        <v>440.0</v>
      </c>
      <c r="H448" s="17">
        <f t="shared" si="16"/>
        <v>0</v>
      </c>
      <c r="I448" s="18"/>
      <c r="J448" s="17"/>
      <c r="K448" s="13"/>
      <c r="L448" s="13"/>
      <c r="M448" s="19"/>
      <c r="N448" s="13"/>
      <c r="O448" s="19"/>
      <c r="P448" s="19"/>
      <c r="Q448" s="35"/>
      <c r="R448" s="35"/>
      <c r="S448" s="35"/>
      <c r="T448" s="1"/>
      <c r="U448" s="1"/>
      <c r="V448" s="1"/>
    </row>
    <row r="449" ht="15.75" hidden="1" customHeight="1">
      <c r="A449" s="13"/>
      <c r="B449" s="13"/>
      <c r="C449" s="169" t="s">
        <v>484</v>
      </c>
      <c r="D449" s="70" t="s">
        <v>24</v>
      </c>
      <c r="E449" s="15"/>
      <c r="F449" s="16">
        <v>0.0</v>
      </c>
      <c r="G449" s="17">
        <v>90.0</v>
      </c>
      <c r="H449" s="17">
        <f t="shared" si="16"/>
        <v>0</v>
      </c>
      <c r="I449" s="18"/>
      <c r="J449" s="17"/>
      <c r="K449" s="13"/>
      <c r="L449" s="63"/>
      <c r="M449" s="79"/>
      <c r="N449" s="63"/>
      <c r="O449" s="79"/>
      <c r="P449" s="79"/>
      <c r="Q449" s="35"/>
      <c r="R449" s="35"/>
      <c r="S449" s="35"/>
      <c r="T449" s="1"/>
      <c r="U449" s="1"/>
      <c r="V449" s="1"/>
    </row>
    <row r="450" ht="15.75" hidden="1" customHeight="1">
      <c r="A450" s="13"/>
      <c r="B450" s="13"/>
      <c r="C450" s="169" t="s">
        <v>485</v>
      </c>
      <c r="D450" s="14" t="s">
        <v>20</v>
      </c>
      <c r="E450" s="15"/>
      <c r="F450" s="16">
        <v>0.0</v>
      </c>
      <c r="G450" s="17">
        <v>100.0</v>
      </c>
      <c r="H450" s="17">
        <f t="shared" si="16"/>
        <v>0</v>
      </c>
      <c r="I450" s="18"/>
      <c r="J450" s="17"/>
      <c r="K450" s="13"/>
      <c r="L450" s="63"/>
      <c r="M450" s="79"/>
      <c r="N450" s="63"/>
      <c r="O450" s="79"/>
      <c r="P450" s="79"/>
      <c r="Q450" s="35"/>
      <c r="R450" s="35"/>
      <c r="S450" s="35"/>
      <c r="T450" s="1"/>
      <c r="U450" s="1"/>
      <c r="V450" s="1"/>
    </row>
    <row r="451" ht="15.75" hidden="1" customHeight="1">
      <c r="A451" s="13"/>
      <c r="B451" s="13"/>
      <c r="C451" s="13" t="s">
        <v>486</v>
      </c>
      <c r="D451" s="46" t="s">
        <v>20</v>
      </c>
      <c r="E451" s="52"/>
      <c r="F451" s="48">
        <v>0.0</v>
      </c>
      <c r="G451" s="50">
        <v>30.0</v>
      </c>
      <c r="H451" s="50">
        <f t="shared" si="16"/>
        <v>0</v>
      </c>
      <c r="I451" s="50"/>
      <c r="J451" s="17"/>
      <c r="K451" s="13"/>
      <c r="L451" s="63"/>
      <c r="M451" s="79"/>
      <c r="N451" s="63"/>
      <c r="O451" s="79"/>
      <c r="P451" s="79"/>
      <c r="Q451" s="35"/>
      <c r="R451" s="35"/>
      <c r="S451" s="35"/>
      <c r="T451" s="1"/>
      <c r="U451" s="1"/>
      <c r="V451" s="1"/>
    </row>
    <row r="452" ht="15.75" hidden="1" customHeight="1">
      <c r="A452" s="13"/>
      <c r="B452" s="13"/>
      <c r="C452" s="13" t="s">
        <v>487</v>
      </c>
      <c r="D452" s="46" t="s">
        <v>20</v>
      </c>
      <c r="E452" s="52"/>
      <c r="F452" s="48">
        <v>0.0</v>
      </c>
      <c r="G452" s="50">
        <v>30.0</v>
      </c>
      <c r="H452" s="50">
        <f t="shared" si="16"/>
        <v>0</v>
      </c>
      <c r="I452" s="50"/>
      <c r="J452" s="17"/>
      <c r="K452" s="13"/>
      <c r="L452" s="63"/>
      <c r="M452" s="79"/>
      <c r="N452" s="63"/>
      <c r="O452" s="79"/>
      <c r="P452" s="79"/>
      <c r="Q452" s="35"/>
      <c r="R452" s="35"/>
      <c r="S452" s="35"/>
      <c r="T452" s="1"/>
      <c r="U452" s="1"/>
      <c r="V452" s="1"/>
    </row>
    <row r="453" ht="15.75" hidden="1" customHeight="1">
      <c r="A453" s="13"/>
      <c r="B453" s="13"/>
      <c r="C453" s="13" t="s">
        <v>488</v>
      </c>
      <c r="D453" s="14" t="s">
        <v>20</v>
      </c>
      <c r="E453" s="15"/>
      <c r="F453" s="16">
        <v>0.0</v>
      </c>
      <c r="G453" s="17">
        <v>850.0</v>
      </c>
      <c r="H453" s="17">
        <f t="shared" si="16"/>
        <v>0</v>
      </c>
      <c r="I453" s="18"/>
      <c r="J453" s="17"/>
      <c r="K453" s="13"/>
      <c r="L453" s="63"/>
      <c r="M453" s="79"/>
      <c r="N453" s="63"/>
      <c r="O453" s="79"/>
      <c r="P453" s="79"/>
      <c r="Q453" s="35"/>
      <c r="R453" s="35"/>
      <c r="S453" s="35"/>
      <c r="T453" s="1"/>
      <c r="U453" s="1"/>
      <c r="V453" s="1"/>
    </row>
    <row r="454" ht="15.75" hidden="1" customHeight="1">
      <c r="A454" s="13"/>
      <c r="B454" s="13"/>
      <c r="C454" s="13" t="s">
        <v>489</v>
      </c>
      <c r="D454" s="70" t="s">
        <v>24</v>
      </c>
      <c r="E454" s="15"/>
      <c r="F454" s="16">
        <v>0.0</v>
      </c>
      <c r="G454" s="17">
        <v>460.0</v>
      </c>
      <c r="H454" s="17">
        <f t="shared" si="16"/>
        <v>0</v>
      </c>
      <c r="I454" s="18"/>
      <c r="J454" s="17"/>
      <c r="K454" s="13"/>
      <c r="L454" s="63"/>
      <c r="M454" s="79"/>
      <c r="N454" s="63"/>
      <c r="O454" s="79"/>
      <c r="P454" s="79"/>
      <c r="Q454" s="35"/>
      <c r="R454" s="35"/>
      <c r="S454" s="35"/>
      <c r="T454" s="1"/>
      <c r="U454" s="1"/>
      <c r="V454" s="1"/>
    </row>
    <row r="455" ht="15.75" hidden="1" customHeight="1">
      <c r="A455" s="13"/>
      <c r="B455" s="13"/>
      <c r="C455" s="169" t="s">
        <v>490</v>
      </c>
      <c r="D455" s="66" t="s">
        <v>22</v>
      </c>
      <c r="E455" s="15"/>
      <c r="F455" s="16">
        <v>0.0</v>
      </c>
      <c r="G455" s="17">
        <v>0.0</v>
      </c>
      <c r="H455" s="17">
        <f t="shared" si="16"/>
        <v>0</v>
      </c>
      <c r="I455" s="18"/>
      <c r="J455" s="17"/>
      <c r="K455" s="13"/>
      <c r="L455" s="13"/>
      <c r="M455" s="19"/>
      <c r="N455" s="13"/>
      <c r="O455" s="19"/>
      <c r="P455" s="19"/>
      <c r="Q455" s="35"/>
      <c r="R455" s="35"/>
      <c r="S455" s="35"/>
      <c r="T455" s="1"/>
      <c r="U455" s="1"/>
      <c r="V455" s="1"/>
    </row>
    <row r="456" ht="15.75" hidden="1" customHeight="1">
      <c r="A456" s="13"/>
      <c r="B456" s="13" t="s">
        <v>18</v>
      </c>
      <c r="C456" s="169" t="s">
        <v>491</v>
      </c>
      <c r="D456" s="66" t="s">
        <v>22</v>
      </c>
      <c r="E456" s="15" t="s">
        <v>492</v>
      </c>
      <c r="F456" s="16">
        <v>0.0</v>
      </c>
      <c r="G456" s="248">
        <v>105.0</v>
      </c>
      <c r="H456" s="17">
        <f t="shared" si="16"/>
        <v>0</v>
      </c>
      <c r="I456" s="18"/>
      <c r="J456" s="18"/>
      <c r="K456" s="13"/>
      <c r="L456" s="13"/>
      <c r="M456" s="19"/>
      <c r="N456" s="13"/>
      <c r="O456" s="19"/>
      <c r="P456" s="19"/>
      <c r="Q456" s="35"/>
      <c r="R456" s="35"/>
      <c r="S456" s="35"/>
      <c r="T456" s="1"/>
      <c r="U456" s="1"/>
      <c r="V456" s="1"/>
    </row>
    <row r="457" ht="15.75" hidden="1" customHeight="1">
      <c r="A457" s="13"/>
      <c r="B457" s="43" t="s">
        <v>350</v>
      </c>
      <c r="C457" s="169" t="s">
        <v>493</v>
      </c>
      <c r="D457" s="66" t="s">
        <v>22</v>
      </c>
      <c r="E457" s="154" t="s">
        <v>494</v>
      </c>
      <c r="F457" s="16">
        <v>0.0</v>
      </c>
      <c r="G457" s="227">
        <v>86.0</v>
      </c>
      <c r="H457" s="17">
        <f t="shared" si="16"/>
        <v>0</v>
      </c>
      <c r="I457" s="18"/>
      <c r="J457" s="18"/>
      <c r="K457" s="13"/>
      <c r="L457" s="13"/>
      <c r="M457" s="19"/>
      <c r="N457" s="13"/>
      <c r="O457" s="19"/>
      <c r="P457" s="19"/>
      <c r="Q457" s="35"/>
      <c r="R457" s="35"/>
      <c r="S457" s="35"/>
      <c r="T457" s="1"/>
      <c r="U457" s="1"/>
      <c r="V457" s="1"/>
    </row>
    <row r="458" ht="15.75" hidden="1" customHeight="1">
      <c r="A458" s="13"/>
      <c r="B458" s="13"/>
      <c r="C458" s="169" t="s">
        <v>495</v>
      </c>
      <c r="D458" s="66" t="s">
        <v>22</v>
      </c>
      <c r="E458" s="15"/>
      <c r="F458" s="16">
        <v>0.0</v>
      </c>
      <c r="G458" s="249">
        <v>70.0</v>
      </c>
      <c r="H458" s="17">
        <f t="shared" si="16"/>
        <v>0</v>
      </c>
      <c r="I458" s="18"/>
      <c r="J458" s="18"/>
      <c r="K458" s="13"/>
      <c r="L458" s="13"/>
      <c r="M458" s="19"/>
      <c r="N458" s="13"/>
      <c r="O458" s="19"/>
      <c r="P458" s="19"/>
      <c r="Q458" s="35"/>
      <c r="R458" s="35"/>
      <c r="S458" s="35"/>
      <c r="T458" s="1"/>
      <c r="U458" s="1"/>
      <c r="V458" s="1"/>
    </row>
    <row r="459" ht="15.75" hidden="1" customHeight="1">
      <c r="A459" s="13"/>
      <c r="B459" s="13" t="s">
        <v>18</v>
      </c>
      <c r="C459" s="169" t="s">
        <v>496</v>
      </c>
      <c r="D459" s="66" t="s">
        <v>22</v>
      </c>
      <c r="E459" s="15" t="s">
        <v>497</v>
      </c>
      <c r="F459" s="16">
        <v>0.0</v>
      </c>
      <c r="G459" s="249">
        <v>15.0</v>
      </c>
      <c r="H459" s="17">
        <f t="shared" si="16"/>
        <v>0</v>
      </c>
      <c r="I459" s="18"/>
      <c r="J459" s="18"/>
      <c r="K459" s="13"/>
      <c r="L459" s="27"/>
      <c r="M459" s="28"/>
      <c r="N459" s="27"/>
      <c r="O459" s="28"/>
      <c r="P459" s="27"/>
      <c r="Q459" s="35"/>
      <c r="R459" s="35"/>
      <c r="S459" s="35"/>
      <c r="T459" s="1"/>
      <c r="U459" s="1"/>
      <c r="V459" s="1"/>
    </row>
    <row r="460" ht="15.75" customHeight="1">
      <c r="A460" s="13"/>
      <c r="B460" s="13" t="s">
        <v>18</v>
      </c>
      <c r="C460" s="169" t="s">
        <v>370</v>
      </c>
      <c r="D460" s="14" t="s">
        <v>20</v>
      </c>
      <c r="E460" s="15">
        <v>8.49069896E8</v>
      </c>
      <c r="F460" s="16">
        <v>1.0</v>
      </c>
      <c r="G460" s="17">
        <v>5.0</v>
      </c>
      <c r="H460" s="17">
        <f t="shared" si="16"/>
        <v>5</v>
      </c>
      <c r="I460" s="18"/>
      <c r="J460" s="18"/>
      <c r="K460" s="13"/>
      <c r="L460" s="27"/>
      <c r="M460" s="28"/>
      <c r="N460" s="27"/>
      <c r="O460" s="28"/>
      <c r="P460" s="27"/>
      <c r="Q460" s="35"/>
      <c r="R460" s="35"/>
      <c r="S460" s="35"/>
      <c r="T460" s="1"/>
      <c r="U460" s="1"/>
      <c r="V460" s="1"/>
    </row>
    <row r="461" ht="15.75" hidden="1" customHeight="1">
      <c r="A461" s="13"/>
      <c r="B461" s="231" t="s">
        <v>350</v>
      </c>
      <c r="C461" s="169" t="s">
        <v>427</v>
      </c>
      <c r="D461" s="66" t="s">
        <v>22</v>
      </c>
      <c r="E461" s="231" t="s">
        <v>428</v>
      </c>
      <c r="F461" s="16">
        <v>0.0</v>
      </c>
      <c r="G461" s="235">
        <v>107.5</v>
      </c>
      <c r="H461" s="17">
        <f t="shared" si="16"/>
        <v>0</v>
      </c>
      <c r="I461" s="18"/>
      <c r="J461" s="18"/>
      <c r="K461" s="13"/>
      <c r="L461" s="27"/>
      <c r="M461" s="28"/>
      <c r="N461" s="27"/>
      <c r="O461" s="28"/>
      <c r="P461" s="27"/>
      <c r="Q461" s="35"/>
      <c r="R461" s="35"/>
      <c r="S461" s="35"/>
      <c r="T461" s="1"/>
      <c r="U461" s="1"/>
      <c r="V461" s="1"/>
    </row>
    <row r="462" ht="15.75" hidden="1" customHeight="1">
      <c r="A462" s="13"/>
      <c r="B462" s="231" t="s">
        <v>350</v>
      </c>
      <c r="C462" s="169" t="s">
        <v>429</v>
      </c>
      <c r="D462" s="66" t="s">
        <v>22</v>
      </c>
      <c r="E462" s="15"/>
      <c r="F462" s="16">
        <v>0.0</v>
      </c>
      <c r="G462" s="235">
        <v>97.0</v>
      </c>
      <c r="H462" s="17">
        <f t="shared" si="16"/>
        <v>0</v>
      </c>
      <c r="I462" s="18"/>
      <c r="J462" s="18"/>
      <c r="K462" s="13"/>
      <c r="L462" s="27"/>
      <c r="M462" s="28"/>
      <c r="N462" s="27"/>
      <c r="O462" s="28"/>
      <c r="P462" s="27"/>
      <c r="Q462" s="35"/>
      <c r="R462" s="35"/>
      <c r="S462" s="35"/>
      <c r="T462" s="1"/>
      <c r="U462" s="1"/>
      <c r="V462" s="1"/>
    </row>
    <row r="463" ht="15.75" customHeight="1">
      <c r="A463" s="13"/>
      <c r="B463" s="13" t="s">
        <v>18</v>
      </c>
      <c r="C463" s="169" t="s">
        <v>371</v>
      </c>
      <c r="D463" s="14" t="s">
        <v>20</v>
      </c>
      <c r="E463" s="15" t="s">
        <v>286</v>
      </c>
      <c r="F463" s="16">
        <v>2.0</v>
      </c>
      <c r="G463" s="17">
        <v>3.0</v>
      </c>
      <c r="H463" s="17">
        <f t="shared" si="16"/>
        <v>6</v>
      </c>
      <c r="I463" s="18"/>
      <c r="J463" s="18"/>
      <c r="K463" s="13"/>
      <c r="L463" s="27"/>
      <c r="M463" s="28"/>
      <c r="N463" s="27"/>
      <c r="O463" s="28"/>
      <c r="P463" s="27"/>
      <c r="Q463" s="35"/>
      <c r="R463" s="35"/>
      <c r="S463" s="35"/>
      <c r="T463" s="1"/>
      <c r="U463" s="1"/>
      <c r="V463" s="1"/>
    </row>
    <row r="464" ht="15.75" hidden="1" customHeight="1">
      <c r="A464" s="13"/>
      <c r="B464" s="13" t="s">
        <v>18</v>
      </c>
      <c r="C464" s="169" t="s">
        <v>500</v>
      </c>
      <c r="D464" s="14" t="s">
        <v>20</v>
      </c>
      <c r="E464" s="15"/>
      <c r="F464" s="16">
        <v>0.0</v>
      </c>
      <c r="G464" s="17">
        <v>5.0</v>
      </c>
      <c r="H464" s="17">
        <f t="shared" si="16"/>
        <v>0</v>
      </c>
      <c r="I464" s="18"/>
      <c r="J464" s="17"/>
      <c r="K464" s="17"/>
      <c r="L464" s="13"/>
      <c r="M464" s="19"/>
      <c r="N464" s="13"/>
      <c r="O464" s="19"/>
      <c r="P464" s="19"/>
      <c r="Q464" s="35"/>
      <c r="R464" s="35"/>
      <c r="S464" s="35"/>
      <c r="T464" s="1"/>
      <c r="U464" s="1"/>
      <c r="V464" s="1"/>
    </row>
    <row r="465" ht="15.75" hidden="1" customHeight="1">
      <c r="A465" s="13"/>
      <c r="B465" s="13"/>
      <c r="C465" s="169" t="s">
        <v>501</v>
      </c>
      <c r="D465" s="70" t="s">
        <v>24</v>
      </c>
      <c r="E465" s="15"/>
      <c r="F465" s="16">
        <v>0.0</v>
      </c>
      <c r="G465" s="17">
        <v>210.0</v>
      </c>
      <c r="H465" s="17">
        <f t="shared" si="16"/>
        <v>0</v>
      </c>
      <c r="I465" s="18"/>
      <c r="J465" s="17"/>
      <c r="K465" s="13"/>
      <c r="L465" s="63"/>
      <c r="M465" s="79"/>
      <c r="N465" s="63"/>
      <c r="O465" s="79"/>
      <c r="P465" s="79"/>
      <c r="Q465" s="35"/>
      <c r="R465" s="35"/>
      <c r="S465" s="35"/>
      <c r="T465" s="1"/>
      <c r="U465" s="1"/>
      <c r="V465" s="1"/>
    </row>
    <row r="466" ht="15.75" hidden="1" customHeight="1">
      <c r="A466" s="13"/>
      <c r="B466" s="13" t="s">
        <v>18</v>
      </c>
      <c r="C466" s="169" t="s">
        <v>502</v>
      </c>
      <c r="D466" s="66" t="s">
        <v>22</v>
      </c>
      <c r="E466" s="15"/>
      <c r="F466" s="16">
        <v>0.0</v>
      </c>
      <c r="G466" s="17">
        <v>0.0</v>
      </c>
      <c r="H466" s="17">
        <f t="shared" si="16"/>
        <v>0</v>
      </c>
      <c r="I466" s="18"/>
      <c r="J466" s="17"/>
      <c r="K466" s="13"/>
      <c r="L466" s="13"/>
      <c r="M466" s="19"/>
      <c r="N466" s="13"/>
      <c r="O466" s="19"/>
      <c r="P466" s="19"/>
      <c r="Q466" s="35"/>
      <c r="R466" s="35"/>
      <c r="S466" s="35"/>
      <c r="T466" s="1"/>
      <c r="U466" s="1"/>
      <c r="V466" s="1"/>
    </row>
    <row r="467" ht="15.75" hidden="1" customHeight="1">
      <c r="A467" s="13"/>
      <c r="B467" s="13" t="s">
        <v>18</v>
      </c>
      <c r="C467" s="169" t="s">
        <v>283</v>
      </c>
      <c r="D467" s="14" t="s">
        <v>20</v>
      </c>
      <c r="E467" s="15" t="s">
        <v>284</v>
      </c>
      <c r="F467" s="16">
        <v>0.0</v>
      </c>
      <c r="G467" s="17">
        <v>12.0</v>
      </c>
      <c r="H467" s="17">
        <f t="shared" si="16"/>
        <v>0</v>
      </c>
      <c r="I467" s="18"/>
      <c r="J467" s="18"/>
      <c r="K467" s="13"/>
      <c r="L467" s="63"/>
      <c r="M467" s="63"/>
      <c r="N467" s="63"/>
      <c r="O467" s="63"/>
      <c r="P467" s="63"/>
      <c r="Q467" s="35"/>
      <c r="R467" s="35"/>
      <c r="S467" s="35"/>
      <c r="T467" s="1"/>
      <c r="U467" s="1"/>
      <c r="V467" s="1"/>
    </row>
    <row r="468" ht="15.75" hidden="1" customHeight="1">
      <c r="A468" s="13"/>
      <c r="B468" s="13"/>
      <c r="C468" s="13" t="s">
        <v>221</v>
      </c>
      <c r="D468" s="213" t="s">
        <v>24</v>
      </c>
      <c r="E468" s="52"/>
      <c r="F468" s="48">
        <v>0.0</v>
      </c>
      <c r="G468" s="50">
        <v>50.0</v>
      </c>
      <c r="H468" s="50">
        <f t="shared" si="16"/>
        <v>0</v>
      </c>
      <c r="I468" s="18"/>
      <c r="J468" s="18"/>
      <c r="K468" s="13"/>
      <c r="L468" s="63"/>
      <c r="M468" s="63"/>
      <c r="N468" s="63"/>
      <c r="O468" s="63"/>
      <c r="P468" s="63"/>
      <c r="Q468" s="35"/>
      <c r="R468" s="35"/>
      <c r="S468" s="35"/>
      <c r="T468" s="1"/>
      <c r="U468" s="1"/>
      <c r="V468" s="1"/>
    </row>
    <row r="469" ht="15.75" hidden="1" customHeight="1">
      <c r="A469" s="13"/>
      <c r="B469" s="13"/>
      <c r="C469" s="206" t="s">
        <v>222</v>
      </c>
      <c r="D469" s="216" t="s">
        <v>24</v>
      </c>
      <c r="E469" s="54"/>
      <c r="F469" s="56">
        <v>0.0</v>
      </c>
      <c r="G469" s="57">
        <v>40.0</v>
      </c>
      <c r="H469" s="57">
        <f t="shared" si="16"/>
        <v>0</v>
      </c>
      <c r="I469" s="18"/>
      <c r="J469" s="18"/>
      <c r="K469" s="13"/>
      <c r="L469" s="63"/>
      <c r="M469" s="63"/>
      <c r="N469" s="63"/>
      <c r="O469" s="63"/>
      <c r="P469" s="63"/>
      <c r="Q469" s="35"/>
      <c r="R469" s="35"/>
      <c r="S469" s="35"/>
      <c r="T469" s="1"/>
      <c r="U469" s="1"/>
      <c r="V469" s="1"/>
    </row>
    <row r="470" ht="15.75" hidden="1" customHeight="1">
      <c r="A470" s="13"/>
      <c r="B470" s="13"/>
      <c r="C470" s="169" t="s">
        <v>374</v>
      </c>
      <c r="D470" s="70" t="s">
        <v>24</v>
      </c>
      <c r="E470" s="15"/>
      <c r="F470" s="16">
        <v>0.0</v>
      </c>
      <c r="G470" s="17">
        <v>210.0</v>
      </c>
      <c r="H470" s="17">
        <f t="shared" si="16"/>
        <v>0</v>
      </c>
      <c r="I470" s="18"/>
      <c r="J470" s="18"/>
      <c r="K470" s="13"/>
      <c r="L470" s="63"/>
      <c r="M470" s="63"/>
      <c r="N470" s="63"/>
      <c r="O470" s="63"/>
      <c r="P470" s="63"/>
      <c r="Q470" s="35"/>
      <c r="R470" s="35"/>
      <c r="S470" s="35"/>
      <c r="T470" s="1"/>
      <c r="U470" s="1"/>
      <c r="V470" s="1"/>
    </row>
    <row r="471" ht="15.75" hidden="1" customHeight="1">
      <c r="A471" s="13"/>
      <c r="B471" s="13" t="s">
        <v>373</v>
      </c>
      <c r="C471" s="169" t="s">
        <v>372</v>
      </c>
      <c r="D471" s="14" t="s">
        <v>20</v>
      </c>
      <c r="E471" s="15"/>
      <c r="F471" s="16">
        <v>0.0</v>
      </c>
      <c r="G471" s="17">
        <v>70.0</v>
      </c>
      <c r="H471" s="17">
        <f t="shared" si="16"/>
        <v>0</v>
      </c>
      <c r="I471" s="18"/>
      <c r="J471" s="18"/>
      <c r="K471" s="13"/>
      <c r="L471" s="13"/>
      <c r="M471" s="13"/>
      <c r="N471" s="13"/>
      <c r="O471" s="13"/>
      <c r="P471" s="13"/>
      <c r="Q471" s="35"/>
      <c r="R471" s="35"/>
      <c r="S471" s="35"/>
      <c r="T471" s="1"/>
      <c r="U471" s="1"/>
      <c r="V471" s="1"/>
    </row>
    <row r="472" ht="15.75" hidden="1" customHeight="1">
      <c r="A472" s="13"/>
      <c r="B472" s="13" t="s">
        <v>18</v>
      </c>
      <c r="C472" s="169" t="s">
        <v>503</v>
      </c>
      <c r="D472" s="14" t="s">
        <v>20</v>
      </c>
      <c r="E472" s="15"/>
      <c r="F472" s="16">
        <v>0.0</v>
      </c>
      <c r="G472" s="17">
        <v>50.0</v>
      </c>
      <c r="H472" s="17">
        <f t="shared" si="16"/>
        <v>0</v>
      </c>
      <c r="I472" s="18"/>
      <c r="J472" s="17"/>
      <c r="K472" s="13"/>
      <c r="L472" s="13"/>
      <c r="M472" s="13"/>
      <c r="N472" s="13"/>
      <c r="O472" s="13"/>
      <c r="P472" s="13"/>
      <c r="Q472" s="35"/>
      <c r="R472" s="35"/>
      <c r="S472" s="35"/>
      <c r="T472" s="1"/>
      <c r="U472" s="1"/>
      <c r="V472" s="1"/>
    </row>
    <row r="473" ht="15.75" hidden="1" customHeight="1">
      <c r="A473" s="13"/>
      <c r="B473" s="13"/>
      <c r="C473" s="169" t="s">
        <v>504</v>
      </c>
      <c r="D473" s="70" t="s">
        <v>24</v>
      </c>
      <c r="E473" s="15"/>
      <c r="F473" s="16">
        <v>0.0</v>
      </c>
      <c r="G473" s="17">
        <v>50.0</v>
      </c>
      <c r="H473" s="17">
        <f t="shared" si="16"/>
        <v>0</v>
      </c>
      <c r="I473" s="18"/>
      <c r="J473" s="17"/>
      <c r="K473" s="13"/>
      <c r="L473" s="13"/>
      <c r="M473" s="13"/>
      <c r="N473" s="13"/>
      <c r="O473" s="13"/>
      <c r="P473" s="13"/>
      <c r="Q473" s="35"/>
      <c r="R473" s="35"/>
      <c r="S473" s="35"/>
      <c r="T473" s="1"/>
      <c r="U473" s="1"/>
      <c r="V473" s="1"/>
    </row>
    <row r="474" ht="15.75" hidden="1" customHeight="1">
      <c r="A474" s="13"/>
      <c r="B474" s="13"/>
      <c r="C474" s="169" t="s">
        <v>505</v>
      </c>
      <c r="D474" s="70" t="s">
        <v>24</v>
      </c>
      <c r="E474" s="15"/>
      <c r="F474" s="16">
        <v>0.0</v>
      </c>
      <c r="G474" s="17">
        <v>120.0</v>
      </c>
      <c r="H474" s="17">
        <f t="shared" si="16"/>
        <v>0</v>
      </c>
      <c r="I474" s="18"/>
      <c r="J474" s="17"/>
      <c r="K474" s="13"/>
      <c r="L474" s="63"/>
      <c r="M474" s="63"/>
      <c r="N474" s="63"/>
      <c r="O474" s="63"/>
      <c r="P474" s="63"/>
      <c r="Q474" s="35"/>
      <c r="R474" s="35"/>
      <c r="S474" s="35"/>
      <c r="T474" s="1"/>
      <c r="U474" s="1"/>
      <c r="V474" s="1"/>
    </row>
    <row r="475" ht="15.75" hidden="1" customHeight="1">
      <c r="A475" s="13"/>
      <c r="B475" s="13"/>
      <c r="C475" s="169" t="s">
        <v>506</v>
      </c>
      <c r="D475" s="70" t="s">
        <v>24</v>
      </c>
      <c r="E475" s="15"/>
      <c r="F475" s="16">
        <v>0.0</v>
      </c>
      <c r="G475" s="17">
        <v>80.0</v>
      </c>
      <c r="H475" s="17">
        <f t="shared" si="16"/>
        <v>0</v>
      </c>
      <c r="I475" s="18"/>
      <c r="J475" s="17"/>
      <c r="K475" s="13"/>
      <c r="L475" s="63"/>
      <c r="M475" s="63"/>
      <c r="N475" s="63"/>
      <c r="O475" s="63"/>
      <c r="P475" s="63"/>
      <c r="Q475" s="35"/>
      <c r="R475" s="35"/>
      <c r="S475" s="35"/>
      <c r="T475" s="1"/>
      <c r="U475" s="1"/>
      <c r="V475" s="1"/>
    </row>
    <row r="476" ht="15.75" hidden="1" customHeight="1">
      <c r="A476" s="13"/>
      <c r="B476" s="13"/>
      <c r="C476" s="169" t="s">
        <v>507</v>
      </c>
      <c r="D476" s="14" t="s">
        <v>20</v>
      </c>
      <c r="E476" s="15"/>
      <c r="F476" s="16">
        <v>0.0</v>
      </c>
      <c r="G476" s="17">
        <v>300.0</v>
      </c>
      <c r="H476" s="17">
        <f t="shared" si="16"/>
        <v>0</v>
      </c>
      <c r="I476" s="18"/>
      <c r="J476" s="17"/>
      <c r="K476" s="13"/>
      <c r="L476" s="63"/>
      <c r="M476" s="63"/>
      <c r="N476" s="63"/>
      <c r="O476" s="63"/>
      <c r="P476" s="63"/>
      <c r="Q476" s="35"/>
      <c r="R476" s="35"/>
      <c r="S476" s="35"/>
      <c r="T476" s="1"/>
      <c r="U476" s="1"/>
      <c r="V476" s="1"/>
    </row>
    <row r="477" ht="15.75" hidden="1" customHeight="1">
      <c r="A477" s="13"/>
      <c r="B477" s="13"/>
      <c r="C477" s="169" t="s">
        <v>508</v>
      </c>
      <c r="D477" s="70" t="s">
        <v>24</v>
      </c>
      <c r="E477" s="15"/>
      <c r="F477" s="16">
        <v>0.0</v>
      </c>
      <c r="G477" s="17">
        <v>290.0</v>
      </c>
      <c r="H477" s="17">
        <f t="shared" si="16"/>
        <v>0</v>
      </c>
      <c r="I477" s="18"/>
      <c r="J477" s="17"/>
      <c r="K477" s="13"/>
      <c r="L477" s="63"/>
      <c r="M477" s="63"/>
      <c r="N477" s="63"/>
      <c r="O477" s="63"/>
      <c r="P477" s="63"/>
      <c r="Q477" s="35"/>
      <c r="R477" s="35"/>
      <c r="S477" s="35"/>
      <c r="T477" s="1"/>
      <c r="U477" s="1"/>
      <c r="V477" s="1"/>
    </row>
    <row r="478" ht="15.75" hidden="1" customHeight="1">
      <c r="A478" s="13"/>
      <c r="B478" s="13"/>
      <c r="C478" s="13" t="s">
        <v>509</v>
      </c>
      <c r="D478" s="46" t="s">
        <v>20</v>
      </c>
      <c r="E478" s="52"/>
      <c r="F478" s="48">
        <v>0.0</v>
      </c>
      <c r="G478" s="50">
        <v>30.0</v>
      </c>
      <c r="H478" s="50">
        <f t="shared" si="16"/>
        <v>0</v>
      </c>
      <c r="I478" s="50"/>
      <c r="J478" s="17"/>
      <c r="K478" s="13"/>
      <c r="L478" s="63"/>
      <c r="M478" s="63"/>
      <c r="N478" s="63"/>
      <c r="O478" s="63"/>
      <c r="P478" s="63"/>
      <c r="Q478" s="35"/>
      <c r="R478" s="35"/>
      <c r="S478" s="35"/>
      <c r="T478" s="1"/>
      <c r="U478" s="1"/>
      <c r="V478" s="1"/>
    </row>
    <row r="479" ht="15.75" hidden="1" customHeight="1">
      <c r="A479" s="13"/>
      <c r="B479" s="13"/>
      <c r="C479" s="206" t="s">
        <v>510</v>
      </c>
      <c r="D479" s="216" t="s">
        <v>24</v>
      </c>
      <c r="E479" s="54"/>
      <c r="F479" s="56">
        <v>0.0</v>
      </c>
      <c r="G479" s="57">
        <v>70.0</v>
      </c>
      <c r="H479" s="57">
        <f t="shared" si="16"/>
        <v>0</v>
      </c>
      <c r="I479" s="57"/>
      <c r="J479" s="17"/>
      <c r="K479" s="13"/>
      <c r="L479" s="63"/>
      <c r="M479" s="63"/>
      <c r="N479" s="63"/>
      <c r="O479" s="63"/>
      <c r="P479" s="63"/>
      <c r="Q479" s="35"/>
      <c r="R479" s="35"/>
      <c r="S479" s="35"/>
      <c r="T479" s="1"/>
      <c r="U479" s="1"/>
      <c r="V479" s="1"/>
    </row>
    <row r="480" ht="15.75" hidden="1" customHeight="1">
      <c r="A480" s="13"/>
      <c r="B480" s="13"/>
      <c r="C480" s="13" t="s">
        <v>511</v>
      </c>
      <c r="D480" s="46" t="s">
        <v>20</v>
      </c>
      <c r="E480" s="52"/>
      <c r="F480" s="48">
        <v>0.0</v>
      </c>
      <c r="G480" s="50">
        <v>368.0</v>
      </c>
      <c r="H480" s="50">
        <f t="shared" si="16"/>
        <v>0</v>
      </c>
      <c r="I480" s="50"/>
      <c r="J480" s="17"/>
      <c r="K480" s="13"/>
      <c r="L480" s="63"/>
      <c r="M480" s="63"/>
      <c r="N480" s="63"/>
      <c r="O480" s="63"/>
      <c r="P480" s="63"/>
      <c r="Q480" s="35"/>
      <c r="R480" s="35"/>
      <c r="S480" s="35"/>
      <c r="T480" s="1"/>
      <c r="U480" s="1"/>
      <c r="V480" s="1"/>
    </row>
    <row r="481" ht="15.75" hidden="1" customHeight="1">
      <c r="A481" s="13"/>
      <c r="B481" s="13"/>
      <c r="C481" s="206" t="s">
        <v>512</v>
      </c>
      <c r="D481" s="55" t="s">
        <v>20</v>
      </c>
      <c r="E481" s="54"/>
      <c r="F481" s="56">
        <v>0.0</v>
      </c>
      <c r="G481" s="57">
        <v>183.0</v>
      </c>
      <c r="H481" s="57">
        <f t="shared" si="16"/>
        <v>0</v>
      </c>
      <c r="I481" s="57"/>
      <c r="J481" s="17"/>
      <c r="K481" s="13"/>
      <c r="L481" s="63"/>
      <c r="M481" s="63"/>
      <c r="N481" s="63"/>
      <c r="O481" s="63"/>
      <c r="P481" s="63"/>
      <c r="Q481" s="35"/>
      <c r="R481" s="35"/>
      <c r="S481" s="35"/>
      <c r="T481" s="1"/>
      <c r="U481" s="1"/>
      <c r="V481" s="1"/>
    </row>
    <row r="482" ht="15.75" hidden="1" customHeight="1">
      <c r="A482" s="13"/>
      <c r="B482" s="13"/>
      <c r="C482" s="250" t="s">
        <v>513</v>
      </c>
      <c r="D482" s="55" t="s">
        <v>20</v>
      </c>
      <c r="E482" s="54"/>
      <c r="F482" s="56">
        <v>0.0</v>
      </c>
      <c r="G482" s="57">
        <v>45.0</v>
      </c>
      <c r="H482" s="57">
        <f t="shared" si="16"/>
        <v>0</v>
      </c>
      <c r="I482" s="57"/>
      <c r="J482" s="17"/>
      <c r="K482" s="13"/>
      <c r="L482" s="63"/>
      <c r="M482" s="63"/>
      <c r="N482" s="63"/>
      <c r="O482" s="63"/>
      <c r="P482" s="63"/>
      <c r="Q482" s="35"/>
      <c r="R482" s="35"/>
      <c r="S482" s="35"/>
      <c r="T482" s="1"/>
      <c r="U482" s="1"/>
      <c r="V482" s="1"/>
    </row>
    <row r="483" ht="15.75" hidden="1" customHeight="1">
      <c r="A483" s="13"/>
      <c r="B483" s="13"/>
      <c r="C483" s="250" t="s">
        <v>514</v>
      </c>
      <c r="D483" s="55" t="s">
        <v>20</v>
      </c>
      <c r="E483" s="54"/>
      <c r="F483" s="56">
        <v>0.0</v>
      </c>
      <c r="G483" s="57">
        <v>60.0</v>
      </c>
      <c r="H483" s="57">
        <f t="shared" si="16"/>
        <v>0</v>
      </c>
      <c r="I483" s="57"/>
      <c r="J483" s="17"/>
      <c r="K483" s="13"/>
      <c r="L483" s="63"/>
      <c r="M483" s="63"/>
      <c r="N483" s="63"/>
      <c r="O483" s="63"/>
      <c r="P483" s="63"/>
      <c r="Q483" s="35"/>
      <c r="R483" s="35"/>
      <c r="S483" s="35"/>
      <c r="T483" s="1"/>
      <c r="U483" s="1"/>
      <c r="V483" s="1"/>
    </row>
    <row r="484" ht="15.75" hidden="1" customHeight="1">
      <c r="A484" s="13"/>
      <c r="B484" s="13"/>
      <c r="C484" s="251" t="s">
        <v>515</v>
      </c>
      <c r="D484" s="216" t="s">
        <v>24</v>
      </c>
      <c r="E484" s="54"/>
      <c r="F484" s="56">
        <v>0.0</v>
      </c>
      <c r="G484" s="57">
        <v>290.0</v>
      </c>
      <c r="H484" s="57">
        <f t="shared" si="16"/>
        <v>0</v>
      </c>
      <c r="I484" s="57"/>
      <c r="J484" s="17"/>
      <c r="K484" s="13"/>
      <c r="L484" s="63"/>
      <c r="M484" s="63"/>
      <c r="N484" s="63"/>
      <c r="O484" s="63"/>
      <c r="P484" s="63"/>
      <c r="Q484" s="35"/>
      <c r="R484" s="35"/>
      <c r="S484" s="35"/>
      <c r="T484" s="1"/>
      <c r="U484" s="1"/>
      <c r="V484" s="1"/>
    </row>
    <row r="485" ht="15.75" hidden="1" customHeight="1">
      <c r="A485" s="13"/>
      <c r="B485" s="13"/>
      <c r="C485" s="13" t="s">
        <v>71</v>
      </c>
      <c r="D485" s="213" t="s">
        <v>24</v>
      </c>
      <c r="E485" s="52"/>
      <c r="F485" s="56">
        <v>0.0</v>
      </c>
      <c r="G485" s="50">
        <v>80.0</v>
      </c>
      <c r="H485" s="50">
        <f t="shared" si="16"/>
        <v>0</v>
      </c>
      <c r="I485" s="57"/>
      <c r="J485" s="17"/>
      <c r="K485" s="13"/>
      <c r="L485" s="63"/>
      <c r="M485" s="63"/>
      <c r="N485" s="63"/>
      <c r="O485" s="63"/>
      <c r="P485" s="63"/>
      <c r="Q485" s="35"/>
      <c r="R485" s="35"/>
      <c r="S485" s="35"/>
      <c r="T485" s="1"/>
      <c r="U485" s="1"/>
      <c r="V485" s="1"/>
    </row>
    <row r="486" ht="15.75" hidden="1" customHeight="1">
      <c r="A486" s="13"/>
      <c r="B486" s="13"/>
      <c r="C486" s="169" t="s">
        <v>516</v>
      </c>
      <c r="D486" s="46" t="s">
        <v>20</v>
      </c>
      <c r="E486" s="52"/>
      <c r="F486" s="48">
        <v>0.0</v>
      </c>
      <c r="G486" s="50">
        <v>300.0</v>
      </c>
      <c r="H486" s="50">
        <f t="shared" si="16"/>
        <v>0</v>
      </c>
      <c r="I486" s="57"/>
      <c r="J486" s="17"/>
      <c r="K486" s="13"/>
      <c r="L486" s="63"/>
      <c r="M486" s="63"/>
      <c r="N486" s="63"/>
      <c r="O486" s="63"/>
      <c r="P486" s="63"/>
      <c r="Q486" s="35"/>
      <c r="R486" s="35"/>
      <c r="S486" s="35"/>
      <c r="T486" s="1"/>
      <c r="U486" s="1"/>
      <c r="V486" s="1"/>
    </row>
    <row r="487" ht="15.75" hidden="1" customHeight="1">
      <c r="A487" s="13"/>
      <c r="B487" s="13"/>
      <c r="C487" s="244" t="s">
        <v>517</v>
      </c>
      <c r="D487" s="216" t="s">
        <v>24</v>
      </c>
      <c r="E487" s="54"/>
      <c r="F487" s="56">
        <v>0.0</v>
      </c>
      <c r="G487" s="57">
        <v>900.0</v>
      </c>
      <c r="H487" s="50">
        <f t="shared" si="16"/>
        <v>0</v>
      </c>
      <c r="I487" s="57"/>
      <c r="J487" s="17"/>
      <c r="K487" s="13"/>
      <c r="L487" s="63"/>
      <c r="M487" s="63"/>
      <c r="N487" s="63"/>
      <c r="O487" s="63"/>
      <c r="P487" s="63"/>
      <c r="Q487" s="35"/>
      <c r="R487" s="35"/>
      <c r="S487" s="35"/>
      <c r="T487" s="1"/>
      <c r="U487" s="1"/>
      <c r="V487" s="1"/>
    </row>
    <row r="488" ht="15.75" hidden="1" customHeight="1">
      <c r="A488" s="13"/>
      <c r="B488" s="13"/>
      <c r="C488" s="169" t="s">
        <v>518</v>
      </c>
      <c r="D488" s="213" t="s">
        <v>24</v>
      </c>
      <c r="E488" s="52"/>
      <c r="F488" s="48">
        <v>0.0</v>
      </c>
      <c r="G488" s="50">
        <v>150.0</v>
      </c>
      <c r="H488" s="50">
        <f t="shared" si="16"/>
        <v>0</v>
      </c>
      <c r="I488" s="57"/>
      <c r="J488" s="17"/>
      <c r="K488" s="13"/>
      <c r="L488" s="63"/>
      <c r="M488" s="63"/>
      <c r="N488" s="63"/>
      <c r="O488" s="63"/>
      <c r="P488" s="63"/>
      <c r="Q488" s="35"/>
      <c r="R488" s="35"/>
      <c r="S488" s="35"/>
      <c r="T488" s="1"/>
      <c r="U488" s="1"/>
      <c r="V488" s="1"/>
    </row>
    <row r="489" ht="15.75" hidden="1" customHeight="1">
      <c r="A489" s="13"/>
      <c r="B489" s="13"/>
      <c r="C489" s="244" t="s">
        <v>519</v>
      </c>
      <c r="D489" s="55" t="s">
        <v>20</v>
      </c>
      <c r="E489" s="54"/>
      <c r="F489" s="56">
        <v>0.0</v>
      </c>
      <c r="G489" s="57">
        <v>60.0</v>
      </c>
      <c r="H489" s="57">
        <f t="shared" si="16"/>
        <v>0</v>
      </c>
      <c r="I489" s="57"/>
      <c r="J489" s="17"/>
      <c r="K489" s="13"/>
      <c r="L489" s="63"/>
      <c r="M489" s="63"/>
      <c r="N489" s="63"/>
      <c r="O489" s="63"/>
      <c r="P489" s="63"/>
      <c r="Q489" s="35"/>
      <c r="R489" s="35"/>
      <c r="S489" s="35"/>
      <c r="T489" s="1"/>
      <c r="U489" s="1"/>
      <c r="V489" s="1"/>
    </row>
    <row r="490" ht="15.75" hidden="1" customHeight="1">
      <c r="A490" s="13"/>
      <c r="B490" s="13"/>
      <c r="C490" s="244" t="s">
        <v>520</v>
      </c>
      <c r="D490" s="213" t="s">
        <v>24</v>
      </c>
      <c r="E490" s="54"/>
      <c r="F490" s="56">
        <v>0.0</v>
      </c>
      <c r="G490" s="57">
        <v>500.0</v>
      </c>
      <c r="H490" s="57">
        <f t="shared" si="16"/>
        <v>0</v>
      </c>
      <c r="I490" s="57"/>
      <c r="J490" s="17"/>
      <c r="K490" s="13"/>
      <c r="L490" s="63"/>
      <c r="M490" s="63"/>
      <c r="N490" s="63"/>
      <c r="O490" s="63"/>
      <c r="P490" s="63"/>
      <c r="Q490" s="35"/>
      <c r="R490" s="35"/>
      <c r="S490" s="35"/>
      <c r="T490" s="1"/>
      <c r="U490" s="1"/>
      <c r="V490" s="1"/>
    </row>
    <row r="491" ht="15.75" hidden="1" customHeight="1">
      <c r="A491" s="13"/>
      <c r="B491" s="13"/>
      <c r="C491" s="244" t="s">
        <v>521</v>
      </c>
      <c r="D491" s="55" t="s">
        <v>20</v>
      </c>
      <c r="E491" s="54"/>
      <c r="F491" s="56">
        <v>0.0</v>
      </c>
      <c r="G491" s="57">
        <v>130.0</v>
      </c>
      <c r="H491" s="57">
        <f t="shared" si="16"/>
        <v>0</v>
      </c>
      <c r="I491" s="57"/>
      <c r="J491" s="17"/>
      <c r="K491" s="13"/>
      <c r="L491" s="63"/>
      <c r="M491" s="63"/>
      <c r="N491" s="63"/>
      <c r="O491" s="63"/>
      <c r="P491" s="63"/>
      <c r="Q491" s="35"/>
      <c r="R491" s="35"/>
      <c r="S491" s="35"/>
      <c r="T491" s="1"/>
      <c r="U491" s="1"/>
      <c r="V491" s="1"/>
    </row>
    <row r="492" ht="15.75" hidden="1" customHeight="1">
      <c r="A492" s="15"/>
      <c r="B492" s="52"/>
      <c r="C492" s="196" t="s">
        <v>522</v>
      </c>
      <c r="D492" s="46" t="s">
        <v>20</v>
      </c>
      <c r="E492" s="52"/>
      <c r="F492" s="48">
        <v>0.0</v>
      </c>
      <c r="G492" s="50">
        <v>30.0</v>
      </c>
      <c r="H492" s="50">
        <f t="shared" si="16"/>
        <v>0</v>
      </c>
      <c r="I492" s="51"/>
      <c r="J492" s="51"/>
      <c r="K492" s="52"/>
      <c r="L492" s="52"/>
      <c r="M492" s="52"/>
      <c r="N492" s="52"/>
      <c r="O492" s="52"/>
      <c r="P492" s="52"/>
      <c r="Q492" s="1"/>
      <c r="R492" s="1"/>
      <c r="S492" s="1"/>
      <c r="T492" s="1"/>
      <c r="U492" s="1"/>
      <c r="V492" s="1"/>
    </row>
    <row r="493" ht="15.75" hidden="1" customHeight="1">
      <c r="A493" s="53"/>
      <c r="B493" s="54"/>
      <c r="C493" s="197" t="s">
        <v>523</v>
      </c>
      <c r="D493" s="216" t="s">
        <v>24</v>
      </c>
      <c r="E493" s="54"/>
      <c r="F493" s="56">
        <v>0.0</v>
      </c>
      <c r="G493" s="57">
        <v>25.0</v>
      </c>
      <c r="H493" s="57">
        <f t="shared" si="16"/>
        <v>0</v>
      </c>
      <c r="I493" s="58"/>
      <c r="J493" s="58"/>
      <c r="K493" s="54"/>
      <c r="L493" s="252"/>
      <c r="M493" s="252"/>
      <c r="N493" s="252"/>
      <c r="O493" s="252"/>
      <c r="P493" s="252"/>
      <c r="Q493" s="1"/>
      <c r="R493" s="1"/>
      <c r="S493" s="1"/>
      <c r="T493" s="1"/>
      <c r="U493" s="1"/>
      <c r="V493" s="1"/>
    </row>
    <row r="494" ht="15.75" hidden="1" customHeight="1">
      <c r="A494" s="53"/>
      <c r="B494" s="54"/>
      <c r="C494" s="197" t="s">
        <v>524</v>
      </c>
      <c r="D494" s="55" t="s">
        <v>20</v>
      </c>
      <c r="E494" s="54"/>
      <c r="F494" s="56">
        <v>0.0</v>
      </c>
      <c r="G494" s="57">
        <v>15.0</v>
      </c>
      <c r="H494" s="57">
        <f t="shared" si="16"/>
        <v>0</v>
      </c>
      <c r="I494" s="58"/>
      <c r="J494" s="58"/>
      <c r="K494" s="54"/>
      <c r="L494" s="54"/>
      <c r="M494" s="54"/>
      <c r="N494" s="54"/>
      <c r="O494" s="54"/>
      <c r="P494" s="54"/>
      <c r="Q494" s="1"/>
      <c r="R494" s="1"/>
      <c r="S494" s="1"/>
      <c r="T494" s="1"/>
      <c r="U494" s="1"/>
      <c r="V494" s="1"/>
    </row>
    <row r="495" ht="15.75" hidden="1" customHeight="1">
      <c r="A495" s="13"/>
      <c r="B495" s="13"/>
      <c r="C495" s="244" t="s">
        <v>525</v>
      </c>
      <c r="D495" s="213" t="s">
        <v>24</v>
      </c>
      <c r="E495" s="54"/>
      <c r="F495" s="56">
        <v>0.0</v>
      </c>
      <c r="G495" s="57">
        <v>60.0</v>
      </c>
      <c r="H495" s="57">
        <f t="shared" si="16"/>
        <v>0</v>
      </c>
      <c r="I495" s="57"/>
      <c r="J495" s="17"/>
      <c r="K495" s="13"/>
      <c r="L495" s="63"/>
      <c r="M495" s="63"/>
      <c r="N495" s="63"/>
      <c r="O495" s="63"/>
      <c r="P495" s="63"/>
      <c r="Q495" s="35"/>
      <c r="R495" s="35"/>
      <c r="S495" s="35"/>
      <c r="T495" s="1"/>
      <c r="U495" s="1"/>
      <c r="V495" s="1"/>
    </row>
    <row r="496" ht="15.75" hidden="1" customHeight="1">
      <c r="A496" s="13"/>
      <c r="B496" s="13"/>
      <c r="C496" s="244" t="s">
        <v>526</v>
      </c>
      <c r="D496" s="213" t="s">
        <v>24</v>
      </c>
      <c r="E496" s="54"/>
      <c r="F496" s="56">
        <v>0.0</v>
      </c>
      <c r="G496" s="57">
        <v>80.0</v>
      </c>
      <c r="H496" s="57">
        <f t="shared" si="16"/>
        <v>0</v>
      </c>
      <c r="I496" s="57"/>
      <c r="J496" s="17"/>
      <c r="K496" s="13"/>
      <c r="L496" s="63"/>
      <c r="M496" s="63"/>
      <c r="N496" s="63"/>
      <c r="O496" s="63"/>
      <c r="P496" s="63"/>
      <c r="Q496" s="35"/>
      <c r="R496" s="35"/>
      <c r="S496" s="35"/>
      <c r="T496" s="1"/>
      <c r="U496" s="1"/>
      <c r="V496" s="1"/>
    </row>
    <row r="497" ht="15.75" hidden="1" customHeight="1">
      <c r="A497" s="13"/>
      <c r="B497" s="13"/>
      <c r="C497" s="244" t="s">
        <v>527</v>
      </c>
      <c r="D497" s="46" t="s">
        <v>20</v>
      </c>
      <c r="E497" s="54"/>
      <c r="F497" s="56">
        <v>0.0</v>
      </c>
      <c r="G497" s="57">
        <v>5000.0</v>
      </c>
      <c r="H497" s="50">
        <f t="shared" si="16"/>
        <v>0</v>
      </c>
      <c r="I497" s="57"/>
      <c r="J497" s="17"/>
      <c r="K497" s="13"/>
      <c r="L497" s="63"/>
      <c r="M497" s="63"/>
      <c r="N497" s="63"/>
      <c r="O497" s="63"/>
      <c r="P497" s="63"/>
      <c r="Q497" s="35"/>
      <c r="R497" s="35"/>
      <c r="S497" s="35"/>
      <c r="T497" s="1"/>
      <c r="U497" s="1"/>
      <c r="V497" s="1"/>
    </row>
    <row r="498" ht="15.75" hidden="1" customHeight="1">
      <c r="A498" s="13"/>
      <c r="B498" s="13"/>
      <c r="C498" s="169" t="s">
        <v>528</v>
      </c>
      <c r="D498" s="213" t="s">
        <v>24</v>
      </c>
      <c r="E498" s="52" t="s">
        <v>529</v>
      </c>
      <c r="F498" s="48">
        <v>0.0</v>
      </c>
      <c r="G498" s="50">
        <v>2800.0</v>
      </c>
      <c r="H498" s="50">
        <f t="shared" si="16"/>
        <v>0</v>
      </c>
      <c r="I498" s="57"/>
      <c r="J498" s="17"/>
      <c r="K498" s="13"/>
      <c r="L498" s="63"/>
      <c r="M498" s="63"/>
      <c r="N498" s="63"/>
      <c r="O498" s="63"/>
      <c r="P498" s="63"/>
      <c r="Q498" s="35"/>
      <c r="R498" s="35"/>
      <c r="S498" s="35"/>
      <c r="T498" s="1"/>
      <c r="U498" s="1"/>
      <c r="V498" s="1"/>
    </row>
    <row r="499" ht="15.75" hidden="1" customHeight="1">
      <c r="A499" s="13"/>
      <c r="B499" s="13"/>
      <c r="C499" s="244" t="s">
        <v>530</v>
      </c>
      <c r="D499" s="216" t="s">
        <v>24</v>
      </c>
      <c r="E499" s="54"/>
      <c r="F499" s="56">
        <v>0.0</v>
      </c>
      <c r="G499" s="57">
        <v>2000.0</v>
      </c>
      <c r="H499" s="57">
        <f t="shared" si="16"/>
        <v>0</v>
      </c>
      <c r="I499" s="57"/>
      <c r="J499" s="17"/>
      <c r="K499" s="13"/>
      <c r="L499" s="63"/>
      <c r="M499" s="63"/>
      <c r="N499" s="63"/>
      <c r="O499" s="63"/>
      <c r="P499" s="63"/>
      <c r="Q499" s="35"/>
      <c r="R499" s="35"/>
      <c r="S499" s="35"/>
      <c r="T499" s="1"/>
      <c r="U499" s="1"/>
      <c r="V499" s="1"/>
    </row>
    <row r="500" ht="15.75" hidden="1" customHeight="1">
      <c r="A500" s="13"/>
      <c r="B500" s="13"/>
      <c r="C500" s="244" t="s">
        <v>531</v>
      </c>
      <c r="D500" s="216" t="s">
        <v>24</v>
      </c>
      <c r="E500" s="54"/>
      <c r="F500" s="56">
        <v>0.0</v>
      </c>
      <c r="G500" s="57">
        <v>2200.0</v>
      </c>
      <c r="H500" s="57">
        <f t="shared" si="16"/>
        <v>0</v>
      </c>
      <c r="I500" s="57"/>
      <c r="J500" s="17"/>
      <c r="K500" s="13"/>
      <c r="L500" s="63"/>
      <c r="M500" s="63"/>
      <c r="N500" s="63"/>
      <c r="O500" s="63"/>
      <c r="P500" s="63"/>
      <c r="Q500" s="35"/>
      <c r="R500" s="35"/>
      <c r="S500" s="35"/>
      <c r="T500" s="1"/>
      <c r="U500" s="1"/>
      <c r="V500" s="1"/>
    </row>
    <row r="501" ht="28.5" customHeight="1">
      <c r="A501" s="6"/>
      <c r="B501" s="6" t="s">
        <v>968</v>
      </c>
      <c r="C501" s="7">
        <f>SUM(H502:H562)</f>
        <v>3826.96</v>
      </c>
      <c r="D501" s="148"/>
      <c r="E501" s="148"/>
      <c r="F501" s="83"/>
      <c r="G501" s="82"/>
      <c r="H501" s="82"/>
      <c r="I501" s="82"/>
      <c r="J501" s="82"/>
      <c r="K501" s="83"/>
      <c r="L501" s="83"/>
      <c r="M501" s="83"/>
      <c r="N501" s="83"/>
      <c r="O501" s="83"/>
      <c r="P501" s="83"/>
      <c r="Q501" s="35"/>
      <c r="R501" s="35"/>
      <c r="S501" s="35"/>
      <c r="T501" s="1"/>
      <c r="U501" s="1"/>
      <c r="V501" s="1"/>
    </row>
    <row r="502" ht="15.75" hidden="1" customHeight="1">
      <c r="A502" s="13"/>
      <c r="B502" s="13"/>
      <c r="C502" s="169" t="s">
        <v>191</v>
      </c>
      <c r="D502" s="66" t="s">
        <v>22</v>
      </c>
      <c r="E502" s="15"/>
      <c r="F502" s="16">
        <v>0.0</v>
      </c>
      <c r="G502" s="17">
        <v>175.0</v>
      </c>
      <c r="H502" s="17">
        <f t="shared" ref="H502:H566" si="17">SUM(F502*G502)</f>
        <v>0</v>
      </c>
      <c r="I502" s="18"/>
      <c r="J502" s="18"/>
      <c r="K502" s="13"/>
      <c r="L502" s="13"/>
      <c r="M502" s="13"/>
      <c r="N502" s="13"/>
      <c r="O502" s="13"/>
      <c r="P502" s="13"/>
      <c r="Q502" s="35"/>
      <c r="R502" s="35"/>
      <c r="S502" s="35"/>
      <c r="T502" s="1"/>
      <c r="U502" s="1"/>
      <c r="V502" s="1"/>
    </row>
    <row r="503" ht="15.75" hidden="1" customHeight="1">
      <c r="A503" s="13"/>
      <c r="B503" s="13" t="s">
        <v>18</v>
      </c>
      <c r="C503" s="169" t="s">
        <v>294</v>
      </c>
      <c r="D503" s="14" t="s">
        <v>20</v>
      </c>
      <c r="E503" s="15"/>
      <c r="F503" s="16">
        <v>0.0</v>
      </c>
      <c r="G503" s="17">
        <v>5.0</v>
      </c>
      <c r="H503" s="17">
        <f t="shared" si="17"/>
        <v>0</v>
      </c>
      <c r="I503" s="18"/>
      <c r="J503" s="18"/>
      <c r="K503" s="13"/>
      <c r="L503" s="13"/>
      <c r="M503" s="19"/>
      <c r="N503" s="19"/>
      <c r="O503" s="38"/>
      <c r="P503" s="19"/>
      <c r="Q503" s="35"/>
      <c r="R503" s="35"/>
      <c r="S503" s="35"/>
      <c r="T503" s="1"/>
      <c r="U503" s="1"/>
      <c r="V503" s="1"/>
    </row>
    <row r="504" ht="15.75" customHeight="1">
      <c r="A504" s="13"/>
      <c r="B504" s="13" t="s">
        <v>18</v>
      </c>
      <c r="C504" s="169" t="s">
        <v>296</v>
      </c>
      <c r="D504" s="14" t="s">
        <v>20</v>
      </c>
      <c r="E504" s="218" t="s">
        <v>533</v>
      </c>
      <c r="F504" s="16">
        <v>1.0</v>
      </c>
      <c r="G504" s="34">
        <v>72.0</v>
      </c>
      <c r="H504" s="17">
        <f t="shared" si="17"/>
        <v>72</v>
      </c>
      <c r="I504" s="18"/>
      <c r="J504" s="18"/>
      <c r="K504" s="13"/>
      <c r="L504" s="27"/>
      <c r="M504" s="28"/>
      <c r="N504" s="27"/>
      <c r="O504" s="28"/>
      <c r="P504" s="27"/>
      <c r="Q504" s="35"/>
      <c r="R504" s="35"/>
      <c r="S504" s="35"/>
      <c r="T504" s="1"/>
      <c r="U504" s="1"/>
      <c r="V504" s="1"/>
    </row>
    <row r="505" ht="15.75" customHeight="1">
      <c r="A505" s="13"/>
      <c r="B505" s="13"/>
      <c r="C505" s="169" t="s">
        <v>298</v>
      </c>
      <c r="D505" s="70" t="s">
        <v>24</v>
      </c>
      <c r="E505" s="15"/>
      <c r="F505" s="16">
        <v>1.0</v>
      </c>
      <c r="G505" s="17">
        <v>95.0</v>
      </c>
      <c r="H505" s="17">
        <f t="shared" si="17"/>
        <v>95</v>
      </c>
      <c r="I505" s="18"/>
      <c r="J505" s="18"/>
      <c r="K505" s="13"/>
      <c r="L505" s="63"/>
      <c r="M505" s="63"/>
      <c r="N505" s="63"/>
      <c r="O505" s="63"/>
      <c r="P505" s="63"/>
      <c r="Q505" s="35"/>
      <c r="R505" s="35"/>
      <c r="S505" s="35"/>
      <c r="T505" s="1"/>
      <c r="U505" s="1"/>
      <c r="V505" s="1"/>
    </row>
    <row r="506" ht="15.75" hidden="1" customHeight="1">
      <c r="A506" s="13"/>
      <c r="B506" s="13"/>
      <c r="C506" s="169" t="s">
        <v>299</v>
      </c>
      <c r="D506" s="70" t="s">
        <v>24</v>
      </c>
      <c r="E506" s="15"/>
      <c r="F506" s="16">
        <v>0.0</v>
      </c>
      <c r="G506" s="17">
        <v>120.0</v>
      </c>
      <c r="H506" s="17">
        <f t="shared" si="17"/>
        <v>0</v>
      </c>
      <c r="I506" s="18"/>
      <c r="J506" s="18"/>
      <c r="K506" s="13"/>
      <c r="L506" s="63"/>
      <c r="M506" s="63"/>
      <c r="N506" s="63"/>
      <c r="O506" s="63"/>
      <c r="P506" s="63"/>
      <c r="Q506" s="35"/>
      <c r="R506" s="35"/>
      <c r="S506" s="35"/>
      <c r="T506" s="1"/>
      <c r="U506" s="1"/>
      <c r="V506" s="1"/>
    </row>
    <row r="507" ht="15.75" customHeight="1">
      <c r="A507" s="13"/>
      <c r="B507" s="13" t="s">
        <v>18</v>
      </c>
      <c r="C507" s="169" t="s">
        <v>300</v>
      </c>
      <c r="D507" s="14" t="s">
        <v>20</v>
      </c>
      <c r="E507" s="15"/>
      <c r="F507" s="40">
        <v>6.0</v>
      </c>
      <c r="G507" s="17">
        <v>5.0</v>
      </c>
      <c r="H507" s="17">
        <f t="shared" si="17"/>
        <v>30</v>
      </c>
      <c r="I507" s="18"/>
      <c r="J507" s="18"/>
      <c r="K507" s="13"/>
      <c r="L507" s="27"/>
      <c r="M507" s="27"/>
      <c r="N507" s="27"/>
      <c r="O507" s="27"/>
      <c r="P507" s="27"/>
      <c r="Q507" s="35"/>
      <c r="R507" s="35"/>
      <c r="S507" s="35"/>
      <c r="T507" s="1"/>
      <c r="U507" s="1"/>
      <c r="V507" s="1"/>
    </row>
    <row r="508" ht="15.75" hidden="1" customHeight="1">
      <c r="A508" s="13"/>
      <c r="B508" s="13" t="s">
        <v>18</v>
      </c>
      <c r="C508" s="169" t="s">
        <v>301</v>
      </c>
      <c r="D508" s="14" t="s">
        <v>20</v>
      </c>
      <c r="E508" s="15" t="s">
        <v>302</v>
      </c>
      <c r="F508" s="16">
        <v>0.0</v>
      </c>
      <c r="G508" s="17">
        <v>6.2</v>
      </c>
      <c r="H508" s="17">
        <f t="shared" si="17"/>
        <v>0</v>
      </c>
      <c r="I508" s="18"/>
      <c r="J508" s="18"/>
      <c r="K508" s="13"/>
      <c r="L508" s="27"/>
      <c r="M508" s="27"/>
      <c r="N508" s="27"/>
      <c r="O508" s="27"/>
      <c r="P508" s="27"/>
      <c r="Q508" s="35"/>
      <c r="R508" s="35"/>
      <c r="S508" s="35"/>
      <c r="T508" s="1"/>
      <c r="U508" s="1"/>
      <c r="V508" s="1"/>
    </row>
    <row r="509" ht="15.75" hidden="1" customHeight="1">
      <c r="A509" s="13"/>
      <c r="B509" s="13"/>
      <c r="C509" s="169" t="s">
        <v>303</v>
      </c>
      <c r="D509" s="70" t="s">
        <v>24</v>
      </c>
      <c r="E509" s="15"/>
      <c r="F509" s="16">
        <v>0.0</v>
      </c>
      <c r="G509" s="17">
        <v>40.0</v>
      </c>
      <c r="H509" s="17">
        <f t="shared" si="17"/>
        <v>0</v>
      </c>
      <c r="I509" s="18"/>
      <c r="J509" s="18"/>
      <c r="K509" s="13"/>
      <c r="L509" s="27"/>
      <c r="M509" s="27"/>
      <c r="N509" s="27"/>
      <c r="O509" s="27"/>
      <c r="P509" s="27"/>
      <c r="Q509" s="35"/>
      <c r="R509" s="35"/>
      <c r="S509" s="35"/>
      <c r="T509" s="1"/>
      <c r="U509" s="1"/>
      <c r="V509" s="1"/>
    </row>
    <row r="510" ht="15.75" customHeight="1">
      <c r="A510" s="13"/>
      <c r="B510" s="13" t="s">
        <v>18</v>
      </c>
      <c r="C510" s="195" t="s">
        <v>534</v>
      </c>
      <c r="D510" s="14" t="s">
        <v>20</v>
      </c>
      <c r="E510" s="253" t="s">
        <v>535</v>
      </c>
      <c r="F510" s="16">
        <v>2.0</v>
      </c>
      <c r="G510" s="34">
        <v>78.0</v>
      </c>
      <c r="H510" s="17">
        <f t="shared" si="17"/>
        <v>156</v>
      </c>
      <c r="I510" s="18"/>
      <c r="J510" s="18"/>
      <c r="K510" s="13"/>
      <c r="L510" s="27"/>
      <c r="M510" s="27"/>
      <c r="N510" s="27"/>
      <c r="O510" s="27"/>
      <c r="P510" s="27"/>
      <c r="Q510" s="35"/>
      <c r="R510" s="35"/>
      <c r="S510" s="35"/>
      <c r="T510" s="1"/>
      <c r="U510" s="1"/>
      <c r="V510" s="1"/>
    </row>
    <row r="511" ht="15.75" customHeight="1">
      <c r="A511" s="13"/>
      <c r="B511" s="13" t="s">
        <v>18</v>
      </c>
      <c r="C511" s="169" t="s">
        <v>389</v>
      </c>
      <c r="D511" s="14" t="s">
        <v>20</v>
      </c>
      <c r="E511" s="15"/>
      <c r="F511" s="16">
        <v>2.0</v>
      </c>
      <c r="G511" s="17">
        <v>5.0</v>
      </c>
      <c r="H511" s="17">
        <f t="shared" si="17"/>
        <v>10</v>
      </c>
      <c r="I511" s="18"/>
      <c r="J511" s="18"/>
      <c r="K511" s="13"/>
      <c r="L511" s="27"/>
      <c r="M511" s="27"/>
      <c r="N511" s="27"/>
      <c r="O511" s="27"/>
      <c r="P511" s="27"/>
      <c r="Q511" s="35"/>
      <c r="R511" s="35"/>
      <c r="S511" s="35"/>
      <c r="T511" s="1"/>
      <c r="U511" s="1"/>
      <c r="V511" s="1"/>
    </row>
    <row r="512" ht="15.75" customHeight="1">
      <c r="A512" s="13"/>
      <c r="B512" s="13"/>
      <c r="C512" s="169" t="s">
        <v>304</v>
      </c>
      <c r="D512" s="70" t="s">
        <v>24</v>
      </c>
      <c r="E512" s="15"/>
      <c r="F512" s="16">
        <v>2.0</v>
      </c>
      <c r="G512" s="17">
        <v>120.0</v>
      </c>
      <c r="H512" s="17">
        <f t="shared" si="17"/>
        <v>240</v>
      </c>
      <c r="I512" s="18"/>
      <c r="J512" s="18"/>
      <c r="K512" s="13"/>
      <c r="L512" s="27"/>
      <c r="M512" s="27"/>
      <c r="N512" s="27"/>
      <c r="O512" s="27"/>
      <c r="P512" s="27"/>
      <c r="Q512" s="35"/>
      <c r="R512" s="35"/>
      <c r="S512" s="35"/>
      <c r="T512" s="1"/>
      <c r="U512" s="1"/>
      <c r="V512" s="1"/>
    </row>
    <row r="513" ht="15.75" customHeight="1">
      <c r="A513" s="13"/>
      <c r="B513" s="13" t="s">
        <v>58</v>
      </c>
      <c r="C513" s="169" t="s">
        <v>305</v>
      </c>
      <c r="D513" s="101" t="s">
        <v>32</v>
      </c>
      <c r="E513" s="15" t="s">
        <v>60</v>
      </c>
      <c r="F513" s="16">
        <v>1.0</v>
      </c>
      <c r="G513" s="17">
        <v>0.0</v>
      </c>
      <c r="H513" s="17">
        <f t="shared" si="17"/>
        <v>0</v>
      </c>
      <c r="I513" s="18"/>
      <c r="J513" s="18"/>
      <c r="K513" s="13"/>
      <c r="L513" s="13"/>
      <c r="M513" s="13"/>
      <c r="N513" s="13"/>
      <c r="O513" s="13"/>
      <c r="P513" s="13"/>
      <c r="Q513" s="35"/>
      <c r="R513" s="35"/>
      <c r="S513" s="35"/>
      <c r="T513" s="1"/>
      <c r="U513" s="1"/>
      <c r="V513" s="1"/>
    </row>
    <row r="514" ht="15.75" customHeight="1">
      <c r="A514" s="13"/>
      <c r="B514" s="43" t="s">
        <v>217</v>
      </c>
      <c r="C514" s="169" t="s">
        <v>307</v>
      </c>
      <c r="D514" s="101" t="s">
        <v>32</v>
      </c>
      <c r="E514" s="154">
        <v>78842.0</v>
      </c>
      <c r="F514" s="40">
        <v>2.0</v>
      </c>
      <c r="G514" s="34">
        <v>289.2</v>
      </c>
      <c r="H514" s="17">
        <f t="shared" si="17"/>
        <v>578.4</v>
      </c>
      <c r="I514" s="18"/>
      <c r="J514" s="18"/>
      <c r="K514" s="43"/>
      <c r="L514" s="27"/>
      <c r="M514" s="28"/>
      <c r="N514" s="27"/>
      <c r="O514" s="27"/>
      <c r="P514" s="27"/>
      <c r="Q514" s="35"/>
      <c r="R514" s="35"/>
      <c r="S514" s="35"/>
      <c r="T514" s="1"/>
      <c r="U514" s="1"/>
      <c r="V514" s="1"/>
    </row>
    <row r="515" ht="15.75" customHeight="1">
      <c r="A515" s="13"/>
      <c r="B515" s="43" t="s">
        <v>217</v>
      </c>
      <c r="C515" s="169" t="s">
        <v>308</v>
      </c>
      <c r="D515" s="101" t="s">
        <v>32</v>
      </c>
      <c r="E515" s="154">
        <v>78843.0</v>
      </c>
      <c r="F515" s="16">
        <v>1.0</v>
      </c>
      <c r="G515" s="34">
        <v>767.56</v>
      </c>
      <c r="H515" s="17">
        <f t="shared" si="17"/>
        <v>767.56</v>
      </c>
      <c r="I515" s="18"/>
      <c r="J515" s="18"/>
      <c r="K515" s="43"/>
      <c r="L515" s="27"/>
      <c r="M515" s="28"/>
      <c r="N515" s="27"/>
      <c r="O515" s="28"/>
      <c r="P515" s="28"/>
      <c r="Q515" s="35"/>
      <c r="R515" s="35"/>
      <c r="S515" s="35"/>
      <c r="T515" s="1"/>
      <c r="U515" s="1"/>
      <c r="V515" s="1"/>
    </row>
    <row r="516" ht="15.75" hidden="1" customHeight="1">
      <c r="A516" s="130"/>
      <c r="B516" s="130" t="s">
        <v>18</v>
      </c>
      <c r="C516" s="175" t="s">
        <v>309</v>
      </c>
      <c r="D516" s="176" t="s">
        <v>20</v>
      </c>
      <c r="E516" s="177" t="s">
        <v>310</v>
      </c>
      <c r="F516" s="178">
        <v>0.0</v>
      </c>
      <c r="G516" s="179">
        <v>15.0</v>
      </c>
      <c r="H516" s="179">
        <f t="shared" si="17"/>
        <v>0</v>
      </c>
      <c r="I516" s="180"/>
      <c r="J516" s="180"/>
      <c r="K516" s="130"/>
      <c r="L516" s="130"/>
      <c r="M516" s="181"/>
      <c r="N516" s="130"/>
      <c r="O516" s="181"/>
      <c r="P516" s="181"/>
      <c r="Q516" s="182"/>
      <c r="R516" s="182"/>
      <c r="S516" s="182"/>
      <c r="T516" s="182"/>
      <c r="U516" s="182"/>
      <c r="V516" s="182"/>
    </row>
    <row r="517" ht="15.75" hidden="1" customHeight="1">
      <c r="A517" s="130"/>
      <c r="B517" s="130" t="s">
        <v>18</v>
      </c>
      <c r="C517" s="175" t="s">
        <v>311</v>
      </c>
      <c r="D517" s="176" t="s">
        <v>20</v>
      </c>
      <c r="E517" s="177" t="s">
        <v>312</v>
      </c>
      <c r="F517" s="178">
        <v>0.0</v>
      </c>
      <c r="G517" s="179">
        <v>15.0</v>
      </c>
      <c r="H517" s="179">
        <f t="shared" si="17"/>
        <v>0</v>
      </c>
      <c r="I517" s="180"/>
      <c r="J517" s="180"/>
      <c r="K517" s="130"/>
      <c r="L517" s="130"/>
      <c r="M517" s="181"/>
      <c r="N517" s="130"/>
      <c r="O517" s="181"/>
      <c r="P517" s="181"/>
      <c r="Q517" s="182"/>
      <c r="R517" s="182"/>
      <c r="S517" s="182"/>
      <c r="T517" s="182"/>
      <c r="U517" s="182"/>
      <c r="V517" s="182"/>
    </row>
    <row r="518" ht="15.75" hidden="1" customHeight="1">
      <c r="A518" s="130"/>
      <c r="B518" s="130" t="s">
        <v>18</v>
      </c>
      <c r="C518" s="175" t="s">
        <v>313</v>
      </c>
      <c r="D518" s="176" t="s">
        <v>20</v>
      </c>
      <c r="E518" s="177" t="s">
        <v>314</v>
      </c>
      <c r="F518" s="178">
        <v>0.0</v>
      </c>
      <c r="G518" s="179">
        <v>1.6</v>
      </c>
      <c r="H518" s="179">
        <f t="shared" si="17"/>
        <v>0</v>
      </c>
      <c r="I518" s="180"/>
      <c r="J518" s="180"/>
      <c r="K518" s="130"/>
      <c r="L518" s="130"/>
      <c r="M518" s="181"/>
      <c r="N518" s="130"/>
      <c r="O518" s="181"/>
      <c r="P518" s="181"/>
      <c r="Q518" s="182"/>
      <c r="R518" s="182"/>
      <c r="S518" s="182"/>
      <c r="T518" s="182"/>
      <c r="U518" s="182"/>
      <c r="V518" s="182"/>
    </row>
    <row r="519" ht="15.75" hidden="1" customHeight="1">
      <c r="A519" s="13"/>
      <c r="B519" s="18" t="s">
        <v>18</v>
      </c>
      <c r="C519" s="169" t="s">
        <v>315</v>
      </c>
      <c r="D519" s="14" t="s">
        <v>20</v>
      </c>
      <c r="E519" s="33" t="s">
        <v>536</v>
      </c>
      <c r="F519" s="40">
        <v>0.0</v>
      </c>
      <c r="G519" s="17">
        <v>40.0</v>
      </c>
      <c r="H519" s="17">
        <f t="shared" si="17"/>
        <v>0</v>
      </c>
      <c r="I519" s="18"/>
      <c r="J519" s="18"/>
      <c r="K519" s="13"/>
      <c r="L519" s="27"/>
      <c r="M519" s="28"/>
      <c r="N519" s="27"/>
      <c r="O519" s="28"/>
      <c r="P519" s="28"/>
      <c r="Q519" s="35"/>
      <c r="R519" s="35"/>
      <c r="S519" s="35"/>
      <c r="T519" s="1"/>
      <c r="U519" s="1"/>
      <c r="V519" s="1"/>
    </row>
    <row r="520" ht="15.75" hidden="1" customHeight="1">
      <c r="A520" s="13"/>
      <c r="B520" s="166"/>
      <c r="C520" s="188" t="s">
        <v>259</v>
      </c>
      <c r="D520" s="167" t="s">
        <v>32</v>
      </c>
      <c r="E520" s="219"/>
      <c r="F520" s="190">
        <v>0.0</v>
      </c>
      <c r="G520" s="192">
        <v>0.0</v>
      </c>
      <c r="H520" s="192">
        <f t="shared" si="17"/>
        <v>0</v>
      </c>
      <c r="I520" s="193"/>
      <c r="J520" s="18"/>
      <c r="K520" s="13"/>
      <c r="L520" s="27"/>
      <c r="M520" s="28"/>
      <c r="N520" s="27"/>
      <c r="O520" s="27"/>
      <c r="P520" s="27"/>
      <c r="Q520" s="35"/>
      <c r="R520" s="35"/>
      <c r="S520" s="35"/>
      <c r="T520" s="1"/>
      <c r="U520" s="1"/>
      <c r="V520" s="1"/>
    </row>
    <row r="521" ht="15.75" hidden="1" customHeight="1">
      <c r="A521" s="13"/>
      <c r="B521" s="166" t="s">
        <v>397</v>
      </c>
      <c r="C521" s="188" t="s">
        <v>318</v>
      </c>
      <c r="D521" s="167" t="s">
        <v>32</v>
      </c>
      <c r="E521" s="219" t="s">
        <v>398</v>
      </c>
      <c r="F521" s="190">
        <v>0.0</v>
      </c>
      <c r="G521" s="192">
        <v>354.0</v>
      </c>
      <c r="H521" s="192">
        <f t="shared" si="17"/>
        <v>0</v>
      </c>
      <c r="I521" s="193"/>
      <c r="J521" s="18"/>
      <c r="K521" s="13"/>
      <c r="L521" s="13"/>
      <c r="M521" s="13"/>
      <c r="N521" s="13"/>
      <c r="O521" s="13"/>
      <c r="P521" s="13"/>
      <c r="Q521" s="35"/>
      <c r="R521" s="35"/>
      <c r="S521" s="35"/>
      <c r="T521" s="1"/>
      <c r="U521" s="1"/>
      <c r="V521" s="1"/>
    </row>
    <row r="522" ht="15.75" hidden="1" customHeight="1">
      <c r="A522" s="13"/>
      <c r="B522" s="13" t="s">
        <v>320</v>
      </c>
      <c r="C522" s="169" t="s">
        <v>321</v>
      </c>
      <c r="D522" s="66" t="s">
        <v>22</v>
      </c>
      <c r="E522" s="15"/>
      <c r="F522" s="16">
        <v>0.0</v>
      </c>
      <c r="G522" s="17">
        <v>10.0</v>
      </c>
      <c r="H522" s="17">
        <f t="shared" si="17"/>
        <v>0</v>
      </c>
      <c r="I522" s="18"/>
      <c r="J522" s="18"/>
      <c r="K522" s="13"/>
      <c r="L522" s="13"/>
      <c r="M522" s="19"/>
      <c r="N522" s="13"/>
      <c r="O522" s="13"/>
      <c r="P522" s="13"/>
      <c r="Q522" s="35"/>
      <c r="R522" s="35"/>
      <c r="S522" s="35"/>
      <c r="T522" s="1"/>
      <c r="U522" s="1"/>
      <c r="V522" s="1"/>
    </row>
    <row r="523" ht="15.75" customHeight="1">
      <c r="A523" s="13"/>
      <c r="B523" s="13" t="s">
        <v>239</v>
      </c>
      <c r="C523" s="195" t="s">
        <v>322</v>
      </c>
      <c r="D523" s="14" t="s">
        <v>20</v>
      </c>
      <c r="E523" s="15"/>
      <c r="F523" s="16">
        <v>1.0</v>
      </c>
      <c r="G523" s="34">
        <v>368.0</v>
      </c>
      <c r="H523" s="17">
        <f t="shared" si="17"/>
        <v>368</v>
      </c>
      <c r="I523" s="18"/>
      <c r="J523" s="18"/>
      <c r="K523" s="13"/>
      <c r="L523" s="13"/>
      <c r="M523" s="19"/>
      <c r="N523" s="13"/>
      <c r="O523" s="19"/>
      <c r="P523" s="19"/>
      <c r="Q523" s="35"/>
      <c r="R523" s="35"/>
      <c r="S523" s="35"/>
      <c r="T523" s="1"/>
      <c r="U523" s="1"/>
      <c r="V523" s="1"/>
    </row>
    <row r="524" ht="15.75" customHeight="1">
      <c r="A524" s="13"/>
      <c r="B524" s="13"/>
      <c r="C524" s="169" t="s">
        <v>323</v>
      </c>
      <c r="D524" s="70" t="s">
        <v>24</v>
      </c>
      <c r="E524" s="15"/>
      <c r="F524" s="16">
        <v>1.0</v>
      </c>
      <c r="G524" s="17">
        <v>80.0</v>
      </c>
      <c r="H524" s="17">
        <f t="shared" si="17"/>
        <v>80</v>
      </c>
      <c r="I524" s="18"/>
      <c r="J524" s="18"/>
      <c r="K524" s="13"/>
      <c r="L524" s="63"/>
      <c r="M524" s="63"/>
      <c r="N524" s="63"/>
      <c r="O524" s="63"/>
      <c r="P524" s="63"/>
      <c r="Q524" s="35"/>
      <c r="R524" s="35"/>
      <c r="S524" s="35"/>
      <c r="T524" s="1"/>
      <c r="U524" s="1"/>
      <c r="V524" s="1"/>
    </row>
    <row r="525" ht="15.75" customHeight="1">
      <c r="A525" s="13"/>
      <c r="B525" s="13"/>
      <c r="C525" s="169" t="s">
        <v>324</v>
      </c>
      <c r="D525" s="14" t="s">
        <v>20</v>
      </c>
      <c r="E525" s="15"/>
      <c r="F525" s="16">
        <v>1.0</v>
      </c>
      <c r="G525" s="17">
        <v>35.0</v>
      </c>
      <c r="H525" s="17">
        <f t="shared" si="17"/>
        <v>35</v>
      </c>
      <c r="I525" s="18"/>
      <c r="J525" s="18"/>
      <c r="K525" s="13"/>
      <c r="L525" s="13"/>
      <c r="M525" s="19"/>
      <c r="N525" s="13"/>
      <c r="O525" s="19"/>
      <c r="P525" s="19"/>
      <c r="Q525" s="35"/>
      <c r="R525" s="35"/>
      <c r="S525" s="35"/>
      <c r="T525" s="1"/>
      <c r="U525" s="1"/>
      <c r="V525" s="1"/>
    </row>
    <row r="526" ht="15.75" hidden="1" customHeight="1">
      <c r="A526" s="13"/>
      <c r="B526" s="13"/>
      <c r="C526" s="169" t="s">
        <v>258</v>
      </c>
      <c r="D526" s="66" t="s">
        <v>22</v>
      </c>
      <c r="E526" s="15"/>
      <c r="F526" s="16">
        <v>0.0</v>
      </c>
      <c r="G526" s="17">
        <v>150.0</v>
      </c>
      <c r="H526" s="17">
        <f t="shared" si="17"/>
        <v>0</v>
      </c>
      <c r="I526" s="18"/>
      <c r="J526" s="18"/>
      <c r="K526" s="13"/>
      <c r="L526" s="13"/>
      <c r="M526" s="19"/>
      <c r="N526" s="13"/>
      <c r="O526" s="19"/>
      <c r="P526" s="19"/>
      <c r="Q526" s="35"/>
      <c r="R526" s="35"/>
      <c r="S526" s="35"/>
      <c r="T526" s="1"/>
      <c r="U526" s="1"/>
      <c r="V526" s="1"/>
    </row>
    <row r="527" ht="15.75" customHeight="1">
      <c r="A527" s="13"/>
      <c r="B527" s="13" t="s">
        <v>18</v>
      </c>
      <c r="C527" s="196" t="s">
        <v>325</v>
      </c>
      <c r="D527" s="150" t="s">
        <v>22</v>
      </c>
      <c r="E527" s="47" t="s">
        <v>326</v>
      </c>
      <c r="F527" s="48">
        <v>1.0</v>
      </c>
      <c r="G527" s="49">
        <v>46.8</v>
      </c>
      <c r="H527" s="50">
        <f t="shared" si="17"/>
        <v>46.8</v>
      </c>
      <c r="I527" s="18"/>
      <c r="J527" s="18"/>
      <c r="K527" s="13"/>
      <c r="L527" s="13"/>
      <c r="M527" s="13"/>
      <c r="N527" s="13"/>
      <c r="O527" s="19"/>
      <c r="P527" s="19"/>
      <c r="Q527" s="35"/>
      <c r="R527" s="35"/>
      <c r="S527" s="35"/>
      <c r="T527" s="1"/>
      <c r="U527" s="1"/>
      <c r="V527" s="1"/>
    </row>
    <row r="528" ht="15.75" hidden="1" customHeight="1">
      <c r="A528" s="13"/>
      <c r="B528" s="13"/>
      <c r="C528" s="197" t="s">
        <v>327</v>
      </c>
      <c r="D528" s="198" t="s">
        <v>22</v>
      </c>
      <c r="E528" s="54" t="s">
        <v>328</v>
      </c>
      <c r="F528" s="56">
        <v>0.0</v>
      </c>
      <c r="G528" s="57">
        <v>321.3</v>
      </c>
      <c r="H528" s="57">
        <f t="shared" si="17"/>
        <v>0</v>
      </c>
      <c r="I528" s="18"/>
      <c r="J528" s="18"/>
      <c r="K528" s="13"/>
      <c r="L528" s="13"/>
      <c r="M528" s="13"/>
      <c r="N528" s="13"/>
      <c r="O528" s="19"/>
      <c r="P528" s="19"/>
      <c r="Q528" s="35"/>
      <c r="R528" s="35"/>
      <c r="S528" s="35"/>
      <c r="T528" s="1"/>
      <c r="U528" s="1"/>
      <c r="V528" s="1"/>
    </row>
    <row r="529" ht="15.75" customHeight="1">
      <c r="A529" s="15"/>
      <c r="B529" s="52" t="s">
        <v>18</v>
      </c>
      <c r="C529" s="196" t="s">
        <v>329</v>
      </c>
      <c r="D529" s="150" t="s">
        <v>22</v>
      </c>
      <c r="E529" s="199" t="s">
        <v>330</v>
      </c>
      <c r="F529" s="48">
        <v>2.0</v>
      </c>
      <c r="G529" s="49">
        <v>25.2</v>
      </c>
      <c r="H529" s="50">
        <f t="shared" si="17"/>
        <v>50.4</v>
      </c>
      <c r="I529" s="51"/>
      <c r="J529" s="51"/>
      <c r="K529" s="52"/>
      <c r="L529" s="52"/>
      <c r="M529" s="52"/>
      <c r="N529" s="52"/>
      <c r="O529" s="200"/>
      <c r="P529" s="200"/>
      <c r="Q529" s="1"/>
      <c r="R529" s="1"/>
      <c r="S529" s="1"/>
      <c r="T529" s="1"/>
      <c r="U529" s="1"/>
      <c r="V529" s="1"/>
    </row>
    <row r="530" ht="15.75" customHeight="1">
      <c r="A530" s="53"/>
      <c r="B530" s="54" t="s">
        <v>18</v>
      </c>
      <c r="C530" s="197" t="s">
        <v>331</v>
      </c>
      <c r="D530" s="198" t="s">
        <v>22</v>
      </c>
      <c r="E530" s="201" t="s">
        <v>332</v>
      </c>
      <c r="F530" s="56">
        <v>1.0</v>
      </c>
      <c r="G530" s="159">
        <v>48.0</v>
      </c>
      <c r="H530" s="57">
        <f t="shared" si="17"/>
        <v>48</v>
      </c>
      <c r="I530" s="58"/>
      <c r="J530" s="58"/>
      <c r="K530" s="54"/>
      <c r="L530" s="54"/>
      <c r="M530" s="54"/>
      <c r="N530" s="54"/>
      <c r="O530" s="202"/>
      <c r="P530" s="202"/>
      <c r="Q530" s="1"/>
      <c r="R530" s="1"/>
      <c r="S530" s="1"/>
      <c r="T530" s="1"/>
      <c r="U530" s="1"/>
      <c r="V530" s="1"/>
    </row>
    <row r="531" ht="15.75" customHeight="1">
      <c r="A531" s="53"/>
      <c r="B531" s="54" t="s">
        <v>18</v>
      </c>
      <c r="C531" s="203" t="s">
        <v>333</v>
      </c>
      <c r="D531" s="198" t="s">
        <v>22</v>
      </c>
      <c r="E531" s="204" t="s">
        <v>334</v>
      </c>
      <c r="F531" s="56">
        <v>1.0</v>
      </c>
      <c r="G531" s="159">
        <v>46.8</v>
      </c>
      <c r="H531" s="57">
        <f t="shared" si="17"/>
        <v>46.8</v>
      </c>
      <c r="I531" s="58"/>
      <c r="J531" s="58"/>
      <c r="K531" s="54"/>
      <c r="L531" s="54"/>
      <c r="M531" s="54"/>
      <c r="N531" s="54"/>
      <c r="O531" s="202"/>
      <c r="P531" s="202"/>
      <c r="Q531" s="1"/>
      <c r="R531" s="1"/>
      <c r="S531" s="1"/>
      <c r="T531" s="1"/>
      <c r="U531" s="1"/>
      <c r="V531" s="1"/>
    </row>
    <row r="532" ht="15.75" hidden="1" customHeight="1">
      <c r="A532" s="53"/>
      <c r="B532" s="52" t="s">
        <v>18</v>
      </c>
      <c r="C532" s="196" t="s">
        <v>335</v>
      </c>
      <c r="D532" s="150" t="s">
        <v>22</v>
      </c>
      <c r="E532" s="52"/>
      <c r="F532" s="48">
        <v>0.0</v>
      </c>
      <c r="G532" s="50">
        <v>29.69</v>
      </c>
      <c r="H532" s="50">
        <f t="shared" si="17"/>
        <v>0</v>
      </c>
      <c r="I532" s="58"/>
      <c r="J532" s="58"/>
      <c r="K532" s="54"/>
      <c r="L532" s="54"/>
      <c r="M532" s="54"/>
      <c r="N532" s="54"/>
      <c r="O532" s="202"/>
      <c r="P532" s="202"/>
      <c r="Q532" s="1"/>
      <c r="R532" s="1"/>
      <c r="S532" s="1"/>
      <c r="T532" s="1"/>
      <c r="U532" s="1"/>
      <c r="V532" s="1"/>
    </row>
    <row r="533" ht="15.75" hidden="1" customHeight="1">
      <c r="A533" s="53"/>
      <c r="B533" s="54" t="s">
        <v>18</v>
      </c>
      <c r="C533" s="197" t="s">
        <v>336</v>
      </c>
      <c r="D533" s="198" t="s">
        <v>22</v>
      </c>
      <c r="E533" s="54" t="s">
        <v>337</v>
      </c>
      <c r="F533" s="56">
        <v>0.0</v>
      </c>
      <c r="G533" s="57">
        <v>29.99</v>
      </c>
      <c r="H533" s="57">
        <f t="shared" si="17"/>
        <v>0</v>
      </c>
      <c r="I533" s="58"/>
      <c r="J533" s="58"/>
      <c r="K533" s="54"/>
      <c r="L533" s="54"/>
      <c r="M533" s="54"/>
      <c r="N533" s="54"/>
      <c r="O533" s="202"/>
      <c r="P533" s="202"/>
      <c r="Q533" s="1"/>
      <c r="R533" s="1"/>
      <c r="S533" s="1"/>
      <c r="T533" s="1"/>
      <c r="U533" s="1"/>
      <c r="V533" s="1"/>
    </row>
    <row r="534" ht="15.75" hidden="1" customHeight="1">
      <c r="A534" s="15"/>
      <c r="B534" s="54" t="s">
        <v>18</v>
      </c>
      <c r="C534" s="203" t="s">
        <v>338</v>
      </c>
      <c r="D534" s="198" t="s">
        <v>22</v>
      </c>
      <c r="E534" s="54" t="s">
        <v>339</v>
      </c>
      <c r="F534" s="56">
        <v>0.0</v>
      </c>
      <c r="G534" s="57">
        <v>16.69</v>
      </c>
      <c r="H534" s="57">
        <f t="shared" si="17"/>
        <v>0</v>
      </c>
      <c r="I534" s="51"/>
      <c r="J534" s="51"/>
      <c r="K534" s="52"/>
      <c r="L534" s="52"/>
      <c r="M534" s="52"/>
      <c r="N534" s="52"/>
      <c r="O534" s="200"/>
      <c r="P534" s="200"/>
      <c r="Q534" s="1"/>
      <c r="R534" s="1"/>
      <c r="S534" s="1"/>
      <c r="T534" s="1"/>
      <c r="U534" s="1"/>
      <c r="V534" s="1"/>
    </row>
    <row r="535" ht="15.75" hidden="1" customHeight="1">
      <c r="A535" s="53"/>
      <c r="B535" s="52" t="s">
        <v>18</v>
      </c>
      <c r="C535" s="196" t="s">
        <v>340</v>
      </c>
      <c r="D535" s="150" t="s">
        <v>22</v>
      </c>
      <c r="E535" s="52"/>
      <c r="F535" s="48">
        <v>0.0</v>
      </c>
      <c r="G535" s="50">
        <v>29.69</v>
      </c>
      <c r="H535" s="50">
        <f t="shared" si="17"/>
        <v>0</v>
      </c>
      <c r="I535" s="58"/>
      <c r="J535" s="58"/>
      <c r="K535" s="54"/>
      <c r="L535" s="54"/>
      <c r="M535" s="54"/>
      <c r="N535" s="54"/>
      <c r="O535" s="202"/>
      <c r="P535" s="202"/>
      <c r="Q535" s="1"/>
      <c r="R535" s="1"/>
      <c r="S535" s="1"/>
      <c r="T535" s="1"/>
      <c r="U535" s="1"/>
      <c r="V535" s="1"/>
    </row>
    <row r="536" ht="15.75" hidden="1" customHeight="1">
      <c r="A536" s="53"/>
      <c r="B536" s="54" t="s">
        <v>18</v>
      </c>
      <c r="C536" s="197" t="s">
        <v>341</v>
      </c>
      <c r="D536" s="198" t="s">
        <v>22</v>
      </c>
      <c r="E536" s="54" t="s">
        <v>337</v>
      </c>
      <c r="F536" s="56">
        <v>0.0</v>
      </c>
      <c r="G536" s="57">
        <v>29.99</v>
      </c>
      <c r="H536" s="57">
        <f t="shared" si="17"/>
        <v>0</v>
      </c>
      <c r="I536" s="58"/>
      <c r="J536" s="58"/>
      <c r="K536" s="54"/>
      <c r="L536" s="54"/>
      <c r="M536" s="54"/>
      <c r="N536" s="54"/>
      <c r="O536" s="202"/>
      <c r="P536" s="202"/>
      <c r="Q536" s="1"/>
      <c r="R536" s="1"/>
      <c r="S536" s="1"/>
      <c r="T536" s="1"/>
      <c r="U536" s="1"/>
      <c r="V536" s="1"/>
    </row>
    <row r="537" ht="15.75" hidden="1" customHeight="1">
      <c r="A537" s="53"/>
      <c r="B537" s="54" t="s">
        <v>18</v>
      </c>
      <c r="C537" s="197" t="s">
        <v>342</v>
      </c>
      <c r="D537" s="198" t="s">
        <v>22</v>
      </c>
      <c r="E537" s="54" t="s">
        <v>343</v>
      </c>
      <c r="F537" s="56">
        <v>0.0</v>
      </c>
      <c r="G537" s="57">
        <v>17.99</v>
      </c>
      <c r="H537" s="57">
        <f t="shared" si="17"/>
        <v>0</v>
      </c>
      <c r="I537" s="58"/>
      <c r="J537" s="58"/>
      <c r="K537" s="54"/>
      <c r="L537" s="54"/>
      <c r="M537" s="54"/>
      <c r="N537" s="54"/>
      <c r="O537" s="202"/>
      <c r="P537" s="202"/>
      <c r="Q537" s="1"/>
      <c r="R537" s="1"/>
      <c r="S537" s="1"/>
      <c r="T537" s="1"/>
      <c r="U537" s="1"/>
      <c r="V537" s="1"/>
    </row>
    <row r="538" ht="15.75" hidden="1" customHeight="1">
      <c r="A538" s="15"/>
      <c r="B538" s="54" t="s">
        <v>18</v>
      </c>
      <c r="C538" s="197" t="s">
        <v>344</v>
      </c>
      <c r="D538" s="198" t="s">
        <v>22</v>
      </c>
      <c r="E538" s="205" t="s">
        <v>345</v>
      </c>
      <c r="F538" s="158">
        <v>0.0</v>
      </c>
      <c r="G538" s="57">
        <v>19.0</v>
      </c>
      <c r="H538" s="57">
        <f t="shared" si="17"/>
        <v>0</v>
      </c>
      <c r="I538" s="51"/>
      <c r="J538" s="51"/>
      <c r="K538" s="52"/>
      <c r="L538" s="52"/>
      <c r="M538" s="52"/>
      <c r="N538" s="52"/>
      <c r="O538" s="200"/>
      <c r="P538" s="200"/>
      <c r="Q538" s="1"/>
      <c r="R538" s="1"/>
      <c r="S538" s="1"/>
      <c r="T538" s="1"/>
      <c r="U538" s="1"/>
      <c r="V538" s="1"/>
    </row>
    <row r="539" ht="15.75" hidden="1" customHeight="1">
      <c r="A539" s="53"/>
      <c r="B539" s="206" t="s">
        <v>18</v>
      </c>
      <c r="C539" s="197" t="s">
        <v>346</v>
      </c>
      <c r="D539" s="198" t="s">
        <v>22</v>
      </c>
      <c r="E539" s="205" t="s">
        <v>347</v>
      </c>
      <c r="F539" s="158">
        <v>0.0</v>
      </c>
      <c r="G539" s="57">
        <v>35.0</v>
      </c>
      <c r="H539" s="57">
        <f t="shared" si="17"/>
        <v>0</v>
      </c>
      <c r="I539" s="58"/>
      <c r="J539" s="58"/>
      <c r="K539" s="54"/>
      <c r="L539" s="54"/>
      <c r="M539" s="54"/>
      <c r="N539" s="54"/>
      <c r="O539" s="202"/>
      <c r="P539" s="202"/>
      <c r="Q539" s="1"/>
      <c r="R539" s="1"/>
      <c r="S539" s="1"/>
      <c r="T539" s="1"/>
      <c r="U539" s="1"/>
      <c r="V539" s="1"/>
    </row>
    <row r="540" ht="15.75" customHeight="1">
      <c r="A540" s="53"/>
      <c r="B540" s="13" t="s">
        <v>18</v>
      </c>
      <c r="C540" s="196" t="s">
        <v>348</v>
      </c>
      <c r="D540" s="150" t="s">
        <v>22</v>
      </c>
      <c r="E540" s="199" t="s">
        <v>349</v>
      </c>
      <c r="F540" s="48">
        <v>1.0</v>
      </c>
      <c r="G540" s="49">
        <v>24.0</v>
      </c>
      <c r="H540" s="50">
        <f t="shared" si="17"/>
        <v>24</v>
      </c>
      <c r="I540" s="58"/>
      <c r="J540" s="58"/>
      <c r="K540" s="54"/>
      <c r="L540" s="54"/>
      <c r="M540" s="54"/>
      <c r="N540" s="54"/>
      <c r="O540" s="202"/>
      <c r="P540" s="202"/>
      <c r="Q540" s="1"/>
      <c r="R540" s="1"/>
      <c r="S540" s="1"/>
      <c r="T540" s="1"/>
      <c r="U540" s="1"/>
      <c r="V540" s="1"/>
    </row>
    <row r="541" ht="15.75" customHeight="1">
      <c r="A541" s="53"/>
      <c r="B541" s="13" t="s">
        <v>350</v>
      </c>
      <c r="C541" s="196" t="s">
        <v>351</v>
      </c>
      <c r="D541" s="150" t="s">
        <v>22</v>
      </c>
      <c r="E541" s="207" t="s">
        <v>352</v>
      </c>
      <c r="F541" s="48">
        <v>1.0</v>
      </c>
      <c r="G541" s="49">
        <v>420.0</v>
      </c>
      <c r="H541" s="50">
        <f t="shared" si="17"/>
        <v>420</v>
      </c>
      <c r="I541" s="58"/>
      <c r="J541" s="58"/>
      <c r="K541" s="54"/>
      <c r="L541" s="54"/>
      <c r="M541" s="54"/>
      <c r="N541" s="54"/>
      <c r="O541" s="202"/>
      <c r="P541" s="202"/>
      <c r="Q541" s="1"/>
      <c r="R541" s="1"/>
      <c r="S541" s="1"/>
      <c r="T541" s="1"/>
      <c r="U541" s="1"/>
      <c r="V541" s="1"/>
    </row>
    <row r="542" ht="15.75" customHeight="1">
      <c r="A542" s="13"/>
      <c r="B542" s="206" t="s">
        <v>350</v>
      </c>
      <c r="C542" s="197" t="s">
        <v>353</v>
      </c>
      <c r="D542" s="198" t="s">
        <v>22</v>
      </c>
      <c r="E542" s="208" t="s">
        <v>352</v>
      </c>
      <c r="F542" s="56">
        <v>1.0</v>
      </c>
      <c r="G542" s="159">
        <v>172.0</v>
      </c>
      <c r="H542" s="57">
        <f t="shared" si="17"/>
        <v>172</v>
      </c>
      <c r="I542" s="18"/>
      <c r="J542" s="18"/>
      <c r="K542" s="13"/>
      <c r="L542" s="13"/>
      <c r="M542" s="13"/>
      <c r="N542" s="13"/>
      <c r="O542" s="19"/>
      <c r="P542" s="19"/>
      <c r="Q542" s="35"/>
      <c r="R542" s="35"/>
      <c r="S542" s="35"/>
      <c r="T542" s="1"/>
      <c r="U542" s="1"/>
      <c r="V542" s="1"/>
    </row>
    <row r="543" ht="15.75" customHeight="1">
      <c r="A543" s="13"/>
      <c r="B543" s="206"/>
      <c r="C543" s="197" t="s">
        <v>354</v>
      </c>
      <c r="D543" s="198" t="s">
        <v>22</v>
      </c>
      <c r="E543" s="208" t="s">
        <v>352</v>
      </c>
      <c r="F543" s="158">
        <v>1.0</v>
      </c>
      <c r="G543" s="159">
        <v>97.0</v>
      </c>
      <c r="H543" s="57">
        <f t="shared" si="17"/>
        <v>97</v>
      </c>
      <c r="I543" s="18"/>
      <c r="J543" s="18"/>
      <c r="K543" s="13"/>
      <c r="L543" s="13"/>
      <c r="M543" s="13"/>
      <c r="N543" s="13"/>
      <c r="O543" s="13"/>
      <c r="P543" s="13"/>
      <c r="Q543" s="35"/>
      <c r="R543" s="35"/>
      <c r="S543" s="35"/>
      <c r="T543" s="1"/>
      <c r="U543" s="1"/>
      <c r="V543" s="1"/>
    </row>
    <row r="544" ht="15.75" hidden="1" customHeight="1">
      <c r="A544" s="13"/>
      <c r="B544" s="156" t="s">
        <v>350</v>
      </c>
      <c r="C544" s="197" t="s">
        <v>355</v>
      </c>
      <c r="D544" s="198" t="s">
        <v>22</v>
      </c>
      <c r="E544" s="208" t="s">
        <v>356</v>
      </c>
      <c r="F544" s="56">
        <v>0.0</v>
      </c>
      <c r="G544" s="159">
        <v>366.0</v>
      </c>
      <c r="H544" s="57">
        <f t="shared" si="17"/>
        <v>0</v>
      </c>
      <c r="I544" s="18"/>
      <c r="J544" s="18"/>
      <c r="K544" s="13"/>
      <c r="L544" s="13"/>
      <c r="M544" s="13"/>
      <c r="N544" s="13"/>
      <c r="O544" s="13"/>
      <c r="P544" s="13"/>
      <c r="Q544" s="35"/>
      <c r="R544" s="35"/>
      <c r="S544" s="35"/>
      <c r="T544" s="1"/>
      <c r="U544" s="1"/>
      <c r="V544" s="1"/>
    </row>
    <row r="545" ht="15.75" hidden="1" customHeight="1">
      <c r="A545" s="13"/>
      <c r="B545" s="206" t="s">
        <v>350</v>
      </c>
      <c r="C545" s="197" t="s">
        <v>357</v>
      </c>
      <c r="D545" s="198" t="s">
        <v>22</v>
      </c>
      <c r="E545" s="208" t="s">
        <v>356</v>
      </c>
      <c r="F545" s="56">
        <v>0.0</v>
      </c>
      <c r="G545" s="159">
        <v>107.5</v>
      </c>
      <c r="H545" s="57">
        <f t="shared" si="17"/>
        <v>0</v>
      </c>
      <c r="I545" s="18"/>
      <c r="J545" s="18"/>
      <c r="K545" s="13"/>
      <c r="L545" s="13"/>
      <c r="M545" s="19"/>
      <c r="N545" s="13"/>
      <c r="O545" s="19"/>
      <c r="P545" s="19"/>
      <c r="Q545" s="35"/>
      <c r="R545" s="35"/>
      <c r="S545" s="35"/>
      <c r="T545" s="1"/>
      <c r="U545" s="1"/>
      <c r="V545" s="1"/>
    </row>
    <row r="546" ht="15.75" hidden="1" customHeight="1">
      <c r="A546" s="13"/>
      <c r="B546" s="156" t="s">
        <v>350</v>
      </c>
      <c r="C546" s="197" t="s">
        <v>358</v>
      </c>
      <c r="D546" s="198" t="s">
        <v>22</v>
      </c>
      <c r="E546" s="208" t="s">
        <v>356</v>
      </c>
      <c r="F546" s="56">
        <v>0.0</v>
      </c>
      <c r="G546" s="159">
        <v>97.0</v>
      </c>
      <c r="H546" s="57">
        <f t="shared" si="17"/>
        <v>0</v>
      </c>
      <c r="I546" s="18"/>
      <c r="J546" s="18"/>
      <c r="K546" s="13"/>
      <c r="L546" s="27"/>
      <c r="M546" s="28"/>
      <c r="N546" s="27"/>
      <c r="O546" s="28"/>
      <c r="P546" s="27"/>
      <c r="Q546" s="35"/>
      <c r="R546" s="35"/>
      <c r="S546" s="35"/>
      <c r="T546" s="1"/>
      <c r="U546" s="1"/>
      <c r="V546" s="1"/>
    </row>
    <row r="547" ht="15.75" hidden="1" customHeight="1">
      <c r="A547" s="13"/>
      <c r="B547" s="13" t="s">
        <v>18</v>
      </c>
      <c r="C547" s="196" t="s">
        <v>359</v>
      </c>
      <c r="D547" s="150" t="s">
        <v>22</v>
      </c>
      <c r="E547" s="52" t="s">
        <v>360</v>
      </c>
      <c r="F547" s="48">
        <v>0.0</v>
      </c>
      <c r="G547" s="50">
        <v>18.0</v>
      </c>
      <c r="H547" s="50">
        <f t="shared" si="17"/>
        <v>0</v>
      </c>
      <c r="I547" s="18"/>
      <c r="J547" s="18"/>
      <c r="K547" s="13"/>
      <c r="L547" s="27"/>
      <c r="M547" s="28"/>
      <c r="N547" s="27"/>
      <c r="O547" s="28"/>
      <c r="P547" s="27"/>
      <c r="Q547" s="35"/>
      <c r="R547" s="35"/>
      <c r="S547" s="35"/>
      <c r="T547" s="1"/>
      <c r="U547" s="1"/>
      <c r="V547" s="1"/>
    </row>
    <row r="548" ht="15.75" customHeight="1">
      <c r="A548" s="13"/>
      <c r="B548" s="13" t="s">
        <v>361</v>
      </c>
      <c r="C548" s="169" t="s">
        <v>362</v>
      </c>
      <c r="D548" s="66" t="s">
        <v>22</v>
      </c>
      <c r="E548" s="15" t="s">
        <v>363</v>
      </c>
      <c r="F548" s="16">
        <v>4.0</v>
      </c>
      <c r="G548" s="17">
        <v>11.0</v>
      </c>
      <c r="H548" s="17">
        <f t="shared" si="17"/>
        <v>44</v>
      </c>
      <c r="I548" s="18"/>
      <c r="J548" s="18"/>
      <c r="K548" s="13"/>
      <c r="L548" s="27"/>
      <c r="M548" s="28"/>
      <c r="N548" s="27"/>
      <c r="O548" s="28"/>
      <c r="P548" s="27"/>
      <c r="Q548" s="35"/>
      <c r="R548" s="35"/>
      <c r="S548" s="35"/>
      <c r="T548" s="1"/>
      <c r="U548" s="1"/>
      <c r="V548" s="1"/>
    </row>
    <row r="549" ht="15.75" hidden="1" customHeight="1">
      <c r="A549" s="13"/>
      <c r="B549" s="13" t="s">
        <v>361</v>
      </c>
      <c r="C549" s="169" t="s">
        <v>364</v>
      </c>
      <c r="D549" s="66" t="s">
        <v>22</v>
      </c>
      <c r="E549" s="15" t="s">
        <v>365</v>
      </c>
      <c r="F549" s="16">
        <v>0.0</v>
      </c>
      <c r="G549" s="17">
        <v>6.0</v>
      </c>
      <c r="H549" s="17">
        <f t="shared" si="17"/>
        <v>0</v>
      </c>
      <c r="I549" s="18"/>
      <c r="J549" s="18"/>
      <c r="K549" s="13"/>
      <c r="L549" s="27"/>
      <c r="M549" s="28"/>
      <c r="N549" s="27"/>
      <c r="O549" s="28"/>
      <c r="P549" s="27"/>
      <c r="Q549" s="35"/>
      <c r="R549" s="35"/>
      <c r="S549" s="35"/>
      <c r="T549" s="1"/>
      <c r="U549" s="1"/>
      <c r="V549" s="1"/>
    </row>
    <row r="550" ht="15.75" hidden="1" customHeight="1">
      <c r="A550" s="13"/>
      <c r="B550" s="43" t="s">
        <v>64</v>
      </c>
      <c r="C550" s="169" t="s">
        <v>263</v>
      </c>
      <c r="D550" s="66" t="s">
        <v>22</v>
      </c>
      <c r="E550" s="15"/>
      <c r="F550" s="40">
        <v>0.0</v>
      </c>
      <c r="G550" s="17">
        <v>180.0</v>
      </c>
      <c r="H550" s="17">
        <f t="shared" si="17"/>
        <v>0</v>
      </c>
      <c r="I550" s="18"/>
      <c r="J550" s="18"/>
      <c r="K550" s="13"/>
      <c r="L550" s="27"/>
      <c r="M550" s="28"/>
      <c r="N550" s="27"/>
      <c r="O550" s="28"/>
      <c r="P550" s="27"/>
      <c r="Q550" s="35"/>
      <c r="R550" s="35"/>
      <c r="S550" s="35"/>
      <c r="T550" s="1"/>
      <c r="U550" s="1"/>
      <c r="V550" s="1"/>
    </row>
    <row r="551" ht="15.75" hidden="1" customHeight="1">
      <c r="A551" s="13"/>
      <c r="B551" s="13"/>
      <c r="C551" s="13" t="s">
        <v>67</v>
      </c>
      <c r="D551" s="70" t="s">
        <v>24</v>
      </c>
      <c r="E551" s="15"/>
      <c r="F551" s="40">
        <v>0.0</v>
      </c>
      <c r="G551" s="17">
        <v>18.0</v>
      </c>
      <c r="H551" s="17">
        <f t="shared" si="17"/>
        <v>0</v>
      </c>
      <c r="I551" s="18"/>
      <c r="J551" s="18"/>
      <c r="K551" s="13"/>
      <c r="L551" s="95"/>
      <c r="M551" s="96"/>
      <c r="N551" s="95"/>
      <c r="O551" s="95"/>
      <c r="P551" s="95"/>
      <c r="Q551" s="35"/>
      <c r="R551" s="35"/>
      <c r="S551" s="35"/>
      <c r="T551" s="1"/>
      <c r="U551" s="1"/>
      <c r="V551" s="1"/>
    </row>
    <row r="552" ht="15.75" customHeight="1">
      <c r="A552" s="13"/>
      <c r="B552" s="43" t="s">
        <v>88</v>
      </c>
      <c r="C552" s="195" t="s">
        <v>431</v>
      </c>
      <c r="D552" s="14" t="s">
        <v>20</v>
      </c>
      <c r="E552" s="171" t="s">
        <v>412</v>
      </c>
      <c r="F552" s="16">
        <v>1.0</v>
      </c>
      <c r="G552" s="34">
        <v>335.0</v>
      </c>
      <c r="H552" s="17">
        <f t="shared" si="17"/>
        <v>335</v>
      </c>
      <c r="I552" s="18"/>
      <c r="J552" s="18"/>
      <c r="K552" s="13"/>
      <c r="L552" s="95"/>
      <c r="M552" s="96"/>
      <c r="N552" s="95"/>
      <c r="O552" s="95"/>
      <c r="P552" s="95"/>
      <c r="Q552" s="35"/>
      <c r="R552" s="35"/>
      <c r="S552" s="35"/>
      <c r="T552" s="1"/>
      <c r="U552" s="1"/>
      <c r="V552" s="1"/>
    </row>
    <row r="553" ht="15.75" customHeight="1">
      <c r="A553" s="13"/>
      <c r="B553" s="13" t="s">
        <v>18</v>
      </c>
      <c r="C553" s="169" t="s">
        <v>280</v>
      </c>
      <c r="D553" s="14" t="s">
        <v>20</v>
      </c>
      <c r="E553" s="33" t="s">
        <v>368</v>
      </c>
      <c r="F553" s="16">
        <v>1.0</v>
      </c>
      <c r="G553" s="34">
        <v>20.0</v>
      </c>
      <c r="H553" s="17">
        <f t="shared" si="17"/>
        <v>20</v>
      </c>
      <c r="I553" s="18"/>
      <c r="J553" s="18"/>
      <c r="K553" s="13"/>
      <c r="L553" s="13"/>
      <c r="M553" s="19"/>
      <c r="N553" s="13"/>
      <c r="O553" s="19"/>
      <c r="P553" s="19"/>
      <c r="Q553" s="35"/>
      <c r="R553" s="35"/>
      <c r="S553" s="35"/>
      <c r="T553" s="1"/>
      <c r="U553" s="1"/>
      <c r="V553" s="1"/>
    </row>
    <row r="554" ht="15.75" customHeight="1">
      <c r="A554" s="13"/>
      <c r="B554" s="13"/>
      <c r="C554" s="169" t="s">
        <v>282</v>
      </c>
      <c r="D554" s="70" t="s">
        <v>24</v>
      </c>
      <c r="E554" s="15"/>
      <c r="F554" s="16">
        <v>1.0</v>
      </c>
      <c r="G554" s="17">
        <v>80.0</v>
      </c>
      <c r="H554" s="17">
        <f t="shared" si="17"/>
        <v>80</v>
      </c>
      <c r="I554" s="18"/>
      <c r="J554" s="18"/>
      <c r="K554" s="13"/>
      <c r="L554" s="63"/>
      <c r="M554" s="79"/>
      <c r="N554" s="63"/>
      <c r="O554" s="79"/>
      <c r="P554" s="79"/>
      <c r="Q554" s="35"/>
      <c r="R554" s="35"/>
      <c r="S554" s="35"/>
      <c r="T554" s="1"/>
      <c r="U554" s="1"/>
      <c r="V554" s="1"/>
    </row>
    <row r="555" ht="15.75" hidden="1" customHeight="1">
      <c r="A555" s="13"/>
      <c r="B555" s="13" t="s">
        <v>18</v>
      </c>
      <c r="C555" s="169" t="s">
        <v>283</v>
      </c>
      <c r="D555" s="14" t="s">
        <v>20</v>
      </c>
      <c r="E555" s="15" t="s">
        <v>284</v>
      </c>
      <c r="F555" s="16">
        <v>0.0</v>
      </c>
      <c r="G555" s="17">
        <v>12.0</v>
      </c>
      <c r="H555" s="17">
        <f t="shared" si="17"/>
        <v>0</v>
      </c>
      <c r="I555" s="18"/>
      <c r="J555" s="18"/>
      <c r="K555" s="13"/>
      <c r="L555" s="13"/>
      <c r="M555" s="19"/>
      <c r="N555" s="13"/>
      <c r="O555" s="38"/>
      <c r="P555" s="19"/>
      <c r="Q555" s="35"/>
      <c r="R555" s="35"/>
      <c r="S555" s="35"/>
      <c r="T555" s="1"/>
      <c r="U555" s="1"/>
      <c r="V555" s="1"/>
    </row>
    <row r="556" ht="15.75" customHeight="1">
      <c r="A556" s="13"/>
      <c r="B556" s="13" t="s">
        <v>369</v>
      </c>
      <c r="C556" s="169" t="s">
        <v>370</v>
      </c>
      <c r="D556" s="14" t="s">
        <v>20</v>
      </c>
      <c r="E556" s="15">
        <v>8.49069896E8</v>
      </c>
      <c r="F556" s="16">
        <v>1.0</v>
      </c>
      <c r="G556" s="17">
        <v>5.0</v>
      </c>
      <c r="H556" s="17">
        <f t="shared" si="17"/>
        <v>5</v>
      </c>
      <c r="I556" s="18"/>
      <c r="J556" s="18"/>
      <c r="K556" s="13"/>
      <c r="L556" s="27"/>
      <c r="M556" s="27"/>
      <c r="N556" s="27"/>
      <c r="O556" s="27"/>
      <c r="P556" s="27"/>
      <c r="Q556" s="35"/>
      <c r="R556" s="35"/>
      <c r="S556" s="35"/>
      <c r="T556" s="1"/>
      <c r="U556" s="1"/>
      <c r="V556" s="1"/>
    </row>
    <row r="557" ht="15.75" customHeight="1">
      <c r="A557" s="13"/>
      <c r="B557" s="13" t="s">
        <v>18</v>
      </c>
      <c r="C557" s="169" t="s">
        <v>371</v>
      </c>
      <c r="D557" s="14" t="s">
        <v>20</v>
      </c>
      <c r="E557" s="15" t="s">
        <v>286</v>
      </c>
      <c r="F557" s="16">
        <v>2.0</v>
      </c>
      <c r="G557" s="17">
        <v>3.0</v>
      </c>
      <c r="H557" s="17">
        <f t="shared" si="17"/>
        <v>6</v>
      </c>
      <c r="I557" s="18"/>
      <c r="J557" s="18"/>
      <c r="K557" s="13"/>
      <c r="L557" s="63"/>
      <c r="M557" s="63"/>
      <c r="N557" s="63"/>
      <c r="O557" s="63"/>
      <c r="P557" s="63"/>
      <c r="Q557" s="35"/>
      <c r="R557" s="35"/>
      <c r="S557" s="35"/>
      <c r="T557" s="1"/>
      <c r="U557" s="1"/>
      <c r="V557" s="1"/>
    </row>
    <row r="558" ht="15.75" hidden="1" customHeight="1">
      <c r="A558" s="13"/>
      <c r="B558" s="13" t="s">
        <v>18</v>
      </c>
      <c r="C558" s="195" t="s">
        <v>372</v>
      </c>
      <c r="D558" s="14" t="s">
        <v>20</v>
      </c>
      <c r="E558" s="210"/>
      <c r="F558" s="228">
        <v>0.0</v>
      </c>
      <c r="G558" s="212">
        <v>70.0</v>
      </c>
      <c r="H558" s="17">
        <f t="shared" si="17"/>
        <v>0</v>
      </c>
      <c r="I558" s="18"/>
      <c r="J558" s="18"/>
      <c r="K558" s="13"/>
      <c r="L558" s="27"/>
      <c r="M558" s="28"/>
      <c r="N558" s="27"/>
      <c r="O558" s="28"/>
      <c r="P558" s="28"/>
      <c r="Q558" s="35"/>
      <c r="R558" s="35"/>
      <c r="S558" s="35"/>
      <c r="T558" s="1"/>
      <c r="U558" s="1"/>
      <c r="V558" s="1"/>
    </row>
    <row r="559" ht="15.75" hidden="1" customHeight="1">
      <c r="A559" s="13"/>
      <c r="B559" s="13"/>
      <c r="C559" s="169" t="s">
        <v>70</v>
      </c>
      <c r="D559" s="14" t="s">
        <v>20</v>
      </c>
      <c r="E559" s="15"/>
      <c r="F559" s="40">
        <v>0.0</v>
      </c>
      <c r="G559" s="34">
        <v>60.0</v>
      </c>
      <c r="H559" s="17">
        <f t="shared" si="17"/>
        <v>0</v>
      </c>
      <c r="I559" s="18"/>
      <c r="J559" s="18"/>
      <c r="K559" s="18"/>
      <c r="L559" s="13"/>
      <c r="M559" s="19"/>
      <c r="N559" s="13"/>
      <c r="O559" s="19"/>
      <c r="P559" s="19"/>
      <c r="Q559" s="35"/>
      <c r="R559" s="35"/>
      <c r="S559" s="35"/>
      <c r="T559" s="1"/>
      <c r="U559" s="1"/>
      <c r="V559" s="1"/>
    </row>
    <row r="560" ht="15.75" hidden="1" customHeight="1">
      <c r="A560" s="13"/>
      <c r="B560" s="13" t="s">
        <v>373</v>
      </c>
      <c r="C560" s="169" t="s">
        <v>69</v>
      </c>
      <c r="D560" s="14" t="s">
        <v>20</v>
      </c>
      <c r="E560" s="15"/>
      <c r="F560" s="16">
        <v>0.0</v>
      </c>
      <c r="G560" s="17">
        <v>70.0</v>
      </c>
      <c r="H560" s="17">
        <f t="shared" si="17"/>
        <v>0</v>
      </c>
      <c r="I560" s="18"/>
      <c r="J560" s="18"/>
      <c r="K560" s="13"/>
      <c r="L560" s="27"/>
      <c r="M560" s="28"/>
      <c r="N560" s="27"/>
      <c r="O560" s="28"/>
      <c r="P560" s="28"/>
      <c r="Q560" s="35"/>
      <c r="R560" s="35"/>
      <c r="S560" s="35"/>
      <c r="T560" s="1"/>
      <c r="U560" s="1"/>
      <c r="V560" s="1"/>
    </row>
    <row r="561" ht="15.75" hidden="1" customHeight="1">
      <c r="A561" s="13"/>
      <c r="B561" s="13"/>
      <c r="C561" s="169" t="s">
        <v>374</v>
      </c>
      <c r="D561" s="70" t="s">
        <v>24</v>
      </c>
      <c r="E561" s="15"/>
      <c r="F561" s="16">
        <v>0.0</v>
      </c>
      <c r="G561" s="17">
        <v>207.0</v>
      </c>
      <c r="H561" s="17">
        <f t="shared" si="17"/>
        <v>0</v>
      </c>
      <c r="I561" s="239"/>
      <c r="J561" s="239"/>
      <c r="K561" s="170"/>
      <c r="L561" s="107"/>
      <c r="M561" s="214"/>
      <c r="N561" s="13"/>
      <c r="O561" s="13"/>
      <c r="P561" s="13"/>
      <c r="Q561" s="35"/>
      <c r="R561" s="35"/>
      <c r="S561" s="35"/>
      <c r="T561" s="1"/>
      <c r="U561" s="1"/>
      <c r="V561" s="1"/>
    </row>
    <row r="562" ht="15.75" hidden="1" customHeight="1">
      <c r="A562" s="13"/>
      <c r="B562" s="13"/>
      <c r="C562" s="169" t="s">
        <v>375</v>
      </c>
      <c r="D562" s="70" t="s">
        <v>24</v>
      </c>
      <c r="E562" s="15"/>
      <c r="F562" s="16">
        <v>0.0</v>
      </c>
      <c r="G562" s="17">
        <v>450.0</v>
      </c>
      <c r="H562" s="17">
        <f t="shared" si="17"/>
        <v>0</v>
      </c>
      <c r="I562" s="18"/>
      <c r="J562" s="18"/>
      <c r="K562" s="13"/>
      <c r="L562" s="63"/>
      <c r="M562" s="63"/>
      <c r="N562" s="63"/>
      <c r="O562" s="63"/>
      <c r="P562" s="63"/>
      <c r="Q562" s="35"/>
      <c r="R562" s="35"/>
      <c r="S562" s="35"/>
      <c r="T562" s="1"/>
      <c r="U562" s="1"/>
      <c r="V562" s="1"/>
    </row>
    <row r="563" ht="15.75" hidden="1" customHeight="1">
      <c r="A563" s="13"/>
      <c r="B563" s="13"/>
      <c r="C563" s="13" t="s">
        <v>71</v>
      </c>
      <c r="D563" s="213" t="s">
        <v>24</v>
      </c>
      <c r="E563" s="52"/>
      <c r="F563" s="48">
        <v>0.0</v>
      </c>
      <c r="G563" s="50">
        <v>80.0</v>
      </c>
      <c r="H563" s="50">
        <f t="shared" si="17"/>
        <v>0</v>
      </c>
      <c r="I563" s="18"/>
      <c r="J563" s="18"/>
      <c r="K563" s="13" t="s">
        <v>376</v>
      </c>
      <c r="L563" s="63"/>
      <c r="M563" s="63"/>
      <c r="N563" s="63"/>
      <c r="O563" s="63"/>
      <c r="P563" s="63"/>
      <c r="Q563" s="35"/>
      <c r="R563" s="35"/>
      <c r="S563" s="35"/>
      <c r="T563" s="1"/>
      <c r="U563" s="1"/>
      <c r="V563" s="1"/>
    </row>
    <row r="564" ht="15.75" hidden="1" customHeight="1">
      <c r="A564" s="13"/>
      <c r="B564" s="13" t="s">
        <v>18</v>
      </c>
      <c r="C564" s="13" t="s">
        <v>377</v>
      </c>
      <c r="D564" s="14" t="s">
        <v>20</v>
      </c>
      <c r="E564" s="52" t="s">
        <v>28</v>
      </c>
      <c r="F564" s="48">
        <v>0.0</v>
      </c>
      <c r="G564" s="50">
        <v>70.0</v>
      </c>
      <c r="H564" s="50">
        <f t="shared" si="17"/>
        <v>0</v>
      </c>
      <c r="I564" s="18"/>
      <c r="J564" s="18"/>
      <c r="K564" s="13"/>
      <c r="L564" s="63"/>
      <c r="M564" s="63"/>
      <c r="N564" s="63"/>
      <c r="O564" s="63"/>
      <c r="P564" s="63"/>
      <c r="Q564" s="35"/>
      <c r="R564" s="35"/>
      <c r="S564" s="35"/>
      <c r="T564" s="1"/>
      <c r="U564" s="1"/>
      <c r="V564" s="1"/>
    </row>
    <row r="565" ht="15.75" hidden="1" customHeight="1">
      <c r="A565" s="13"/>
      <c r="B565" s="13"/>
      <c r="C565" s="13" t="s">
        <v>221</v>
      </c>
      <c r="D565" s="213" t="s">
        <v>24</v>
      </c>
      <c r="E565" s="52"/>
      <c r="F565" s="215">
        <v>0.0</v>
      </c>
      <c r="G565" s="50">
        <v>50.0</v>
      </c>
      <c r="H565" s="50">
        <f t="shared" si="17"/>
        <v>0</v>
      </c>
      <c r="I565" s="18"/>
      <c r="J565" s="18"/>
      <c r="K565" s="13"/>
      <c r="L565" s="63"/>
      <c r="M565" s="63"/>
      <c r="N565" s="63"/>
      <c r="O565" s="63"/>
      <c r="P565" s="63"/>
      <c r="Q565" s="35"/>
      <c r="R565" s="35"/>
      <c r="S565" s="35"/>
      <c r="T565" s="1"/>
      <c r="U565" s="1"/>
      <c r="V565" s="1"/>
    </row>
    <row r="566" ht="15.75" hidden="1" customHeight="1">
      <c r="A566" s="13"/>
      <c r="B566" s="13"/>
      <c r="C566" s="206" t="s">
        <v>222</v>
      </c>
      <c r="D566" s="216" t="s">
        <v>24</v>
      </c>
      <c r="E566" s="54"/>
      <c r="F566" s="56">
        <v>0.0</v>
      </c>
      <c r="G566" s="57">
        <v>40.0</v>
      </c>
      <c r="H566" s="57">
        <f t="shared" si="17"/>
        <v>0</v>
      </c>
      <c r="I566" s="18"/>
      <c r="J566" s="18"/>
      <c r="K566" s="13"/>
      <c r="L566" s="63"/>
      <c r="M566" s="63"/>
      <c r="N566" s="63"/>
      <c r="O566" s="63"/>
      <c r="P566" s="63"/>
      <c r="Q566" s="35"/>
      <c r="R566" s="35"/>
      <c r="S566" s="35"/>
      <c r="T566" s="1"/>
      <c r="U566" s="1"/>
      <c r="V566" s="1"/>
    </row>
    <row r="567" ht="30.75" customHeight="1">
      <c r="A567" s="83"/>
      <c r="B567" s="345" t="s">
        <v>969</v>
      </c>
      <c r="C567" s="255">
        <f>SUM(H577:H644)</f>
        <v>13984.2</v>
      </c>
      <c r="D567" s="256"/>
      <c r="E567" s="256"/>
      <c r="F567" s="256"/>
      <c r="G567" s="257"/>
      <c r="H567" s="257"/>
      <c r="I567" s="257"/>
      <c r="J567" s="257"/>
      <c r="K567" s="256"/>
      <c r="L567" s="83"/>
      <c r="M567" s="83"/>
      <c r="N567" s="83"/>
      <c r="O567" s="83"/>
      <c r="P567" s="83"/>
      <c r="Q567" s="35"/>
      <c r="R567" s="35"/>
      <c r="S567" s="35"/>
      <c r="T567" s="1"/>
      <c r="U567" s="1"/>
      <c r="V567" s="1"/>
    </row>
    <row r="568" ht="15.75" hidden="1" customHeight="1">
      <c r="A568" s="13"/>
      <c r="B568" s="13"/>
      <c r="C568" s="169" t="s">
        <v>191</v>
      </c>
      <c r="D568" s="66" t="s">
        <v>22</v>
      </c>
      <c r="E568" s="15"/>
      <c r="F568" s="16">
        <v>0.0</v>
      </c>
      <c r="G568" s="17">
        <v>100.0</v>
      </c>
      <c r="H568" s="17">
        <f t="shared" ref="H568:H585" si="18">SUM(F568*G568)</f>
        <v>0</v>
      </c>
      <c r="I568" s="18"/>
      <c r="J568" s="18"/>
      <c r="K568" s="13"/>
      <c r="L568" s="13"/>
      <c r="M568" s="13"/>
      <c r="N568" s="13"/>
      <c r="O568" s="13"/>
      <c r="P568" s="13"/>
      <c r="Q568" s="35"/>
      <c r="R568" s="35"/>
      <c r="S568" s="35"/>
      <c r="T568" s="1"/>
      <c r="U568" s="1"/>
      <c r="V568" s="1"/>
    </row>
    <row r="569" ht="15.75" hidden="1" customHeight="1">
      <c r="A569" s="13"/>
      <c r="B569" s="13" t="s">
        <v>18</v>
      </c>
      <c r="C569" s="169" t="s">
        <v>433</v>
      </c>
      <c r="D569" s="14" t="s">
        <v>20</v>
      </c>
      <c r="E569" s="15"/>
      <c r="F569" s="16">
        <v>0.0</v>
      </c>
      <c r="G569" s="17">
        <v>5.0</v>
      </c>
      <c r="H569" s="17">
        <f t="shared" si="18"/>
        <v>0</v>
      </c>
      <c r="I569" s="18"/>
      <c r="J569" s="18"/>
      <c r="K569" s="13"/>
      <c r="L569" s="13"/>
      <c r="M569" s="13"/>
      <c r="N569" s="13"/>
      <c r="O569" s="13"/>
      <c r="P569" s="13"/>
      <c r="Q569" s="35"/>
      <c r="R569" s="35"/>
      <c r="S569" s="35"/>
      <c r="T569" s="1"/>
      <c r="U569" s="1"/>
      <c r="V569" s="1"/>
    </row>
    <row r="570" ht="15.75" hidden="1" customHeight="1">
      <c r="A570" s="13"/>
      <c r="B570" s="13" t="s">
        <v>18</v>
      </c>
      <c r="C570" s="169" t="s">
        <v>19</v>
      </c>
      <c r="D570" s="14" t="s">
        <v>20</v>
      </c>
      <c r="E570" s="15"/>
      <c r="F570" s="16">
        <v>0.0</v>
      </c>
      <c r="G570" s="17">
        <v>0.0</v>
      </c>
      <c r="H570" s="17">
        <f t="shared" si="18"/>
        <v>0</v>
      </c>
      <c r="I570" s="18"/>
      <c r="J570" s="17"/>
      <c r="K570" s="13"/>
      <c r="L570" s="13"/>
      <c r="M570" s="19"/>
      <c r="N570" s="19"/>
      <c r="O570" s="38"/>
      <c r="P570" s="19"/>
      <c r="Q570" s="35"/>
      <c r="R570" s="35"/>
      <c r="S570" s="35"/>
      <c r="T570" s="1"/>
      <c r="U570" s="1"/>
      <c r="V570" s="1"/>
    </row>
    <row r="571" ht="15.75" hidden="1" customHeight="1">
      <c r="A571" s="13"/>
      <c r="B571" s="13" t="s">
        <v>18</v>
      </c>
      <c r="C571" s="169" t="s">
        <v>434</v>
      </c>
      <c r="D571" s="14" t="s">
        <v>20</v>
      </c>
      <c r="E571" s="15"/>
      <c r="F571" s="16">
        <v>0.0</v>
      </c>
      <c r="G571" s="17">
        <v>5.0</v>
      </c>
      <c r="H571" s="17">
        <f t="shared" si="18"/>
        <v>0</v>
      </c>
      <c r="I571" s="18"/>
      <c r="J571" s="17"/>
      <c r="K571" s="13"/>
      <c r="L571" s="13"/>
      <c r="M571" s="19"/>
      <c r="N571" s="19"/>
      <c r="O571" s="38"/>
      <c r="P571" s="19"/>
      <c r="Q571" s="35"/>
      <c r="R571" s="35"/>
      <c r="S571" s="35"/>
      <c r="T571" s="1"/>
      <c r="U571" s="1"/>
      <c r="V571" s="1"/>
    </row>
    <row r="572" ht="15.75" hidden="1" customHeight="1">
      <c r="A572" s="13"/>
      <c r="B572" s="13"/>
      <c r="C572" s="169" t="s">
        <v>435</v>
      </c>
      <c r="D572" s="70" t="s">
        <v>24</v>
      </c>
      <c r="E572" s="15"/>
      <c r="F572" s="16">
        <v>0.0</v>
      </c>
      <c r="G572" s="17">
        <v>103.5</v>
      </c>
      <c r="H572" s="17">
        <f t="shared" si="18"/>
        <v>0</v>
      </c>
      <c r="I572" s="18"/>
      <c r="J572" s="17"/>
      <c r="K572" s="13"/>
      <c r="L572" s="13"/>
      <c r="M572" s="19"/>
      <c r="N572" s="19"/>
      <c r="O572" s="38"/>
      <c r="P572" s="19"/>
      <c r="Q572" s="35"/>
      <c r="R572" s="35"/>
      <c r="S572" s="35"/>
      <c r="T572" s="1"/>
      <c r="U572" s="1"/>
      <c r="V572" s="1"/>
    </row>
    <row r="573" ht="15.75" hidden="1" customHeight="1">
      <c r="A573" s="13"/>
      <c r="B573" s="13" t="s">
        <v>18</v>
      </c>
      <c r="C573" s="169" t="s">
        <v>296</v>
      </c>
      <c r="D573" s="14" t="s">
        <v>20</v>
      </c>
      <c r="E573" s="15"/>
      <c r="F573" s="16">
        <v>0.0</v>
      </c>
      <c r="G573" s="17">
        <v>200.0</v>
      </c>
      <c r="H573" s="17">
        <f t="shared" si="18"/>
        <v>0</v>
      </c>
      <c r="I573" s="18"/>
      <c r="J573" s="17"/>
      <c r="K573" s="13"/>
      <c r="L573" s="13"/>
      <c r="M573" s="19"/>
      <c r="N573" s="19"/>
      <c r="O573" s="38"/>
      <c r="P573" s="19"/>
      <c r="Q573" s="35"/>
      <c r="R573" s="35"/>
      <c r="S573" s="35"/>
      <c r="T573" s="1"/>
      <c r="U573" s="1"/>
      <c r="V573" s="1"/>
    </row>
    <row r="574" ht="15.75" hidden="1" customHeight="1">
      <c r="A574" s="13"/>
      <c r="B574" s="13" t="s">
        <v>18</v>
      </c>
      <c r="C574" s="169" t="s">
        <v>300</v>
      </c>
      <c r="D574" s="14" t="s">
        <v>20</v>
      </c>
      <c r="E574" s="15"/>
      <c r="F574" s="16">
        <v>0.0</v>
      </c>
      <c r="G574" s="17">
        <v>5.0</v>
      </c>
      <c r="H574" s="17">
        <f t="shared" si="18"/>
        <v>0</v>
      </c>
      <c r="I574" s="18"/>
      <c r="J574" s="17"/>
      <c r="K574" s="13"/>
      <c r="L574" s="13"/>
      <c r="M574" s="19"/>
      <c r="N574" s="19"/>
      <c r="O574" s="38"/>
      <c r="P574" s="19"/>
      <c r="Q574" s="35"/>
      <c r="R574" s="35"/>
      <c r="S574" s="35"/>
      <c r="T574" s="1"/>
      <c r="U574" s="1"/>
      <c r="V574" s="1"/>
    </row>
    <row r="575" ht="15.75" hidden="1" customHeight="1">
      <c r="A575" s="13"/>
      <c r="B575" s="13"/>
      <c r="C575" s="169" t="s">
        <v>380</v>
      </c>
      <c r="D575" s="70" t="s">
        <v>24</v>
      </c>
      <c r="E575" s="15"/>
      <c r="F575" s="16">
        <v>0.0</v>
      </c>
      <c r="G575" s="17">
        <v>95.0</v>
      </c>
      <c r="H575" s="17">
        <f t="shared" si="18"/>
        <v>0</v>
      </c>
      <c r="I575" s="18"/>
      <c r="J575" s="17"/>
      <c r="K575" s="13"/>
      <c r="L575" s="13"/>
      <c r="M575" s="19"/>
      <c r="N575" s="19"/>
      <c r="O575" s="38"/>
      <c r="P575" s="19"/>
      <c r="Q575" s="35"/>
      <c r="R575" s="35"/>
      <c r="S575" s="35"/>
      <c r="T575" s="1"/>
      <c r="U575" s="1"/>
      <c r="V575" s="1"/>
    </row>
    <row r="576" ht="15.75" hidden="1" customHeight="1">
      <c r="A576" s="13"/>
      <c r="B576" s="13"/>
      <c r="C576" s="169" t="s">
        <v>440</v>
      </c>
      <c r="D576" s="70" t="s">
        <v>24</v>
      </c>
      <c r="E576" s="15"/>
      <c r="F576" s="16">
        <v>0.0</v>
      </c>
      <c r="G576" s="17">
        <v>200.0</v>
      </c>
      <c r="H576" s="17">
        <f t="shared" si="18"/>
        <v>0</v>
      </c>
      <c r="I576" s="18"/>
      <c r="J576" s="17"/>
      <c r="K576" s="13"/>
      <c r="L576" s="13"/>
      <c r="M576" s="19"/>
      <c r="N576" s="19"/>
      <c r="O576" s="38"/>
      <c r="P576" s="19"/>
      <c r="Q576" s="35"/>
      <c r="R576" s="35"/>
      <c r="S576" s="35"/>
      <c r="T576" s="1"/>
      <c r="U576" s="1"/>
      <c r="V576" s="1"/>
    </row>
    <row r="577" ht="15.75" customHeight="1">
      <c r="A577" s="53"/>
      <c r="B577" s="258" t="s">
        <v>383</v>
      </c>
      <c r="C577" s="197" t="s">
        <v>436</v>
      </c>
      <c r="D577" s="259" t="s">
        <v>32</v>
      </c>
      <c r="E577" s="219"/>
      <c r="F577" s="190">
        <v>1.0</v>
      </c>
      <c r="G577" s="191">
        <v>10000.0</v>
      </c>
      <c r="H577" s="192">
        <f t="shared" si="18"/>
        <v>10000</v>
      </c>
      <c r="I577" s="193"/>
      <c r="J577" s="18"/>
      <c r="K577" s="13"/>
      <c r="L577" s="13"/>
      <c r="M577" s="19"/>
      <c r="N577" s="13"/>
      <c r="O577" s="19"/>
      <c r="P577" s="13"/>
      <c r="Q577" s="35"/>
      <c r="R577" s="35"/>
      <c r="S577" s="35"/>
      <c r="T577" s="1"/>
      <c r="U577" s="1"/>
      <c r="V577" s="1"/>
    </row>
    <row r="578" ht="15.75" hidden="1" customHeight="1">
      <c r="A578" s="13"/>
      <c r="B578" s="13"/>
      <c r="C578" s="169" t="s">
        <v>307</v>
      </c>
      <c r="D578" s="101" t="s">
        <v>32</v>
      </c>
      <c r="E578" s="219"/>
      <c r="F578" s="190">
        <v>0.0</v>
      </c>
      <c r="G578" s="192">
        <v>0.0</v>
      </c>
      <c r="H578" s="192">
        <f t="shared" si="18"/>
        <v>0</v>
      </c>
      <c r="I578" s="193"/>
      <c r="J578" s="18"/>
      <c r="K578" s="13"/>
      <c r="L578" s="27"/>
      <c r="M578" s="27"/>
      <c r="N578" s="27"/>
      <c r="O578" s="27"/>
      <c r="P578" s="27"/>
      <c r="Q578" s="35"/>
      <c r="R578" s="35"/>
      <c r="S578" s="35"/>
      <c r="T578" s="1"/>
      <c r="U578" s="1"/>
      <c r="V578" s="1"/>
    </row>
    <row r="579" ht="15.75" customHeight="1">
      <c r="A579" s="53"/>
      <c r="B579" s="54" t="s">
        <v>18</v>
      </c>
      <c r="C579" s="197" t="s">
        <v>308</v>
      </c>
      <c r="D579" s="259" t="s">
        <v>32</v>
      </c>
      <c r="E579" s="230" t="s">
        <v>970</v>
      </c>
      <c r="F579" s="56">
        <v>1.0</v>
      </c>
      <c r="G579" s="159">
        <v>456.0</v>
      </c>
      <c r="H579" s="57">
        <f t="shared" si="18"/>
        <v>456</v>
      </c>
      <c r="I579" s="58"/>
      <c r="J579" s="58"/>
      <c r="K579" s="54"/>
      <c r="L579" s="27"/>
      <c r="M579" s="241"/>
      <c r="N579" s="27"/>
      <c r="O579" s="27"/>
      <c r="P579" s="27"/>
      <c r="Q579" s="35"/>
      <c r="R579" s="35"/>
      <c r="S579" s="35"/>
      <c r="T579" s="1"/>
      <c r="U579" s="1"/>
      <c r="V579" s="1"/>
    </row>
    <row r="580" ht="15.75" customHeight="1">
      <c r="A580" s="53"/>
      <c r="B580" s="54" t="s">
        <v>539</v>
      </c>
      <c r="C580" s="203" t="s">
        <v>971</v>
      </c>
      <c r="D580" s="55" t="s">
        <v>20</v>
      </c>
      <c r="E580" s="54"/>
      <c r="F580" s="56">
        <v>1.0</v>
      </c>
      <c r="G580" s="57">
        <v>1500.0</v>
      </c>
      <c r="H580" s="57">
        <f t="shared" si="18"/>
        <v>1500</v>
      </c>
      <c r="I580" s="58"/>
      <c r="J580" s="58"/>
      <c r="K580" s="54"/>
      <c r="L580" s="27"/>
      <c r="M580" s="241"/>
      <c r="N580" s="27"/>
      <c r="O580" s="27"/>
      <c r="P580" s="27"/>
      <c r="Q580" s="35"/>
      <c r="R580" s="35"/>
      <c r="S580" s="35"/>
      <c r="T580" s="1"/>
      <c r="U580" s="1"/>
      <c r="V580" s="1"/>
    </row>
    <row r="581" ht="15.75" hidden="1" customHeight="1">
      <c r="A581" s="13"/>
      <c r="B581" s="13"/>
      <c r="C581" s="169" t="s">
        <v>541</v>
      </c>
      <c r="D581" s="66" t="s">
        <v>22</v>
      </c>
      <c r="E581" s="15"/>
      <c r="F581" s="16">
        <v>0.0</v>
      </c>
      <c r="G581" s="17">
        <v>30.0</v>
      </c>
      <c r="H581" s="17">
        <f t="shared" si="18"/>
        <v>0</v>
      </c>
      <c r="I581" s="18"/>
      <c r="J581" s="18"/>
      <c r="K581" s="13"/>
      <c r="L581" s="13"/>
      <c r="M581" s="13"/>
      <c r="N581" s="13"/>
      <c r="O581" s="13"/>
      <c r="P581" s="13"/>
      <c r="Q581" s="35"/>
      <c r="R581" s="35"/>
      <c r="S581" s="35"/>
      <c r="T581" s="1"/>
      <c r="U581" s="1"/>
      <c r="V581" s="1"/>
    </row>
    <row r="582" ht="15.75" hidden="1" customHeight="1">
      <c r="A582" s="13"/>
      <c r="B582" s="13" t="s">
        <v>454</v>
      </c>
      <c r="C582" s="169" t="s">
        <v>321</v>
      </c>
      <c r="D582" s="66" t="s">
        <v>22</v>
      </c>
      <c r="E582" s="15"/>
      <c r="F582" s="16">
        <v>0.0</v>
      </c>
      <c r="G582" s="17">
        <v>10.0</v>
      </c>
      <c r="H582" s="17">
        <f t="shared" si="18"/>
        <v>0</v>
      </c>
      <c r="I582" s="18"/>
      <c r="J582" s="18"/>
      <c r="K582" s="13"/>
      <c r="L582" s="13"/>
      <c r="M582" s="19"/>
      <c r="N582" s="13"/>
      <c r="O582" s="13"/>
      <c r="P582" s="13"/>
      <c r="Q582" s="35"/>
      <c r="R582" s="35"/>
      <c r="S582" s="35"/>
      <c r="T582" s="1"/>
      <c r="U582" s="1"/>
      <c r="V582" s="1"/>
    </row>
    <row r="583" ht="15.75" customHeight="1">
      <c r="A583" s="206"/>
      <c r="B583" s="13" t="s">
        <v>18</v>
      </c>
      <c r="C583" s="52" t="s">
        <v>542</v>
      </c>
      <c r="D583" s="150" t="s">
        <v>22</v>
      </c>
      <c r="E583" s="260" t="s">
        <v>543</v>
      </c>
      <c r="F583" s="48">
        <v>1.0</v>
      </c>
      <c r="G583" s="49">
        <v>156.0</v>
      </c>
      <c r="H583" s="50">
        <f t="shared" si="18"/>
        <v>156</v>
      </c>
      <c r="I583" s="57"/>
      <c r="J583" s="58"/>
      <c r="K583" s="258"/>
      <c r="L583" s="13"/>
      <c r="M583" s="13"/>
      <c r="N583" s="13"/>
      <c r="O583" s="13"/>
      <c r="P583" s="13"/>
      <c r="Q583" s="35"/>
      <c r="R583" s="35"/>
      <c r="S583" s="35"/>
      <c r="T583" s="1"/>
      <c r="U583" s="1"/>
      <c r="V583" s="1"/>
    </row>
    <row r="584" ht="15.75" hidden="1" customHeight="1">
      <c r="A584" s="13"/>
      <c r="B584" s="13" t="s">
        <v>18</v>
      </c>
      <c r="C584" s="196" t="s">
        <v>544</v>
      </c>
      <c r="D584" s="66" t="s">
        <v>22</v>
      </c>
      <c r="E584" s="246" t="s">
        <v>545</v>
      </c>
      <c r="F584" s="215">
        <v>0.0</v>
      </c>
      <c r="G584" s="50">
        <v>21.0</v>
      </c>
      <c r="H584" s="17">
        <f t="shared" si="18"/>
        <v>0</v>
      </c>
      <c r="I584" s="51"/>
      <c r="J584" s="18"/>
      <c r="K584" s="13"/>
      <c r="L584" s="13"/>
      <c r="M584" s="13"/>
      <c r="N584" s="13"/>
      <c r="O584" s="13"/>
      <c r="P584" s="13"/>
      <c r="Q584" s="35"/>
      <c r="R584" s="35"/>
      <c r="S584" s="35"/>
      <c r="T584" s="1"/>
      <c r="U584" s="1"/>
      <c r="V584" s="1"/>
    </row>
    <row r="585" ht="15.75" customHeight="1">
      <c r="A585" s="206"/>
      <c r="B585" s="156" t="s">
        <v>88</v>
      </c>
      <c r="C585" s="258" t="s">
        <v>546</v>
      </c>
      <c r="D585" s="198" t="s">
        <v>22</v>
      </c>
      <c r="E585" s="261" t="s">
        <v>547</v>
      </c>
      <c r="F585" s="56">
        <v>1.0</v>
      </c>
      <c r="G585" s="159">
        <v>258.0</v>
      </c>
      <c r="H585" s="57">
        <f t="shared" si="18"/>
        <v>258</v>
      </c>
      <c r="I585" s="57"/>
      <c r="J585" s="58"/>
      <c r="K585" s="54"/>
      <c r="L585" s="13"/>
      <c r="M585" s="13"/>
      <c r="N585" s="13"/>
      <c r="O585" s="13"/>
      <c r="P585" s="13"/>
      <c r="Q585" s="35"/>
      <c r="R585" s="35"/>
      <c r="S585" s="35"/>
      <c r="T585" s="1"/>
      <c r="U585" s="1"/>
      <c r="V585" s="1"/>
    </row>
    <row r="586" ht="15.75" hidden="1" customHeight="1">
      <c r="A586" s="13"/>
      <c r="B586" s="13" t="s">
        <v>548</v>
      </c>
      <c r="C586" s="196" t="s">
        <v>549</v>
      </c>
      <c r="D586" s="66" t="s">
        <v>22</v>
      </c>
      <c r="E586" s="207"/>
      <c r="F586" s="215">
        <v>0.0</v>
      </c>
      <c r="G586" s="50"/>
      <c r="H586" s="17"/>
      <c r="I586" s="51"/>
      <c r="J586" s="18"/>
      <c r="K586" s="13"/>
      <c r="L586" s="13"/>
      <c r="M586" s="13"/>
      <c r="N586" s="13"/>
      <c r="O586" s="13"/>
      <c r="P586" s="13"/>
      <c r="Q586" s="35"/>
      <c r="R586" s="35"/>
      <c r="S586" s="35"/>
      <c r="T586" s="1"/>
      <c r="U586" s="1"/>
      <c r="V586" s="1"/>
    </row>
    <row r="587" ht="15.75" hidden="1" customHeight="1">
      <c r="A587" s="170"/>
      <c r="B587" s="13" t="s">
        <v>18</v>
      </c>
      <c r="C587" s="196" t="s">
        <v>550</v>
      </c>
      <c r="D587" s="66" t="s">
        <v>22</v>
      </c>
      <c r="E587" s="262" t="s">
        <v>551</v>
      </c>
      <c r="F587" s="263">
        <v>0.0</v>
      </c>
      <c r="G587" s="264">
        <v>19.0</v>
      </c>
      <c r="H587" s="265">
        <f t="shared" ref="H587:H677" si="19">SUM(F587*G587)</f>
        <v>0</v>
      </c>
      <c r="I587" s="266"/>
      <c r="J587" s="239"/>
      <c r="K587" s="170"/>
      <c r="L587" s="170"/>
      <c r="M587" s="170"/>
      <c r="N587" s="170"/>
      <c r="O587" s="170"/>
      <c r="P587" s="170"/>
      <c r="Q587" s="267"/>
      <c r="R587" s="267"/>
      <c r="S587" s="267"/>
      <c r="T587" s="268"/>
      <c r="U587" s="268"/>
      <c r="V587" s="268"/>
    </row>
    <row r="588" ht="15.75" customHeight="1">
      <c r="A588" s="206"/>
      <c r="B588" s="206" t="s">
        <v>18</v>
      </c>
      <c r="C588" s="258" t="s">
        <v>552</v>
      </c>
      <c r="D588" s="198" t="s">
        <v>22</v>
      </c>
      <c r="E588" s="15"/>
      <c r="F588" s="56">
        <v>1.0</v>
      </c>
      <c r="G588" s="159">
        <v>20.0</v>
      </c>
      <c r="H588" s="57">
        <f t="shared" si="19"/>
        <v>20</v>
      </c>
      <c r="I588" s="57"/>
      <c r="J588" s="58"/>
      <c r="K588" s="54"/>
      <c r="L588" s="13"/>
      <c r="M588" s="13"/>
      <c r="N588" s="13"/>
      <c r="O588" s="13"/>
      <c r="P588" s="13"/>
      <c r="Q588" s="35"/>
      <c r="R588" s="35"/>
      <c r="S588" s="35"/>
      <c r="T588" s="1"/>
      <c r="U588" s="1"/>
      <c r="V588" s="1"/>
    </row>
    <row r="589" ht="15.75" hidden="1" customHeight="1">
      <c r="A589" s="13"/>
      <c r="B589" s="13"/>
      <c r="C589" s="169" t="s">
        <v>401</v>
      </c>
      <c r="D589" s="150" t="s">
        <v>22</v>
      </c>
      <c r="E589" s="52"/>
      <c r="F589" s="48">
        <v>0.0</v>
      </c>
      <c r="G589" s="50">
        <v>25.0</v>
      </c>
      <c r="H589" s="50">
        <f t="shared" si="19"/>
        <v>0</v>
      </c>
      <c r="I589" s="50"/>
      <c r="J589" s="18"/>
      <c r="K589" s="13"/>
      <c r="L589" s="13"/>
      <c r="M589" s="13"/>
      <c r="N589" s="13"/>
      <c r="O589" s="13"/>
      <c r="P589" s="13"/>
      <c r="Q589" s="35"/>
      <c r="R589" s="35"/>
      <c r="S589" s="35"/>
      <c r="T589" s="1"/>
      <c r="U589" s="1"/>
      <c r="V589" s="1"/>
    </row>
    <row r="590" ht="15.75" hidden="1" customHeight="1">
      <c r="A590" s="13"/>
      <c r="B590" s="13"/>
      <c r="C590" s="169" t="s">
        <v>405</v>
      </c>
      <c r="D590" s="150" t="s">
        <v>22</v>
      </c>
      <c r="E590" s="52"/>
      <c r="F590" s="48">
        <v>0.0</v>
      </c>
      <c r="G590" s="50">
        <v>25.0</v>
      </c>
      <c r="H590" s="50">
        <f t="shared" si="19"/>
        <v>0</v>
      </c>
      <c r="I590" s="50"/>
      <c r="J590" s="18"/>
      <c r="K590" s="13"/>
      <c r="L590" s="13"/>
      <c r="M590" s="13"/>
      <c r="N590" s="13"/>
      <c r="O590" s="13"/>
      <c r="P590" s="13"/>
      <c r="Q590" s="35"/>
      <c r="R590" s="35"/>
      <c r="S590" s="35"/>
      <c r="T590" s="1"/>
      <c r="U590" s="1"/>
      <c r="V590" s="1"/>
    </row>
    <row r="591" ht="15.75" hidden="1" customHeight="1">
      <c r="A591" s="13"/>
      <c r="B591" s="13" t="s">
        <v>18</v>
      </c>
      <c r="C591" s="244" t="s">
        <v>442</v>
      </c>
      <c r="D591" s="198" t="s">
        <v>22</v>
      </c>
      <c r="E591" s="54"/>
      <c r="F591" s="56">
        <v>0.0</v>
      </c>
      <c r="G591" s="57">
        <v>30.0</v>
      </c>
      <c r="H591" s="50">
        <f t="shared" si="19"/>
        <v>0</v>
      </c>
      <c r="I591" s="57"/>
      <c r="J591" s="18"/>
      <c r="K591" s="13"/>
      <c r="L591" s="13"/>
      <c r="M591" s="13"/>
      <c r="N591" s="13"/>
      <c r="O591" s="13"/>
      <c r="P591" s="13"/>
      <c r="Q591" s="35"/>
      <c r="R591" s="35"/>
      <c r="S591" s="35"/>
      <c r="T591" s="1"/>
      <c r="U591" s="1"/>
      <c r="V591" s="1"/>
    </row>
    <row r="592" ht="15.75" hidden="1" customHeight="1">
      <c r="A592" s="13"/>
      <c r="B592" s="13" t="s">
        <v>539</v>
      </c>
      <c r="C592" s="244" t="s">
        <v>553</v>
      </c>
      <c r="D592" s="198" t="s">
        <v>22</v>
      </c>
      <c r="E592" s="54" t="s">
        <v>554</v>
      </c>
      <c r="F592" s="158">
        <v>0.0</v>
      </c>
      <c r="G592" s="57">
        <v>0.0</v>
      </c>
      <c r="H592" s="50">
        <f t="shared" si="19"/>
        <v>0</v>
      </c>
      <c r="I592" s="57"/>
      <c r="J592" s="18"/>
      <c r="K592" s="13"/>
      <c r="L592" s="13"/>
      <c r="M592" s="13"/>
      <c r="N592" s="13"/>
      <c r="O592" s="13"/>
      <c r="P592" s="13"/>
      <c r="Q592" s="35"/>
      <c r="R592" s="35"/>
      <c r="S592" s="35"/>
      <c r="T592" s="1"/>
      <c r="U592" s="1"/>
      <c r="V592" s="1"/>
    </row>
    <row r="593" ht="15.75" hidden="1" customHeight="1">
      <c r="A593" s="13"/>
      <c r="B593" s="13" t="s">
        <v>18</v>
      </c>
      <c r="C593" s="244" t="s">
        <v>555</v>
      </c>
      <c r="D593" s="198" t="s">
        <v>22</v>
      </c>
      <c r="E593" s="201" t="s">
        <v>556</v>
      </c>
      <c r="F593" s="158">
        <v>0.0</v>
      </c>
      <c r="G593" s="57">
        <v>13.95</v>
      </c>
      <c r="H593" s="50">
        <f t="shared" si="19"/>
        <v>0</v>
      </c>
      <c r="I593" s="57"/>
      <c r="J593" s="18"/>
      <c r="K593" s="13"/>
      <c r="L593" s="13"/>
      <c r="M593" s="13"/>
      <c r="N593" s="13"/>
      <c r="O593" s="13"/>
      <c r="P593" s="13"/>
      <c r="Q593" s="35"/>
      <c r="R593" s="35"/>
      <c r="S593" s="35"/>
      <c r="T593" s="1"/>
      <c r="U593" s="1"/>
      <c r="V593" s="1"/>
    </row>
    <row r="594" ht="15.75" customHeight="1">
      <c r="A594" s="53"/>
      <c r="B594" s="54" t="s">
        <v>18</v>
      </c>
      <c r="C594" s="197" t="s">
        <v>394</v>
      </c>
      <c r="D594" s="198" t="s">
        <v>22</v>
      </c>
      <c r="E594" s="230" t="s">
        <v>972</v>
      </c>
      <c r="F594" s="56">
        <v>4.0</v>
      </c>
      <c r="G594" s="159">
        <v>81.0</v>
      </c>
      <c r="H594" s="57">
        <f t="shared" si="19"/>
        <v>324</v>
      </c>
      <c r="I594" s="58"/>
      <c r="J594" s="58"/>
      <c r="K594" s="54"/>
      <c r="L594" s="13"/>
      <c r="M594" s="13"/>
      <c r="N594" s="13"/>
      <c r="O594" s="13"/>
      <c r="P594" s="13"/>
      <c r="Q594" s="35"/>
      <c r="R594" s="35"/>
      <c r="S594" s="35"/>
      <c r="T594" s="1"/>
      <c r="U594" s="1"/>
      <c r="V594" s="1"/>
    </row>
    <row r="595" ht="15.75" hidden="1" customHeight="1">
      <c r="A595" s="13"/>
      <c r="B595" s="13" t="s">
        <v>18</v>
      </c>
      <c r="C595" s="244" t="s">
        <v>452</v>
      </c>
      <c r="D595" s="198" t="s">
        <v>22</v>
      </c>
      <c r="E595" s="201" t="s">
        <v>558</v>
      </c>
      <c r="F595" s="158">
        <v>0.0</v>
      </c>
      <c r="G595" s="57">
        <v>39.0</v>
      </c>
      <c r="H595" s="50">
        <f t="shared" si="19"/>
        <v>0</v>
      </c>
      <c r="I595" s="57"/>
      <c r="J595" s="18"/>
      <c r="K595" s="13"/>
      <c r="L595" s="13"/>
      <c r="M595" s="13"/>
      <c r="N595" s="13"/>
      <c r="O595" s="13"/>
      <c r="P595" s="13"/>
      <c r="Q595" s="35"/>
      <c r="R595" s="35"/>
      <c r="S595" s="35"/>
      <c r="T595" s="1"/>
      <c r="U595" s="1"/>
      <c r="V595" s="1"/>
    </row>
    <row r="596" ht="15.75" customHeight="1">
      <c r="A596" s="53"/>
      <c r="B596" s="54" t="s">
        <v>399</v>
      </c>
      <c r="C596" s="197" t="s">
        <v>364</v>
      </c>
      <c r="D596" s="198" t="s">
        <v>22</v>
      </c>
      <c r="E596" s="54" t="s">
        <v>365</v>
      </c>
      <c r="F596" s="56">
        <v>8.0</v>
      </c>
      <c r="G596" s="57">
        <v>6.0</v>
      </c>
      <c r="H596" s="57">
        <f t="shared" si="19"/>
        <v>48</v>
      </c>
      <c r="I596" s="58"/>
      <c r="J596" s="58"/>
      <c r="K596" s="54"/>
      <c r="L596" s="13"/>
      <c r="M596" s="13"/>
      <c r="N596" s="13"/>
      <c r="O596" s="13"/>
      <c r="P596" s="13"/>
      <c r="Q596" s="35"/>
      <c r="R596" s="35"/>
      <c r="S596" s="35"/>
      <c r="T596" s="1"/>
      <c r="U596" s="1"/>
      <c r="V596" s="1"/>
    </row>
    <row r="597" ht="15.75" hidden="1" customHeight="1">
      <c r="A597" s="13"/>
      <c r="B597" s="13" t="s">
        <v>539</v>
      </c>
      <c r="C597" s="244" t="s">
        <v>559</v>
      </c>
      <c r="D597" s="198" t="s">
        <v>22</v>
      </c>
      <c r="E597" s="54" t="s">
        <v>560</v>
      </c>
      <c r="F597" s="158">
        <v>0.0</v>
      </c>
      <c r="G597" s="57">
        <v>0.0</v>
      </c>
      <c r="H597" s="50">
        <f t="shared" si="19"/>
        <v>0</v>
      </c>
      <c r="I597" s="57"/>
      <c r="J597" s="18"/>
      <c r="K597" s="13"/>
      <c r="L597" s="13"/>
      <c r="M597" s="13"/>
      <c r="N597" s="13"/>
      <c r="O597" s="13"/>
      <c r="P597" s="13"/>
      <c r="Q597" s="35"/>
      <c r="R597" s="35"/>
      <c r="S597" s="35"/>
      <c r="T597" s="1"/>
      <c r="U597" s="1"/>
      <c r="V597" s="1"/>
    </row>
    <row r="598" ht="15.75" hidden="1" customHeight="1">
      <c r="A598" s="13"/>
      <c r="B598" s="13" t="s">
        <v>18</v>
      </c>
      <c r="C598" s="244" t="s">
        <v>19</v>
      </c>
      <c r="D598" s="198" t="s">
        <v>22</v>
      </c>
      <c r="E598" s="201" t="s">
        <v>561</v>
      </c>
      <c r="F598" s="158">
        <v>0.0</v>
      </c>
      <c r="G598" s="57">
        <v>37.0</v>
      </c>
      <c r="H598" s="50">
        <f t="shared" si="19"/>
        <v>0</v>
      </c>
      <c r="I598" s="57"/>
      <c r="J598" s="18"/>
      <c r="K598" s="13"/>
      <c r="L598" s="13"/>
      <c r="M598" s="13"/>
      <c r="N598" s="13"/>
      <c r="O598" s="13"/>
      <c r="P598" s="13"/>
      <c r="Q598" s="35"/>
      <c r="R598" s="35"/>
      <c r="S598" s="35"/>
      <c r="T598" s="1"/>
      <c r="U598" s="1"/>
      <c r="V598" s="1"/>
    </row>
    <row r="599" ht="15.75" hidden="1" customHeight="1">
      <c r="A599" s="13"/>
      <c r="B599" s="13" t="s">
        <v>18</v>
      </c>
      <c r="C599" s="244" t="s">
        <v>562</v>
      </c>
      <c r="D599" s="198" t="s">
        <v>22</v>
      </c>
      <c r="E599" s="201" t="s">
        <v>563</v>
      </c>
      <c r="F599" s="158">
        <v>0.0</v>
      </c>
      <c r="G599" s="57">
        <v>120.0</v>
      </c>
      <c r="H599" s="50">
        <f t="shared" si="19"/>
        <v>0</v>
      </c>
      <c r="I599" s="57"/>
      <c r="J599" s="18"/>
      <c r="K599" s="13"/>
      <c r="L599" s="13"/>
      <c r="M599" s="13"/>
      <c r="N599" s="13"/>
      <c r="O599" s="13"/>
      <c r="P599" s="13"/>
      <c r="Q599" s="35"/>
      <c r="R599" s="35"/>
      <c r="S599" s="35"/>
      <c r="T599" s="1"/>
      <c r="U599" s="1"/>
      <c r="V599" s="1"/>
    </row>
    <row r="600" ht="15.75" hidden="1" customHeight="1">
      <c r="A600" s="13"/>
      <c r="B600" s="13" t="s">
        <v>18</v>
      </c>
      <c r="C600" s="244" t="s">
        <v>564</v>
      </c>
      <c r="D600" s="198" t="s">
        <v>22</v>
      </c>
      <c r="E600" s="201" t="s">
        <v>565</v>
      </c>
      <c r="F600" s="158">
        <v>0.0</v>
      </c>
      <c r="G600" s="57">
        <v>20.0</v>
      </c>
      <c r="H600" s="50">
        <f t="shared" si="19"/>
        <v>0</v>
      </c>
      <c r="I600" s="57"/>
      <c r="J600" s="18"/>
      <c r="K600" s="13"/>
      <c r="L600" s="13"/>
      <c r="M600" s="13"/>
      <c r="N600" s="13"/>
      <c r="O600" s="13"/>
      <c r="P600" s="13"/>
      <c r="Q600" s="35"/>
      <c r="R600" s="35"/>
      <c r="S600" s="35"/>
      <c r="T600" s="1"/>
      <c r="U600" s="1"/>
      <c r="V600" s="1"/>
    </row>
    <row r="601" ht="15.75" customHeight="1">
      <c r="A601" s="53"/>
      <c r="B601" s="258" t="s">
        <v>18</v>
      </c>
      <c r="C601" s="197" t="s">
        <v>405</v>
      </c>
      <c r="D601" s="198" t="s">
        <v>22</v>
      </c>
      <c r="E601" s="54"/>
      <c r="F601" s="158">
        <v>4.0</v>
      </c>
      <c r="G601" s="57">
        <v>25.0</v>
      </c>
      <c r="H601" s="57">
        <f t="shared" si="19"/>
        <v>100</v>
      </c>
      <c r="I601" s="58"/>
      <c r="J601" s="58"/>
      <c r="K601" s="54"/>
      <c r="L601" s="13"/>
      <c r="M601" s="13"/>
      <c r="N601" s="13"/>
      <c r="O601" s="13"/>
      <c r="P601" s="13"/>
      <c r="Q601" s="35"/>
      <c r="R601" s="35"/>
      <c r="S601" s="35"/>
      <c r="T601" s="1"/>
      <c r="U601" s="1"/>
      <c r="V601" s="1"/>
    </row>
    <row r="602" ht="15.75" customHeight="1">
      <c r="A602" s="53"/>
      <c r="B602" s="54" t="s">
        <v>18</v>
      </c>
      <c r="C602" s="197" t="s">
        <v>258</v>
      </c>
      <c r="D602" s="198" t="s">
        <v>22</v>
      </c>
      <c r="E602" s="201" t="s">
        <v>973</v>
      </c>
      <c r="F602" s="56">
        <v>1.0</v>
      </c>
      <c r="G602" s="159">
        <v>30.0</v>
      </c>
      <c r="H602" s="57">
        <f t="shared" si="19"/>
        <v>30</v>
      </c>
      <c r="I602" s="58"/>
      <c r="J602" s="58"/>
      <c r="K602" s="54"/>
      <c r="L602" s="13"/>
      <c r="M602" s="13"/>
      <c r="N602" s="13"/>
      <c r="O602" s="13"/>
      <c r="P602" s="13"/>
      <c r="Q602" s="35"/>
      <c r="R602" s="35"/>
      <c r="S602" s="35"/>
      <c r="T602" s="1"/>
      <c r="U602" s="1"/>
      <c r="V602" s="1"/>
    </row>
    <row r="603" ht="15.75" hidden="1" customHeight="1">
      <c r="A603" s="13"/>
      <c r="B603" s="13"/>
      <c r="C603" s="169" t="s">
        <v>323</v>
      </c>
      <c r="D603" s="70" t="s">
        <v>24</v>
      </c>
      <c r="E603" s="15"/>
      <c r="F603" s="16">
        <v>0.0</v>
      </c>
      <c r="G603" s="17">
        <v>80.0</v>
      </c>
      <c r="H603" s="17">
        <f t="shared" si="19"/>
        <v>0</v>
      </c>
      <c r="I603" s="18"/>
      <c r="J603" s="18"/>
      <c r="K603" s="13"/>
      <c r="L603" s="13"/>
      <c r="M603" s="13"/>
      <c r="N603" s="13"/>
      <c r="O603" s="13"/>
      <c r="P603" s="13"/>
      <c r="Q603" s="35"/>
      <c r="R603" s="35"/>
      <c r="S603" s="35"/>
      <c r="T603" s="1"/>
      <c r="U603" s="1"/>
      <c r="V603" s="1"/>
    </row>
    <row r="604" ht="15.75" hidden="1" customHeight="1">
      <c r="A604" s="13"/>
      <c r="B604" s="13"/>
      <c r="C604" s="169" t="s">
        <v>324</v>
      </c>
      <c r="D604" s="14" t="s">
        <v>20</v>
      </c>
      <c r="E604" s="15"/>
      <c r="F604" s="16">
        <v>0.0</v>
      </c>
      <c r="G604" s="17">
        <v>35.0</v>
      </c>
      <c r="H604" s="17">
        <f t="shared" si="19"/>
        <v>0</v>
      </c>
      <c r="I604" s="18"/>
      <c r="J604" s="18"/>
      <c r="K604" s="13"/>
      <c r="L604" s="13"/>
      <c r="M604" s="19"/>
      <c r="N604" s="13"/>
      <c r="O604" s="19"/>
      <c r="P604" s="19"/>
      <c r="Q604" s="35"/>
      <c r="R604" s="35"/>
      <c r="S604" s="35"/>
      <c r="T604" s="1"/>
      <c r="U604" s="1"/>
      <c r="V604" s="1"/>
    </row>
    <row r="605" ht="15.75" hidden="1" customHeight="1">
      <c r="A605" s="13"/>
      <c r="B605" s="13"/>
      <c r="C605" s="169" t="s">
        <v>469</v>
      </c>
      <c r="D605" s="70" t="s">
        <v>24</v>
      </c>
      <c r="E605" s="15"/>
      <c r="F605" s="16">
        <v>0.0</v>
      </c>
      <c r="G605" s="17">
        <v>290.0</v>
      </c>
      <c r="H605" s="17">
        <f t="shared" si="19"/>
        <v>0</v>
      </c>
      <c r="I605" s="18"/>
      <c r="J605" s="18"/>
      <c r="K605" s="13"/>
      <c r="L605" s="63"/>
      <c r="M605" s="63"/>
      <c r="N605" s="63"/>
      <c r="O605" s="63"/>
      <c r="P605" s="63"/>
      <c r="Q605" s="35"/>
      <c r="R605" s="35"/>
      <c r="S605" s="35"/>
      <c r="T605" s="1"/>
      <c r="U605" s="1"/>
      <c r="V605" s="1"/>
    </row>
    <row r="606" ht="15.75" hidden="1" customHeight="1">
      <c r="A606" s="13"/>
      <c r="B606" s="13"/>
      <c r="C606" s="169" t="s">
        <v>470</v>
      </c>
      <c r="D606" s="14" t="s">
        <v>20</v>
      </c>
      <c r="E606" s="15"/>
      <c r="F606" s="16">
        <v>0.0</v>
      </c>
      <c r="G606" s="17">
        <v>150.0</v>
      </c>
      <c r="H606" s="17">
        <f t="shared" si="19"/>
        <v>0</v>
      </c>
      <c r="I606" s="18"/>
      <c r="J606" s="18"/>
      <c r="K606" s="13"/>
      <c r="L606" s="13"/>
      <c r="M606" s="19"/>
      <c r="N606" s="13"/>
      <c r="O606" s="19"/>
      <c r="P606" s="19"/>
      <c r="Q606" s="35"/>
      <c r="R606" s="35"/>
      <c r="S606" s="35"/>
      <c r="T606" s="1"/>
      <c r="U606" s="1"/>
      <c r="V606" s="1"/>
    </row>
    <row r="607" ht="15.75" hidden="1" customHeight="1">
      <c r="A607" s="13"/>
      <c r="B607" s="13"/>
      <c r="C607" s="169" t="s">
        <v>471</v>
      </c>
      <c r="D607" s="70" t="s">
        <v>24</v>
      </c>
      <c r="E607" s="15"/>
      <c r="F607" s="16">
        <v>0.0</v>
      </c>
      <c r="G607" s="17">
        <v>250.0</v>
      </c>
      <c r="H607" s="17">
        <f t="shared" si="19"/>
        <v>0</v>
      </c>
      <c r="I607" s="18"/>
      <c r="J607" s="18"/>
      <c r="K607" s="13"/>
      <c r="L607" s="13"/>
      <c r="M607" s="19"/>
      <c r="N607" s="13"/>
      <c r="O607" s="19"/>
      <c r="P607" s="19"/>
      <c r="Q607" s="35"/>
      <c r="R607" s="35"/>
      <c r="S607" s="35"/>
      <c r="T607" s="1"/>
      <c r="U607" s="1"/>
      <c r="V607" s="1"/>
    </row>
    <row r="608" ht="15.75" hidden="1" customHeight="1">
      <c r="A608" s="13"/>
      <c r="B608" s="13"/>
      <c r="C608" s="247" t="s">
        <v>472</v>
      </c>
      <c r="D608" s="14" t="s">
        <v>20</v>
      </c>
      <c r="E608" s="15"/>
      <c r="F608" s="16">
        <v>0.0</v>
      </c>
      <c r="G608" s="17">
        <v>150.0</v>
      </c>
      <c r="H608" s="17">
        <f t="shared" si="19"/>
        <v>0</v>
      </c>
      <c r="I608" s="18"/>
      <c r="J608" s="18"/>
      <c r="K608" s="13"/>
      <c r="L608" s="13"/>
      <c r="M608" s="19"/>
      <c r="N608" s="13"/>
      <c r="O608" s="19"/>
      <c r="P608" s="19"/>
      <c r="Q608" s="35"/>
      <c r="R608" s="35"/>
      <c r="S608" s="35"/>
      <c r="T608" s="1"/>
      <c r="U608" s="1"/>
      <c r="V608" s="1"/>
    </row>
    <row r="609" ht="15.75" hidden="1" customHeight="1">
      <c r="A609" s="13"/>
      <c r="B609" s="13" t="s">
        <v>18</v>
      </c>
      <c r="C609" s="196" t="s">
        <v>309</v>
      </c>
      <c r="D609" s="46" t="s">
        <v>20</v>
      </c>
      <c r="E609" s="207" t="s">
        <v>473</v>
      </c>
      <c r="F609" s="48">
        <v>0.0</v>
      </c>
      <c r="G609" s="50">
        <v>20.0</v>
      </c>
      <c r="H609" s="50">
        <f t="shared" si="19"/>
        <v>0</v>
      </c>
      <c r="I609" s="18"/>
      <c r="J609" s="18"/>
      <c r="K609" s="13"/>
      <c r="L609" s="13"/>
      <c r="M609" s="19"/>
      <c r="N609" s="13"/>
      <c r="O609" s="19"/>
      <c r="P609" s="19"/>
      <c r="Q609" s="35"/>
      <c r="R609" s="35"/>
      <c r="S609" s="35"/>
      <c r="T609" s="1"/>
      <c r="U609" s="1"/>
      <c r="V609" s="1"/>
    </row>
    <row r="610" ht="15.75" hidden="1" customHeight="1">
      <c r="A610" s="13"/>
      <c r="B610" s="206" t="s">
        <v>18</v>
      </c>
      <c r="C610" s="197" t="s">
        <v>474</v>
      </c>
      <c r="D610" s="55" t="s">
        <v>20</v>
      </c>
      <c r="E610" s="208" t="s">
        <v>475</v>
      </c>
      <c r="F610" s="56">
        <v>0.0</v>
      </c>
      <c r="G610" s="57">
        <v>24.0</v>
      </c>
      <c r="H610" s="57">
        <f t="shared" si="19"/>
        <v>0</v>
      </c>
      <c r="I610" s="18"/>
      <c r="J610" s="18"/>
      <c r="K610" s="13"/>
      <c r="L610" s="13"/>
      <c r="M610" s="19"/>
      <c r="N610" s="13"/>
      <c r="O610" s="19"/>
      <c r="P610" s="19"/>
      <c r="Q610" s="35"/>
      <c r="R610" s="35"/>
      <c r="S610" s="35"/>
      <c r="T610" s="1"/>
      <c r="U610" s="1"/>
      <c r="V610" s="1"/>
    </row>
    <row r="611" ht="15.75" hidden="1" customHeight="1">
      <c r="A611" s="13"/>
      <c r="B611" s="13"/>
      <c r="C611" s="169" t="s">
        <v>258</v>
      </c>
      <c r="D611" s="66" t="s">
        <v>22</v>
      </c>
      <c r="E611" s="15"/>
      <c r="F611" s="16">
        <v>0.0</v>
      </c>
      <c r="G611" s="17">
        <v>150.0</v>
      </c>
      <c r="H611" s="17">
        <f t="shared" si="19"/>
        <v>0</v>
      </c>
      <c r="I611" s="18"/>
      <c r="J611" s="17"/>
      <c r="K611" s="13"/>
      <c r="L611" s="13"/>
      <c r="M611" s="13"/>
      <c r="N611" s="13"/>
      <c r="O611" s="19"/>
      <c r="P611" s="19"/>
      <c r="Q611" s="35"/>
      <c r="R611" s="35"/>
      <c r="S611" s="35"/>
      <c r="T611" s="1"/>
      <c r="U611" s="1"/>
      <c r="V611" s="1"/>
    </row>
    <row r="612" ht="15.75" hidden="1" customHeight="1">
      <c r="A612" s="13"/>
      <c r="B612" s="13" t="s">
        <v>18</v>
      </c>
      <c r="C612" s="169" t="s">
        <v>476</v>
      </c>
      <c r="D612" s="66" t="s">
        <v>22</v>
      </c>
      <c r="E612" s="15" t="s">
        <v>477</v>
      </c>
      <c r="F612" s="16">
        <v>0.0</v>
      </c>
      <c r="G612" s="17">
        <v>15.0</v>
      </c>
      <c r="H612" s="17">
        <f t="shared" si="19"/>
        <v>0</v>
      </c>
      <c r="I612" s="18"/>
      <c r="J612" s="18"/>
      <c r="K612" s="13"/>
      <c r="L612" s="13"/>
      <c r="M612" s="13"/>
      <c r="N612" s="13"/>
      <c r="O612" s="13"/>
      <c r="P612" s="13"/>
      <c r="Q612" s="35"/>
      <c r="R612" s="35"/>
      <c r="S612" s="35"/>
      <c r="T612" s="1"/>
      <c r="U612" s="1"/>
      <c r="V612" s="1"/>
    </row>
    <row r="613" ht="15.75" hidden="1" customHeight="1">
      <c r="A613" s="13"/>
      <c r="B613" s="13"/>
      <c r="C613" s="169" t="s">
        <v>478</v>
      </c>
      <c r="D613" s="14" t="s">
        <v>20</v>
      </c>
      <c r="E613" s="15"/>
      <c r="F613" s="16">
        <v>0.0</v>
      </c>
      <c r="G613" s="17">
        <v>500.0</v>
      </c>
      <c r="H613" s="17">
        <f t="shared" si="19"/>
        <v>0</v>
      </c>
      <c r="I613" s="18"/>
      <c r="J613" s="18"/>
      <c r="K613" s="13"/>
      <c r="L613" s="13"/>
      <c r="M613" s="13"/>
      <c r="N613" s="13"/>
      <c r="O613" s="13"/>
      <c r="P613" s="13"/>
      <c r="Q613" s="35"/>
      <c r="R613" s="35"/>
      <c r="S613" s="35"/>
      <c r="T613" s="1"/>
      <c r="U613" s="1"/>
      <c r="V613" s="1"/>
    </row>
    <row r="614" ht="15.75" hidden="1" customHeight="1">
      <c r="A614" s="13"/>
      <c r="B614" s="13"/>
      <c r="C614" s="13" t="s">
        <v>479</v>
      </c>
      <c r="D614" s="70" t="s">
        <v>24</v>
      </c>
      <c r="E614" s="15"/>
      <c r="F614" s="16">
        <v>0.0</v>
      </c>
      <c r="G614" s="17">
        <v>210.0</v>
      </c>
      <c r="H614" s="17">
        <f t="shared" si="19"/>
        <v>0</v>
      </c>
      <c r="I614" s="18"/>
      <c r="J614" s="18"/>
      <c r="K614" s="13"/>
      <c r="L614" s="63"/>
      <c r="M614" s="63"/>
      <c r="N614" s="63"/>
      <c r="O614" s="63"/>
      <c r="P614" s="63"/>
      <c r="Q614" s="35"/>
      <c r="R614" s="35"/>
      <c r="S614" s="35"/>
      <c r="T614" s="1"/>
      <c r="U614" s="1"/>
      <c r="V614" s="1"/>
    </row>
    <row r="615" ht="15.75" hidden="1" customHeight="1">
      <c r="A615" s="13"/>
      <c r="B615" s="13"/>
      <c r="C615" s="169" t="s">
        <v>480</v>
      </c>
      <c r="D615" s="14" t="s">
        <v>20</v>
      </c>
      <c r="E615" s="15"/>
      <c r="F615" s="16">
        <v>0.0</v>
      </c>
      <c r="G615" s="17">
        <v>155.0</v>
      </c>
      <c r="H615" s="17">
        <f t="shared" si="19"/>
        <v>0</v>
      </c>
      <c r="I615" s="18"/>
      <c r="J615" s="18"/>
      <c r="K615" s="13"/>
      <c r="L615" s="13"/>
      <c r="M615" s="13"/>
      <c r="N615" s="13"/>
      <c r="O615" s="13"/>
      <c r="P615" s="13"/>
      <c r="Q615" s="35"/>
      <c r="R615" s="35"/>
      <c r="S615" s="35"/>
      <c r="T615" s="1"/>
      <c r="U615" s="1"/>
      <c r="V615" s="1"/>
    </row>
    <row r="616" ht="15.75" hidden="1" customHeight="1">
      <c r="A616" s="13"/>
      <c r="B616" s="13"/>
      <c r="C616" s="169" t="s">
        <v>481</v>
      </c>
      <c r="D616" s="70" t="s">
        <v>24</v>
      </c>
      <c r="E616" s="15"/>
      <c r="F616" s="16">
        <v>0.0</v>
      </c>
      <c r="G616" s="17">
        <v>70.0</v>
      </c>
      <c r="H616" s="17">
        <f t="shared" si="19"/>
        <v>0</v>
      </c>
      <c r="I616" s="18"/>
      <c r="J616" s="18"/>
      <c r="K616" s="13"/>
      <c r="L616" s="13"/>
      <c r="M616" s="19"/>
      <c r="N616" s="13"/>
      <c r="O616" s="19"/>
      <c r="P616" s="19"/>
      <c r="Q616" s="35"/>
      <c r="R616" s="35"/>
      <c r="S616" s="35"/>
      <c r="T616" s="1"/>
      <c r="U616" s="1"/>
      <c r="V616" s="1"/>
    </row>
    <row r="617" ht="15.75" hidden="1" customHeight="1">
      <c r="A617" s="13"/>
      <c r="B617" s="13"/>
      <c r="C617" s="169" t="s">
        <v>482</v>
      </c>
      <c r="D617" s="14" t="s">
        <v>20</v>
      </c>
      <c r="E617" s="15"/>
      <c r="F617" s="16">
        <v>0.0</v>
      </c>
      <c r="G617" s="17">
        <v>400.0</v>
      </c>
      <c r="H617" s="17">
        <f t="shared" si="19"/>
        <v>0</v>
      </c>
      <c r="I617" s="18"/>
      <c r="J617" s="17"/>
      <c r="K617" s="13"/>
      <c r="L617" s="13"/>
      <c r="M617" s="19"/>
      <c r="N617" s="13"/>
      <c r="O617" s="19"/>
      <c r="P617" s="19"/>
      <c r="Q617" s="35"/>
      <c r="R617" s="35"/>
      <c r="S617" s="35"/>
      <c r="T617" s="1"/>
      <c r="U617" s="1"/>
      <c r="V617" s="1"/>
    </row>
    <row r="618" ht="15.75" hidden="1" customHeight="1">
      <c r="A618" s="13"/>
      <c r="B618" s="13"/>
      <c r="C618" s="169" t="s">
        <v>483</v>
      </c>
      <c r="D618" s="14" t="s">
        <v>20</v>
      </c>
      <c r="E618" s="15"/>
      <c r="F618" s="16">
        <v>0.0</v>
      </c>
      <c r="G618" s="17">
        <v>440.0</v>
      </c>
      <c r="H618" s="17">
        <f t="shared" si="19"/>
        <v>0</v>
      </c>
      <c r="I618" s="18"/>
      <c r="J618" s="17"/>
      <c r="K618" s="13"/>
      <c r="L618" s="13"/>
      <c r="M618" s="19"/>
      <c r="N618" s="13"/>
      <c r="O618" s="19"/>
      <c r="P618" s="19"/>
      <c r="Q618" s="35"/>
      <c r="R618" s="35"/>
      <c r="S618" s="35"/>
      <c r="T618" s="1"/>
      <c r="U618" s="1"/>
      <c r="V618" s="1"/>
    </row>
    <row r="619" ht="15.75" hidden="1" customHeight="1">
      <c r="A619" s="13"/>
      <c r="B619" s="13"/>
      <c r="C619" s="169" t="s">
        <v>484</v>
      </c>
      <c r="D619" s="70" t="s">
        <v>24</v>
      </c>
      <c r="E619" s="15"/>
      <c r="F619" s="16">
        <v>0.0</v>
      </c>
      <c r="G619" s="17">
        <v>90.0</v>
      </c>
      <c r="H619" s="17">
        <f t="shared" si="19"/>
        <v>0</v>
      </c>
      <c r="I619" s="18"/>
      <c r="J619" s="17"/>
      <c r="K619" s="13"/>
      <c r="L619" s="63"/>
      <c r="M619" s="79"/>
      <c r="N619" s="63"/>
      <c r="O619" s="79"/>
      <c r="P619" s="79"/>
      <c r="Q619" s="35"/>
      <c r="R619" s="35"/>
      <c r="S619" s="35"/>
      <c r="T619" s="1"/>
      <c r="U619" s="1"/>
      <c r="V619" s="1"/>
    </row>
    <row r="620" ht="15.75" hidden="1" customHeight="1">
      <c r="A620" s="13"/>
      <c r="B620" s="13"/>
      <c r="C620" s="169" t="s">
        <v>485</v>
      </c>
      <c r="D620" s="14" t="s">
        <v>20</v>
      </c>
      <c r="E620" s="15"/>
      <c r="F620" s="16">
        <v>0.0</v>
      </c>
      <c r="G620" s="17">
        <v>100.0</v>
      </c>
      <c r="H620" s="17">
        <f t="shared" si="19"/>
        <v>0</v>
      </c>
      <c r="I620" s="18"/>
      <c r="J620" s="17"/>
      <c r="K620" s="13"/>
      <c r="L620" s="63"/>
      <c r="M620" s="79"/>
      <c r="N620" s="63"/>
      <c r="O620" s="79"/>
      <c r="P620" s="79"/>
      <c r="Q620" s="35"/>
      <c r="R620" s="35"/>
      <c r="S620" s="35"/>
      <c r="T620" s="1"/>
      <c r="U620" s="1"/>
      <c r="V620" s="1"/>
    </row>
    <row r="621" ht="15.75" hidden="1" customHeight="1">
      <c r="A621" s="13"/>
      <c r="B621" s="13"/>
      <c r="C621" s="13" t="s">
        <v>486</v>
      </c>
      <c r="D621" s="46" t="s">
        <v>20</v>
      </c>
      <c r="E621" s="52"/>
      <c r="F621" s="48">
        <v>0.0</v>
      </c>
      <c r="G621" s="50">
        <v>30.0</v>
      </c>
      <c r="H621" s="50">
        <f t="shared" si="19"/>
        <v>0</v>
      </c>
      <c r="I621" s="50"/>
      <c r="J621" s="17"/>
      <c r="K621" s="13"/>
      <c r="L621" s="63"/>
      <c r="M621" s="79"/>
      <c r="N621" s="63"/>
      <c r="O621" s="79"/>
      <c r="P621" s="79"/>
      <c r="Q621" s="35"/>
      <c r="R621" s="35"/>
      <c r="S621" s="35"/>
      <c r="T621" s="1"/>
      <c r="U621" s="1"/>
      <c r="V621" s="1"/>
    </row>
    <row r="622" ht="15.75" hidden="1" customHeight="1">
      <c r="A622" s="13"/>
      <c r="B622" s="13"/>
      <c r="C622" s="13" t="s">
        <v>487</v>
      </c>
      <c r="D622" s="46" t="s">
        <v>20</v>
      </c>
      <c r="E622" s="52"/>
      <c r="F622" s="48">
        <v>0.0</v>
      </c>
      <c r="G622" s="50">
        <v>30.0</v>
      </c>
      <c r="H622" s="50">
        <f t="shared" si="19"/>
        <v>0</v>
      </c>
      <c r="I622" s="50"/>
      <c r="J622" s="17"/>
      <c r="K622" s="13"/>
      <c r="L622" s="63"/>
      <c r="M622" s="79"/>
      <c r="N622" s="63"/>
      <c r="O622" s="79"/>
      <c r="P622" s="79"/>
      <c r="Q622" s="35"/>
      <c r="R622" s="35"/>
      <c r="S622" s="35"/>
      <c r="T622" s="1"/>
      <c r="U622" s="1"/>
      <c r="V622" s="1"/>
    </row>
    <row r="623" ht="15.75" hidden="1" customHeight="1">
      <c r="A623" s="13"/>
      <c r="B623" s="13"/>
      <c r="C623" s="13" t="s">
        <v>488</v>
      </c>
      <c r="D623" s="14" t="s">
        <v>20</v>
      </c>
      <c r="E623" s="15"/>
      <c r="F623" s="16">
        <v>0.0</v>
      </c>
      <c r="G623" s="17">
        <v>850.0</v>
      </c>
      <c r="H623" s="17">
        <f t="shared" si="19"/>
        <v>0</v>
      </c>
      <c r="I623" s="18"/>
      <c r="J623" s="17"/>
      <c r="K623" s="13"/>
      <c r="L623" s="63"/>
      <c r="M623" s="79"/>
      <c r="N623" s="63"/>
      <c r="O623" s="79"/>
      <c r="P623" s="79"/>
      <c r="Q623" s="35"/>
      <c r="R623" s="35"/>
      <c r="S623" s="35"/>
      <c r="T623" s="1"/>
      <c r="U623" s="1"/>
      <c r="V623" s="1"/>
    </row>
    <row r="624" ht="15.75" hidden="1" customHeight="1">
      <c r="A624" s="13"/>
      <c r="B624" s="13"/>
      <c r="C624" s="13" t="s">
        <v>489</v>
      </c>
      <c r="D624" s="70" t="s">
        <v>24</v>
      </c>
      <c r="E624" s="15"/>
      <c r="F624" s="16">
        <v>0.0</v>
      </c>
      <c r="G624" s="17">
        <v>460.0</v>
      </c>
      <c r="H624" s="17">
        <f t="shared" si="19"/>
        <v>0</v>
      </c>
      <c r="I624" s="18"/>
      <c r="J624" s="17"/>
      <c r="K624" s="13"/>
      <c r="L624" s="63"/>
      <c r="M624" s="79"/>
      <c r="N624" s="63"/>
      <c r="O624" s="79"/>
      <c r="P624" s="79"/>
      <c r="Q624" s="35"/>
      <c r="R624" s="35"/>
      <c r="S624" s="35"/>
      <c r="T624" s="1"/>
      <c r="U624" s="1"/>
      <c r="V624" s="1"/>
    </row>
    <row r="625" ht="15.75" hidden="1" customHeight="1">
      <c r="A625" s="13"/>
      <c r="B625" s="13"/>
      <c r="C625" s="169" t="s">
        <v>490</v>
      </c>
      <c r="D625" s="66" t="s">
        <v>22</v>
      </c>
      <c r="E625" s="15"/>
      <c r="F625" s="16">
        <v>0.0</v>
      </c>
      <c r="G625" s="17">
        <v>0.0</v>
      </c>
      <c r="H625" s="17">
        <f t="shared" si="19"/>
        <v>0</v>
      </c>
      <c r="I625" s="18"/>
      <c r="J625" s="17"/>
      <c r="K625" s="13"/>
      <c r="L625" s="13"/>
      <c r="M625" s="19"/>
      <c r="N625" s="13"/>
      <c r="O625" s="19"/>
      <c r="P625" s="19"/>
      <c r="Q625" s="35"/>
      <c r="R625" s="35"/>
      <c r="S625" s="35"/>
      <c r="T625" s="1"/>
      <c r="U625" s="1"/>
      <c r="V625" s="1"/>
    </row>
    <row r="626" ht="15.75" hidden="1" customHeight="1">
      <c r="A626" s="13"/>
      <c r="B626" s="13" t="s">
        <v>18</v>
      </c>
      <c r="C626" s="169" t="s">
        <v>491</v>
      </c>
      <c r="D626" s="66" t="s">
        <v>22</v>
      </c>
      <c r="E626" s="33" t="s">
        <v>566</v>
      </c>
      <c r="F626" s="40">
        <v>0.0</v>
      </c>
      <c r="G626" s="248">
        <v>150.0</v>
      </c>
      <c r="H626" s="17">
        <f t="shared" si="19"/>
        <v>0</v>
      </c>
      <c r="I626" s="18"/>
      <c r="J626" s="18"/>
      <c r="K626" s="13"/>
      <c r="L626" s="13"/>
      <c r="M626" s="19"/>
      <c r="N626" s="13"/>
      <c r="O626" s="19"/>
      <c r="P626" s="19"/>
      <c r="Q626" s="35"/>
      <c r="R626" s="35"/>
      <c r="S626" s="35"/>
      <c r="T626" s="1"/>
      <c r="U626" s="1"/>
      <c r="V626" s="1"/>
    </row>
    <row r="627" ht="15.75" hidden="1" customHeight="1">
      <c r="A627" s="13"/>
      <c r="B627" s="43" t="s">
        <v>350</v>
      </c>
      <c r="C627" s="169" t="s">
        <v>493</v>
      </c>
      <c r="D627" s="66" t="s">
        <v>22</v>
      </c>
      <c r="E627" s="154" t="s">
        <v>494</v>
      </c>
      <c r="F627" s="16">
        <v>0.0</v>
      </c>
      <c r="G627" s="227">
        <v>86.0</v>
      </c>
      <c r="H627" s="17">
        <f t="shared" si="19"/>
        <v>0</v>
      </c>
      <c r="I627" s="18"/>
      <c r="J627" s="18"/>
      <c r="K627" s="13"/>
      <c r="L627" s="13"/>
      <c r="M627" s="19"/>
      <c r="N627" s="13"/>
      <c r="O627" s="19"/>
      <c r="P627" s="19"/>
      <c r="Q627" s="35"/>
      <c r="R627" s="35"/>
      <c r="S627" s="35"/>
      <c r="T627" s="1"/>
      <c r="U627" s="1"/>
      <c r="V627" s="1"/>
    </row>
    <row r="628" ht="15.75" hidden="1" customHeight="1">
      <c r="A628" s="13"/>
      <c r="B628" s="13"/>
      <c r="C628" s="169" t="s">
        <v>495</v>
      </c>
      <c r="D628" s="66" t="s">
        <v>22</v>
      </c>
      <c r="E628" s="15"/>
      <c r="F628" s="16">
        <v>0.0</v>
      </c>
      <c r="G628" s="249">
        <v>70.0</v>
      </c>
      <c r="H628" s="17">
        <f t="shared" si="19"/>
        <v>0</v>
      </c>
      <c r="I628" s="18"/>
      <c r="J628" s="18"/>
      <c r="K628" s="13"/>
      <c r="L628" s="13"/>
      <c r="M628" s="19"/>
      <c r="N628" s="13"/>
      <c r="O628" s="19"/>
      <c r="P628" s="19"/>
      <c r="Q628" s="35"/>
      <c r="R628" s="35"/>
      <c r="S628" s="35"/>
      <c r="T628" s="1"/>
      <c r="U628" s="1"/>
      <c r="V628" s="1"/>
    </row>
    <row r="629" ht="15.75" hidden="1" customHeight="1">
      <c r="A629" s="13"/>
      <c r="B629" s="13" t="s">
        <v>18</v>
      </c>
      <c r="C629" s="169" t="s">
        <v>496</v>
      </c>
      <c r="D629" s="66" t="s">
        <v>22</v>
      </c>
      <c r="E629" s="33" t="s">
        <v>567</v>
      </c>
      <c r="F629" s="40">
        <v>0.0</v>
      </c>
      <c r="G629" s="249">
        <v>17.0</v>
      </c>
      <c r="H629" s="17">
        <f t="shared" si="19"/>
        <v>0</v>
      </c>
      <c r="I629" s="18"/>
      <c r="J629" s="18"/>
      <c r="K629" s="13"/>
      <c r="L629" s="27"/>
      <c r="M629" s="28"/>
      <c r="N629" s="27"/>
      <c r="O629" s="28"/>
      <c r="P629" s="27"/>
      <c r="Q629" s="35"/>
      <c r="R629" s="35"/>
      <c r="S629" s="35"/>
      <c r="T629" s="1"/>
      <c r="U629" s="1"/>
      <c r="V629" s="1"/>
    </row>
    <row r="630" ht="15.75" customHeight="1">
      <c r="A630" s="53"/>
      <c r="B630" s="54" t="s">
        <v>239</v>
      </c>
      <c r="C630" s="203" t="s">
        <v>406</v>
      </c>
      <c r="D630" s="55" t="s">
        <v>20</v>
      </c>
      <c r="E630" s="54"/>
      <c r="F630" s="56">
        <v>1.0</v>
      </c>
      <c r="G630" s="159">
        <v>300.0</v>
      </c>
      <c r="H630" s="57">
        <f t="shared" si="19"/>
        <v>300</v>
      </c>
      <c r="I630" s="58"/>
      <c r="J630" s="58"/>
      <c r="K630" s="54"/>
      <c r="L630" s="27"/>
      <c r="M630" s="28"/>
      <c r="N630" s="27"/>
      <c r="O630" s="28"/>
      <c r="P630" s="27"/>
      <c r="Q630" s="35"/>
      <c r="R630" s="35"/>
      <c r="S630" s="35"/>
      <c r="T630" s="1"/>
      <c r="U630" s="1"/>
      <c r="V630" s="1"/>
    </row>
    <row r="631" ht="15.75" hidden="1" customHeight="1">
      <c r="A631" s="13"/>
      <c r="B631" s="231" t="s">
        <v>350</v>
      </c>
      <c r="C631" s="169" t="s">
        <v>427</v>
      </c>
      <c r="D631" s="66" t="s">
        <v>22</v>
      </c>
      <c r="E631" s="231" t="s">
        <v>428</v>
      </c>
      <c r="F631" s="16">
        <v>0.0</v>
      </c>
      <c r="G631" s="235">
        <v>107.5</v>
      </c>
      <c r="H631" s="17">
        <f t="shared" si="19"/>
        <v>0</v>
      </c>
      <c r="I631" s="18"/>
      <c r="J631" s="18"/>
      <c r="K631" s="13"/>
      <c r="L631" s="27"/>
      <c r="M631" s="28"/>
      <c r="N631" s="27"/>
      <c r="O631" s="28"/>
      <c r="P631" s="27"/>
      <c r="Q631" s="35"/>
      <c r="R631" s="35"/>
      <c r="S631" s="35"/>
      <c r="T631" s="1"/>
      <c r="U631" s="1"/>
      <c r="V631" s="1"/>
    </row>
    <row r="632" ht="15.75" hidden="1" customHeight="1">
      <c r="A632" s="13"/>
      <c r="B632" s="231" t="s">
        <v>350</v>
      </c>
      <c r="C632" s="169" t="s">
        <v>429</v>
      </c>
      <c r="D632" s="66" t="s">
        <v>22</v>
      </c>
      <c r="E632" s="15"/>
      <c r="F632" s="16">
        <v>0.0</v>
      </c>
      <c r="G632" s="235">
        <v>97.0</v>
      </c>
      <c r="H632" s="17">
        <f t="shared" si="19"/>
        <v>0</v>
      </c>
      <c r="I632" s="18"/>
      <c r="J632" s="18"/>
      <c r="K632" s="13"/>
      <c r="L632" s="27"/>
      <c r="M632" s="28"/>
      <c r="N632" s="27"/>
      <c r="O632" s="28"/>
      <c r="P632" s="27"/>
      <c r="Q632" s="35"/>
      <c r="R632" s="35"/>
      <c r="S632" s="35"/>
      <c r="T632" s="1"/>
      <c r="U632" s="1"/>
      <c r="V632" s="1"/>
    </row>
    <row r="633" ht="15.75" customHeight="1">
      <c r="A633" s="53"/>
      <c r="B633" s="54" t="s">
        <v>18</v>
      </c>
      <c r="C633" s="197" t="s">
        <v>407</v>
      </c>
      <c r="D633" s="198" t="s">
        <v>22</v>
      </c>
      <c r="E633" s="33" t="s">
        <v>458</v>
      </c>
      <c r="F633" s="16">
        <v>2.0</v>
      </c>
      <c r="G633" s="226">
        <v>153.6</v>
      </c>
      <c r="H633" s="17">
        <f t="shared" si="19"/>
        <v>307.2</v>
      </c>
      <c r="I633" s="58"/>
      <c r="J633" s="58"/>
      <c r="K633" s="54"/>
      <c r="L633" s="27"/>
      <c r="M633" s="28"/>
      <c r="N633" s="27"/>
      <c r="O633" s="28"/>
      <c r="P633" s="27"/>
      <c r="Q633" s="35"/>
      <c r="R633" s="35"/>
      <c r="S633" s="35"/>
      <c r="T633" s="1"/>
      <c r="U633" s="1"/>
      <c r="V633" s="1"/>
    </row>
    <row r="634" ht="15.75" hidden="1" customHeight="1">
      <c r="A634" s="13"/>
      <c r="B634" s="13" t="s">
        <v>18</v>
      </c>
      <c r="C634" s="169" t="s">
        <v>500</v>
      </c>
      <c r="D634" s="14" t="s">
        <v>20</v>
      </c>
      <c r="E634" s="15"/>
      <c r="F634" s="16">
        <v>0.0</v>
      </c>
      <c r="G634" s="17">
        <v>5.0</v>
      </c>
      <c r="H634" s="17">
        <f t="shared" si="19"/>
        <v>0</v>
      </c>
      <c r="I634" s="18"/>
      <c r="J634" s="17"/>
      <c r="K634" s="17"/>
      <c r="L634" s="13"/>
      <c r="M634" s="19"/>
      <c r="N634" s="13"/>
      <c r="O634" s="19"/>
      <c r="P634" s="19"/>
      <c r="Q634" s="35"/>
      <c r="R634" s="35"/>
      <c r="S634" s="35"/>
      <c r="T634" s="1"/>
      <c r="U634" s="1"/>
      <c r="V634" s="1"/>
    </row>
    <row r="635" ht="15.75" hidden="1" customHeight="1">
      <c r="A635" s="13"/>
      <c r="B635" s="13"/>
      <c r="C635" s="169" t="s">
        <v>501</v>
      </c>
      <c r="D635" s="70" t="s">
        <v>24</v>
      </c>
      <c r="E635" s="15"/>
      <c r="F635" s="16">
        <v>0.0</v>
      </c>
      <c r="G635" s="17">
        <v>210.0</v>
      </c>
      <c r="H635" s="17">
        <f t="shared" si="19"/>
        <v>0</v>
      </c>
      <c r="I635" s="18"/>
      <c r="J635" s="17"/>
      <c r="K635" s="13"/>
      <c r="L635" s="63"/>
      <c r="M635" s="79"/>
      <c r="N635" s="63"/>
      <c r="O635" s="79"/>
      <c r="P635" s="79"/>
      <c r="Q635" s="35"/>
      <c r="R635" s="35"/>
      <c r="S635" s="35"/>
      <c r="T635" s="1"/>
      <c r="U635" s="1"/>
      <c r="V635" s="1"/>
    </row>
    <row r="636" ht="15.75" hidden="1" customHeight="1">
      <c r="A636" s="13"/>
      <c r="B636" s="13" t="s">
        <v>18</v>
      </c>
      <c r="C636" s="169" t="s">
        <v>502</v>
      </c>
      <c r="D636" s="66" t="s">
        <v>22</v>
      </c>
      <c r="E636" s="15"/>
      <c r="F636" s="16">
        <v>0.0</v>
      </c>
      <c r="G636" s="17">
        <v>0.0</v>
      </c>
      <c r="H636" s="17">
        <f t="shared" si="19"/>
        <v>0</v>
      </c>
      <c r="I636" s="18"/>
      <c r="J636" s="17"/>
      <c r="K636" s="13"/>
      <c r="L636" s="13"/>
      <c r="M636" s="19"/>
      <c r="N636" s="13"/>
      <c r="O636" s="19"/>
      <c r="P636" s="19"/>
      <c r="Q636" s="35"/>
      <c r="R636" s="35"/>
      <c r="S636" s="35"/>
      <c r="T636" s="1"/>
      <c r="U636" s="1"/>
      <c r="V636" s="1"/>
    </row>
    <row r="637" ht="15.75" customHeight="1">
      <c r="A637" s="53"/>
      <c r="B637" s="54" t="s">
        <v>18</v>
      </c>
      <c r="C637" s="197" t="s">
        <v>409</v>
      </c>
      <c r="D637" s="198" t="s">
        <v>22</v>
      </c>
      <c r="E637" s="33" t="s">
        <v>430</v>
      </c>
      <c r="F637" s="16">
        <v>2.0</v>
      </c>
      <c r="G637" s="227">
        <v>20.0</v>
      </c>
      <c r="H637" s="17">
        <f t="shared" si="19"/>
        <v>40</v>
      </c>
      <c r="I637" s="58"/>
      <c r="J637" s="58"/>
      <c r="K637" s="54"/>
      <c r="L637" s="13"/>
      <c r="M637" s="19"/>
      <c r="N637" s="13"/>
      <c r="O637" s="13"/>
      <c r="P637" s="13"/>
      <c r="Q637" s="35"/>
      <c r="R637" s="35"/>
      <c r="S637" s="35"/>
      <c r="T637" s="1"/>
      <c r="U637" s="1"/>
      <c r="V637" s="1"/>
    </row>
    <row r="638" ht="15.75" customHeight="1">
      <c r="A638" s="53"/>
      <c r="B638" s="43" t="s">
        <v>88</v>
      </c>
      <c r="C638" s="54" t="s">
        <v>411</v>
      </c>
      <c r="D638" s="55" t="s">
        <v>20</v>
      </c>
      <c r="E638" s="171" t="s">
        <v>412</v>
      </c>
      <c r="F638" s="56">
        <v>1.0</v>
      </c>
      <c r="G638" s="34">
        <v>334.0</v>
      </c>
      <c r="H638" s="57">
        <f t="shared" si="19"/>
        <v>334</v>
      </c>
      <c r="I638" s="58"/>
      <c r="J638" s="58"/>
      <c r="K638" s="54"/>
      <c r="L638" s="27"/>
      <c r="M638" s="27"/>
      <c r="N638" s="27"/>
      <c r="O638" s="27"/>
      <c r="P638" s="27"/>
      <c r="Q638" s="35"/>
      <c r="R638" s="35"/>
      <c r="S638" s="35"/>
      <c r="T638" s="1"/>
      <c r="U638" s="1"/>
      <c r="V638" s="1"/>
    </row>
    <row r="639" ht="15.75" hidden="1" customHeight="1">
      <c r="A639" s="13"/>
      <c r="B639" s="13"/>
      <c r="C639" s="169" t="s">
        <v>414</v>
      </c>
      <c r="D639" s="70" t="s">
        <v>24</v>
      </c>
      <c r="E639" s="15"/>
      <c r="F639" s="40">
        <v>0.0</v>
      </c>
      <c r="G639" s="17">
        <v>80.0</v>
      </c>
      <c r="H639" s="17">
        <f t="shared" si="19"/>
        <v>0</v>
      </c>
      <c r="I639" s="18"/>
      <c r="J639" s="18"/>
      <c r="K639" s="13"/>
      <c r="L639" s="63"/>
      <c r="M639" s="63"/>
      <c r="N639" s="63"/>
      <c r="O639" s="63"/>
      <c r="P639" s="63"/>
      <c r="Q639" s="35"/>
      <c r="R639" s="35"/>
      <c r="S639" s="35"/>
      <c r="T639" s="1"/>
      <c r="U639" s="1"/>
      <c r="V639" s="1"/>
    </row>
    <row r="640" ht="15.75" hidden="1" customHeight="1">
      <c r="A640" s="13"/>
      <c r="B640" s="13" t="s">
        <v>18</v>
      </c>
      <c r="C640" s="169" t="s">
        <v>283</v>
      </c>
      <c r="D640" s="14" t="s">
        <v>20</v>
      </c>
      <c r="E640" s="15" t="s">
        <v>284</v>
      </c>
      <c r="F640" s="16">
        <v>0.0</v>
      </c>
      <c r="G640" s="17">
        <v>12.0</v>
      </c>
      <c r="H640" s="17">
        <f t="shared" si="19"/>
        <v>0</v>
      </c>
      <c r="I640" s="18"/>
      <c r="J640" s="18"/>
      <c r="K640" s="13"/>
      <c r="L640" s="63"/>
      <c r="M640" s="63"/>
      <c r="N640" s="63"/>
      <c r="O640" s="63"/>
      <c r="P640" s="63"/>
      <c r="Q640" s="35"/>
      <c r="R640" s="35"/>
      <c r="S640" s="35"/>
      <c r="T640" s="1"/>
      <c r="U640" s="1"/>
      <c r="V640" s="1"/>
    </row>
    <row r="641" ht="15.75" customHeight="1">
      <c r="A641" s="53"/>
      <c r="B641" s="54" t="s">
        <v>18</v>
      </c>
      <c r="C641" s="197" t="s">
        <v>280</v>
      </c>
      <c r="D641" s="55" t="s">
        <v>20</v>
      </c>
      <c r="E641" s="15" t="s">
        <v>569</v>
      </c>
      <c r="F641" s="56">
        <v>1.0</v>
      </c>
      <c r="G641" s="34">
        <v>20.0</v>
      </c>
      <c r="H641" s="57">
        <f t="shared" si="19"/>
        <v>20</v>
      </c>
      <c r="I641" s="58"/>
      <c r="J641" s="58"/>
      <c r="K641" s="54"/>
      <c r="L641" s="63"/>
      <c r="M641" s="63"/>
      <c r="N641" s="63"/>
      <c r="O641" s="63"/>
      <c r="P641" s="63"/>
      <c r="Q641" s="35"/>
      <c r="R641" s="35"/>
      <c r="S641" s="35"/>
      <c r="T641" s="1"/>
      <c r="U641" s="1"/>
      <c r="V641" s="1"/>
    </row>
    <row r="642" ht="15.75" customHeight="1">
      <c r="A642" s="53"/>
      <c r="B642" s="54"/>
      <c r="C642" s="197" t="s">
        <v>414</v>
      </c>
      <c r="D642" s="216" t="s">
        <v>24</v>
      </c>
      <c r="E642" s="54"/>
      <c r="F642" s="56">
        <v>1.0</v>
      </c>
      <c r="G642" s="57">
        <v>80.0</v>
      </c>
      <c r="H642" s="57">
        <f t="shared" si="19"/>
        <v>80</v>
      </c>
      <c r="I642" s="58"/>
      <c r="J642" s="58"/>
      <c r="K642" s="54"/>
      <c r="L642" s="63"/>
      <c r="M642" s="63"/>
      <c r="N642" s="63"/>
      <c r="O642" s="63"/>
      <c r="P642" s="63"/>
      <c r="Q642" s="35"/>
      <c r="R642" s="35"/>
      <c r="S642" s="35"/>
      <c r="T642" s="1"/>
      <c r="U642" s="1"/>
      <c r="V642" s="1"/>
    </row>
    <row r="643" ht="15.75" customHeight="1">
      <c r="A643" s="53"/>
      <c r="B643" s="54" t="s">
        <v>18</v>
      </c>
      <c r="C643" s="197" t="s">
        <v>370</v>
      </c>
      <c r="D643" s="55" t="s">
        <v>20</v>
      </c>
      <c r="E643" s="208">
        <v>8.49069896E8</v>
      </c>
      <c r="F643" s="56">
        <v>1.0</v>
      </c>
      <c r="G643" s="57">
        <v>5.0</v>
      </c>
      <c r="H643" s="57">
        <f t="shared" si="19"/>
        <v>5</v>
      </c>
      <c r="I643" s="58"/>
      <c r="J643" s="58"/>
      <c r="K643" s="54"/>
      <c r="L643" s="63"/>
      <c r="M643" s="63"/>
      <c r="N643" s="63"/>
      <c r="O643" s="63"/>
      <c r="P643" s="63"/>
      <c r="Q643" s="35"/>
      <c r="R643" s="35"/>
      <c r="S643" s="35"/>
      <c r="T643" s="1"/>
      <c r="U643" s="1"/>
      <c r="V643" s="1"/>
    </row>
    <row r="644" ht="15.75" customHeight="1">
      <c r="A644" s="53"/>
      <c r="B644" s="54" t="s">
        <v>18</v>
      </c>
      <c r="C644" s="197" t="s">
        <v>371</v>
      </c>
      <c r="D644" s="55" t="s">
        <v>20</v>
      </c>
      <c r="E644" s="208" t="s">
        <v>286</v>
      </c>
      <c r="F644" s="56">
        <v>2.0</v>
      </c>
      <c r="G644" s="57">
        <v>3.0</v>
      </c>
      <c r="H644" s="57">
        <f t="shared" si="19"/>
        <v>6</v>
      </c>
      <c r="I644" s="58"/>
      <c r="J644" s="58"/>
      <c r="K644" s="13"/>
      <c r="L644" s="63"/>
      <c r="M644" s="63"/>
      <c r="N644" s="63"/>
      <c r="O644" s="63"/>
      <c r="P644" s="63"/>
      <c r="Q644" s="35"/>
      <c r="R644" s="35"/>
      <c r="S644" s="35"/>
      <c r="T644" s="1"/>
      <c r="U644" s="1"/>
      <c r="V644" s="1"/>
    </row>
    <row r="645" ht="15.75" hidden="1" customHeight="1">
      <c r="A645" s="13"/>
      <c r="B645" s="13"/>
      <c r="C645" s="13" t="s">
        <v>221</v>
      </c>
      <c r="D645" s="213" t="s">
        <v>24</v>
      </c>
      <c r="E645" s="52"/>
      <c r="F645" s="48">
        <v>0.0</v>
      </c>
      <c r="G645" s="50">
        <v>50.0</v>
      </c>
      <c r="H645" s="50">
        <f t="shared" si="19"/>
        <v>0</v>
      </c>
      <c r="I645" s="18"/>
      <c r="J645" s="18"/>
      <c r="K645" s="13"/>
      <c r="L645" s="63"/>
      <c r="M645" s="63"/>
      <c r="N645" s="63"/>
      <c r="O645" s="63"/>
      <c r="P645" s="63"/>
      <c r="Q645" s="35"/>
      <c r="R645" s="35"/>
      <c r="S645" s="35"/>
      <c r="T645" s="1"/>
      <c r="U645" s="1"/>
      <c r="V645" s="1"/>
    </row>
    <row r="646" ht="15.75" hidden="1" customHeight="1">
      <c r="A646" s="13"/>
      <c r="B646" s="13"/>
      <c r="C646" s="206" t="s">
        <v>222</v>
      </c>
      <c r="D646" s="216" t="s">
        <v>24</v>
      </c>
      <c r="E646" s="54"/>
      <c r="F646" s="56">
        <v>0.0</v>
      </c>
      <c r="G646" s="57">
        <v>40.0</v>
      </c>
      <c r="H646" s="57">
        <f t="shared" si="19"/>
        <v>0</v>
      </c>
      <c r="I646" s="18"/>
      <c r="J646" s="18"/>
      <c r="K646" s="13"/>
      <c r="L646" s="63"/>
      <c r="M646" s="63"/>
      <c r="N646" s="63"/>
      <c r="O646" s="63"/>
      <c r="P646" s="63"/>
      <c r="Q646" s="35"/>
      <c r="R646" s="35"/>
      <c r="S646" s="35"/>
      <c r="T646" s="1"/>
      <c r="U646" s="1"/>
      <c r="V646" s="1"/>
    </row>
    <row r="647" ht="15.75" hidden="1" customHeight="1">
      <c r="A647" s="13"/>
      <c r="B647" s="13"/>
      <c r="C647" s="169" t="s">
        <v>374</v>
      </c>
      <c r="D647" s="70" t="s">
        <v>24</v>
      </c>
      <c r="E647" s="15"/>
      <c r="F647" s="16">
        <v>0.0</v>
      </c>
      <c r="G647" s="17">
        <v>210.0</v>
      </c>
      <c r="H647" s="17">
        <f t="shared" si="19"/>
        <v>0</v>
      </c>
      <c r="I647" s="18"/>
      <c r="J647" s="18"/>
      <c r="K647" s="13"/>
      <c r="L647" s="63"/>
      <c r="M647" s="63"/>
      <c r="N647" s="63"/>
      <c r="O647" s="63"/>
      <c r="P647" s="63"/>
      <c r="Q647" s="35"/>
      <c r="R647" s="35"/>
      <c r="S647" s="35"/>
      <c r="T647" s="1"/>
      <c r="U647" s="1"/>
      <c r="V647" s="1"/>
    </row>
    <row r="648" ht="15.75" hidden="1" customHeight="1">
      <c r="A648" s="13"/>
      <c r="B648" s="13" t="s">
        <v>373</v>
      </c>
      <c r="C648" s="169" t="s">
        <v>372</v>
      </c>
      <c r="D648" s="14" t="s">
        <v>20</v>
      </c>
      <c r="E648" s="15"/>
      <c r="F648" s="16">
        <v>0.0</v>
      </c>
      <c r="G648" s="17">
        <v>70.0</v>
      </c>
      <c r="H648" s="17">
        <f t="shared" si="19"/>
        <v>0</v>
      </c>
      <c r="I648" s="18"/>
      <c r="J648" s="18"/>
      <c r="K648" s="13"/>
      <c r="L648" s="13"/>
      <c r="M648" s="13"/>
      <c r="N648" s="13"/>
      <c r="O648" s="13"/>
      <c r="P648" s="13"/>
      <c r="Q648" s="35"/>
      <c r="R648" s="35"/>
      <c r="S648" s="35"/>
      <c r="T648" s="1"/>
      <c r="U648" s="1"/>
      <c r="V648" s="1"/>
    </row>
    <row r="649" ht="15.75" hidden="1" customHeight="1">
      <c r="A649" s="13"/>
      <c r="B649" s="13" t="s">
        <v>18</v>
      </c>
      <c r="C649" s="169" t="s">
        <v>503</v>
      </c>
      <c r="D649" s="14" t="s">
        <v>20</v>
      </c>
      <c r="E649" s="15"/>
      <c r="F649" s="16">
        <v>0.0</v>
      </c>
      <c r="G649" s="17">
        <v>50.0</v>
      </c>
      <c r="H649" s="17">
        <f t="shared" si="19"/>
        <v>0</v>
      </c>
      <c r="I649" s="18"/>
      <c r="J649" s="17"/>
      <c r="K649" s="13"/>
      <c r="L649" s="13"/>
      <c r="M649" s="13"/>
      <c r="N649" s="13"/>
      <c r="O649" s="13"/>
      <c r="P649" s="13"/>
      <c r="Q649" s="35"/>
      <c r="R649" s="35"/>
      <c r="S649" s="35"/>
      <c r="T649" s="1"/>
      <c r="U649" s="1"/>
      <c r="V649" s="1"/>
    </row>
    <row r="650" ht="15.75" hidden="1" customHeight="1">
      <c r="A650" s="13"/>
      <c r="B650" s="13"/>
      <c r="C650" s="169" t="s">
        <v>504</v>
      </c>
      <c r="D650" s="70" t="s">
        <v>24</v>
      </c>
      <c r="E650" s="15"/>
      <c r="F650" s="16">
        <v>0.0</v>
      </c>
      <c r="G650" s="17">
        <v>50.0</v>
      </c>
      <c r="H650" s="17">
        <f t="shared" si="19"/>
        <v>0</v>
      </c>
      <c r="I650" s="18"/>
      <c r="J650" s="17"/>
      <c r="K650" s="13"/>
      <c r="L650" s="13"/>
      <c r="M650" s="13"/>
      <c r="N650" s="13"/>
      <c r="O650" s="13"/>
      <c r="P650" s="13"/>
      <c r="Q650" s="35"/>
      <c r="R650" s="35"/>
      <c r="S650" s="35"/>
      <c r="T650" s="1"/>
      <c r="U650" s="1"/>
      <c r="V650" s="1"/>
    </row>
    <row r="651" ht="15.75" hidden="1" customHeight="1">
      <c r="A651" s="13"/>
      <c r="B651" s="13"/>
      <c r="C651" s="169" t="s">
        <v>505</v>
      </c>
      <c r="D651" s="70" t="s">
        <v>24</v>
      </c>
      <c r="E651" s="15"/>
      <c r="F651" s="16">
        <v>0.0</v>
      </c>
      <c r="G651" s="17">
        <v>120.0</v>
      </c>
      <c r="H651" s="17">
        <f t="shared" si="19"/>
        <v>0</v>
      </c>
      <c r="I651" s="18"/>
      <c r="J651" s="17"/>
      <c r="K651" s="13"/>
      <c r="L651" s="63"/>
      <c r="M651" s="63"/>
      <c r="N651" s="63"/>
      <c r="O651" s="63"/>
      <c r="P651" s="63"/>
      <c r="Q651" s="35"/>
      <c r="R651" s="35"/>
      <c r="S651" s="35"/>
      <c r="T651" s="1"/>
      <c r="U651" s="1"/>
      <c r="V651" s="1"/>
    </row>
    <row r="652" ht="15.75" hidden="1" customHeight="1">
      <c r="A652" s="13"/>
      <c r="B652" s="13"/>
      <c r="C652" s="169" t="s">
        <v>506</v>
      </c>
      <c r="D652" s="70" t="s">
        <v>24</v>
      </c>
      <c r="E652" s="15"/>
      <c r="F652" s="16">
        <v>0.0</v>
      </c>
      <c r="G652" s="17">
        <v>80.0</v>
      </c>
      <c r="H652" s="17">
        <f t="shared" si="19"/>
        <v>0</v>
      </c>
      <c r="I652" s="18"/>
      <c r="J652" s="17"/>
      <c r="K652" s="13"/>
      <c r="L652" s="63"/>
      <c r="M652" s="63"/>
      <c r="N652" s="63"/>
      <c r="O652" s="63"/>
      <c r="P652" s="63"/>
      <c r="Q652" s="35"/>
      <c r="R652" s="35"/>
      <c r="S652" s="35"/>
      <c r="T652" s="1"/>
      <c r="U652" s="1"/>
      <c r="V652" s="1"/>
    </row>
    <row r="653" ht="15.75" hidden="1" customHeight="1">
      <c r="A653" s="13"/>
      <c r="B653" s="13"/>
      <c r="C653" s="169" t="s">
        <v>507</v>
      </c>
      <c r="D653" s="14" t="s">
        <v>20</v>
      </c>
      <c r="E653" s="15"/>
      <c r="F653" s="16">
        <v>0.0</v>
      </c>
      <c r="G653" s="17">
        <v>300.0</v>
      </c>
      <c r="H653" s="17">
        <f t="shared" si="19"/>
        <v>0</v>
      </c>
      <c r="I653" s="18"/>
      <c r="J653" s="17"/>
      <c r="K653" s="13"/>
      <c r="L653" s="63"/>
      <c r="M653" s="63"/>
      <c r="N653" s="63"/>
      <c r="O653" s="63"/>
      <c r="P653" s="63"/>
      <c r="Q653" s="35"/>
      <c r="R653" s="35"/>
      <c r="S653" s="35"/>
      <c r="T653" s="1"/>
      <c r="U653" s="1"/>
      <c r="V653" s="1"/>
    </row>
    <row r="654" ht="15.75" hidden="1" customHeight="1">
      <c r="A654" s="13"/>
      <c r="B654" s="13"/>
      <c r="C654" s="169" t="s">
        <v>508</v>
      </c>
      <c r="D654" s="70" t="s">
        <v>24</v>
      </c>
      <c r="E654" s="15"/>
      <c r="F654" s="16">
        <v>0.0</v>
      </c>
      <c r="G654" s="17">
        <v>290.0</v>
      </c>
      <c r="H654" s="17">
        <f t="shared" si="19"/>
        <v>0</v>
      </c>
      <c r="I654" s="18"/>
      <c r="J654" s="17"/>
      <c r="K654" s="13"/>
      <c r="L654" s="63"/>
      <c r="M654" s="63"/>
      <c r="N654" s="63"/>
      <c r="O654" s="63"/>
      <c r="P654" s="63"/>
      <c r="Q654" s="35"/>
      <c r="R654" s="35"/>
      <c r="S654" s="35"/>
      <c r="T654" s="1"/>
      <c r="U654" s="1"/>
      <c r="V654" s="1"/>
    </row>
    <row r="655" ht="15.75" hidden="1" customHeight="1">
      <c r="A655" s="13"/>
      <c r="B655" s="13"/>
      <c r="C655" s="13" t="s">
        <v>509</v>
      </c>
      <c r="D655" s="46" t="s">
        <v>20</v>
      </c>
      <c r="E655" s="52"/>
      <c r="F655" s="48">
        <v>0.0</v>
      </c>
      <c r="G655" s="50">
        <v>30.0</v>
      </c>
      <c r="H655" s="50">
        <f t="shared" si="19"/>
        <v>0</v>
      </c>
      <c r="I655" s="50"/>
      <c r="J655" s="17"/>
      <c r="K655" s="13"/>
      <c r="L655" s="63"/>
      <c r="M655" s="63"/>
      <c r="N655" s="63"/>
      <c r="O655" s="63"/>
      <c r="P655" s="63"/>
      <c r="Q655" s="35"/>
      <c r="R655" s="35"/>
      <c r="S655" s="35"/>
      <c r="T655" s="1"/>
      <c r="U655" s="1"/>
      <c r="V655" s="1"/>
    </row>
    <row r="656" ht="15.75" hidden="1" customHeight="1">
      <c r="A656" s="13"/>
      <c r="B656" s="13"/>
      <c r="C656" s="206" t="s">
        <v>510</v>
      </c>
      <c r="D656" s="216" t="s">
        <v>24</v>
      </c>
      <c r="E656" s="54"/>
      <c r="F656" s="56">
        <v>0.0</v>
      </c>
      <c r="G656" s="57">
        <v>70.0</v>
      </c>
      <c r="H656" s="57">
        <f t="shared" si="19"/>
        <v>0</v>
      </c>
      <c r="I656" s="57"/>
      <c r="J656" s="17"/>
      <c r="K656" s="13"/>
      <c r="L656" s="63"/>
      <c r="M656" s="63"/>
      <c r="N656" s="63"/>
      <c r="O656" s="63"/>
      <c r="P656" s="63"/>
      <c r="Q656" s="35"/>
      <c r="R656" s="35"/>
      <c r="S656" s="35"/>
      <c r="T656" s="1"/>
      <c r="U656" s="1"/>
      <c r="V656" s="1"/>
    </row>
    <row r="657" ht="15.75" hidden="1" customHeight="1">
      <c r="A657" s="13"/>
      <c r="B657" s="13"/>
      <c r="C657" s="13" t="s">
        <v>511</v>
      </c>
      <c r="D657" s="46" t="s">
        <v>20</v>
      </c>
      <c r="E657" s="52"/>
      <c r="F657" s="48">
        <v>0.0</v>
      </c>
      <c r="G657" s="50">
        <v>368.0</v>
      </c>
      <c r="H657" s="50">
        <f t="shared" si="19"/>
        <v>0</v>
      </c>
      <c r="I657" s="50"/>
      <c r="J657" s="17"/>
      <c r="K657" s="13"/>
      <c r="L657" s="63"/>
      <c r="M657" s="63"/>
      <c r="N657" s="63"/>
      <c r="O657" s="63"/>
      <c r="P657" s="63"/>
      <c r="Q657" s="35"/>
      <c r="R657" s="35"/>
      <c r="S657" s="35"/>
      <c r="T657" s="1"/>
      <c r="U657" s="1"/>
      <c r="V657" s="1"/>
    </row>
    <row r="658" ht="15.75" hidden="1" customHeight="1">
      <c r="A658" s="13"/>
      <c r="B658" s="13"/>
      <c r="C658" s="206" t="s">
        <v>512</v>
      </c>
      <c r="D658" s="55" t="s">
        <v>20</v>
      </c>
      <c r="E658" s="54"/>
      <c r="F658" s="56">
        <v>0.0</v>
      </c>
      <c r="G658" s="57">
        <v>183.0</v>
      </c>
      <c r="H658" s="57">
        <f t="shared" si="19"/>
        <v>0</v>
      </c>
      <c r="I658" s="57"/>
      <c r="J658" s="17"/>
      <c r="K658" s="13"/>
      <c r="L658" s="63"/>
      <c r="M658" s="63"/>
      <c r="N658" s="63"/>
      <c r="O658" s="63"/>
      <c r="P658" s="63"/>
      <c r="Q658" s="35"/>
      <c r="R658" s="35"/>
      <c r="S658" s="35"/>
      <c r="T658" s="1"/>
      <c r="U658" s="1"/>
      <c r="V658" s="1"/>
    </row>
    <row r="659" ht="15.75" hidden="1" customHeight="1">
      <c r="A659" s="13"/>
      <c r="B659" s="13"/>
      <c r="C659" s="250" t="s">
        <v>513</v>
      </c>
      <c r="D659" s="55" t="s">
        <v>20</v>
      </c>
      <c r="E659" s="54"/>
      <c r="F659" s="56">
        <v>0.0</v>
      </c>
      <c r="G659" s="57">
        <v>45.0</v>
      </c>
      <c r="H659" s="57">
        <f t="shared" si="19"/>
        <v>0</v>
      </c>
      <c r="I659" s="57"/>
      <c r="J659" s="17"/>
      <c r="K659" s="13"/>
      <c r="L659" s="63"/>
      <c r="M659" s="63"/>
      <c r="N659" s="63"/>
      <c r="O659" s="63"/>
      <c r="P659" s="63"/>
      <c r="Q659" s="35"/>
      <c r="R659" s="35"/>
      <c r="S659" s="35"/>
      <c r="T659" s="1"/>
      <c r="U659" s="1"/>
      <c r="V659" s="1"/>
    </row>
    <row r="660" ht="15.75" hidden="1" customHeight="1">
      <c r="A660" s="13"/>
      <c r="B660" s="13"/>
      <c r="C660" s="250" t="s">
        <v>514</v>
      </c>
      <c r="D660" s="55" t="s">
        <v>20</v>
      </c>
      <c r="E660" s="54"/>
      <c r="F660" s="56">
        <v>0.0</v>
      </c>
      <c r="G660" s="57">
        <v>60.0</v>
      </c>
      <c r="H660" s="57">
        <f t="shared" si="19"/>
        <v>0</v>
      </c>
      <c r="I660" s="57"/>
      <c r="J660" s="17"/>
      <c r="K660" s="13"/>
      <c r="L660" s="63"/>
      <c r="M660" s="63"/>
      <c r="N660" s="63"/>
      <c r="O660" s="63"/>
      <c r="P660" s="63"/>
      <c r="Q660" s="35"/>
      <c r="R660" s="35"/>
      <c r="S660" s="35"/>
      <c r="T660" s="1"/>
      <c r="U660" s="1"/>
      <c r="V660" s="1"/>
    </row>
    <row r="661" ht="15.75" hidden="1" customHeight="1">
      <c r="A661" s="13"/>
      <c r="B661" s="13"/>
      <c r="C661" s="251" t="s">
        <v>515</v>
      </c>
      <c r="D661" s="216" t="s">
        <v>24</v>
      </c>
      <c r="E661" s="54"/>
      <c r="F661" s="56">
        <v>0.0</v>
      </c>
      <c r="G661" s="57">
        <v>290.0</v>
      </c>
      <c r="H661" s="57">
        <f t="shared" si="19"/>
        <v>0</v>
      </c>
      <c r="I661" s="57"/>
      <c r="J661" s="17"/>
      <c r="K661" s="13"/>
      <c r="L661" s="63"/>
      <c r="M661" s="63"/>
      <c r="N661" s="63"/>
      <c r="O661" s="63"/>
      <c r="P661" s="63"/>
      <c r="Q661" s="35"/>
      <c r="R661" s="35"/>
      <c r="S661" s="35"/>
      <c r="T661" s="1"/>
      <c r="U661" s="1"/>
      <c r="V661" s="1"/>
    </row>
    <row r="662" ht="15.75" hidden="1" customHeight="1">
      <c r="A662" s="13"/>
      <c r="B662" s="13"/>
      <c r="C662" s="13" t="s">
        <v>71</v>
      </c>
      <c r="D662" s="213" t="s">
        <v>24</v>
      </c>
      <c r="E662" s="52"/>
      <c r="F662" s="56">
        <v>0.0</v>
      </c>
      <c r="G662" s="50">
        <v>80.0</v>
      </c>
      <c r="H662" s="50">
        <f t="shared" si="19"/>
        <v>0</v>
      </c>
      <c r="I662" s="57"/>
      <c r="J662" s="17"/>
      <c r="K662" s="13"/>
      <c r="L662" s="63"/>
      <c r="M662" s="63"/>
      <c r="N662" s="63"/>
      <c r="O662" s="63"/>
      <c r="P662" s="63"/>
      <c r="Q662" s="35"/>
      <c r="R662" s="35"/>
      <c r="S662" s="35"/>
      <c r="T662" s="1"/>
      <c r="U662" s="1"/>
      <c r="V662" s="1"/>
    </row>
    <row r="663" ht="15.75" hidden="1" customHeight="1">
      <c r="A663" s="13"/>
      <c r="B663" s="13"/>
      <c r="C663" s="169" t="s">
        <v>516</v>
      </c>
      <c r="D663" s="46" t="s">
        <v>20</v>
      </c>
      <c r="E663" s="52"/>
      <c r="F663" s="48">
        <v>0.0</v>
      </c>
      <c r="G663" s="50">
        <v>300.0</v>
      </c>
      <c r="H663" s="50">
        <f t="shared" si="19"/>
        <v>0</v>
      </c>
      <c r="I663" s="57"/>
      <c r="J663" s="17"/>
      <c r="K663" s="13"/>
      <c r="L663" s="63"/>
      <c r="M663" s="63"/>
      <c r="N663" s="63"/>
      <c r="O663" s="63"/>
      <c r="P663" s="63"/>
      <c r="Q663" s="35"/>
      <c r="R663" s="35"/>
      <c r="S663" s="35"/>
      <c r="T663" s="1"/>
      <c r="U663" s="1"/>
      <c r="V663" s="1"/>
    </row>
    <row r="664" ht="15.75" hidden="1" customHeight="1">
      <c r="A664" s="13"/>
      <c r="B664" s="13"/>
      <c r="C664" s="244" t="s">
        <v>517</v>
      </c>
      <c r="D664" s="216" t="s">
        <v>24</v>
      </c>
      <c r="E664" s="54"/>
      <c r="F664" s="56">
        <v>0.0</v>
      </c>
      <c r="G664" s="57">
        <v>900.0</v>
      </c>
      <c r="H664" s="50">
        <f t="shared" si="19"/>
        <v>0</v>
      </c>
      <c r="I664" s="57"/>
      <c r="J664" s="17"/>
      <c r="K664" s="13"/>
      <c r="L664" s="63"/>
      <c r="M664" s="63"/>
      <c r="N664" s="63"/>
      <c r="O664" s="63"/>
      <c r="P664" s="63"/>
      <c r="Q664" s="35"/>
      <c r="R664" s="35"/>
      <c r="S664" s="35"/>
      <c r="T664" s="1"/>
      <c r="U664" s="1"/>
      <c r="V664" s="1"/>
    </row>
    <row r="665" ht="15.75" hidden="1" customHeight="1">
      <c r="A665" s="13"/>
      <c r="B665" s="13"/>
      <c r="C665" s="169" t="s">
        <v>518</v>
      </c>
      <c r="D665" s="213" t="s">
        <v>24</v>
      </c>
      <c r="E665" s="52"/>
      <c r="F665" s="48">
        <v>0.0</v>
      </c>
      <c r="G665" s="50">
        <v>150.0</v>
      </c>
      <c r="H665" s="50">
        <f t="shared" si="19"/>
        <v>0</v>
      </c>
      <c r="I665" s="57"/>
      <c r="J665" s="17"/>
      <c r="K665" s="13"/>
      <c r="L665" s="63"/>
      <c r="M665" s="63"/>
      <c r="N665" s="63"/>
      <c r="O665" s="63"/>
      <c r="P665" s="63"/>
      <c r="Q665" s="35"/>
      <c r="R665" s="35"/>
      <c r="S665" s="35"/>
      <c r="T665" s="1"/>
      <c r="U665" s="1"/>
      <c r="V665" s="1"/>
    </row>
    <row r="666" ht="15.75" hidden="1" customHeight="1">
      <c r="A666" s="13"/>
      <c r="B666" s="13"/>
      <c r="C666" s="244" t="s">
        <v>519</v>
      </c>
      <c r="D666" s="55" t="s">
        <v>20</v>
      </c>
      <c r="E666" s="54"/>
      <c r="F666" s="56">
        <v>0.0</v>
      </c>
      <c r="G666" s="57">
        <v>60.0</v>
      </c>
      <c r="H666" s="57">
        <f t="shared" si="19"/>
        <v>0</v>
      </c>
      <c r="I666" s="57"/>
      <c r="J666" s="17"/>
      <c r="K666" s="13"/>
      <c r="L666" s="63"/>
      <c r="M666" s="63"/>
      <c r="N666" s="63"/>
      <c r="O666" s="63"/>
      <c r="P666" s="63"/>
      <c r="Q666" s="35"/>
      <c r="R666" s="35"/>
      <c r="S666" s="35"/>
      <c r="T666" s="1"/>
      <c r="U666" s="1"/>
      <c r="V666" s="1"/>
    </row>
    <row r="667" ht="15.75" hidden="1" customHeight="1">
      <c r="A667" s="13"/>
      <c r="B667" s="13"/>
      <c r="C667" s="244" t="s">
        <v>520</v>
      </c>
      <c r="D667" s="213" t="s">
        <v>24</v>
      </c>
      <c r="E667" s="54"/>
      <c r="F667" s="56">
        <v>0.0</v>
      </c>
      <c r="G667" s="57">
        <v>500.0</v>
      </c>
      <c r="H667" s="57">
        <f t="shared" si="19"/>
        <v>0</v>
      </c>
      <c r="I667" s="57"/>
      <c r="J667" s="17"/>
      <c r="K667" s="13"/>
      <c r="L667" s="63"/>
      <c r="M667" s="63"/>
      <c r="N667" s="63"/>
      <c r="O667" s="63"/>
      <c r="P667" s="63"/>
      <c r="Q667" s="35"/>
      <c r="R667" s="35"/>
      <c r="S667" s="35"/>
      <c r="T667" s="1"/>
      <c r="U667" s="1"/>
      <c r="V667" s="1"/>
    </row>
    <row r="668" ht="15.75" hidden="1" customHeight="1">
      <c r="A668" s="13"/>
      <c r="B668" s="13"/>
      <c r="C668" s="244" t="s">
        <v>521</v>
      </c>
      <c r="D668" s="55" t="s">
        <v>20</v>
      </c>
      <c r="E668" s="54"/>
      <c r="F668" s="56">
        <v>0.0</v>
      </c>
      <c r="G668" s="57">
        <v>130.0</v>
      </c>
      <c r="H668" s="57">
        <f t="shared" si="19"/>
        <v>0</v>
      </c>
      <c r="I668" s="57"/>
      <c r="J668" s="17"/>
      <c r="K668" s="13"/>
      <c r="L668" s="63"/>
      <c r="M668" s="63"/>
      <c r="N668" s="63"/>
      <c r="O668" s="63"/>
      <c r="P668" s="63"/>
      <c r="Q668" s="35"/>
      <c r="R668" s="35"/>
      <c r="S668" s="35"/>
      <c r="T668" s="1"/>
      <c r="U668" s="1"/>
      <c r="V668" s="1"/>
    </row>
    <row r="669" ht="15.75" hidden="1" customHeight="1">
      <c r="A669" s="15"/>
      <c r="B669" s="52"/>
      <c r="C669" s="196" t="s">
        <v>522</v>
      </c>
      <c r="D669" s="46" t="s">
        <v>20</v>
      </c>
      <c r="E669" s="52"/>
      <c r="F669" s="48">
        <v>0.0</v>
      </c>
      <c r="G669" s="50">
        <v>30.0</v>
      </c>
      <c r="H669" s="50">
        <f t="shared" si="19"/>
        <v>0</v>
      </c>
      <c r="I669" s="51"/>
      <c r="J669" s="51"/>
      <c r="K669" s="52"/>
      <c r="L669" s="52"/>
      <c r="M669" s="52"/>
      <c r="N669" s="52"/>
      <c r="O669" s="52"/>
      <c r="P669" s="52"/>
      <c r="Q669" s="1"/>
      <c r="R669" s="1"/>
      <c r="S669" s="1"/>
      <c r="T669" s="1"/>
      <c r="U669" s="1"/>
      <c r="V669" s="1"/>
    </row>
    <row r="670" ht="15.75" hidden="1" customHeight="1">
      <c r="A670" s="53"/>
      <c r="B670" s="54"/>
      <c r="C670" s="197" t="s">
        <v>523</v>
      </c>
      <c r="D670" s="216" t="s">
        <v>24</v>
      </c>
      <c r="E670" s="54"/>
      <c r="F670" s="56">
        <v>0.0</v>
      </c>
      <c r="G670" s="57">
        <v>25.0</v>
      </c>
      <c r="H670" s="57">
        <f t="shared" si="19"/>
        <v>0</v>
      </c>
      <c r="I670" s="58"/>
      <c r="J670" s="58"/>
      <c r="K670" s="54"/>
      <c r="L670" s="252"/>
      <c r="M670" s="252"/>
      <c r="N670" s="252"/>
      <c r="O670" s="252"/>
      <c r="P670" s="252"/>
      <c r="Q670" s="1"/>
      <c r="R670" s="1"/>
      <c r="S670" s="1"/>
      <c r="T670" s="1"/>
      <c r="U670" s="1"/>
      <c r="V670" s="1"/>
    </row>
    <row r="671" ht="15.75" hidden="1" customHeight="1">
      <c r="A671" s="53"/>
      <c r="B671" s="54"/>
      <c r="C671" s="197" t="s">
        <v>524</v>
      </c>
      <c r="D671" s="55" t="s">
        <v>20</v>
      </c>
      <c r="E671" s="54"/>
      <c r="F671" s="56">
        <v>0.0</v>
      </c>
      <c r="G671" s="57">
        <v>15.0</v>
      </c>
      <c r="H671" s="57">
        <f t="shared" si="19"/>
        <v>0</v>
      </c>
      <c r="I671" s="58"/>
      <c r="J671" s="58"/>
      <c r="K671" s="54"/>
      <c r="L671" s="54"/>
      <c r="M671" s="54"/>
      <c r="N671" s="54"/>
      <c r="O671" s="54"/>
      <c r="P671" s="54"/>
      <c r="Q671" s="1"/>
      <c r="R671" s="1"/>
      <c r="S671" s="1"/>
      <c r="T671" s="1"/>
      <c r="U671" s="1"/>
      <c r="V671" s="1"/>
    </row>
    <row r="672" ht="15.75" hidden="1" customHeight="1">
      <c r="A672" s="13"/>
      <c r="B672" s="13"/>
      <c r="C672" s="244" t="s">
        <v>525</v>
      </c>
      <c r="D672" s="213" t="s">
        <v>24</v>
      </c>
      <c r="E672" s="54"/>
      <c r="F672" s="56">
        <v>0.0</v>
      </c>
      <c r="G672" s="57">
        <v>60.0</v>
      </c>
      <c r="H672" s="57">
        <f t="shared" si="19"/>
        <v>0</v>
      </c>
      <c r="I672" s="57"/>
      <c r="J672" s="17"/>
      <c r="K672" s="13"/>
      <c r="L672" s="63"/>
      <c r="M672" s="63"/>
      <c r="N672" s="63"/>
      <c r="O672" s="63"/>
      <c r="P672" s="63"/>
      <c r="Q672" s="35"/>
      <c r="R672" s="35"/>
      <c r="S672" s="35"/>
      <c r="T672" s="1"/>
      <c r="U672" s="1"/>
      <c r="V672" s="1"/>
    </row>
    <row r="673" ht="15.75" hidden="1" customHeight="1">
      <c r="A673" s="13"/>
      <c r="B673" s="13"/>
      <c r="C673" s="244" t="s">
        <v>526</v>
      </c>
      <c r="D673" s="213" t="s">
        <v>24</v>
      </c>
      <c r="E673" s="54"/>
      <c r="F673" s="56">
        <v>0.0</v>
      </c>
      <c r="G673" s="57">
        <v>80.0</v>
      </c>
      <c r="H673" s="57">
        <f t="shared" si="19"/>
        <v>0</v>
      </c>
      <c r="I673" s="57"/>
      <c r="J673" s="17"/>
      <c r="K673" s="13"/>
      <c r="L673" s="63"/>
      <c r="M673" s="63"/>
      <c r="N673" s="63"/>
      <c r="O673" s="63"/>
      <c r="P673" s="63"/>
      <c r="Q673" s="35"/>
      <c r="R673" s="35"/>
      <c r="S673" s="35"/>
      <c r="T673" s="1"/>
      <c r="U673" s="1"/>
      <c r="V673" s="1"/>
    </row>
    <row r="674" ht="15.75" hidden="1" customHeight="1">
      <c r="A674" s="13"/>
      <c r="B674" s="13"/>
      <c r="C674" s="244" t="s">
        <v>527</v>
      </c>
      <c r="D674" s="46" t="s">
        <v>20</v>
      </c>
      <c r="E674" s="54"/>
      <c r="F674" s="56">
        <v>0.0</v>
      </c>
      <c r="G674" s="57">
        <v>5000.0</v>
      </c>
      <c r="H674" s="50">
        <f t="shared" si="19"/>
        <v>0</v>
      </c>
      <c r="I674" s="57"/>
      <c r="J674" s="17"/>
      <c r="K674" s="13"/>
      <c r="L674" s="63"/>
      <c r="M674" s="63"/>
      <c r="N674" s="63"/>
      <c r="O674" s="63"/>
      <c r="P674" s="63"/>
      <c r="Q674" s="35"/>
      <c r="R674" s="35"/>
      <c r="S674" s="35"/>
      <c r="T674" s="1"/>
      <c r="U674" s="1"/>
      <c r="V674" s="1"/>
    </row>
    <row r="675" ht="15.75" hidden="1" customHeight="1">
      <c r="A675" s="13"/>
      <c r="B675" s="13"/>
      <c r="C675" s="169" t="s">
        <v>528</v>
      </c>
      <c r="D675" s="213" t="s">
        <v>24</v>
      </c>
      <c r="E675" s="52" t="s">
        <v>529</v>
      </c>
      <c r="F675" s="48">
        <v>0.0</v>
      </c>
      <c r="G675" s="50">
        <v>2800.0</v>
      </c>
      <c r="H675" s="50">
        <f t="shared" si="19"/>
        <v>0</v>
      </c>
      <c r="I675" s="57"/>
      <c r="J675" s="17"/>
      <c r="K675" s="13"/>
      <c r="L675" s="63"/>
      <c r="M675" s="63"/>
      <c r="N675" s="63"/>
      <c r="O675" s="63"/>
      <c r="P675" s="63"/>
      <c r="Q675" s="35"/>
      <c r="R675" s="35"/>
      <c r="S675" s="35"/>
      <c r="T675" s="1"/>
      <c r="U675" s="1"/>
      <c r="V675" s="1"/>
    </row>
    <row r="676" ht="15.75" hidden="1" customHeight="1">
      <c r="A676" s="13"/>
      <c r="B676" s="13"/>
      <c r="C676" s="244" t="s">
        <v>530</v>
      </c>
      <c r="D676" s="216" t="s">
        <v>24</v>
      </c>
      <c r="E676" s="54"/>
      <c r="F676" s="56">
        <v>0.0</v>
      </c>
      <c r="G676" s="57">
        <v>2000.0</v>
      </c>
      <c r="H676" s="57">
        <f t="shared" si="19"/>
        <v>0</v>
      </c>
      <c r="I676" s="57"/>
      <c r="J676" s="17"/>
      <c r="K676" s="13"/>
      <c r="L676" s="63"/>
      <c r="M676" s="63"/>
      <c r="N676" s="63"/>
      <c r="O676" s="63"/>
      <c r="P676" s="63"/>
      <c r="Q676" s="35"/>
      <c r="R676" s="35"/>
      <c r="S676" s="35"/>
      <c r="T676" s="1"/>
      <c r="U676" s="1"/>
      <c r="V676" s="1"/>
    </row>
    <row r="677" ht="15.75" hidden="1" customHeight="1">
      <c r="A677" s="13"/>
      <c r="B677" s="13"/>
      <c r="C677" s="244" t="s">
        <v>531</v>
      </c>
      <c r="D677" s="216" t="s">
        <v>24</v>
      </c>
      <c r="E677" s="54"/>
      <c r="F677" s="56">
        <v>0.0</v>
      </c>
      <c r="G677" s="57">
        <v>2200.0</v>
      </c>
      <c r="H677" s="57">
        <f t="shared" si="19"/>
        <v>0</v>
      </c>
      <c r="I677" s="57"/>
      <c r="J677" s="17"/>
      <c r="K677" s="13"/>
      <c r="L677" s="63"/>
      <c r="M677" s="63"/>
      <c r="N677" s="63"/>
      <c r="O677" s="63"/>
      <c r="P677" s="63"/>
      <c r="Q677" s="35"/>
      <c r="R677" s="35"/>
      <c r="S677" s="35"/>
      <c r="T677" s="1"/>
      <c r="U677" s="1"/>
      <c r="V677" s="1"/>
    </row>
    <row r="678" ht="28.5" customHeight="1">
      <c r="A678" s="6"/>
      <c r="B678" s="6" t="s">
        <v>576</v>
      </c>
      <c r="C678" s="7">
        <f>SUM(H679:H738)</f>
        <v>3807.65</v>
      </c>
      <c r="D678" s="148"/>
      <c r="E678" s="148"/>
      <c r="F678" s="83"/>
      <c r="G678" s="82"/>
      <c r="H678" s="82"/>
      <c r="I678" s="82"/>
      <c r="J678" s="82"/>
      <c r="K678" s="83"/>
      <c r="L678" s="83"/>
      <c r="M678" s="83"/>
      <c r="N678" s="83"/>
      <c r="O678" s="83"/>
      <c r="P678" s="83"/>
      <c r="Q678" s="35"/>
      <c r="R678" s="35"/>
      <c r="S678" s="35"/>
      <c r="T678" s="1"/>
      <c r="U678" s="1"/>
      <c r="V678" s="1"/>
    </row>
    <row r="679" ht="15.75" customHeight="1">
      <c r="A679" s="13"/>
      <c r="B679" s="43" t="s">
        <v>18</v>
      </c>
      <c r="C679" s="169" t="s">
        <v>191</v>
      </c>
      <c r="D679" s="66" t="s">
        <v>22</v>
      </c>
      <c r="E679" s="15"/>
      <c r="F679" s="16">
        <v>2.0</v>
      </c>
      <c r="G679" s="34">
        <v>100.0</v>
      </c>
      <c r="H679" s="17">
        <f t="shared" ref="H679:H743" si="20">SUM(F679*G679)</f>
        <v>200</v>
      </c>
      <c r="I679" s="18"/>
      <c r="J679" s="18"/>
      <c r="K679" s="13"/>
      <c r="L679" s="13"/>
      <c r="M679" s="13"/>
      <c r="N679" s="13"/>
      <c r="O679" s="13"/>
      <c r="P679" s="13"/>
      <c r="Q679" s="35"/>
      <c r="R679" s="35"/>
      <c r="S679" s="35"/>
      <c r="T679" s="1"/>
      <c r="U679" s="1"/>
      <c r="V679" s="1"/>
    </row>
    <row r="680" ht="15.75" customHeight="1">
      <c r="A680" s="13"/>
      <c r="B680" s="13" t="s">
        <v>18</v>
      </c>
      <c r="C680" s="169" t="s">
        <v>577</v>
      </c>
      <c r="D680" s="14" t="s">
        <v>20</v>
      </c>
      <c r="E680" s="15"/>
      <c r="F680" s="16">
        <v>2.0</v>
      </c>
      <c r="G680" s="17">
        <v>5.0</v>
      </c>
      <c r="H680" s="17">
        <f t="shared" si="20"/>
        <v>10</v>
      </c>
      <c r="I680" s="18"/>
      <c r="J680" s="18"/>
      <c r="K680" s="13"/>
      <c r="L680" s="13"/>
      <c r="M680" s="19"/>
      <c r="N680" s="19"/>
      <c r="O680" s="38"/>
      <c r="P680" s="19"/>
      <c r="Q680" s="35"/>
      <c r="R680" s="35"/>
      <c r="S680" s="35"/>
      <c r="T680" s="1"/>
      <c r="U680" s="1"/>
      <c r="V680" s="1"/>
    </row>
    <row r="681" ht="15.75" customHeight="1">
      <c r="A681" s="13"/>
      <c r="B681" s="13" t="s">
        <v>18</v>
      </c>
      <c r="C681" s="169" t="s">
        <v>296</v>
      </c>
      <c r="D681" s="14" t="s">
        <v>20</v>
      </c>
      <c r="E681" s="194" t="s">
        <v>578</v>
      </c>
      <c r="F681" s="16">
        <v>1.0</v>
      </c>
      <c r="G681" s="34">
        <v>39.6</v>
      </c>
      <c r="H681" s="17">
        <f t="shared" si="20"/>
        <v>39.6</v>
      </c>
      <c r="I681" s="18"/>
      <c r="J681" s="18"/>
      <c r="K681" s="13"/>
      <c r="L681" s="27"/>
      <c r="M681" s="28"/>
      <c r="N681" s="27"/>
      <c r="O681" s="28"/>
      <c r="P681" s="27"/>
      <c r="Q681" s="35"/>
      <c r="R681" s="35"/>
      <c r="S681" s="35"/>
      <c r="T681" s="1"/>
      <c r="U681" s="1"/>
      <c r="V681" s="1"/>
    </row>
    <row r="682" ht="15.75" customHeight="1">
      <c r="A682" s="13"/>
      <c r="B682" s="13"/>
      <c r="C682" s="169" t="s">
        <v>298</v>
      </c>
      <c r="D682" s="70" t="s">
        <v>24</v>
      </c>
      <c r="E682" s="15"/>
      <c r="F682" s="16">
        <v>1.0</v>
      </c>
      <c r="G682" s="17">
        <v>95.0</v>
      </c>
      <c r="H682" s="17">
        <f t="shared" si="20"/>
        <v>95</v>
      </c>
      <c r="I682" s="18"/>
      <c r="J682" s="18"/>
      <c r="K682" s="13"/>
      <c r="L682" s="63"/>
      <c r="M682" s="63"/>
      <c r="N682" s="63"/>
      <c r="O682" s="63"/>
      <c r="P682" s="63"/>
      <c r="Q682" s="35"/>
      <c r="R682" s="35"/>
      <c r="S682" s="35"/>
      <c r="T682" s="1"/>
      <c r="U682" s="1"/>
      <c r="V682" s="1"/>
    </row>
    <row r="683" ht="15.75" hidden="1" customHeight="1">
      <c r="A683" s="13"/>
      <c r="B683" s="13"/>
      <c r="C683" s="169" t="s">
        <v>299</v>
      </c>
      <c r="D683" s="70" t="s">
        <v>24</v>
      </c>
      <c r="E683" s="15"/>
      <c r="F683" s="16">
        <v>0.0</v>
      </c>
      <c r="G683" s="17">
        <v>120.0</v>
      </c>
      <c r="H683" s="17">
        <f t="shared" si="20"/>
        <v>0</v>
      </c>
      <c r="I683" s="18"/>
      <c r="J683" s="18"/>
      <c r="K683" s="13"/>
      <c r="L683" s="63"/>
      <c r="M683" s="63"/>
      <c r="N683" s="63"/>
      <c r="O683" s="63"/>
      <c r="P683" s="63"/>
      <c r="Q683" s="35"/>
      <c r="R683" s="35"/>
      <c r="S683" s="35"/>
      <c r="T683" s="1"/>
      <c r="U683" s="1"/>
      <c r="V683" s="1"/>
    </row>
    <row r="684" ht="15.75" customHeight="1">
      <c r="A684" s="13"/>
      <c r="B684" s="13" t="s">
        <v>18</v>
      </c>
      <c r="C684" s="169" t="s">
        <v>300</v>
      </c>
      <c r="D684" s="14" t="s">
        <v>20</v>
      </c>
      <c r="E684" s="15"/>
      <c r="F684" s="40">
        <v>6.0</v>
      </c>
      <c r="G684" s="17">
        <v>5.0</v>
      </c>
      <c r="H684" s="17">
        <f t="shared" si="20"/>
        <v>30</v>
      </c>
      <c r="I684" s="18"/>
      <c r="J684" s="18"/>
      <c r="K684" s="13"/>
      <c r="L684" s="27"/>
      <c r="M684" s="27"/>
      <c r="N684" s="27"/>
      <c r="O684" s="27"/>
      <c r="P684" s="27"/>
      <c r="Q684" s="35"/>
      <c r="R684" s="35"/>
      <c r="S684" s="35"/>
      <c r="T684" s="1"/>
      <c r="U684" s="1"/>
      <c r="V684" s="1"/>
    </row>
    <row r="685" ht="15.75" hidden="1" customHeight="1">
      <c r="A685" s="13"/>
      <c r="B685" s="13" t="s">
        <v>18</v>
      </c>
      <c r="C685" s="169" t="s">
        <v>301</v>
      </c>
      <c r="D685" s="14" t="s">
        <v>20</v>
      </c>
      <c r="E685" s="15" t="s">
        <v>302</v>
      </c>
      <c r="F685" s="16">
        <v>0.0</v>
      </c>
      <c r="G685" s="17">
        <v>6.2</v>
      </c>
      <c r="H685" s="17">
        <f t="shared" si="20"/>
        <v>0</v>
      </c>
      <c r="I685" s="18"/>
      <c r="J685" s="18"/>
      <c r="K685" s="13"/>
      <c r="L685" s="27"/>
      <c r="M685" s="27"/>
      <c r="N685" s="27"/>
      <c r="O685" s="27"/>
      <c r="P685" s="27"/>
      <c r="Q685" s="35"/>
      <c r="R685" s="35"/>
      <c r="S685" s="35"/>
      <c r="T685" s="1"/>
      <c r="U685" s="1"/>
      <c r="V685" s="1"/>
    </row>
    <row r="686" ht="15.75" hidden="1" customHeight="1">
      <c r="A686" s="13"/>
      <c r="B686" s="13"/>
      <c r="C686" s="169" t="s">
        <v>303</v>
      </c>
      <c r="D686" s="70" t="s">
        <v>24</v>
      </c>
      <c r="E686" s="15"/>
      <c r="F686" s="16">
        <v>0.0</v>
      </c>
      <c r="G686" s="17">
        <v>40.0</v>
      </c>
      <c r="H686" s="17">
        <f t="shared" si="20"/>
        <v>0</v>
      </c>
      <c r="I686" s="18"/>
      <c r="J686" s="18"/>
      <c r="K686" s="13"/>
      <c r="L686" s="27"/>
      <c r="M686" s="27"/>
      <c r="N686" s="27"/>
      <c r="O686" s="27"/>
      <c r="P686" s="27"/>
      <c r="Q686" s="35"/>
      <c r="R686" s="35"/>
      <c r="S686" s="35"/>
      <c r="T686" s="1"/>
      <c r="U686" s="1"/>
      <c r="V686" s="1"/>
    </row>
    <row r="687" ht="15.75" hidden="1" customHeight="1">
      <c r="A687" s="13"/>
      <c r="B687" s="13" t="s">
        <v>18</v>
      </c>
      <c r="C687" s="169" t="s">
        <v>47</v>
      </c>
      <c r="D687" s="14" t="s">
        <v>20</v>
      </c>
      <c r="E687" s="15" t="s">
        <v>579</v>
      </c>
      <c r="F687" s="16">
        <v>0.0</v>
      </c>
      <c r="G687" s="17">
        <v>70.0</v>
      </c>
      <c r="H687" s="17">
        <f t="shared" si="20"/>
        <v>0</v>
      </c>
      <c r="I687" s="18"/>
      <c r="J687" s="18"/>
      <c r="K687" s="13"/>
      <c r="L687" s="27"/>
      <c r="M687" s="27"/>
      <c r="N687" s="27"/>
      <c r="O687" s="27"/>
      <c r="P687" s="27"/>
      <c r="Q687" s="35"/>
      <c r="R687" s="35"/>
      <c r="S687" s="35"/>
      <c r="T687" s="1"/>
      <c r="U687" s="1"/>
      <c r="V687" s="1"/>
    </row>
    <row r="688" ht="15.75" hidden="1" customHeight="1">
      <c r="A688" s="13"/>
      <c r="B688" s="13"/>
      <c r="C688" s="169" t="s">
        <v>304</v>
      </c>
      <c r="D688" s="70" t="s">
        <v>24</v>
      </c>
      <c r="E688" s="15"/>
      <c r="F688" s="16">
        <v>0.0</v>
      </c>
      <c r="G688" s="17">
        <v>120.0</v>
      </c>
      <c r="H688" s="17">
        <f t="shared" si="20"/>
        <v>0</v>
      </c>
      <c r="I688" s="18"/>
      <c r="J688" s="18"/>
      <c r="K688" s="13"/>
      <c r="L688" s="27"/>
      <c r="M688" s="27"/>
      <c r="N688" s="27"/>
      <c r="O688" s="27"/>
      <c r="P688" s="27"/>
      <c r="Q688" s="35"/>
      <c r="R688" s="35"/>
      <c r="S688" s="35"/>
      <c r="T688" s="1"/>
      <c r="U688" s="1"/>
      <c r="V688" s="1"/>
    </row>
    <row r="689" ht="15.75" customHeight="1">
      <c r="A689" s="13"/>
      <c r="B689" s="13" t="s">
        <v>58</v>
      </c>
      <c r="C689" s="169" t="s">
        <v>305</v>
      </c>
      <c r="D689" s="101" t="s">
        <v>32</v>
      </c>
      <c r="E689" s="15" t="s">
        <v>60</v>
      </c>
      <c r="F689" s="16">
        <v>1.0</v>
      </c>
      <c r="G689" s="17">
        <v>0.0</v>
      </c>
      <c r="H689" s="17">
        <f t="shared" si="20"/>
        <v>0</v>
      </c>
      <c r="I689" s="18"/>
      <c r="J689" s="18"/>
      <c r="K689" s="13"/>
      <c r="L689" s="13"/>
      <c r="M689" s="13"/>
      <c r="N689" s="13"/>
      <c r="O689" s="13"/>
      <c r="P689" s="13"/>
      <c r="Q689" s="35"/>
      <c r="R689" s="35"/>
      <c r="S689" s="35"/>
      <c r="T689" s="1"/>
      <c r="U689" s="1"/>
      <c r="V689" s="1"/>
    </row>
    <row r="690" ht="15.75" customHeight="1">
      <c r="A690" s="13"/>
      <c r="B690" s="43" t="s">
        <v>217</v>
      </c>
      <c r="C690" s="169" t="s">
        <v>307</v>
      </c>
      <c r="D690" s="101" t="s">
        <v>32</v>
      </c>
      <c r="E690" s="154">
        <v>80175.0</v>
      </c>
      <c r="F690" s="40">
        <v>2.0</v>
      </c>
      <c r="G690" s="34">
        <v>239.54</v>
      </c>
      <c r="H690" s="17">
        <f t="shared" si="20"/>
        <v>479.08</v>
      </c>
      <c r="I690" s="18"/>
      <c r="J690" s="18"/>
      <c r="K690" s="43">
        <v>239.54</v>
      </c>
      <c r="L690" s="27"/>
      <c r="M690" s="28"/>
      <c r="N690" s="27"/>
      <c r="O690" s="27"/>
      <c r="P690" s="27"/>
      <c r="Q690" s="35"/>
      <c r="R690" s="35"/>
      <c r="S690" s="35"/>
      <c r="T690" s="1"/>
      <c r="U690" s="1"/>
      <c r="V690" s="1"/>
    </row>
    <row r="691" ht="15.75" customHeight="1">
      <c r="A691" s="13"/>
      <c r="B691" s="43" t="s">
        <v>217</v>
      </c>
      <c r="C691" s="169" t="s">
        <v>308</v>
      </c>
      <c r="D691" s="101" t="s">
        <v>32</v>
      </c>
      <c r="E691" s="154">
        <v>80176.0</v>
      </c>
      <c r="F691" s="16">
        <v>1.0</v>
      </c>
      <c r="G691" s="34">
        <v>817.27</v>
      </c>
      <c r="H691" s="17">
        <f t="shared" si="20"/>
        <v>817.27</v>
      </c>
      <c r="I691" s="18"/>
      <c r="J691" s="18"/>
      <c r="K691" s="43">
        <v>817.27</v>
      </c>
      <c r="L691" s="27"/>
      <c r="M691" s="28"/>
      <c r="N691" s="27"/>
      <c r="O691" s="28"/>
      <c r="P691" s="28"/>
      <c r="Q691" s="35"/>
      <c r="R691" s="35"/>
      <c r="S691" s="35"/>
      <c r="T691" s="1"/>
      <c r="U691" s="1"/>
      <c r="V691" s="1"/>
    </row>
    <row r="692" ht="15.75" hidden="1" customHeight="1">
      <c r="A692" s="130"/>
      <c r="B692" s="130" t="s">
        <v>18</v>
      </c>
      <c r="C692" s="175" t="s">
        <v>309</v>
      </c>
      <c r="D692" s="176" t="s">
        <v>20</v>
      </c>
      <c r="E692" s="177" t="s">
        <v>310</v>
      </c>
      <c r="F692" s="178">
        <v>0.0</v>
      </c>
      <c r="G692" s="179">
        <v>15.0</v>
      </c>
      <c r="H692" s="179">
        <f t="shared" si="20"/>
        <v>0</v>
      </c>
      <c r="I692" s="180"/>
      <c r="J692" s="180"/>
      <c r="K692" s="130"/>
      <c r="L692" s="130"/>
      <c r="M692" s="181"/>
      <c r="N692" s="130"/>
      <c r="O692" s="181"/>
      <c r="P692" s="181"/>
      <c r="Q692" s="182"/>
      <c r="R692" s="182"/>
      <c r="S692" s="182"/>
      <c r="T692" s="182"/>
      <c r="U692" s="182"/>
      <c r="V692" s="182"/>
    </row>
    <row r="693" ht="15.75" hidden="1" customHeight="1">
      <c r="A693" s="130"/>
      <c r="B693" s="130" t="s">
        <v>18</v>
      </c>
      <c r="C693" s="175" t="s">
        <v>311</v>
      </c>
      <c r="D693" s="176" t="s">
        <v>20</v>
      </c>
      <c r="E693" s="177" t="s">
        <v>312</v>
      </c>
      <c r="F693" s="178">
        <v>0.0</v>
      </c>
      <c r="G693" s="179">
        <v>15.0</v>
      </c>
      <c r="H693" s="179">
        <f t="shared" si="20"/>
        <v>0</v>
      </c>
      <c r="I693" s="180"/>
      <c r="J693" s="180"/>
      <c r="K693" s="130"/>
      <c r="L693" s="130"/>
      <c r="M693" s="181"/>
      <c r="N693" s="130"/>
      <c r="O693" s="181"/>
      <c r="P693" s="181"/>
      <c r="Q693" s="182"/>
      <c r="R693" s="182"/>
      <c r="S693" s="182"/>
      <c r="T693" s="182"/>
      <c r="U693" s="182"/>
      <c r="V693" s="182"/>
    </row>
    <row r="694" ht="15.75" hidden="1" customHeight="1">
      <c r="A694" s="130"/>
      <c r="B694" s="130" t="s">
        <v>18</v>
      </c>
      <c r="C694" s="175" t="s">
        <v>313</v>
      </c>
      <c r="D694" s="176" t="s">
        <v>20</v>
      </c>
      <c r="E694" s="177" t="s">
        <v>314</v>
      </c>
      <c r="F694" s="178">
        <v>0.0</v>
      </c>
      <c r="G694" s="179">
        <v>1.6</v>
      </c>
      <c r="H694" s="179">
        <f t="shared" si="20"/>
        <v>0</v>
      </c>
      <c r="I694" s="180"/>
      <c r="J694" s="180"/>
      <c r="K694" s="130"/>
      <c r="L694" s="130"/>
      <c r="M694" s="181"/>
      <c r="N694" s="130"/>
      <c r="O694" s="181"/>
      <c r="P694" s="181"/>
      <c r="Q694" s="182"/>
      <c r="R694" s="182"/>
      <c r="S694" s="182"/>
      <c r="T694" s="182"/>
      <c r="U694" s="182"/>
      <c r="V694" s="182"/>
    </row>
    <row r="695" ht="15.75" hidden="1" customHeight="1">
      <c r="A695" s="13"/>
      <c r="B695" s="18" t="s">
        <v>18</v>
      </c>
      <c r="C695" s="169" t="s">
        <v>315</v>
      </c>
      <c r="D695" s="14" t="s">
        <v>20</v>
      </c>
      <c r="E695" s="33" t="s">
        <v>580</v>
      </c>
      <c r="F695" s="40">
        <v>0.0</v>
      </c>
      <c r="G695" s="17">
        <v>28.0</v>
      </c>
      <c r="H695" s="17">
        <f t="shared" si="20"/>
        <v>0</v>
      </c>
      <c r="I695" s="18"/>
      <c r="J695" s="18"/>
      <c r="K695" s="13"/>
      <c r="L695" s="27"/>
      <c r="M695" s="28"/>
      <c r="N695" s="27"/>
      <c r="O695" s="28"/>
      <c r="P695" s="28"/>
      <c r="Q695" s="35"/>
      <c r="R695" s="35"/>
      <c r="S695" s="35"/>
      <c r="T695" s="1"/>
      <c r="U695" s="1"/>
      <c r="V695" s="1"/>
    </row>
    <row r="696" ht="15.75" hidden="1" customHeight="1">
      <c r="A696" s="13"/>
      <c r="B696" s="166"/>
      <c r="C696" s="188" t="s">
        <v>259</v>
      </c>
      <c r="D696" s="167" t="s">
        <v>32</v>
      </c>
      <c r="E696" s="219"/>
      <c r="F696" s="190">
        <v>0.0</v>
      </c>
      <c r="G696" s="192">
        <v>0.0</v>
      </c>
      <c r="H696" s="192">
        <f t="shared" si="20"/>
        <v>0</v>
      </c>
      <c r="I696" s="193"/>
      <c r="J696" s="18"/>
      <c r="K696" s="13"/>
      <c r="L696" s="27"/>
      <c r="M696" s="28"/>
      <c r="N696" s="27"/>
      <c r="O696" s="27"/>
      <c r="P696" s="27"/>
      <c r="Q696" s="35"/>
      <c r="R696" s="35"/>
      <c r="S696" s="35"/>
      <c r="T696" s="1"/>
      <c r="U696" s="1"/>
      <c r="V696" s="1"/>
    </row>
    <row r="697" ht="15.75" hidden="1" customHeight="1">
      <c r="A697" s="13"/>
      <c r="B697" s="166" t="s">
        <v>397</v>
      </c>
      <c r="C697" s="188" t="s">
        <v>318</v>
      </c>
      <c r="D697" s="167" t="s">
        <v>32</v>
      </c>
      <c r="E697" s="219" t="s">
        <v>398</v>
      </c>
      <c r="F697" s="190">
        <v>0.0</v>
      </c>
      <c r="G697" s="192">
        <v>354.0</v>
      </c>
      <c r="H697" s="192">
        <f t="shared" si="20"/>
        <v>0</v>
      </c>
      <c r="I697" s="193"/>
      <c r="J697" s="18"/>
      <c r="K697" s="13"/>
      <c r="L697" s="13"/>
      <c r="M697" s="13"/>
      <c r="N697" s="13"/>
      <c r="O697" s="13"/>
      <c r="P697" s="13"/>
      <c r="Q697" s="35"/>
      <c r="R697" s="35"/>
      <c r="S697" s="35"/>
      <c r="T697" s="1"/>
      <c r="U697" s="1"/>
      <c r="V697" s="1"/>
    </row>
    <row r="698" ht="15.75" hidden="1" customHeight="1">
      <c r="A698" s="13"/>
      <c r="B698" s="13" t="s">
        <v>320</v>
      </c>
      <c r="C698" s="169" t="s">
        <v>321</v>
      </c>
      <c r="D698" s="66" t="s">
        <v>22</v>
      </c>
      <c r="E698" s="15"/>
      <c r="F698" s="16">
        <v>0.0</v>
      </c>
      <c r="G698" s="17">
        <v>10.0</v>
      </c>
      <c r="H698" s="17">
        <f t="shared" si="20"/>
        <v>0</v>
      </c>
      <c r="I698" s="18"/>
      <c r="J698" s="18"/>
      <c r="K698" s="13"/>
      <c r="L698" s="13"/>
      <c r="M698" s="19"/>
      <c r="N698" s="13"/>
      <c r="O698" s="13"/>
      <c r="P698" s="13"/>
      <c r="Q698" s="35"/>
      <c r="R698" s="35"/>
      <c r="S698" s="35"/>
      <c r="T698" s="1"/>
      <c r="U698" s="1"/>
      <c r="V698" s="1"/>
    </row>
    <row r="699" ht="15.75" customHeight="1">
      <c r="A699" s="13"/>
      <c r="B699" s="13" t="s">
        <v>239</v>
      </c>
      <c r="C699" s="195" t="s">
        <v>322</v>
      </c>
      <c r="D699" s="14" t="s">
        <v>20</v>
      </c>
      <c r="E699" s="15"/>
      <c r="F699" s="16">
        <v>1.0</v>
      </c>
      <c r="G699" s="34">
        <v>366.0</v>
      </c>
      <c r="H699" s="17">
        <f t="shared" si="20"/>
        <v>366</v>
      </c>
      <c r="I699" s="18"/>
      <c r="J699" s="18"/>
      <c r="K699" s="13"/>
      <c r="L699" s="13"/>
      <c r="M699" s="19"/>
      <c r="N699" s="13"/>
      <c r="O699" s="19"/>
      <c r="P699" s="19"/>
      <c r="Q699" s="35"/>
      <c r="R699" s="35"/>
      <c r="S699" s="35"/>
      <c r="T699" s="1"/>
      <c r="U699" s="1"/>
      <c r="V699" s="1"/>
    </row>
    <row r="700" ht="15.75" customHeight="1">
      <c r="A700" s="13"/>
      <c r="B700" s="13"/>
      <c r="C700" s="169" t="s">
        <v>323</v>
      </c>
      <c r="D700" s="70" t="s">
        <v>24</v>
      </c>
      <c r="E700" s="15"/>
      <c r="F700" s="16">
        <v>1.0</v>
      </c>
      <c r="G700" s="17">
        <v>80.0</v>
      </c>
      <c r="H700" s="17">
        <f t="shared" si="20"/>
        <v>80</v>
      </c>
      <c r="I700" s="18"/>
      <c r="J700" s="18"/>
      <c r="K700" s="13"/>
      <c r="L700" s="63"/>
      <c r="M700" s="63"/>
      <c r="N700" s="63"/>
      <c r="O700" s="63"/>
      <c r="P700" s="63"/>
      <c r="Q700" s="35"/>
      <c r="R700" s="35"/>
      <c r="S700" s="35"/>
      <c r="T700" s="1"/>
      <c r="U700" s="1"/>
      <c r="V700" s="1"/>
    </row>
    <row r="701" ht="15.75" customHeight="1">
      <c r="A701" s="13"/>
      <c r="B701" s="13"/>
      <c r="C701" s="169" t="s">
        <v>324</v>
      </c>
      <c r="D701" s="14" t="s">
        <v>20</v>
      </c>
      <c r="E701" s="15"/>
      <c r="F701" s="16">
        <v>1.0</v>
      </c>
      <c r="G701" s="17">
        <v>35.0</v>
      </c>
      <c r="H701" s="17">
        <f t="shared" si="20"/>
        <v>35</v>
      </c>
      <c r="I701" s="18"/>
      <c r="J701" s="18"/>
      <c r="K701" s="13"/>
      <c r="L701" s="13"/>
      <c r="M701" s="19"/>
      <c r="N701" s="13"/>
      <c r="O701" s="19"/>
      <c r="P701" s="19"/>
      <c r="Q701" s="35"/>
      <c r="R701" s="35"/>
      <c r="S701" s="35"/>
      <c r="T701" s="1"/>
      <c r="U701" s="1"/>
      <c r="V701" s="1"/>
    </row>
    <row r="702" ht="15.75" hidden="1" customHeight="1">
      <c r="A702" s="13"/>
      <c r="B702" s="13"/>
      <c r="C702" s="169" t="s">
        <v>258</v>
      </c>
      <c r="D702" s="66" t="s">
        <v>22</v>
      </c>
      <c r="E702" s="15"/>
      <c r="F702" s="16">
        <v>0.0</v>
      </c>
      <c r="G702" s="17">
        <v>150.0</v>
      </c>
      <c r="H702" s="17">
        <f t="shared" si="20"/>
        <v>0</v>
      </c>
      <c r="I702" s="18"/>
      <c r="J702" s="18"/>
      <c r="K702" s="13"/>
      <c r="L702" s="13"/>
      <c r="M702" s="19"/>
      <c r="N702" s="13"/>
      <c r="O702" s="19"/>
      <c r="P702" s="19"/>
      <c r="Q702" s="35"/>
      <c r="R702" s="35"/>
      <c r="S702" s="35"/>
      <c r="T702" s="1"/>
      <c r="U702" s="1"/>
      <c r="V702" s="1"/>
    </row>
    <row r="703" ht="15.75" hidden="1" customHeight="1">
      <c r="A703" s="13"/>
      <c r="B703" s="13"/>
      <c r="C703" s="196" t="s">
        <v>421</v>
      </c>
      <c r="D703" s="150" t="s">
        <v>22</v>
      </c>
      <c r="E703" s="52" t="s">
        <v>581</v>
      </c>
      <c r="F703" s="48">
        <v>0.0</v>
      </c>
      <c r="G703" s="50">
        <v>413.4</v>
      </c>
      <c r="H703" s="50">
        <f t="shared" si="20"/>
        <v>0</v>
      </c>
      <c r="I703" s="18"/>
      <c r="J703" s="18"/>
      <c r="K703" s="13"/>
      <c r="L703" s="13"/>
      <c r="M703" s="13"/>
      <c r="N703" s="13"/>
      <c r="O703" s="19"/>
      <c r="P703" s="19"/>
      <c r="Q703" s="35"/>
      <c r="R703" s="35"/>
      <c r="S703" s="35"/>
      <c r="T703" s="1"/>
      <c r="U703" s="1"/>
      <c r="V703" s="1"/>
    </row>
    <row r="704" ht="15.75" customHeight="1">
      <c r="A704" s="13"/>
      <c r="B704" s="13" t="s">
        <v>18</v>
      </c>
      <c r="C704" s="196" t="s">
        <v>325</v>
      </c>
      <c r="D704" s="150" t="s">
        <v>22</v>
      </c>
      <c r="E704" s="229" t="s">
        <v>582</v>
      </c>
      <c r="F704" s="48">
        <v>1.0</v>
      </c>
      <c r="G704" s="49">
        <v>78.0</v>
      </c>
      <c r="H704" s="50">
        <f t="shared" si="20"/>
        <v>78</v>
      </c>
      <c r="I704" s="18"/>
      <c r="J704" s="18"/>
      <c r="K704" s="13"/>
      <c r="L704" s="13"/>
      <c r="M704" s="13"/>
      <c r="N704" s="13"/>
      <c r="O704" s="19"/>
      <c r="P704" s="19"/>
      <c r="Q704" s="35"/>
      <c r="R704" s="35"/>
      <c r="S704" s="35"/>
      <c r="T704" s="1"/>
      <c r="U704" s="1"/>
      <c r="V704" s="1"/>
    </row>
    <row r="705" ht="15.75" hidden="1" customHeight="1">
      <c r="A705" s="15"/>
      <c r="B705" s="52" t="s">
        <v>18</v>
      </c>
      <c r="C705" s="196" t="s">
        <v>329</v>
      </c>
      <c r="D705" s="150" t="s">
        <v>22</v>
      </c>
      <c r="E705" s="52"/>
      <c r="F705" s="48">
        <v>0.0</v>
      </c>
      <c r="G705" s="50">
        <v>35.0</v>
      </c>
      <c r="H705" s="50">
        <f t="shared" si="20"/>
        <v>0</v>
      </c>
      <c r="I705" s="51"/>
      <c r="J705" s="51"/>
      <c r="K705" s="52"/>
      <c r="L705" s="52"/>
      <c r="M705" s="52"/>
      <c r="N705" s="52"/>
      <c r="O705" s="200"/>
      <c r="P705" s="200"/>
      <c r="Q705" s="1"/>
      <c r="R705" s="1"/>
      <c r="S705" s="1"/>
      <c r="T705" s="1"/>
      <c r="U705" s="1"/>
      <c r="V705" s="1"/>
    </row>
    <row r="706" ht="15.75" hidden="1" customHeight="1">
      <c r="A706" s="53"/>
      <c r="B706" s="54" t="s">
        <v>18</v>
      </c>
      <c r="C706" s="197" t="s">
        <v>331</v>
      </c>
      <c r="D706" s="198" t="s">
        <v>22</v>
      </c>
      <c r="E706" s="54" t="s">
        <v>583</v>
      </c>
      <c r="F706" s="56">
        <v>0.0</v>
      </c>
      <c r="G706" s="57">
        <v>40.0</v>
      </c>
      <c r="H706" s="57">
        <f t="shared" si="20"/>
        <v>0</v>
      </c>
      <c r="I706" s="58"/>
      <c r="J706" s="58"/>
      <c r="K706" s="54"/>
      <c r="L706" s="54"/>
      <c r="M706" s="54"/>
      <c r="N706" s="54"/>
      <c r="O706" s="202"/>
      <c r="P706" s="202"/>
      <c r="Q706" s="1"/>
      <c r="R706" s="1"/>
      <c r="S706" s="1"/>
      <c r="T706" s="1"/>
      <c r="U706" s="1"/>
      <c r="V706" s="1"/>
    </row>
    <row r="707" ht="15.75" hidden="1" customHeight="1">
      <c r="A707" s="53"/>
      <c r="B707" s="54" t="s">
        <v>18</v>
      </c>
      <c r="C707" s="197" t="s">
        <v>584</v>
      </c>
      <c r="D707" s="198" t="s">
        <v>22</v>
      </c>
      <c r="E707" s="54" t="s">
        <v>585</v>
      </c>
      <c r="F707" s="56">
        <v>0.0</v>
      </c>
      <c r="G707" s="57">
        <v>25.0</v>
      </c>
      <c r="H707" s="57">
        <f t="shared" si="20"/>
        <v>0</v>
      </c>
      <c r="I707" s="58"/>
      <c r="J707" s="58"/>
      <c r="K707" s="54"/>
      <c r="L707" s="54"/>
      <c r="M707" s="54"/>
      <c r="N707" s="54"/>
      <c r="O707" s="202"/>
      <c r="P707" s="202"/>
      <c r="Q707" s="1"/>
      <c r="R707" s="1"/>
      <c r="S707" s="1"/>
      <c r="T707" s="1"/>
      <c r="U707" s="1"/>
      <c r="V707" s="1"/>
    </row>
    <row r="708" ht="15.75" hidden="1" customHeight="1">
      <c r="A708" s="53"/>
      <c r="B708" s="54" t="s">
        <v>18</v>
      </c>
      <c r="C708" s="197" t="s">
        <v>586</v>
      </c>
      <c r="D708" s="198" t="s">
        <v>22</v>
      </c>
      <c r="E708" s="54" t="s">
        <v>587</v>
      </c>
      <c r="F708" s="56">
        <v>0.0</v>
      </c>
      <c r="G708" s="57">
        <v>19.54</v>
      </c>
      <c r="H708" s="57">
        <f t="shared" si="20"/>
        <v>0</v>
      </c>
      <c r="I708" s="58"/>
      <c r="J708" s="58"/>
      <c r="K708" s="54"/>
      <c r="L708" s="54"/>
      <c r="M708" s="54"/>
      <c r="N708" s="54"/>
      <c r="O708" s="202"/>
      <c r="P708" s="202"/>
      <c r="Q708" s="1"/>
      <c r="R708" s="1"/>
      <c r="S708" s="1"/>
      <c r="T708" s="1"/>
      <c r="U708" s="1"/>
      <c r="V708" s="1"/>
    </row>
    <row r="709" ht="15.75" customHeight="1">
      <c r="A709" s="15"/>
      <c r="B709" s="52" t="s">
        <v>18</v>
      </c>
      <c r="C709" s="196" t="s">
        <v>335</v>
      </c>
      <c r="D709" s="150" t="s">
        <v>22</v>
      </c>
      <c r="E709" s="199" t="s">
        <v>588</v>
      </c>
      <c r="F709" s="48">
        <v>2.0</v>
      </c>
      <c r="G709" s="49">
        <v>24.0</v>
      </c>
      <c r="H709" s="50">
        <f t="shared" si="20"/>
        <v>48</v>
      </c>
      <c r="I709" s="51"/>
      <c r="J709" s="51"/>
      <c r="K709" s="13"/>
      <c r="L709" s="52"/>
      <c r="M709" s="52"/>
      <c r="N709" s="52"/>
      <c r="O709" s="200"/>
      <c r="P709" s="200"/>
      <c r="Q709" s="1"/>
      <c r="R709" s="1"/>
      <c r="S709" s="1"/>
      <c r="T709" s="1"/>
      <c r="U709" s="1"/>
      <c r="V709" s="1"/>
    </row>
    <row r="710" ht="15.75" customHeight="1">
      <c r="A710" s="53"/>
      <c r="B710" s="54" t="s">
        <v>18</v>
      </c>
      <c r="C710" s="197" t="s">
        <v>336</v>
      </c>
      <c r="D710" s="198" t="s">
        <v>22</v>
      </c>
      <c r="E710" s="201" t="s">
        <v>424</v>
      </c>
      <c r="F710" s="56">
        <v>1.0</v>
      </c>
      <c r="G710" s="159">
        <v>34.2</v>
      </c>
      <c r="H710" s="57">
        <f t="shared" si="20"/>
        <v>34.2</v>
      </c>
      <c r="I710" s="58"/>
      <c r="J710" s="58"/>
      <c r="K710" s="13"/>
      <c r="L710" s="54"/>
      <c r="M710" s="54"/>
      <c r="N710" s="54"/>
      <c r="O710" s="202"/>
      <c r="P710" s="202"/>
      <c r="Q710" s="1"/>
      <c r="R710" s="1"/>
      <c r="S710" s="1"/>
      <c r="T710" s="1"/>
      <c r="U710" s="1"/>
      <c r="V710" s="1"/>
    </row>
    <row r="711" ht="15.75" customHeight="1">
      <c r="A711" s="53"/>
      <c r="B711" s="54" t="s">
        <v>18</v>
      </c>
      <c r="C711" s="197" t="s">
        <v>589</v>
      </c>
      <c r="D711" s="198" t="s">
        <v>22</v>
      </c>
      <c r="E711" s="204" t="s">
        <v>590</v>
      </c>
      <c r="F711" s="56">
        <v>1.0</v>
      </c>
      <c r="G711" s="159">
        <v>38.4</v>
      </c>
      <c r="H711" s="57">
        <f t="shared" si="20"/>
        <v>38.4</v>
      </c>
      <c r="I711" s="58"/>
      <c r="J711" s="58"/>
      <c r="K711" s="54"/>
      <c r="L711" s="54"/>
      <c r="M711" s="54"/>
      <c r="N711" s="54"/>
      <c r="O711" s="202"/>
      <c r="P711" s="202"/>
      <c r="Q711" s="1"/>
      <c r="R711" s="1"/>
      <c r="S711" s="1"/>
      <c r="T711" s="1"/>
      <c r="U711" s="1"/>
      <c r="V711" s="1"/>
    </row>
    <row r="712" ht="15.75" hidden="1" customHeight="1">
      <c r="A712" s="53"/>
      <c r="B712" s="54" t="s">
        <v>18</v>
      </c>
      <c r="C712" s="197" t="s">
        <v>344</v>
      </c>
      <c r="D712" s="198" t="s">
        <v>22</v>
      </c>
      <c r="E712" s="205" t="s">
        <v>345</v>
      </c>
      <c r="F712" s="158">
        <v>0.0</v>
      </c>
      <c r="G712" s="57">
        <v>19.0</v>
      </c>
      <c r="H712" s="57">
        <f t="shared" si="20"/>
        <v>0</v>
      </c>
      <c r="I712" s="58"/>
      <c r="J712" s="58"/>
      <c r="K712" s="54"/>
      <c r="L712" s="54"/>
      <c r="M712" s="54"/>
      <c r="N712" s="54"/>
      <c r="O712" s="202"/>
      <c r="P712" s="202"/>
      <c r="Q712" s="1"/>
      <c r="R712" s="1"/>
      <c r="S712" s="1"/>
      <c r="T712" s="1"/>
      <c r="U712" s="1"/>
      <c r="V712" s="1"/>
    </row>
    <row r="713" ht="15.75" hidden="1" customHeight="1">
      <c r="A713" s="53"/>
      <c r="B713" s="54" t="s">
        <v>18</v>
      </c>
      <c r="C713" s="197" t="s">
        <v>591</v>
      </c>
      <c r="D713" s="198" t="s">
        <v>22</v>
      </c>
      <c r="E713" s="54" t="s">
        <v>592</v>
      </c>
      <c r="F713" s="56">
        <v>0.0</v>
      </c>
      <c r="G713" s="57">
        <v>17.99</v>
      </c>
      <c r="H713" s="57">
        <f t="shared" si="20"/>
        <v>0</v>
      </c>
      <c r="I713" s="58"/>
      <c r="J713" s="58"/>
      <c r="K713" s="54"/>
      <c r="L713" s="54"/>
      <c r="M713" s="54"/>
      <c r="N713" s="54"/>
      <c r="O713" s="202"/>
      <c r="P713" s="202"/>
      <c r="Q713" s="1"/>
      <c r="R713" s="1"/>
      <c r="S713" s="1"/>
      <c r="T713" s="1"/>
      <c r="U713" s="1"/>
      <c r="V713" s="1"/>
    </row>
    <row r="714" ht="15.75" hidden="1" customHeight="1">
      <c r="A714" s="15"/>
      <c r="B714" s="52" t="s">
        <v>18</v>
      </c>
      <c r="C714" s="196" t="s">
        <v>340</v>
      </c>
      <c r="D714" s="150" t="s">
        <v>22</v>
      </c>
      <c r="E714" s="52"/>
      <c r="F714" s="48">
        <v>0.0</v>
      </c>
      <c r="G714" s="50">
        <v>29.69</v>
      </c>
      <c r="H714" s="50">
        <f t="shared" si="20"/>
        <v>0</v>
      </c>
      <c r="I714" s="51"/>
      <c r="J714" s="51"/>
      <c r="K714" s="52"/>
      <c r="L714" s="52"/>
      <c r="M714" s="52"/>
      <c r="N714" s="52"/>
      <c r="O714" s="200"/>
      <c r="P714" s="200"/>
      <c r="Q714" s="1"/>
      <c r="R714" s="1"/>
      <c r="S714" s="1"/>
      <c r="T714" s="1"/>
      <c r="U714" s="1"/>
      <c r="V714" s="1"/>
    </row>
    <row r="715" ht="15.75" hidden="1" customHeight="1">
      <c r="A715" s="53"/>
      <c r="B715" s="54" t="s">
        <v>18</v>
      </c>
      <c r="C715" s="197" t="s">
        <v>341</v>
      </c>
      <c r="D715" s="198" t="s">
        <v>22</v>
      </c>
      <c r="E715" s="54" t="s">
        <v>337</v>
      </c>
      <c r="F715" s="56">
        <v>0.0</v>
      </c>
      <c r="G715" s="57">
        <v>29.99</v>
      </c>
      <c r="H715" s="57">
        <f t="shared" si="20"/>
        <v>0</v>
      </c>
      <c r="I715" s="58"/>
      <c r="J715" s="58"/>
      <c r="K715" s="54"/>
      <c r="L715" s="54"/>
      <c r="M715" s="54"/>
      <c r="N715" s="54"/>
      <c r="O715" s="202"/>
      <c r="P715" s="202"/>
      <c r="Q715" s="1"/>
      <c r="R715" s="1"/>
      <c r="S715" s="1"/>
      <c r="T715" s="1"/>
      <c r="U715" s="1"/>
      <c r="V715" s="1"/>
    </row>
    <row r="716" ht="15.75" hidden="1" customHeight="1">
      <c r="A716" s="53"/>
      <c r="B716" s="54" t="s">
        <v>18</v>
      </c>
      <c r="C716" s="197" t="s">
        <v>342</v>
      </c>
      <c r="D716" s="198" t="s">
        <v>22</v>
      </c>
      <c r="E716" s="54" t="s">
        <v>343</v>
      </c>
      <c r="F716" s="56">
        <v>0.0</v>
      </c>
      <c r="G716" s="57">
        <v>17.99</v>
      </c>
      <c r="H716" s="57">
        <f t="shared" si="20"/>
        <v>0</v>
      </c>
      <c r="I716" s="58"/>
      <c r="J716" s="58"/>
      <c r="K716" s="54"/>
      <c r="L716" s="54"/>
      <c r="M716" s="54"/>
      <c r="N716" s="54"/>
      <c r="O716" s="202"/>
      <c r="P716" s="202"/>
      <c r="Q716" s="1"/>
      <c r="R716" s="1"/>
      <c r="S716" s="1"/>
      <c r="T716" s="1"/>
      <c r="U716" s="1"/>
      <c r="V716" s="1"/>
    </row>
    <row r="717" ht="15.75" hidden="1" customHeight="1">
      <c r="A717" s="53"/>
      <c r="B717" s="54" t="s">
        <v>18</v>
      </c>
      <c r="C717" s="197" t="s">
        <v>593</v>
      </c>
      <c r="D717" s="198" t="s">
        <v>22</v>
      </c>
      <c r="E717" s="54" t="s">
        <v>594</v>
      </c>
      <c r="F717" s="56">
        <v>0.0</v>
      </c>
      <c r="G717" s="57">
        <v>16.99</v>
      </c>
      <c r="H717" s="57">
        <f t="shared" si="20"/>
        <v>0</v>
      </c>
      <c r="I717" s="58"/>
      <c r="J717" s="58"/>
      <c r="K717" s="54"/>
      <c r="L717" s="54"/>
      <c r="M717" s="54"/>
      <c r="N717" s="54"/>
      <c r="O717" s="202"/>
      <c r="P717" s="202"/>
      <c r="Q717" s="1"/>
      <c r="R717" s="1"/>
      <c r="S717" s="1"/>
      <c r="T717" s="1"/>
      <c r="U717" s="1"/>
      <c r="V717" s="1"/>
    </row>
    <row r="718" ht="15.75" hidden="1" customHeight="1">
      <c r="A718" s="13"/>
      <c r="B718" s="206" t="s">
        <v>18</v>
      </c>
      <c r="C718" s="197" t="s">
        <v>346</v>
      </c>
      <c r="D718" s="198" t="s">
        <v>22</v>
      </c>
      <c r="E718" s="205" t="s">
        <v>347</v>
      </c>
      <c r="F718" s="158">
        <v>0.0</v>
      </c>
      <c r="G718" s="57">
        <v>35.0</v>
      </c>
      <c r="H718" s="57">
        <f t="shared" si="20"/>
        <v>0</v>
      </c>
      <c r="I718" s="18"/>
      <c r="J718" s="18"/>
      <c r="K718" s="13"/>
      <c r="L718" s="13"/>
      <c r="M718" s="13"/>
      <c r="N718" s="13"/>
      <c r="O718" s="19"/>
      <c r="P718" s="19"/>
      <c r="Q718" s="35"/>
      <c r="R718" s="35"/>
      <c r="S718" s="35"/>
      <c r="T718" s="1"/>
      <c r="U718" s="1"/>
      <c r="V718" s="1"/>
    </row>
    <row r="719" ht="15.75" hidden="1" customHeight="1">
      <c r="A719" s="13"/>
      <c r="B719" s="13" t="s">
        <v>18</v>
      </c>
      <c r="C719" s="196" t="s">
        <v>348</v>
      </c>
      <c r="D719" s="150" t="s">
        <v>22</v>
      </c>
      <c r="E719" s="52" t="s">
        <v>595</v>
      </c>
      <c r="F719" s="48">
        <v>0.0</v>
      </c>
      <c r="G719" s="50">
        <v>20.0</v>
      </c>
      <c r="H719" s="50">
        <f t="shared" si="20"/>
        <v>0</v>
      </c>
      <c r="I719" s="18"/>
      <c r="J719" s="18"/>
      <c r="K719" s="13"/>
      <c r="L719" s="13"/>
      <c r="M719" s="13"/>
      <c r="N719" s="13"/>
      <c r="O719" s="13"/>
      <c r="P719" s="13"/>
      <c r="Q719" s="35"/>
      <c r="R719" s="35"/>
      <c r="S719" s="35"/>
      <c r="T719" s="1"/>
      <c r="U719" s="1"/>
      <c r="V719" s="1"/>
    </row>
    <row r="720" ht="15.75" hidden="1" customHeight="1">
      <c r="A720" s="13"/>
      <c r="B720" s="13" t="s">
        <v>350</v>
      </c>
      <c r="C720" s="196" t="s">
        <v>351</v>
      </c>
      <c r="D720" s="150" t="s">
        <v>22</v>
      </c>
      <c r="E720" s="207" t="s">
        <v>352</v>
      </c>
      <c r="F720" s="48">
        <v>0.0</v>
      </c>
      <c r="G720" s="49">
        <v>420.0</v>
      </c>
      <c r="H720" s="50">
        <f t="shared" si="20"/>
        <v>0</v>
      </c>
      <c r="I720" s="18"/>
      <c r="J720" s="18"/>
      <c r="K720" s="13"/>
      <c r="L720" s="13"/>
      <c r="M720" s="13"/>
      <c r="N720" s="13"/>
      <c r="O720" s="13"/>
      <c r="P720" s="13"/>
      <c r="Q720" s="35"/>
      <c r="R720" s="35"/>
      <c r="S720" s="35"/>
      <c r="T720" s="1"/>
      <c r="U720" s="1"/>
      <c r="V720" s="1"/>
    </row>
    <row r="721" ht="15.75" hidden="1" customHeight="1">
      <c r="A721" s="13"/>
      <c r="B721" s="206" t="s">
        <v>350</v>
      </c>
      <c r="C721" s="197" t="s">
        <v>353</v>
      </c>
      <c r="D721" s="198" t="s">
        <v>22</v>
      </c>
      <c r="E721" s="208" t="s">
        <v>352</v>
      </c>
      <c r="F721" s="56">
        <v>0.0</v>
      </c>
      <c r="G721" s="159">
        <v>172.0</v>
      </c>
      <c r="H721" s="57">
        <f t="shared" si="20"/>
        <v>0</v>
      </c>
      <c r="I721" s="18"/>
      <c r="J721" s="18"/>
      <c r="K721" s="13"/>
      <c r="L721" s="13"/>
      <c r="M721" s="19"/>
      <c r="N721" s="13"/>
      <c r="O721" s="19"/>
      <c r="P721" s="19"/>
      <c r="Q721" s="35"/>
      <c r="R721" s="35"/>
      <c r="S721" s="35"/>
      <c r="T721" s="1"/>
      <c r="U721" s="1"/>
      <c r="V721" s="1"/>
    </row>
    <row r="722" ht="15.75" hidden="1" customHeight="1">
      <c r="A722" s="13"/>
      <c r="B722" s="206"/>
      <c r="C722" s="197" t="s">
        <v>354</v>
      </c>
      <c r="D722" s="198" t="s">
        <v>22</v>
      </c>
      <c r="E722" s="208" t="s">
        <v>352</v>
      </c>
      <c r="F722" s="56">
        <v>0.0</v>
      </c>
      <c r="G722" s="159">
        <v>97.0</v>
      </c>
      <c r="H722" s="57">
        <f t="shared" si="20"/>
        <v>0</v>
      </c>
      <c r="I722" s="18"/>
      <c r="J722" s="18"/>
      <c r="K722" s="13"/>
      <c r="L722" s="27"/>
      <c r="M722" s="28"/>
      <c r="N722" s="27"/>
      <c r="O722" s="28"/>
      <c r="P722" s="27"/>
      <c r="Q722" s="35"/>
      <c r="R722" s="35"/>
      <c r="S722" s="35"/>
      <c r="T722" s="1"/>
      <c r="U722" s="1"/>
      <c r="V722" s="1"/>
    </row>
    <row r="723" ht="15.75" customHeight="1">
      <c r="A723" s="13"/>
      <c r="B723" s="13" t="s">
        <v>18</v>
      </c>
      <c r="C723" s="196" t="s">
        <v>359</v>
      </c>
      <c r="D723" s="150" t="s">
        <v>22</v>
      </c>
      <c r="E723" s="199" t="s">
        <v>596</v>
      </c>
      <c r="F723" s="48">
        <v>1.0</v>
      </c>
      <c r="G723" s="49">
        <v>21.6</v>
      </c>
      <c r="H723" s="50">
        <f t="shared" si="20"/>
        <v>21.6</v>
      </c>
      <c r="I723" s="18"/>
      <c r="J723" s="18"/>
      <c r="K723" s="13"/>
      <c r="L723" s="13"/>
      <c r="M723" s="13"/>
      <c r="N723" s="13"/>
      <c r="O723" s="13"/>
      <c r="P723" s="13"/>
      <c r="Q723" s="35"/>
      <c r="R723" s="35"/>
      <c r="S723" s="35"/>
      <c r="T723" s="1"/>
      <c r="U723" s="1"/>
      <c r="V723" s="1"/>
    </row>
    <row r="724" ht="15.75" customHeight="1">
      <c r="A724" s="13"/>
      <c r="B724" s="156" t="s">
        <v>350</v>
      </c>
      <c r="C724" s="197" t="s">
        <v>355</v>
      </c>
      <c r="D724" s="198" t="s">
        <v>22</v>
      </c>
      <c r="E724" s="208" t="s">
        <v>356</v>
      </c>
      <c r="F724" s="56">
        <v>1.0</v>
      </c>
      <c r="G724" s="159">
        <v>366.0</v>
      </c>
      <c r="H724" s="57">
        <f t="shared" si="20"/>
        <v>366</v>
      </c>
      <c r="I724" s="18"/>
      <c r="J724" s="18"/>
      <c r="K724" s="13"/>
      <c r="L724" s="27"/>
      <c r="M724" s="28"/>
      <c r="N724" s="27"/>
      <c r="O724" s="28"/>
      <c r="P724" s="27"/>
      <c r="Q724" s="35"/>
      <c r="R724" s="35"/>
      <c r="S724" s="35"/>
      <c r="T724" s="1"/>
      <c r="U724" s="1"/>
      <c r="V724" s="1"/>
    </row>
    <row r="725" ht="15.75" customHeight="1">
      <c r="A725" s="13"/>
      <c r="B725" s="206" t="s">
        <v>350</v>
      </c>
      <c r="C725" s="197" t="s">
        <v>357</v>
      </c>
      <c r="D725" s="198" t="s">
        <v>22</v>
      </c>
      <c r="E725" s="208" t="s">
        <v>356</v>
      </c>
      <c r="F725" s="56">
        <v>1.0</v>
      </c>
      <c r="G725" s="159">
        <v>107.5</v>
      </c>
      <c r="H725" s="57">
        <f t="shared" si="20"/>
        <v>107.5</v>
      </c>
      <c r="I725" s="18"/>
      <c r="J725" s="18"/>
      <c r="K725" s="13"/>
      <c r="L725" s="27"/>
      <c r="M725" s="28"/>
      <c r="N725" s="27"/>
      <c r="O725" s="28"/>
      <c r="P725" s="27"/>
      <c r="Q725" s="35"/>
      <c r="R725" s="35"/>
      <c r="S725" s="35"/>
      <c r="T725" s="1"/>
      <c r="U725" s="1"/>
      <c r="V725" s="1"/>
    </row>
    <row r="726" ht="15.75" customHeight="1">
      <c r="A726" s="13"/>
      <c r="B726" s="156" t="s">
        <v>350</v>
      </c>
      <c r="C726" s="197" t="s">
        <v>358</v>
      </c>
      <c r="D726" s="198" t="s">
        <v>22</v>
      </c>
      <c r="E726" s="208" t="s">
        <v>356</v>
      </c>
      <c r="F726" s="56">
        <v>1.0</v>
      </c>
      <c r="G726" s="159">
        <v>97.0</v>
      </c>
      <c r="H726" s="57">
        <f t="shared" si="20"/>
        <v>97</v>
      </c>
      <c r="I726" s="18"/>
      <c r="J726" s="18"/>
      <c r="K726" s="13"/>
      <c r="L726" s="27"/>
      <c r="M726" s="28"/>
      <c r="N726" s="27"/>
      <c r="O726" s="28"/>
      <c r="P726" s="27"/>
      <c r="Q726" s="35"/>
      <c r="R726" s="35"/>
      <c r="S726" s="35"/>
      <c r="T726" s="1"/>
      <c r="U726" s="1"/>
      <c r="V726" s="1"/>
    </row>
    <row r="727" ht="15.75" hidden="1" customHeight="1">
      <c r="A727" s="13"/>
      <c r="B727" s="13" t="s">
        <v>361</v>
      </c>
      <c r="C727" s="169" t="s">
        <v>362</v>
      </c>
      <c r="D727" s="66" t="s">
        <v>22</v>
      </c>
      <c r="E727" s="15" t="s">
        <v>363</v>
      </c>
      <c r="F727" s="16">
        <v>0.0</v>
      </c>
      <c r="G727" s="17">
        <v>11.0</v>
      </c>
      <c r="H727" s="17">
        <f t="shared" si="20"/>
        <v>0</v>
      </c>
      <c r="I727" s="18"/>
      <c r="J727" s="18"/>
      <c r="K727" s="13"/>
      <c r="L727" s="95"/>
      <c r="M727" s="96"/>
      <c r="N727" s="95"/>
      <c r="O727" s="95"/>
      <c r="P727" s="95"/>
      <c r="Q727" s="35"/>
      <c r="R727" s="35"/>
      <c r="S727" s="35"/>
      <c r="T727" s="1"/>
      <c r="U727" s="1"/>
      <c r="V727" s="1"/>
    </row>
    <row r="728" ht="15.75" customHeight="1">
      <c r="A728" s="13"/>
      <c r="B728" s="13" t="s">
        <v>361</v>
      </c>
      <c r="C728" s="169" t="s">
        <v>364</v>
      </c>
      <c r="D728" s="66" t="s">
        <v>22</v>
      </c>
      <c r="E728" s="15" t="s">
        <v>365</v>
      </c>
      <c r="F728" s="16">
        <v>4.0</v>
      </c>
      <c r="G728" s="17">
        <v>6.0</v>
      </c>
      <c r="H728" s="17">
        <f t="shared" si="20"/>
        <v>24</v>
      </c>
      <c r="I728" s="18"/>
      <c r="J728" s="18"/>
      <c r="K728" s="13"/>
      <c r="L728" s="95"/>
      <c r="M728" s="96"/>
      <c r="N728" s="95"/>
      <c r="O728" s="95"/>
      <c r="P728" s="95"/>
      <c r="Q728" s="35"/>
      <c r="R728" s="35"/>
      <c r="S728" s="35"/>
      <c r="T728" s="1"/>
      <c r="U728" s="1"/>
      <c r="V728" s="1"/>
    </row>
    <row r="729" ht="15.75" customHeight="1">
      <c r="A729" s="13"/>
      <c r="B729" s="43" t="s">
        <v>64</v>
      </c>
      <c r="C729" s="169" t="s">
        <v>263</v>
      </c>
      <c r="D729" s="66" t="s">
        <v>22</v>
      </c>
      <c r="E729" s="15"/>
      <c r="F729" s="16">
        <v>2.0</v>
      </c>
      <c r="G729" s="17">
        <v>180.0</v>
      </c>
      <c r="H729" s="17">
        <f t="shared" si="20"/>
        <v>360</v>
      </c>
      <c r="I729" s="18"/>
      <c r="J729" s="18"/>
      <c r="K729" s="13"/>
      <c r="L729" s="13"/>
      <c r="M729" s="19"/>
      <c r="N729" s="13"/>
      <c r="O729" s="19"/>
      <c r="P729" s="19"/>
      <c r="Q729" s="35"/>
      <c r="R729" s="35"/>
      <c r="S729" s="35"/>
      <c r="T729" s="1"/>
      <c r="U729" s="1"/>
      <c r="V729" s="1"/>
    </row>
    <row r="730" ht="15.75" customHeight="1">
      <c r="A730" s="13"/>
      <c r="B730" s="13"/>
      <c r="C730" s="13" t="s">
        <v>67</v>
      </c>
      <c r="D730" s="70" t="s">
        <v>24</v>
      </c>
      <c r="E730" s="15"/>
      <c r="F730" s="16">
        <v>2.0</v>
      </c>
      <c r="G730" s="17">
        <v>18.0</v>
      </c>
      <c r="H730" s="17">
        <f t="shared" si="20"/>
        <v>36</v>
      </c>
      <c r="I730" s="18"/>
      <c r="J730" s="18"/>
      <c r="K730" s="13"/>
      <c r="L730" s="63"/>
      <c r="M730" s="79"/>
      <c r="N730" s="63"/>
      <c r="O730" s="79"/>
      <c r="P730" s="79"/>
      <c r="Q730" s="35"/>
      <c r="R730" s="35"/>
      <c r="S730" s="35"/>
      <c r="T730" s="1"/>
      <c r="U730" s="1"/>
      <c r="V730" s="1"/>
    </row>
    <row r="731" ht="15.75" customHeight="1">
      <c r="A731" s="13"/>
      <c r="B731" s="43" t="s">
        <v>88</v>
      </c>
      <c r="C731" s="54" t="s">
        <v>411</v>
      </c>
      <c r="D731" s="14" t="s">
        <v>20</v>
      </c>
      <c r="E731" s="171" t="s">
        <v>412</v>
      </c>
      <c r="F731" s="16">
        <v>1.0</v>
      </c>
      <c r="G731" s="34">
        <v>334.0</v>
      </c>
      <c r="H731" s="17">
        <f t="shared" si="20"/>
        <v>334</v>
      </c>
      <c r="I731" s="18"/>
      <c r="J731" s="18"/>
      <c r="K731" s="13"/>
      <c r="L731" s="13"/>
      <c r="M731" s="19"/>
      <c r="N731" s="13"/>
      <c r="O731" s="38"/>
      <c r="P731" s="19"/>
      <c r="Q731" s="35"/>
      <c r="R731" s="35"/>
      <c r="S731" s="35"/>
      <c r="T731" s="1"/>
      <c r="U731" s="1"/>
      <c r="V731" s="1"/>
    </row>
    <row r="732" ht="15.75" customHeight="1">
      <c r="A732" s="13"/>
      <c r="B732" s="13" t="s">
        <v>18</v>
      </c>
      <c r="C732" s="169" t="s">
        <v>280</v>
      </c>
      <c r="D732" s="14" t="s">
        <v>20</v>
      </c>
      <c r="E732" s="15" t="s">
        <v>597</v>
      </c>
      <c r="F732" s="16">
        <v>1.0</v>
      </c>
      <c r="G732" s="34">
        <v>20.0</v>
      </c>
      <c r="H732" s="17">
        <f t="shared" si="20"/>
        <v>20</v>
      </c>
      <c r="I732" s="18"/>
      <c r="J732" s="18"/>
      <c r="K732" s="13"/>
      <c r="L732" s="27"/>
      <c r="M732" s="27"/>
      <c r="N732" s="27"/>
      <c r="O732" s="27"/>
      <c r="P732" s="27"/>
      <c r="Q732" s="35"/>
      <c r="R732" s="35"/>
      <c r="S732" s="35"/>
      <c r="T732" s="1"/>
      <c r="U732" s="1"/>
      <c r="V732" s="1"/>
    </row>
    <row r="733" ht="15.75" customHeight="1">
      <c r="A733" s="13"/>
      <c r="B733" s="13"/>
      <c r="C733" s="169" t="s">
        <v>282</v>
      </c>
      <c r="D733" s="70" t="s">
        <v>24</v>
      </c>
      <c r="E733" s="15"/>
      <c r="F733" s="16">
        <v>1.0</v>
      </c>
      <c r="G733" s="17">
        <v>80.0</v>
      </c>
      <c r="H733" s="17">
        <f t="shared" si="20"/>
        <v>80</v>
      </c>
      <c r="I733" s="18"/>
      <c r="J733" s="18"/>
      <c r="K733" s="13"/>
      <c r="L733" s="63"/>
      <c r="M733" s="63"/>
      <c r="N733" s="63"/>
      <c r="O733" s="63"/>
      <c r="P733" s="63"/>
      <c r="Q733" s="35"/>
      <c r="R733" s="35"/>
      <c r="S733" s="35"/>
      <c r="T733" s="1"/>
      <c r="U733" s="1"/>
      <c r="V733" s="1"/>
    </row>
    <row r="734" ht="15.75" hidden="1" customHeight="1">
      <c r="A734" s="13"/>
      <c r="B734" s="13" t="s">
        <v>18</v>
      </c>
      <c r="C734" s="169" t="s">
        <v>283</v>
      </c>
      <c r="D734" s="14" t="s">
        <v>20</v>
      </c>
      <c r="E734" s="15" t="s">
        <v>284</v>
      </c>
      <c r="F734" s="16">
        <v>0.0</v>
      </c>
      <c r="G734" s="17">
        <v>12.0</v>
      </c>
      <c r="H734" s="17">
        <f t="shared" si="20"/>
        <v>0</v>
      </c>
      <c r="I734" s="18"/>
      <c r="J734" s="18"/>
      <c r="K734" s="13"/>
      <c r="L734" s="27"/>
      <c r="M734" s="28"/>
      <c r="N734" s="27"/>
      <c r="O734" s="28"/>
      <c r="P734" s="28"/>
      <c r="Q734" s="35"/>
      <c r="R734" s="35"/>
      <c r="S734" s="35"/>
      <c r="T734" s="1"/>
      <c r="U734" s="1"/>
      <c r="V734" s="1"/>
    </row>
    <row r="735" ht="15.75" customHeight="1">
      <c r="A735" s="13"/>
      <c r="B735" s="13" t="s">
        <v>369</v>
      </c>
      <c r="C735" s="169" t="s">
        <v>370</v>
      </c>
      <c r="D735" s="14" t="s">
        <v>20</v>
      </c>
      <c r="E735" s="15">
        <v>8.49069896E8</v>
      </c>
      <c r="F735" s="16">
        <v>1.0</v>
      </c>
      <c r="G735" s="17">
        <v>5.0</v>
      </c>
      <c r="H735" s="17">
        <f t="shared" si="20"/>
        <v>5</v>
      </c>
      <c r="I735" s="18"/>
      <c r="J735" s="18"/>
      <c r="K735" s="18"/>
      <c r="L735" s="13"/>
      <c r="M735" s="19"/>
      <c r="N735" s="13"/>
      <c r="O735" s="19"/>
      <c r="P735" s="19"/>
      <c r="Q735" s="35"/>
      <c r="R735" s="35"/>
      <c r="S735" s="35"/>
      <c r="T735" s="1"/>
      <c r="U735" s="1"/>
      <c r="V735" s="1"/>
    </row>
    <row r="736" ht="15.75" customHeight="1">
      <c r="A736" s="13"/>
      <c r="B736" s="13" t="s">
        <v>18</v>
      </c>
      <c r="C736" s="169" t="s">
        <v>371</v>
      </c>
      <c r="D736" s="14" t="s">
        <v>20</v>
      </c>
      <c r="E736" s="15" t="s">
        <v>286</v>
      </c>
      <c r="F736" s="16">
        <v>2.0</v>
      </c>
      <c r="G736" s="17">
        <v>3.0</v>
      </c>
      <c r="H736" s="17">
        <f t="shared" si="20"/>
        <v>6</v>
      </c>
      <c r="I736" s="18"/>
      <c r="J736" s="18"/>
      <c r="K736" s="13"/>
      <c r="L736" s="27"/>
      <c r="M736" s="28"/>
      <c r="N736" s="27"/>
      <c r="O736" s="28"/>
      <c r="P736" s="28"/>
      <c r="Q736" s="35"/>
      <c r="R736" s="35"/>
      <c r="S736" s="35"/>
      <c r="T736" s="1"/>
      <c r="U736" s="1"/>
      <c r="V736" s="1"/>
    </row>
    <row r="737" ht="15.75" hidden="1" customHeight="1">
      <c r="A737" s="13"/>
      <c r="B737" s="13" t="s">
        <v>373</v>
      </c>
      <c r="C737" s="169" t="s">
        <v>69</v>
      </c>
      <c r="D737" s="14" t="s">
        <v>20</v>
      </c>
      <c r="E737" s="15"/>
      <c r="F737" s="16">
        <v>0.0</v>
      </c>
      <c r="G737" s="17">
        <v>70.0</v>
      </c>
      <c r="H737" s="17">
        <f t="shared" si="20"/>
        <v>0</v>
      </c>
      <c r="I737" s="18"/>
      <c r="J737" s="18"/>
      <c r="K737" s="13"/>
      <c r="L737" s="107"/>
      <c r="M737" s="214"/>
      <c r="N737" s="13"/>
      <c r="O737" s="13"/>
      <c r="P737" s="13"/>
      <c r="Q737" s="35"/>
      <c r="R737" s="35"/>
      <c r="S737" s="35"/>
      <c r="T737" s="1"/>
      <c r="U737" s="1"/>
      <c r="V737" s="1"/>
    </row>
    <row r="738" ht="15.75" hidden="1" customHeight="1">
      <c r="A738" s="13"/>
      <c r="B738" s="13"/>
      <c r="C738" s="169" t="s">
        <v>374</v>
      </c>
      <c r="D738" s="70" t="s">
        <v>24</v>
      </c>
      <c r="E738" s="15"/>
      <c r="F738" s="16">
        <v>0.0</v>
      </c>
      <c r="G738" s="17">
        <v>70.0</v>
      </c>
      <c r="H738" s="17">
        <f t="shared" si="20"/>
        <v>0</v>
      </c>
      <c r="I738" s="18"/>
      <c r="J738" s="18"/>
      <c r="K738" s="13"/>
      <c r="L738" s="63"/>
      <c r="M738" s="63"/>
      <c r="N738" s="63"/>
      <c r="O738" s="63"/>
      <c r="P738" s="63"/>
      <c r="Q738" s="35"/>
      <c r="R738" s="35"/>
      <c r="S738" s="35"/>
      <c r="T738" s="1"/>
      <c r="U738" s="1"/>
      <c r="V738" s="1"/>
    </row>
    <row r="739" ht="15.75" hidden="1" customHeight="1">
      <c r="A739" s="13"/>
      <c r="B739" s="13"/>
      <c r="C739" s="169" t="s">
        <v>375</v>
      </c>
      <c r="D739" s="70" t="s">
        <v>24</v>
      </c>
      <c r="E739" s="15"/>
      <c r="F739" s="16">
        <v>0.0</v>
      </c>
      <c r="G739" s="17">
        <v>450.0</v>
      </c>
      <c r="H739" s="17">
        <f t="shared" si="20"/>
        <v>0</v>
      </c>
      <c r="I739" s="18"/>
      <c r="J739" s="18"/>
      <c r="K739" s="13" t="s">
        <v>376</v>
      </c>
      <c r="L739" s="63"/>
      <c r="M739" s="63"/>
      <c r="N739" s="63"/>
      <c r="O739" s="63"/>
      <c r="P739" s="63"/>
      <c r="Q739" s="35"/>
      <c r="R739" s="35"/>
      <c r="S739" s="35"/>
      <c r="T739" s="1"/>
      <c r="U739" s="1"/>
      <c r="V739" s="1"/>
    </row>
    <row r="740" ht="15.75" hidden="1" customHeight="1">
      <c r="A740" s="13"/>
      <c r="B740" s="13"/>
      <c r="C740" s="13" t="s">
        <v>71</v>
      </c>
      <c r="D740" s="213" t="s">
        <v>24</v>
      </c>
      <c r="E740" s="52"/>
      <c r="F740" s="48">
        <v>0.0</v>
      </c>
      <c r="G740" s="50">
        <v>80.0</v>
      </c>
      <c r="H740" s="50">
        <f t="shared" si="20"/>
        <v>0</v>
      </c>
      <c r="I740" s="18"/>
      <c r="J740" s="18"/>
      <c r="K740" s="13"/>
      <c r="L740" s="63"/>
      <c r="M740" s="63"/>
      <c r="N740" s="63"/>
      <c r="O740" s="63"/>
      <c r="P740" s="63"/>
      <c r="Q740" s="35"/>
      <c r="R740" s="35"/>
      <c r="S740" s="35"/>
      <c r="T740" s="1"/>
      <c r="U740" s="1"/>
      <c r="V740" s="1"/>
    </row>
    <row r="741" ht="15.75" hidden="1" customHeight="1">
      <c r="A741" s="13"/>
      <c r="B741" s="13" t="s">
        <v>18</v>
      </c>
      <c r="C741" s="13" t="s">
        <v>377</v>
      </c>
      <c r="D741" s="14" t="s">
        <v>20</v>
      </c>
      <c r="E741" s="52" t="s">
        <v>28</v>
      </c>
      <c r="F741" s="48">
        <v>0.0</v>
      </c>
      <c r="G741" s="50">
        <v>70.0</v>
      </c>
      <c r="H741" s="50">
        <f t="shared" si="20"/>
        <v>0</v>
      </c>
      <c r="I741" s="18"/>
      <c r="J741" s="18"/>
      <c r="K741" s="13"/>
      <c r="L741" s="63"/>
      <c r="M741" s="63"/>
      <c r="N741" s="63"/>
      <c r="O741" s="63"/>
      <c r="P741" s="63"/>
      <c r="Q741" s="35"/>
      <c r="R741" s="35"/>
      <c r="S741" s="35"/>
      <c r="T741" s="1"/>
      <c r="U741" s="1"/>
      <c r="V741" s="1"/>
    </row>
    <row r="742" ht="15.75" hidden="1" customHeight="1">
      <c r="A742" s="13"/>
      <c r="B742" s="13"/>
      <c r="C742" s="13" t="s">
        <v>221</v>
      </c>
      <c r="D742" s="213" t="s">
        <v>24</v>
      </c>
      <c r="E742" s="52"/>
      <c r="F742" s="48">
        <v>0.0</v>
      </c>
      <c r="G742" s="50">
        <v>50.0</v>
      </c>
      <c r="H742" s="50">
        <f t="shared" si="20"/>
        <v>0</v>
      </c>
      <c r="I742" s="18"/>
      <c r="J742" s="18"/>
      <c r="K742" s="13"/>
      <c r="L742" s="63"/>
      <c r="M742" s="63"/>
      <c r="N742" s="63"/>
      <c r="O742" s="63"/>
      <c r="P742" s="63"/>
      <c r="Q742" s="35"/>
      <c r="R742" s="35"/>
      <c r="S742" s="35"/>
      <c r="T742" s="1"/>
      <c r="U742" s="1"/>
      <c r="V742" s="1"/>
    </row>
    <row r="743" ht="15.75" hidden="1" customHeight="1">
      <c r="A743" s="13"/>
      <c r="B743" s="13"/>
      <c r="C743" s="206" t="s">
        <v>222</v>
      </c>
      <c r="D743" s="216" t="s">
        <v>24</v>
      </c>
      <c r="E743" s="54"/>
      <c r="F743" s="56">
        <v>0.0</v>
      </c>
      <c r="G743" s="57">
        <v>40.0</v>
      </c>
      <c r="H743" s="57">
        <f t="shared" si="20"/>
        <v>0</v>
      </c>
      <c r="I743" s="18"/>
      <c r="J743" s="18"/>
      <c r="K743" s="13"/>
      <c r="L743" s="63"/>
      <c r="M743" s="63"/>
      <c r="N743" s="63"/>
      <c r="O743" s="63"/>
      <c r="P743" s="63"/>
      <c r="Q743" s="35"/>
      <c r="R743" s="35"/>
      <c r="S743" s="35"/>
      <c r="T743" s="1"/>
      <c r="U743" s="1"/>
      <c r="V743" s="1"/>
    </row>
    <row r="744" ht="28.5" customHeight="1">
      <c r="A744" s="6"/>
      <c r="B744" s="172" t="s">
        <v>598</v>
      </c>
      <c r="C744" s="7">
        <f>SUM(H745:H807)</f>
        <v>4328.47</v>
      </c>
      <c r="D744" s="148"/>
      <c r="E744" s="148"/>
      <c r="F744" s="83"/>
      <c r="G744" s="82"/>
      <c r="H744" s="82"/>
      <c r="I744" s="82"/>
      <c r="J744" s="82"/>
      <c r="K744" s="83"/>
      <c r="L744" s="83"/>
      <c r="M744" s="83"/>
      <c r="N744" s="83"/>
      <c r="O744" s="83"/>
      <c r="P744" s="83"/>
      <c r="Q744" s="35"/>
      <c r="R744" s="35"/>
      <c r="S744" s="35"/>
      <c r="T744" s="1"/>
      <c r="U744" s="1"/>
      <c r="V744" s="1"/>
    </row>
    <row r="745" ht="15.75" customHeight="1">
      <c r="A745" s="13"/>
      <c r="B745" s="43" t="s">
        <v>64</v>
      </c>
      <c r="C745" s="169" t="s">
        <v>191</v>
      </c>
      <c r="D745" s="66" t="s">
        <v>22</v>
      </c>
      <c r="E745" s="15" t="s">
        <v>599</v>
      </c>
      <c r="F745" s="16">
        <v>2.0</v>
      </c>
      <c r="G745" s="34">
        <v>100.0</v>
      </c>
      <c r="H745" s="17">
        <f t="shared" ref="H745:H807" si="21">SUM(F745*G745)</f>
        <v>200</v>
      </c>
      <c r="I745" s="18"/>
      <c r="J745" s="18"/>
      <c r="K745" s="13"/>
      <c r="L745" s="13"/>
      <c r="M745" s="13"/>
      <c r="N745" s="13"/>
      <c r="O745" s="13"/>
      <c r="P745" s="13"/>
      <c r="Q745" s="35"/>
      <c r="R745" s="35"/>
      <c r="S745" s="35"/>
      <c r="T745" s="1"/>
      <c r="U745" s="1"/>
      <c r="V745" s="1"/>
    </row>
    <row r="746" ht="15.75" customHeight="1">
      <c r="A746" s="13"/>
      <c r="B746" s="13" t="s">
        <v>18</v>
      </c>
      <c r="C746" s="169" t="s">
        <v>600</v>
      </c>
      <c r="D746" s="14" t="s">
        <v>20</v>
      </c>
      <c r="E746" s="15"/>
      <c r="F746" s="16">
        <v>2.0</v>
      </c>
      <c r="G746" s="17">
        <v>5.0</v>
      </c>
      <c r="H746" s="17">
        <f t="shared" si="21"/>
        <v>10</v>
      </c>
      <c r="I746" s="18"/>
      <c r="J746" s="18"/>
      <c r="K746" s="13"/>
      <c r="L746" s="13"/>
      <c r="M746" s="19"/>
      <c r="N746" s="19"/>
      <c r="O746" s="38"/>
      <c r="P746" s="19"/>
      <c r="Q746" s="35"/>
      <c r="R746" s="35"/>
      <c r="S746" s="35"/>
      <c r="T746" s="1"/>
      <c r="U746" s="1"/>
      <c r="V746" s="1"/>
    </row>
    <row r="747" ht="15.75" customHeight="1">
      <c r="A747" s="13"/>
      <c r="B747" s="13" t="s">
        <v>18</v>
      </c>
      <c r="C747" s="169" t="s">
        <v>296</v>
      </c>
      <c r="D747" s="14" t="s">
        <v>20</v>
      </c>
      <c r="E747" s="171" t="s">
        <v>601</v>
      </c>
      <c r="F747" s="16">
        <v>1.0</v>
      </c>
      <c r="G747" s="34">
        <v>132.0</v>
      </c>
      <c r="H747" s="17">
        <f t="shared" si="21"/>
        <v>132</v>
      </c>
      <c r="I747" s="18"/>
      <c r="J747" s="18"/>
      <c r="K747" s="13"/>
      <c r="L747" s="27"/>
      <c r="M747" s="28"/>
      <c r="N747" s="27"/>
      <c r="O747" s="28"/>
      <c r="P747" s="27"/>
      <c r="Q747" s="35"/>
      <c r="R747" s="35"/>
      <c r="S747" s="35"/>
      <c r="T747" s="1"/>
      <c r="U747" s="1"/>
      <c r="V747" s="1"/>
    </row>
    <row r="748" ht="15.75" customHeight="1">
      <c r="A748" s="13"/>
      <c r="B748" s="13"/>
      <c r="C748" s="169" t="s">
        <v>298</v>
      </c>
      <c r="D748" s="70" t="s">
        <v>24</v>
      </c>
      <c r="E748" s="15"/>
      <c r="F748" s="16">
        <v>1.0</v>
      </c>
      <c r="G748" s="17">
        <v>95.0</v>
      </c>
      <c r="H748" s="17">
        <f t="shared" si="21"/>
        <v>95</v>
      </c>
      <c r="I748" s="18"/>
      <c r="J748" s="18"/>
      <c r="K748" s="13"/>
      <c r="L748" s="63"/>
      <c r="M748" s="63"/>
      <c r="N748" s="63"/>
      <c r="O748" s="63"/>
      <c r="P748" s="63"/>
      <c r="Q748" s="35"/>
      <c r="R748" s="35"/>
      <c r="S748" s="35"/>
      <c r="T748" s="1"/>
      <c r="U748" s="1"/>
      <c r="V748" s="1"/>
    </row>
    <row r="749" ht="15.75" hidden="1" customHeight="1">
      <c r="A749" s="13"/>
      <c r="B749" s="13"/>
      <c r="C749" s="169" t="s">
        <v>299</v>
      </c>
      <c r="D749" s="70" t="s">
        <v>24</v>
      </c>
      <c r="E749" s="15"/>
      <c r="F749" s="16">
        <v>0.0</v>
      </c>
      <c r="G749" s="17">
        <v>120.0</v>
      </c>
      <c r="H749" s="17">
        <f t="shared" si="21"/>
        <v>0</v>
      </c>
      <c r="I749" s="18"/>
      <c r="J749" s="18"/>
      <c r="K749" s="13"/>
      <c r="L749" s="63"/>
      <c r="M749" s="63"/>
      <c r="N749" s="63"/>
      <c r="O749" s="63"/>
      <c r="P749" s="63"/>
      <c r="Q749" s="35"/>
      <c r="R749" s="35"/>
      <c r="S749" s="35"/>
      <c r="T749" s="1"/>
      <c r="U749" s="1"/>
      <c r="V749" s="1"/>
    </row>
    <row r="750" ht="15.75" customHeight="1">
      <c r="A750" s="13"/>
      <c r="B750" s="13" t="s">
        <v>18</v>
      </c>
      <c r="C750" s="169" t="s">
        <v>300</v>
      </c>
      <c r="D750" s="14" t="s">
        <v>20</v>
      </c>
      <c r="E750" s="15"/>
      <c r="F750" s="40">
        <v>8.0</v>
      </c>
      <c r="G750" s="17">
        <v>5.0</v>
      </c>
      <c r="H750" s="17">
        <f t="shared" si="21"/>
        <v>40</v>
      </c>
      <c r="I750" s="18"/>
      <c r="J750" s="18"/>
      <c r="K750" s="13"/>
      <c r="L750" s="27"/>
      <c r="M750" s="27"/>
      <c r="N750" s="27"/>
      <c r="O750" s="27"/>
      <c r="P750" s="27"/>
      <c r="Q750" s="35"/>
      <c r="R750" s="35"/>
      <c r="S750" s="35"/>
      <c r="T750" s="1"/>
      <c r="U750" s="1"/>
      <c r="V750" s="1"/>
    </row>
    <row r="751" ht="15.75" hidden="1" customHeight="1">
      <c r="A751" s="13"/>
      <c r="B751" s="13" t="s">
        <v>18</v>
      </c>
      <c r="C751" s="169" t="s">
        <v>47</v>
      </c>
      <c r="D751" s="14" t="s">
        <v>20</v>
      </c>
      <c r="E751" s="15" t="s">
        <v>602</v>
      </c>
      <c r="F751" s="16">
        <v>0.0</v>
      </c>
      <c r="G751" s="17">
        <v>60.0</v>
      </c>
      <c r="H751" s="17">
        <f t="shared" si="21"/>
        <v>0</v>
      </c>
      <c r="I751" s="18"/>
      <c r="J751" s="18"/>
      <c r="K751" s="13"/>
      <c r="L751" s="27"/>
      <c r="M751" s="27"/>
      <c r="N751" s="27"/>
      <c r="O751" s="27"/>
      <c r="P751" s="27"/>
      <c r="Q751" s="35"/>
      <c r="R751" s="35"/>
      <c r="S751" s="35"/>
      <c r="T751" s="1"/>
      <c r="U751" s="1"/>
      <c r="V751" s="1"/>
    </row>
    <row r="752" ht="15.75" hidden="1" customHeight="1">
      <c r="A752" s="13"/>
      <c r="B752" s="13"/>
      <c r="C752" s="169" t="s">
        <v>295</v>
      </c>
      <c r="D752" s="70" t="s">
        <v>24</v>
      </c>
      <c r="E752" s="15"/>
      <c r="F752" s="16">
        <v>0.0</v>
      </c>
      <c r="G752" s="17">
        <v>120.0</v>
      </c>
      <c r="H752" s="17">
        <f t="shared" si="21"/>
        <v>0</v>
      </c>
      <c r="I752" s="18"/>
      <c r="J752" s="18"/>
      <c r="K752" s="13"/>
      <c r="L752" s="27"/>
      <c r="M752" s="27"/>
      <c r="N752" s="27"/>
      <c r="O752" s="27"/>
      <c r="P752" s="27"/>
      <c r="Q752" s="35"/>
      <c r="R752" s="35"/>
      <c r="S752" s="35"/>
      <c r="T752" s="1"/>
      <c r="U752" s="1"/>
      <c r="V752" s="1"/>
    </row>
    <row r="753" ht="15.75" hidden="1" customHeight="1">
      <c r="A753" s="13"/>
      <c r="B753" s="13" t="s">
        <v>18</v>
      </c>
      <c r="C753" s="169" t="s">
        <v>301</v>
      </c>
      <c r="D753" s="14" t="s">
        <v>20</v>
      </c>
      <c r="E753" s="15" t="s">
        <v>302</v>
      </c>
      <c r="F753" s="16">
        <v>0.0</v>
      </c>
      <c r="G753" s="17">
        <v>6.2</v>
      </c>
      <c r="H753" s="17">
        <f t="shared" si="21"/>
        <v>0</v>
      </c>
      <c r="I753" s="18"/>
      <c r="J753" s="18"/>
      <c r="K753" s="13"/>
      <c r="L753" s="27"/>
      <c r="M753" s="27"/>
      <c r="N753" s="27"/>
      <c r="O753" s="27"/>
      <c r="P753" s="27"/>
      <c r="Q753" s="35"/>
      <c r="R753" s="35"/>
      <c r="S753" s="35"/>
      <c r="T753" s="1"/>
      <c r="U753" s="1"/>
      <c r="V753" s="1"/>
    </row>
    <row r="754" ht="15.75" hidden="1" customHeight="1">
      <c r="A754" s="13"/>
      <c r="B754" s="13"/>
      <c r="C754" s="169" t="s">
        <v>303</v>
      </c>
      <c r="D754" s="70" t="s">
        <v>24</v>
      </c>
      <c r="E754" s="15"/>
      <c r="F754" s="16">
        <v>0.0</v>
      </c>
      <c r="G754" s="17">
        <v>40.0</v>
      </c>
      <c r="H754" s="17">
        <f t="shared" si="21"/>
        <v>0</v>
      </c>
      <c r="I754" s="18"/>
      <c r="J754" s="18"/>
      <c r="K754" s="13"/>
      <c r="L754" s="27"/>
      <c r="M754" s="27"/>
      <c r="N754" s="27"/>
      <c r="O754" s="27"/>
      <c r="P754" s="27"/>
      <c r="Q754" s="35"/>
      <c r="R754" s="35"/>
      <c r="S754" s="35"/>
      <c r="T754" s="1"/>
      <c r="U754" s="1"/>
      <c r="V754" s="1"/>
    </row>
    <row r="755" ht="15.75" hidden="1" customHeight="1">
      <c r="A755" s="13"/>
      <c r="B755" s="13" t="s">
        <v>18</v>
      </c>
      <c r="C755" s="169" t="s">
        <v>47</v>
      </c>
      <c r="D755" s="14" t="s">
        <v>20</v>
      </c>
      <c r="E755" s="15"/>
      <c r="F755" s="16">
        <v>0.0</v>
      </c>
      <c r="G755" s="17">
        <v>0.0</v>
      </c>
      <c r="H755" s="17">
        <f t="shared" si="21"/>
        <v>0</v>
      </c>
      <c r="I755" s="18"/>
      <c r="J755" s="18"/>
      <c r="K755" s="13"/>
      <c r="L755" s="27"/>
      <c r="M755" s="27"/>
      <c r="N755" s="27"/>
      <c r="O755" s="27"/>
      <c r="P755" s="27"/>
      <c r="Q755" s="35"/>
      <c r="R755" s="35"/>
      <c r="S755" s="35"/>
      <c r="T755" s="1"/>
      <c r="U755" s="1"/>
      <c r="V755" s="1"/>
    </row>
    <row r="756" ht="15.75" hidden="1" customHeight="1">
      <c r="A756" s="13"/>
      <c r="B756" s="13"/>
      <c r="C756" s="169" t="s">
        <v>304</v>
      </c>
      <c r="D756" s="70" t="s">
        <v>24</v>
      </c>
      <c r="E756" s="15"/>
      <c r="F756" s="16">
        <v>0.0</v>
      </c>
      <c r="G756" s="17">
        <v>120.0</v>
      </c>
      <c r="H756" s="17">
        <f t="shared" si="21"/>
        <v>0</v>
      </c>
      <c r="I756" s="18"/>
      <c r="J756" s="18"/>
      <c r="K756" s="13"/>
      <c r="L756" s="27"/>
      <c r="M756" s="27"/>
      <c r="N756" s="27"/>
      <c r="O756" s="27"/>
      <c r="P756" s="27"/>
      <c r="Q756" s="35"/>
      <c r="R756" s="35"/>
      <c r="S756" s="35"/>
      <c r="T756" s="1"/>
      <c r="U756" s="1"/>
      <c r="V756" s="1"/>
    </row>
    <row r="757" ht="15.75" customHeight="1">
      <c r="A757" s="13"/>
      <c r="B757" s="13" t="s">
        <v>58</v>
      </c>
      <c r="C757" s="169" t="s">
        <v>305</v>
      </c>
      <c r="D757" s="101" t="s">
        <v>32</v>
      </c>
      <c r="E757" s="15" t="s">
        <v>60</v>
      </c>
      <c r="F757" s="16">
        <v>1.0</v>
      </c>
      <c r="G757" s="17">
        <v>0.0</v>
      </c>
      <c r="H757" s="17">
        <f t="shared" si="21"/>
        <v>0</v>
      </c>
      <c r="I757" s="18"/>
      <c r="J757" s="18"/>
      <c r="K757" s="13"/>
      <c r="L757" s="13"/>
      <c r="M757" s="13"/>
      <c r="N757" s="13"/>
      <c r="O757" s="13"/>
      <c r="P757" s="13"/>
      <c r="Q757" s="35"/>
      <c r="R757" s="35"/>
      <c r="S757" s="35"/>
      <c r="T757" s="1"/>
      <c r="U757" s="1"/>
      <c r="V757" s="1"/>
    </row>
    <row r="758" ht="15.75" customHeight="1">
      <c r="A758" s="13"/>
      <c r="B758" s="43" t="s">
        <v>217</v>
      </c>
      <c r="C758" s="169" t="s">
        <v>307</v>
      </c>
      <c r="D758" s="101" t="s">
        <v>32</v>
      </c>
      <c r="E758" s="154">
        <v>83035.0</v>
      </c>
      <c r="F758" s="40">
        <v>2.0</v>
      </c>
      <c r="G758" s="34">
        <v>303.29</v>
      </c>
      <c r="H758" s="17">
        <f t="shared" si="21"/>
        <v>606.58</v>
      </c>
      <c r="I758" s="18"/>
      <c r="J758" s="18"/>
      <c r="K758" s="43">
        <v>303.29</v>
      </c>
      <c r="L758" s="27"/>
      <c r="M758" s="28"/>
      <c r="N758" s="27"/>
      <c r="O758" s="27"/>
      <c r="P758" s="27"/>
      <c r="Q758" s="35"/>
      <c r="R758" s="35"/>
      <c r="S758" s="35"/>
      <c r="T758" s="1"/>
      <c r="U758" s="1"/>
      <c r="V758" s="1"/>
    </row>
    <row r="759" ht="15.75" customHeight="1">
      <c r="A759" s="13"/>
      <c r="B759" s="43" t="s">
        <v>217</v>
      </c>
      <c r="C759" s="169" t="s">
        <v>308</v>
      </c>
      <c r="D759" s="101" t="s">
        <v>32</v>
      </c>
      <c r="E759" s="154">
        <v>83036.0</v>
      </c>
      <c r="F759" s="16">
        <v>1.0</v>
      </c>
      <c r="G759" s="34">
        <v>789.09</v>
      </c>
      <c r="H759" s="17">
        <f t="shared" si="21"/>
        <v>789.09</v>
      </c>
      <c r="I759" s="18"/>
      <c r="J759" s="18"/>
      <c r="K759" s="43">
        <v>789.09</v>
      </c>
      <c r="L759" s="27"/>
      <c r="M759" s="28"/>
      <c r="N759" s="27"/>
      <c r="O759" s="28"/>
      <c r="P759" s="28"/>
      <c r="Q759" s="35"/>
      <c r="R759" s="35"/>
      <c r="S759" s="35"/>
      <c r="T759" s="1"/>
      <c r="U759" s="1"/>
      <c r="V759" s="1"/>
    </row>
    <row r="760" ht="15.75" hidden="1" customHeight="1">
      <c r="A760" s="130"/>
      <c r="B760" s="130" t="s">
        <v>18</v>
      </c>
      <c r="C760" s="175" t="s">
        <v>309</v>
      </c>
      <c r="D760" s="176" t="s">
        <v>20</v>
      </c>
      <c r="E760" s="177" t="s">
        <v>310</v>
      </c>
      <c r="F760" s="178">
        <v>0.0</v>
      </c>
      <c r="G760" s="179">
        <v>15.0</v>
      </c>
      <c r="H760" s="179">
        <f t="shared" si="21"/>
        <v>0</v>
      </c>
      <c r="I760" s="180"/>
      <c r="J760" s="180"/>
      <c r="K760" s="130"/>
      <c r="L760" s="130"/>
      <c r="M760" s="181"/>
      <c r="N760" s="130"/>
      <c r="O760" s="181"/>
      <c r="P760" s="181"/>
      <c r="Q760" s="182"/>
      <c r="R760" s="182"/>
      <c r="S760" s="182"/>
      <c r="T760" s="182"/>
      <c r="U760" s="182"/>
      <c r="V760" s="182"/>
    </row>
    <row r="761" ht="15.75" hidden="1" customHeight="1">
      <c r="A761" s="130"/>
      <c r="B761" s="130" t="s">
        <v>18</v>
      </c>
      <c r="C761" s="175" t="s">
        <v>311</v>
      </c>
      <c r="D761" s="176" t="s">
        <v>20</v>
      </c>
      <c r="E761" s="177" t="s">
        <v>312</v>
      </c>
      <c r="F761" s="178">
        <v>0.0</v>
      </c>
      <c r="G761" s="179">
        <v>15.0</v>
      </c>
      <c r="H761" s="179">
        <f t="shared" si="21"/>
        <v>0</v>
      </c>
      <c r="I761" s="180"/>
      <c r="J761" s="180"/>
      <c r="K761" s="130"/>
      <c r="L761" s="130"/>
      <c r="M761" s="181"/>
      <c r="N761" s="130"/>
      <c r="O761" s="181"/>
      <c r="P761" s="181"/>
      <c r="Q761" s="182"/>
      <c r="R761" s="182"/>
      <c r="S761" s="182"/>
      <c r="T761" s="182"/>
      <c r="U761" s="182"/>
      <c r="V761" s="182"/>
    </row>
    <row r="762" ht="15.75" hidden="1" customHeight="1">
      <c r="A762" s="130"/>
      <c r="B762" s="130" t="s">
        <v>18</v>
      </c>
      <c r="C762" s="175" t="s">
        <v>313</v>
      </c>
      <c r="D762" s="176" t="s">
        <v>20</v>
      </c>
      <c r="E762" s="177" t="s">
        <v>314</v>
      </c>
      <c r="F762" s="178">
        <v>0.0</v>
      </c>
      <c r="G762" s="179">
        <v>1.6</v>
      </c>
      <c r="H762" s="179">
        <f t="shared" si="21"/>
        <v>0</v>
      </c>
      <c r="I762" s="180"/>
      <c r="J762" s="180"/>
      <c r="K762" s="130"/>
      <c r="L762" s="130"/>
      <c r="M762" s="181"/>
      <c r="N762" s="130"/>
      <c r="O762" s="181"/>
      <c r="P762" s="181"/>
      <c r="Q762" s="182"/>
      <c r="R762" s="182"/>
      <c r="S762" s="182"/>
      <c r="T762" s="182"/>
      <c r="U762" s="182"/>
      <c r="V762" s="182"/>
    </row>
    <row r="763" ht="15.75" hidden="1" customHeight="1">
      <c r="A763" s="13"/>
      <c r="B763" s="18" t="s">
        <v>18</v>
      </c>
      <c r="C763" s="169" t="s">
        <v>315</v>
      </c>
      <c r="D763" s="14" t="s">
        <v>20</v>
      </c>
      <c r="E763" s="33" t="s">
        <v>603</v>
      </c>
      <c r="F763" s="40">
        <v>0.0</v>
      </c>
      <c r="G763" s="17">
        <v>30.0</v>
      </c>
      <c r="H763" s="17">
        <f t="shared" si="21"/>
        <v>0</v>
      </c>
      <c r="I763" s="18"/>
      <c r="J763" s="18"/>
      <c r="K763" s="54"/>
      <c r="L763" s="27"/>
      <c r="M763" s="28"/>
      <c r="N763" s="27"/>
      <c r="O763" s="28"/>
      <c r="P763" s="28"/>
      <c r="Q763" s="35"/>
      <c r="R763" s="35"/>
      <c r="S763" s="35"/>
      <c r="T763" s="1"/>
      <c r="U763" s="1"/>
      <c r="V763" s="1"/>
    </row>
    <row r="764" ht="15.75" hidden="1" customHeight="1">
      <c r="A764" s="13"/>
      <c r="B764" s="166"/>
      <c r="C764" s="188" t="s">
        <v>259</v>
      </c>
      <c r="D764" s="167" t="s">
        <v>32</v>
      </c>
      <c r="E764" s="219"/>
      <c r="F764" s="190">
        <v>0.0</v>
      </c>
      <c r="G764" s="192">
        <v>0.0</v>
      </c>
      <c r="H764" s="192">
        <f t="shared" si="21"/>
        <v>0</v>
      </c>
      <c r="I764" s="193"/>
      <c r="J764" s="18"/>
      <c r="K764" s="13"/>
      <c r="L764" s="27"/>
      <c r="M764" s="28"/>
      <c r="N764" s="27"/>
      <c r="O764" s="27"/>
      <c r="P764" s="27"/>
      <c r="Q764" s="35"/>
      <c r="R764" s="35"/>
      <c r="S764" s="35"/>
      <c r="T764" s="1"/>
      <c r="U764" s="1"/>
      <c r="V764" s="1"/>
    </row>
    <row r="765" ht="15.75" hidden="1" customHeight="1">
      <c r="A765" s="13"/>
      <c r="B765" s="166" t="s">
        <v>397</v>
      </c>
      <c r="C765" s="188" t="s">
        <v>318</v>
      </c>
      <c r="D765" s="167" t="s">
        <v>32</v>
      </c>
      <c r="E765" s="219" t="s">
        <v>398</v>
      </c>
      <c r="F765" s="190">
        <v>0.0</v>
      </c>
      <c r="G765" s="192">
        <v>354.0</v>
      </c>
      <c r="H765" s="192">
        <f t="shared" si="21"/>
        <v>0</v>
      </c>
      <c r="I765" s="193"/>
      <c r="J765" s="18"/>
      <c r="K765" s="13"/>
      <c r="L765" s="13"/>
      <c r="M765" s="13"/>
      <c r="N765" s="13"/>
      <c r="O765" s="13"/>
      <c r="P765" s="13"/>
      <c r="Q765" s="35"/>
      <c r="R765" s="35"/>
      <c r="S765" s="35"/>
      <c r="T765" s="1"/>
      <c r="U765" s="1"/>
      <c r="V765" s="1"/>
    </row>
    <row r="766" ht="15.75" hidden="1" customHeight="1">
      <c r="A766" s="13"/>
      <c r="B766" s="13" t="s">
        <v>320</v>
      </c>
      <c r="C766" s="169" t="s">
        <v>321</v>
      </c>
      <c r="D766" s="66" t="s">
        <v>22</v>
      </c>
      <c r="E766" s="15"/>
      <c r="F766" s="16">
        <v>0.0</v>
      </c>
      <c r="G766" s="17">
        <v>10.0</v>
      </c>
      <c r="H766" s="17">
        <f t="shared" si="21"/>
        <v>0</v>
      </c>
      <c r="I766" s="18"/>
      <c r="J766" s="18"/>
      <c r="K766" s="13"/>
      <c r="L766" s="13"/>
      <c r="M766" s="19"/>
      <c r="N766" s="13"/>
      <c r="O766" s="13"/>
      <c r="P766" s="13"/>
      <c r="Q766" s="35"/>
      <c r="R766" s="35"/>
      <c r="S766" s="35"/>
      <c r="T766" s="1"/>
      <c r="U766" s="1"/>
      <c r="V766" s="1"/>
    </row>
    <row r="767" ht="15.75" customHeight="1">
      <c r="A767" s="13"/>
      <c r="B767" s="13" t="s">
        <v>239</v>
      </c>
      <c r="C767" s="195" t="s">
        <v>322</v>
      </c>
      <c r="D767" s="14" t="s">
        <v>20</v>
      </c>
      <c r="E767" s="15"/>
      <c r="F767" s="16">
        <v>1.0</v>
      </c>
      <c r="G767" s="34">
        <v>366.0</v>
      </c>
      <c r="H767" s="17">
        <f t="shared" si="21"/>
        <v>366</v>
      </c>
      <c r="I767" s="18"/>
      <c r="J767" s="18"/>
      <c r="K767" s="13"/>
      <c r="L767" s="13"/>
      <c r="M767" s="19"/>
      <c r="N767" s="13"/>
      <c r="O767" s="19"/>
      <c r="P767" s="19"/>
      <c r="Q767" s="35"/>
      <c r="R767" s="35"/>
      <c r="S767" s="35"/>
      <c r="T767" s="1"/>
      <c r="U767" s="1"/>
      <c r="V767" s="1"/>
    </row>
    <row r="768" ht="15.75" customHeight="1">
      <c r="A768" s="13"/>
      <c r="B768" s="13"/>
      <c r="C768" s="169" t="s">
        <v>323</v>
      </c>
      <c r="D768" s="70" t="s">
        <v>24</v>
      </c>
      <c r="E768" s="15"/>
      <c r="F768" s="16">
        <v>1.0</v>
      </c>
      <c r="G768" s="17">
        <v>80.0</v>
      </c>
      <c r="H768" s="17">
        <f t="shared" si="21"/>
        <v>80</v>
      </c>
      <c r="I768" s="18"/>
      <c r="J768" s="18"/>
      <c r="K768" s="13"/>
      <c r="L768" s="63"/>
      <c r="M768" s="63"/>
      <c r="N768" s="63"/>
      <c r="O768" s="63"/>
      <c r="P768" s="63"/>
      <c r="Q768" s="35"/>
      <c r="R768" s="35"/>
      <c r="S768" s="35"/>
      <c r="T768" s="1"/>
      <c r="U768" s="1"/>
      <c r="V768" s="1"/>
    </row>
    <row r="769" ht="15.75" customHeight="1">
      <c r="A769" s="13"/>
      <c r="B769" s="13"/>
      <c r="C769" s="169" t="s">
        <v>324</v>
      </c>
      <c r="D769" s="14" t="s">
        <v>20</v>
      </c>
      <c r="E769" s="15"/>
      <c r="F769" s="16">
        <v>1.0</v>
      </c>
      <c r="G769" s="17">
        <v>35.0</v>
      </c>
      <c r="H769" s="17">
        <f t="shared" si="21"/>
        <v>35</v>
      </c>
      <c r="I769" s="18"/>
      <c r="J769" s="18"/>
      <c r="K769" s="13"/>
      <c r="L769" s="13"/>
      <c r="M769" s="19"/>
      <c r="N769" s="13"/>
      <c r="O769" s="19"/>
      <c r="P769" s="19"/>
      <c r="Q769" s="35"/>
      <c r="R769" s="35"/>
      <c r="S769" s="35"/>
      <c r="T769" s="1"/>
      <c r="U769" s="1"/>
      <c r="V769" s="1"/>
    </row>
    <row r="770" ht="15.75" hidden="1" customHeight="1">
      <c r="A770" s="13"/>
      <c r="B770" s="13"/>
      <c r="C770" s="169" t="s">
        <v>258</v>
      </c>
      <c r="D770" s="66" t="s">
        <v>22</v>
      </c>
      <c r="E770" s="15"/>
      <c r="F770" s="16">
        <v>0.0</v>
      </c>
      <c r="G770" s="17">
        <v>150.0</v>
      </c>
      <c r="H770" s="17">
        <f t="shared" si="21"/>
        <v>0</v>
      </c>
      <c r="I770" s="18"/>
      <c r="J770" s="18"/>
      <c r="K770" s="13"/>
      <c r="L770" s="13"/>
      <c r="M770" s="19"/>
      <c r="N770" s="13"/>
      <c r="O770" s="19"/>
      <c r="P770" s="19"/>
      <c r="Q770" s="35"/>
      <c r="R770" s="35"/>
      <c r="S770" s="35"/>
      <c r="T770" s="1"/>
      <c r="U770" s="1"/>
      <c r="V770" s="1"/>
    </row>
    <row r="771" ht="15.75" customHeight="1">
      <c r="A771" s="13"/>
      <c r="B771" s="13" t="s">
        <v>18</v>
      </c>
      <c r="C771" s="196" t="s">
        <v>325</v>
      </c>
      <c r="D771" s="150" t="s">
        <v>22</v>
      </c>
      <c r="E771" s="47" t="s">
        <v>604</v>
      </c>
      <c r="F771" s="48">
        <v>1.0</v>
      </c>
      <c r="G771" s="49">
        <v>78.0</v>
      </c>
      <c r="H771" s="50">
        <f t="shared" si="21"/>
        <v>78</v>
      </c>
      <c r="I771" s="18"/>
      <c r="J771" s="18"/>
      <c r="K771" s="13"/>
      <c r="L771" s="13"/>
      <c r="M771" s="13"/>
      <c r="N771" s="13"/>
      <c r="O771" s="19"/>
      <c r="P771" s="19"/>
      <c r="Q771" s="35"/>
      <c r="R771" s="35"/>
      <c r="S771" s="35"/>
      <c r="T771" s="1"/>
      <c r="U771" s="1"/>
      <c r="V771" s="1"/>
    </row>
    <row r="772" ht="15.75" hidden="1" customHeight="1">
      <c r="A772" s="13"/>
      <c r="B772" s="13"/>
      <c r="C772" s="197" t="s">
        <v>327</v>
      </c>
      <c r="D772" s="198" t="s">
        <v>22</v>
      </c>
      <c r="E772" s="54" t="s">
        <v>328</v>
      </c>
      <c r="F772" s="56">
        <v>0.0</v>
      </c>
      <c r="G772" s="57">
        <v>321.3</v>
      </c>
      <c r="H772" s="57">
        <f t="shared" si="21"/>
        <v>0</v>
      </c>
      <c r="I772" s="18"/>
      <c r="J772" s="18"/>
      <c r="K772" s="13"/>
      <c r="L772" s="13"/>
      <c r="M772" s="13"/>
      <c r="N772" s="13"/>
      <c r="O772" s="19"/>
      <c r="P772" s="19"/>
      <c r="Q772" s="35"/>
      <c r="R772" s="35"/>
      <c r="S772" s="35"/>
      <c r="T772" s="1"/>
      <c r="U772" s="1"/>
      <c r="V772" s="1"/>
    </row>
    <row r="773" ht="15.75" customHeight="1">
      <c r="A773" s="15"/>
      <c r="B773" s="52" t="s">
        <v>18</v>
      </c>
      <c r="C773" s="196" t="s">
        <v>329</v>
      </c>
      <c r="D773" s="150" t="s">
        <v>22</v>
      </c>
      <c r="E773" s="199" t="s">
        <v>330</v>
      </c>
      <c r="F773" s="48">
        <v>2.0</v>
      </c>
      <c r="G773" s="49">
        <v>25.2</v>
      </c>
      <c r="H773" s="50">
        <f t="shared" si="21"/>
        <v>50.4</v>
      </c>
      <c r="I773" s="51"/>
      <c r="J773" s="51"/>
      <c r="K773" s="52"/>
      <c r="L773" s="52"/>
      <c r="M773" s="52"/>
      <c r="N773" s="52"/>
      <c r="O773" s="200"/>
      <c r="P773" s="200"/>
      <c r="Q773" s="1"/>
      <c r="R773" s="1"/>
      <c r="S773" s="1"/>
      <c r="T773" s="1"/>
      <c r="U773" s="1"/>
      <c r="V773" s="1"/>
    </row>
    <row r="774" ht="15.75" customHeight="1">
      <c r="A774" s="53"/>
      <c r="B774" s="54" t="s">
        <v>18</v>
      </c>
      <c r="C774" s="197" t="s">
        <v>331</v>
      </c>
      <c r="D774" s="198" t="s">
        <v>22</v>
      </c>
      <c r="E774" s="201" t="s">
        <v>332</v>
      </c>
      <c r="F774" s="56">
        <v>1.0</v>
      </c>
      <c r="G774" s="159">
        <v>48.0</v>
      </c>
      <c r="H774" s="57">
        <f t="shared" si="21"/>
        <v>48</v>
      </c>
      <c r="I774" s="58"/>
      <c r="J774" s="58"/>
      <c r="K774" s="54"/>
      <c r="L774" s="54"/>
      <c r="M774" s="54"/>
      <c r="N774" s="54"/>
      <c r="O774" s="202"/>
      <c r="P774" s="202"/>
      <c r="Q774" s="1"/>
      <c r="R774" s="1"/>
      <c r="S774" s="1"/>
      <c r="T774" s="1"/>
      <c r="U774" s="1"/>
      <c r="V774" s="1"/>
    </row>
    <row r="775" ht="15.75" customHeight="1">
      <c r="A775" s="53"/>
      <c r="B775" s="54" t="s">
        <v>18</v>
      </c>
      <c r="C775" s="203" t="s">
        <v>333</v>
      </c>
      <c r="D775" s="198" t="s">
        <v>22</v>
      </c>
      <c r="E775" s="204" t="s">
        <v>590</v>
      </c>
      <c r="F775" s="56">
        <v>1.0</v>
      </c>
      <c r="G775" s="159">
        <v>38.4</v>
      </c>
      <c r="H775" s="57">
        <f t="shared" si="21"/>
        <v>38.4</v>
      </c>
      <c r="I775" s="58"/>
      <c r="J775" s="58"/>
      <c r="K775" s="54"/>
      <c r="L775" s="54"/>
      <c r="M775" s="54"/>
      <c r="N775" s="54"/>
      <c r="O775" s="202"/>
      <c r="P775" s="202"/>
      <c r="Q775" s="1"/>
      <c r="R775" s="1"/>
      <c r="S775" s="1"/>
      <c r="T775" s="1"/>
      <c r="U775" s="1"/>
      <c r="V775" s="1"/>
    </row>
    <row r="776" ht="15.75" hidden="1" customHeight="1">
      <c r="A776" s="15"/>
      <c r="B776" s="52" t="s">
        <v>18</v>
      </c>
      <c r="C776" s="196" t="s">
        <v>335</v>
      </c>
      <c r="D776" s="150" t="s">
        <v>22</v>
      </c>
      <c r="E776" s="52"/>
      <c r="F776" s="48">
        <v>0.0</v>
      </c>
      <c r="G776" s="50">
        <v>29.69</v>
      </c>
      <c r="H776" s="50">
        <f t="shared" si="21"/>
        <v>0</v>
      </c>
      <c r="I776" s="51"/>
      <c r="J776" s="51"/>
      <c r="K776" s="52"/>
      <c r="L776" s="52"/>
      <c r="M776" s="52"/>
      <c r="N776" s="52"/>
      <c r="O776" s="200"/>
      <c r="P776" s="200"/>
      <c r="Q776" s="1"/>
      <c r="R776" s="1"/>
      <c r="S776" s="1"/>
      <c r="T776" s="1"/>
      <c r="U776" s="1"/>
      <c r="V776" s="1"/>
    </row>
    <row r="777" ht="15.75" hidden="1" customHeight="1">
      <c r="A777" s="53"/>
      <c r="B777" s="54" t="s">
        <v>18</v>
      </c>
      <c r="C777" s="197" t="s">
        <v>336</v>
      </c>
      <c r="D777" s="198" t="s">
        <v>22</v>
      </c>
      <c r="E777" s="54" t="s">
        <v>337</v>
      </c>
      <c r="F777" s="56">
        <v>0.0</v>
      </c>
      <c r="G777" s="57">
        <v>29.99</v>
      </c>
      <c r="H777" s="57">
        <f t="shared" si="21"/>
        <v>0</v>
      </c>
      <c r="I777" s="58"/>
      <c r="J777" s="58"/>
      <c r="K777" s="54"/>
      <c r="L777" s="54"/>
      <c r="M777" s="54"/>
      <c r="N777" s="54"/>
      <c r="O777" s="202"/>
      <c r="P777" s="202"/>
      <c r="Q777" s="1"/>
      <c r="R777" s="1"/>
      <c r="S777" s="1"/>
      <c r="T777" s="1"/>
      <c r="U777" s="1"/>
      <c r="V777" s="1"/>
    </row>
    <row r="778" ht="15.75" hidden="1" customHeight="1">
      <c r="A778" s="53"/>
      <c r="B778" s="54" t="s">
        <v>18</v>
      </c>
      <c r="C778" s="197" t="s">
        <v>605</v>
      </c>
      <c r="D778" s="198" t="s">
        <v>22</v>
      </c>
      <c r="E778" s="54" t="s">
        <v>339</v>
      </c>
      <c r="F778" s="56">
        <v>0.0</v>
      </c>
      <c r="G778" s="57">
        <v>16.69</v>
      </c>
      <c r="H778" s="57">
        <f t="shared" si="21"/>
        <v>0</v>
      </c>
      <c r="I778" s="58"/>
      <c r="J778" s="58"/>
      <c r="K778" s="54"/>
      <c r="L778" s="54"/>
      <c r="M778" s="54"/>
      <c r="N778" s="54"/>
      <c r="O778" s="202"/>
      <c r="P778" s="202"/>
      <c r="Q778" s="1"/>
      <c r="R778" s="1"/>
      <c r="S778" s="1"/>
      <c r="T778" s="1"/>
      <c r="U778" s="1"/>
      <c r="V778" s="1"/>
    </row>
    <row r="779" ht="15.75" hidden="1" customHeight="1">
      <c r="A779" s="53"/>
      <c r="B779" s="54" t="s">
        <v>18</v>
      </c>
      <c r="C779" s="197" t="s">
        <v>591</v>
      </c>
      <c r="D779" s="198" t="s">
        <v>22</v>
      </c>
      <c r="E779" s="54" t="s">
        <v>592</v>
      </c>
      <c r="F779" s="56">
        <v>0.0</v>
      </c>
      <c r="G779" s="57">
        <v>17.99</v>
      </c>
      <c r="H779" s="57">
        <f t="shared" si="21"/>
        <v>0</v>
      </c>
      <c r="I779" s="58"/>
      <c r="J779" s="58"/>
      <c r="K779" s="54"/>
      <c r="L779" s="54"/>
      <c r="M779" s="54"/>
      <c r="N779" s="54"/>
      <c r="O779" s="202"/>
      <c r="P779" s="202"/>
      <c r="Q779" s="1"/>
      <c r="R779" s="1"/>
      <c r="S779" s="1"/>
      <c r="T779" s="1"/>
      <c r="U779" s="1"/>
      <c r="V779" s="1"/>
    </row>
    <row r="780" ht="15.75" hidden="1" customHeight="1">
      <c r="A780" s="15"/>
      <c r="B780" s="52" t="s">
        <v>18</v>
      </c>
      <c r="C780" s="196" t="s">
        <v>340</v>
      </c>
      <c r="D780" s="150" t="s">
        <v>22</v>
      </c>
      <c r="E780" s="52"/>
      <c r="F780" s="48">
        <v>0.0</v>
      </c>
      <c r="G780" s="50">
        <v>29.69</v>
      </c>
      <c r="H780" s="50">
        <f t="shared" si="21"/>
        <v>0</v>
      </c>
      <c r="I780" s="51"/>
      <c r="J780" s="51"/>
      <c r="K780" s="52"/>
      <c r="L780" s="52"/>
      <c r="M780" s="52"/>
      <c r="N780" s="52"/>
      <c r="O780" s="200"/>
      <c r="P780" s="200"/>
      <c r="Q780" s="1"/>
      <c r="R780" s="1"/>
      <c r="S780" s="1"/>
      <c r="T780" s="1"/>
      <c r="U780" s="1"/>
      <c r="V780" s="1"/>
    </row>
    <row r="781" ht="15.75" hidden="1" customHeight="1">
      <c r="A781" s="53"/>
      <c r="B781" s="54" t="s">
        <v>18</v>
      </c>
      <c r="C781" s="197" t="s">
        <v>341</v>
      </c>
      <c r="D781" s="198" t="s">
        <v>22</v>
      </c>
      <c r="E781" s="54" t="s">
        <v>337</v>
      </c>
      <c r="F781" s="56">
        <v>0.0</v>
      </c>
      <c r="G781" s="57">
        <v>29.99</v>
      </c>
      <c r="H781" s="57">
        <f t="shared" si="21"/>
        <v>0</v>
      </c>
      <c r="I781" s="58"/>
      <c r="J781" s="58"/>
      <c r="K781" s="54"/>
      <c r="L781" s="54"/>
      <c r="M781" s="54"/>
      <c r="N781" s="54"/>
      <c r="O781" s="202"/>
      <c r="P781" s="202"/>
      <c r="Q781" s="1"/>
      <c r="R781" s="1"/>
      <c r="S781" s="1"/>
      <c r="T781" s="1"/>
      <c r="U781" s="1"/>
      <c r="V781" s="1"/>
    </row>
    <row r="782" ht="15.75" hidden="1" customHeight="1">
      <c r="A782" s="53"/>
      <c r="B782" s="54" t="s">
        <v>18</v>
      </c>
      <c r="C782" s="197" t="s">
        <v>342</v>
      </c>
      <c r="D782" s="198" t="s">
        <v>22</v>
      </c>
      <c r="E782" s="54" t="s">
        <v>343</v>
      </c>
      <c r="F782" s="56">
        <v>0.0</v>
      </c>
      <c r="G782" s="57">
        <v>17.99</v>
      </c>
      <c r="H782" s="57">
        <f t="shared" si="21"/>
        <v>0</v>
      </c>
      <c r="I782" s="58"/>
      <c r="J782" s="58"/>
      <c r="K782" s="54"/>
      <c r="L782" s="54"/>
      <c r="M782" s="54"/>
      <c r="N782" s="54"/>
      <c r="O782" s="202"/>
      <c r="P782" s="202"/>
      <c r="Q782" s="1"/>
      <c r="R782" s="1"/>
      <c r="S782" s="1"/>
      <c r="T782" s="1"/>
      <c r="U782" s="1"/>
      <c r="V782" s="1"/>
    </row>
    <row r="783" ht="15.75" hidden="1" customHeight="1">
      <c r="A783" s="53"/>
      <c r="B783" s="54" t="s">
        <v>18</v>
      </c>
      <c r="C783" s="197" t="s">
        <v>593</v>
      </c>
      <c r="D783" s="198" t="s">
        <v>22</v>
      </c>
      <c r="E783" s="54" t="s">
        <v>594</v>
      </c>
      <c r="F783" s="56">
        <v>0.0</v>
      </c>
      <c r="G783" s="57">
        <v>16.99</v>
      </c>
      <c r="H783" s="57">
        <f t="shared" si="21"/>
        <v>0</v>
      </c>
      <c r="I783" s="58"/>
      <c r="J783" s="58"/>
      <c r="K783" s="54"/>
      <c r="L783" s="54"/>
      <c r="M783" s="54"/>
      <c r="N783" s="54"/>
      <c r="O783" s="202"/>
      <c r="P783" s="202"/>
      <c r="Q783" s="1"/>
      <c r="R783" s="1"/>
      <c r="S783" s="1"/>
      <c r="T783" s="1"/>
      <c r="U783" s="1"/>
      <c r="V783" s="1"/>
    </row>
    <row r="784" ht="15.75" hidden="1" customHeight="1">
      <c r="A784" s="53"/>
      <c r="B784" s="54" t="s">
        <v>18</v>
      </c>
      <c r="C784" s="197" t="s">
        <v>344</v>
      </c>
      <c r="D784" s="198" t="s">
        <v>22</v>
      </c>
      <c r="E784" s="205" t="s">
        <v>345</v>
      </c>
      <c r="F784" s="158">
        <v>0.0</v>
      </c>
      <c r="G784" s="57">
        <v>19.0</v>
      </c>
      <c r="H784" s="57">
        <f t="shared" si="21"/>
        <v>0</v>
      </c>
      <c r="I784" s="58"/>
      <c r="J784" s="58"/>
      <c r="K784" s="54"/>
      <c r="L784" s="54"/>
      <c r="M784" s="54"/>
      <c r="N784" s="54"/>
      <c r="O784" s="202"/>
      <c r="P784" s="202"/>
      <c r="Q784" s="1"/>
      <c r="R784" s="1"/>
      <c r="S784" s="1"/>
      <c r="T784" s="1"/>
      <c r="U784" s="1"/>
      <c r="V784" s="1"/>
    </row>
    <row r="785" ht="15.75" hidden="1" customHeight="1">
      <c r="A785" s="13"/>
      <c r="B785" s="206" t="s">
        <v>18</v>
      </c>
      <c r="C785" s="197" t="s">
        <v>346</v>
      </c>
      <c r="D785" s="198" t="s">
        <v>22</v>
      </c>
      <c r="E785" s="205" t="s">
        <v>347</v>
      </c>
      <c r="F785" s="158">
        <v>0.0</v>
      </c>
      <c r="G785" s="57">
        <v>35.0</v>
      </c>
      <c r="H785" s="57">
        <f t="shared" si="21"/>
        <v>0</v>
      </c>
      <c r="I785" s="18"/>
      <c r="J785" s="18"/>
      <c r="K785" s="13"/>
      <c r="L785" s="13"/>
      <c r="M785" s="13"/>
      <c r="N785" s="13"/>
      <c r="O785" s="19"/>
      <c r="P785" s="19"/>
      <c r="Q785" s="35"/>
      <c r="R785" s="35"/>
      <c r="S785" s="35"/>
      <c r="T785" s="1"/>
      <c r="U785" s="1"/>
      <c r="V785" s="1"/>
    </row>
    <row r="786" ht="15.75" customHeight="1">
      <c r="A786" s="13"/>
      <c r="B786" s="13" t="s">
        <v>18</v>
      </c>
      <c r="C786" s="196" t="s">
        <v>348</v>
      </c>
      <c r="D786" s="150" t="s">
        <v>22</v>
      </c>
      <c r="E786" s="199" t="s">
        <v>349</v>
      </c>
      <c r="F786" s="48">
        <v>1.0</v>
      </c>
      <c r="G786" s="49">
        <v>24.0</v>
      </c>
      <c r="H786" s="50">
        <f t="shared" si="21"/>
        <v>24</v>
      </c>
      <c r="I786" s="18"/>
      <c r="J786" s="18"/>
      <c r="K786" s="13"/>
      <c r="L786" s="13"/>
      <c r="M786" s="13"/>
      <c r="N786" s="13"/>
      <c r="O786" s="13"/>
      <c r="P786" s="13"/>
      <c r="Q786" s="35"/>
      <c r="R786" s="35"/>
      <c r="S786" s="35"/>
      <c r="T786" s="1"/>
      <c r="U786" s="1"/>
      <c r="V786" s="1"/>
    </row>
    <row r="787" ht="15.75" customHeight="1">
      <c r="A787" s="13"/>
      <c r="B787" s="13" t="s">
        <v>350</v>
      </c>
      <c r="C787" s="196" t="s">
        <v>351</v>
      </c>
      <c r="D787" s="150" t="s">
        <v>22</v>
      </c>
      <c r="E787" s="207" t="s">
        <v>352</v>
      </c>
      <c r="F787" s="48">
        <v>1.0</v>
      </c>
      <c r="G787" s="49">
        <v>420.0</v>
      </c>
      <c r="H787" s="50">
        <f t="shared" si="21"/>
        <v>420</v>
      </c>
      <c r="I787" s="18"/>
      <c r="J787" s="18"/>
      <c r="K787" s="13"/>
      <c r="L787" s="13"/>
      <c r="M787" s="13"/>
      <c r="N787" s="13"/>
      <c r="O787" s="13"/>
      <c r="P787" s="13"/>
      <c r="Q787" s="35"/>
      <c r="R787" s="35"/>
      <c r="S787" s="35"/>
      <c r="T787" s="1"/>
      <c r="U787" s="1"/>
      <c r="V787" s="1"/>
    </row>
    <row r="788" ht="15.75" customHeight="1">
      <c r="A788" s="13"/>
      <c r="B788" s="13" t="s">
        <v>350</v>
      </c>
      <c r="C788" s="197" t="s">
        <v>353</v>
      </c>
      <c r="D788" s="198" t="s">
        <v>22</v>
      </c>
      <c r="E788" s="208" t="s">
        <v>352</v>
      </c>
      <c r="F788" s="56">
        <v>1.0</v>
      </c>
      <c r="G788" s="159">
        <v>172.0</v>
      </c>
      <c r="H788" s="57">
        <f t="shared" si="21"/>
        <v>172</v>
      </c>
      <c r="I788" s="18"/>
      <c r="J788" s="18"/>
      <c r="K788" s="13"/>
      <c r="L788" s="13"/>
      <c r="M788" s="19"/>
      <c r="N788" s="13"/>
      <c r="O788" s="19"/>
      <c r="P788" s="19"/>
      <c r="Q788" s="35"/>
      <c r="R788" s="35"/>
      <c r="S788" s="35"/>
      <c r="T788" s="1"/>
      <c r="U788" s="1"/>
      <c r="V788" s="1"/>
    </row>
    <row r="789" ht="15.75" customHeight="1">
      <c r="A789" s="13"/>
      <c r="B789" s="13" t="s">
        <v>350</v>
      </c>
      <c r="C789" s="197" t="s">
        <v>354</v>
      </c>
      <c r="D789" s="198" t="s">
        <v>22</v>
      </c>
      <c r="E789" s="208" t="s">
        <v>352</v>
      </c>
      <c r="F789" s="56">
        <v>1.0</v>
      </c>
      <c r="G789" s="159">
        <v>97.0</v>
      </c>
      <c r="H789" s="57">
        <f t="shared" si="21"/>
        <v>97</v>
      </c>
      <c r="I789" s="18"/>
      <c r="J789" s="18"/>
      <c r="K789" s="13"/>
      <c r="L789" s="27"/>
      <c r="M789" s="28"/>
      <c r="N789" s="27"/>
      <c r="O789" s="28"/>
      <c r="P789" s="27"/>
      <c r="Q789" s="35"/>
      <c r="R789" s="35"/>
      <c r="S789" s="35"/>
      <c r="T789" s="1"/>
      <c r="U789" s="1"/>
      <c r="V789" s="1"/>
    </row>
    <row r="790" ht="15.75" hidden="1" customHeight="1">
      <c r="A790" s="13"/>
      <c r="B790" s="156" t="s">
        <v>350</v>
      </c>
      <c r="C790" s="197" t="s">
        <v>355</v>
      </c>
      <c r="D790" s="198" t="s">
        <v>22</v>
      </c>
      <c r="E790" s="208" t="s">
        <v>356</v>
      </c>
      <c r="F790" s="56">
        <v>0.0</v>
      </c>
      <c r="G790" s="159">
        <v>366.0</v>
      </c>
      <c r="H790" s="57">
        <f t="shared" si="21"/>
        <v>0</v>
      </c>
      <c r="I790" s="18"/>
      <c r="J790" s="18"/>
      <c r="K790" s="13"/>
      <c r="L790" s="27"/>
      <c r="M790" s="28"/>
      <c r="N790" s="27"/>
      <c r="O790" s="28"/>
      <c r="P790" s="27"/>
      <c r="Q790" s="35"/>
      <c r="R790" s="35"/>
      <c r="S790" s="35"/>
      <c r="T790" s="1"/>
      <c r="U790" s="1"/>
      <c r="V790" s="1"/>
    </row>
    <row r="791" ht="15.75" hidden="1" customHeight="1">
      <c r="A791" s="13"/>
      <c r="B791" s="206" t="s">
        <v>350</v>
      </c>
      <c r="C791" s="197" t="s">
        <v>357</v>
      </c>
      <c r="D791" s="198" t="s">
        <v>22</v>
      </c>
      <c r="E791" s="208" t="s">
        <v>356</v>
      </c>
      <c r="F791" s="56">
        <v>0.0</v>
      </c>
      <c r="G791" s="159">
        <v>107.5</v>
      </c>
      <c r="H791" s="57">
        <f t="shared" si="21"/>
        <v>0</v>
      </c>
      <c r="I791" s="18"/>
      <c r="J791" s="18"/>
      <c r="K791" s="13"/>
      <c r="L791" s="27"/>
      <c r="M791" s="28"/>
      <c r="N791" s="27"/>
      <c r="O791" s="28"/>
      <c r="P791" s="27"/>
      <c r="Q791" s="35"/>
      <c r="R791" s="35"/>
      <c r="S791" s="35"/>
      <c r="T791" s="1"/>
      <c r="U791" s="1"/>
      <c r="V791" s="1"/>
    </row>
    <row r="792" ht="15.75" hidden="1" customHeight="1">
      <c r="A792" s="13"/>
      <c r="B792" s="156" t="s">
        <v>350</v>
      </c>
      <c r="C792" s="197" t="s">
        <v>358</v>
      </c>
      <c r="D792" s="198" t="s">
        <v>22</v>
      </c>
      <c r="E792" s="208" t="s">
        <v>356</v>
      </c>
      <c r="F792" s="56">
        <v>0.0</v>
      </c>
      <c r="G792" s="159">
        <v>97.0</v>
      </c>
      <c r="H792" s="57">
        <f t="shared" si="21"/>
        <v>0</v>
      </c>
      <c r="I792" s="18"/>
      <c r="J792" s="18"/>
      <c r="K792" s="13"/>
      <c r="L792" s="27"/>
      <c r="M792" s="28"/>
      <c r="N792" s="27"/>
      <c r="O792" s="28"/>
      <c r="P792" s="27"/>
      <c r="Q792" s="35"/>
      <c r="R792" s="35"/>
      <c r="S792" s="35"/>
      <c r="T792" s="1"/>
      <c r="U792" s="1"/>
      <c r="V792" s="1"/>
    </row>
    <row r="793" ht="15.75" hidden="1" customHeight="1">
      <c r="A793" s="13"/>
      <c r="B793" s="13" t="s">
        <v>18</v>
      </c>
      <c r="C793" s="196" t="s">
        <v>359</v>
      </c>
      <c r="D793" s="150" t="s">
        <v>22</v>
      </c>
      <c r="E793" s="52" t="s">
        <v>360</v>
      </c>
      <c r="F793" s="48">
        <v>0.0</v>
      </c>
      <c r="G793" s="50">
        <v>18.0</v>
      </c>
      <c r="H793" s="50">
        <f t="shared" si="21"/>
        <v>0</v>
      </c>
      <c r="I793" s="18"/>
      <c r="J793" s="18"/>
      <c r="K793" s="13"/>
      <c r="L793" s="27"/>
      <c r="M793" s="28"/>
      <c r="N793" s="27"/>
      <c r="O793" s="28"/>
      <c r="P793" s="27"/>
      <c r="Q793" s="35"/>
      <c r="R793" s="35"/>
      <c r="S793" s="35"/>
      <c r="T793" s="1"/>
      <c r="U793" s="1"/>
      <c r="V793" s="1"/>
    </row>
    <row r="794" ht="15.75" customHeight="1">
      <c r="A794" s="13"/>
      <c r="B794" s="13" t="s">
        <v>361</v>
      </c>
      <c r="C794" s="169" t="s">
        <v>362</v>
      </c>
      <c r="D794" s="66" t="s">
        <v>22</v>
      </c>
      <c r="E794" s="15" t="s">
        <v>363</v>
      </c>
      <c r="F794" s="16">
        <v>4.0</v>
      </c>
      <c r="G794" s="17">
        <v>11.0</v>
      </c>
      <c r="H794" s="17">
        <f t="shared" si="21"/>
        <v>44</v>
      </c>
      <c r="I794" s="18"/>
      <c r="J794" s="18"/>
      <c r="K794" s="13"/>
      <c r="L794" s="95"/>
      <c r="M794" s="96"/>
      <c r="N794" s="95"/>
      <c r="O794" s="95"/>
      <c r="P794" s="95"/>
      <c r="Q794" s="35"/>
      <c r="R794" s="35"/>
      <c r="S794" s="35"/>
      <c r="T794" s="1"/>
      <c r="U794" s="1"/>
      <c r="V794" s="1"/>
    </row>
    <row r="795" ht="15.75" hidden="1" customHeight="1">
      <c r="A795" s="13"/>
      <c r="B795" s="13" t="s">
        <v>361</v>
      </c>
      <c r="C795" s="169" t="s">
        <v>364</v>
      </c>
      <c r="D795" s="66" t="s">
        <v>22</v>
      </c>
      <c r="E795" s="15" t="s">
        <v>365</v>
      </c>
      <c r="F795" s="16">
        <v>0.0</v>
      </c>
      <c r="G795" s="17">
        <v>6.0</v>
      </c>
      <c r="H795" s="17">
        <f t="shared" si="21"/>
        <v>0</v>
      </c>
      <c r="I795" s="18"/>
      <c r="J795" s="18"/>
      <c r="K795" s="13"/>
      <c r="L795" s="95"/>
      <c r="M795" s="96"/>
      <c r="N795" s="95"/>
      <c r="O795" s="95"/>
      <c r="P795" s="95"/>
      <c r="Q795" s="35"/>
      <c r="R795" s="35"/>
      <c r="S795" s="35"/>
      <c r="T795" s="1"/>
      <c r="U795" s="1"/>
      <c r="V795" s="1"/>
    </row>
    <row r="796" ht="15.75" customHeight="1">
      <c r="A796" s="13"/>
      <c r="B796" s="43" t="s">
        <v>64</v>
      </c>
      <c r="C796" s="169" t="s">
        <v>263</v>
      </c>
      <c r="D796" s="66" t="s">
        <v>22</v>
      </c>
      <c r="E796" s="15"/>
      <c r="F796" s="16">
        <v>1.0</v>
      </c>
      <c r="G796" s="17">
        <v>180.0</v>
      </c>
      <c r="H796" s="17">
        <f t="shared" si="21"/>
        <v>180</v>
      </c>
      <c r="I796" s="18"/>
      <c r="J796" s="18"/>
      <c r="K796" s="13"/>
      <c r="L796" s="13"/>
      <c r="M796" s="19"/>
      <c r="N796" s="13"/>
      <c r="O796" s="19"/>
      <c r="P796" s="19"/>
      <c r="Q796" s="35"/>
      <c r="R796" s="35"/>
      <c r="S796" s="35"/>
      <c r="T796" s="1"/>
      <c r="U796" s="1"/>
      <c r="V796" s="1"/>
    </row>
    <row r="797" ht="15.75" customHeight="1">
      <c r="A797" s="13"/>
      <c r="B797" s="13"/>
      <c r="C797" s="13" t="s">
        <v>67</v>
      </c>
      <c r="D797" s="70" t="s">
        <v>24</v>
      </c>
      <c r="E797" s="15"/>
      <c r="F797" s="16">
        <v>1.0</v>
      </c>
      <c r="G797" s="17">
        <v>18.0</v>
      </c>
      <c r="H797" s="17">
        <f t="shared" si="21"/>
        <v>18</v>
      </c>
      <c r="I797" s="18"/>
      <c r="J797" s="18"/>
      <c r="K797" s="13"/>
      <c r="L797" s="63"/>
      <c r="M797" s="79"/>
      <c r="N797" s="63"/>
      <c r="O797" s="79"/>
      <c r="P797" s="79"/>
      <c r="Q797" s="35"/>
      <c r="R797" s="35"/>
      <c r="S797" s="35"/>
      <c r="T797" s="1"/>
      <c r="U797" s="1"/>
      <c r="V797" s="1"/>
    </row>
    <row r="798" ht="15.75" customHeight="1">
      <c r="A798" s="13"/>
      <c r="B798" s="43" t="s">
        <v>88</v>
      </c>
      <c r="C798" s="54" t="s">
        <v>411</v>
      </c>
      <c r="D798" s="14" t="s">
        <v>20</v>
      </c>
      <c r="E798" s="171" t="s">
        <v>412</v>
      </c>
      <c r="F798" s="16">
        <v>1.0</v>
      </c>
      <c r="G798" s="34">
        <v>334.0</v>
      </c>
      <c r="H798" s="17">
        <f t="shared" si="21"/>
        <v>334</v>
      </c>
      <c r="I798" s="18"/>
      <c r="J798" s="18"/>
      <c r="K798" s="13"/>
      <c r="L798" s="13"/>
      <c r="M798" s="19"/>
      <c r="N798" s="13"/>
      <c r="O798" s="38"/>
      <c r="P798" s="19"/>
      <c r="Q798" s="35"/>
      <c r="R798" s="35"/>
      <c r="S798" s="35"/>
      <c r="T798" s="1"/>
      <c r="U798" s="1"/>
      <c r="V798" s="1"/>
    </row>
    <row r="799" ht="15.75" customHeight="1">
      <c r="A799" s="13"/>
      <c r="B799" s="13" t="s">
        <v>18</v>
      </c>
      <c r="C799" s="169" t="s">
        <v>280</v>
      </c>
      <c r="D799" s="14" t="s">
        <v>20</v>
      </c>
      <c r="E799" s="15" t="s">
        <v>606</v>
      </c>
      <c r="F799" s="16">
        <v>1.0</v>
      </c>
      <c r="G799" s="34">
        <v>20.0</v>
      </c>
      <c r="H799" s="17">
        <f t="shared" si="21"/>
        <v>20</v>
      </c>
      <c r="I799" s="18"/>
      <c r="J799" s="18"/>
      <c r="K799" s="13"/>
      <c r="L799" s="27"/>
      <c r="M799" s="27"/>
      <c r="N799" s="27"/>
      <c r="O799" s="27"/>
      <c r="P799" s="27"/>
      <c r="Q799" s="35"/>
      <c r="R799" s="35"/>
      <c r="S799" s="35"/>
      <c r="T799" s="1"/>
      <c r="U799" s="1"/>
      <c r="V799" s="1"/>
    </row>
    <row r="800" ht="15.75" customHeight="1">
      <c r="A800" s="13"/>
      <c r="B800" s="13"/>
      <c r="C800" s="169" t="s">
        <v>282</v>
      </c>
      <c r="D800" s="70" t="s">
        <v>24</v>
      </c>
      <c r="E800" s="15"/>
      <c r="F800" s="16">
        <v>1.0</v>
      </c>
      <c r="G800" s="17">
        <v>80.0</v>
      </c>
      <c r="H800" s="17">
        <f t="shared" si="21"/>
        <v>80</v>
      </c>
      <c r="I800" s="18"/>
      <c r="J800" s="18"/>
      <c r="K800" s="13"/>
      <c r="L800" s="63"/>
      <c r="M800" s="63"/>
      <c r="N800" s="63"/>
      <c r="O800" s="63"/>
      <c r="P800" s="63"/>
      <c r="Q800" s="35"/>
      <c r="R800" s="35"/>
      <c r="S800" s="35"/>
      <c r="T800" s="1"/>
      <c r="U800" s="1"/>
      <c r="V800" s="1"/>
    </row>
    <row r="801" ht="15.75" hidden="1" customHeight="1">
      <c r="A801" s="13"/>
      <c r="B801" s="13" t="s">
        <v>18</v>
      </c>
      <c r="C801" s="169" t="s">
        <v>283</v>
      </c>
      <c r="D801" s="14" t="s">
        <v>20</v>
      </c>
      <c r="E801" s="15" t="s">
        <v>284</v>
      </c>
      <c r="F801" s="16">
        <v>0.0</v>
      </c>
      <c r="G801" s="17">
        <v>12.0</v>
      </c>
      <c r="H801" s="17">
        <f t="shared" si="21"/>
        <v>0</v>
      </c>
      <c r="I801" s="18"/>
      <c r="J801" s="18"/>
      <c r="K801" s="13"/>
      <c r="L801" s="27"/>
      <c r="M801" s="28"/>
      <c r="N801" s="27"/>
      <c r="O801" s="28"/>
      <c r="P801" s="28"/>
      <c r="Q801" s="35"/>
      <c r="R801" s="35"/>
      <c r="S801" s="35"/>
      <c r="T801" s="1"/>
      <c r="U801" s="1"/>
      <c r="V801" s="1"/>
    </row>
    <row r="802" ht="15.75" customHeight="1">
      <c r="A802" s="13"/>
      <c r="B802" s="13" t="s">
        <v>369</v>
      </c>
      <c r="C802" s="169" t="s">
        <v>370</v>
      </c>
      <c r="D802" s="14" t="s">
        <v>20</v>
      </c>
      <c r="E802" s="15">
        <v>8.49069896E8</v>
      </c>
      <c r="F802" s="16">
        <v>1.0</v>
      </c>
      <c r="G802" s="17">
        <v>5.0</v>
      </c>
      <c r="H802" s="17">
        <f t="shared" si="21"/>
        <v>5</v>
      </c>
      <c r="I802" s="18"/>
      <c r="J802" s="18"/>
      <c r="K802" s="18"/>
      <c r="L802" s="13"/>
      <c r="M802" s="19"/>
      <c r="N802" s="13"/>
      <c r="O802" s="19"/>
      <c r="P802" s="19"/>
      <c r="Q802" s="35"/>
      <c r="R802" s="35"/>
      <c r="S802" s="35"/>
      <c r="T802" s="1"/>
      <c r="U802" s="1"/>
      <c r="V802" s="1"/>
    </row>
    <row r="803" ht="15.75" customHeight="1">
      <c r="A803" s="13"/>
      <c r="B803" s="13" t="s">
        <v>18</v>
      </c>
      <c r="C803" s="169" t="s">
        <v>371</v>
      </c>
      <c r="D803" s="14" t="s">
        <v>20</v>
      </c>
      <c r="E803" s="15" t="s">
        <v>286</v>
      </c>
      <c r="F803" s="16">
        <v>2.0</v>
      </c>
      <c r="G803" s="17">
        <v>3.0</v>
      </c>
      <c r="H803" s="17">
        <f t="shared" si="21"/>
        <v>6</v>
      </c>
      <c r="I803" s="18"/>
      <c r="J803" s="18"/>
      <c r="K803" s="13"/>
      <c r="L803" s="27"/>
      <c r="M803" s="28"/>
      <c r="N803" s="27"/>
      <c r="O803" s="28"/>
      <c r="P803" s="28"/>
      <c r="Q803" s="35"/>
      <c r="R803" s="35"/>
      <c r="S803" s="35"/>
      <c r="T803" s="1"/>
      <c r="U803" s="1"/>
      <c r="V803" s="1"/>
    </row>
    <row r="804" ht="15.75" customHeight="1">
      <c r="A804" s="13"/>
      <c r="B804" s="13" t="s">
        <v>18</v>
      </c>
      <c r="C804" s="169" t="s">
        <v>69</v>
      </c>
      <c r="D804" s="14" t="s">
        <v>20</v>
      </c>
      <c r="E804" s="210"/>
      <c r="F804" s="228">
        <v>1.0</v>
      </c>
      <c r="G804" s="265">
        <v>70.0</v>
      </c>
      <c r="H804" s="265">
        <f t="shared" si="21"/>
        <v>70</v>
      </c>
      <c r="I804" s="239"/>
      <c r="J804" s="239"/>
      <c r="K804" s="54"/>
      <c r="L804" s="107"/>
      <c r="M804" s="214"/>
      <c r="N804" s="13"/>
      <c r="O804" s="13"/>
      <c r="P804" s="13"/>
      <c r="Q804" s="35"/>
      <c r="R804" s="35"/>
      <c r="S804" s="35"/>
      <c r="T804" s="1"/>
      <c r="U804" s="1"/>
      <c r="V804" s="1"/>
    </row>
    <row r="805" ht="15.75" customHeight="1">
      <c r="A805" s="13"/>
      <c r="B805" s="13"/>
      <c r="C805" s="169" t="s">
        <v>374</v>
      </c>
      <c r="D805" s="70" t="s">
        <v>24</v>
      </c>
      <c r="E805" s="15"/>
      <c r="F805" s="40">
        <v>1.0</v>
      </c>
      <c r="G805" s="17">
        <v>70.0</v>
      </c>
      <c r="H805" s="17">
        <f t="shared" si="21"/>
        <v>70</v>
      </c>
      <c r="I805" s="18"/>
      <c r="J805" s="18"/>
      <c r="K805" s="13"/>
      <c r="L805" s="63"/>
      <c r="M805" s="63"/>
      <c r="N805" s="63"/>
      <c r="O805" s="63"/>
      <c r="P805" s="63"/>
      <c r="Q805" s="35"/>
      <c r="R805" s="35"/>
      <c r="S805" s="35"/>
      <c r="T805" s="1"/>
      <c r="U805" s="1"/>
      <c r="V805" s="1"/>
    </row>
    <row r="806" ht="15.75" customHeight="1">
      <c r="A806" s="13"/>
      <c r="B806" s="43" t="s">
        <v>18</v>
      </c>
      <c r="C806" s="156" t="s">
        <v>230</v>
      </c>
      <c r="D806" s="14" t="s">
        <v>20</v>
      </c>
      <c r="E806" s="157" t="s">
        <v>231</v>
      </c>
      <c r="F806" s="158">
        <v>2.0</v>
      </c>
      <c r="G806" s="159">
        <v>35.0</v>
      </c>
      <c r="H806" s="50">
        <f t="shared" si="21"/>
        <v>70</v>
      </c>
      <c r="I806" s="18"/>
      <c r="J806" s="18"/>
      <c r="K806" s="13"/>
      <c r="L806" s="63"/>
      <c r="M806" s="63"/>
      <c r="N806" s="63"/>
      <c r="O806" s="63"/>
      <c r="P806" s="63"/>
      <c r="Q806" s="35"/>
      <c r="R806" s="35"/>
      <c r="S806" s="35"/>
      <c r="T806" s="1"/>
      <c r="U806" s="1"/>
      <c r="V806" s="1"/>
    </row>
    <row r="807" ht="15.75" customHeight="1">
      <c r="A807" s="13"/>
      <c r="B807" s="43"/>
      <c r="C807" s="156" t="s">
        <v>232</v>
      </c>
      <c r="D807" s="70" t="s">
        <v>24</v>
      </c>
      <c r="E807" s="160"/>
      <c r="F807" s="158">
        <v>1.0</v>
      </c>
      <c r="G807" s="159">
        <v>150.0</v>
      </c>
      <c r="H807" s="50">
        <f t="shared" si="21"/>
        <v>150</v>
      </c>
      <c r="I807" s="18"/>
      <c r="J807" s="18"/>
      <c r="K807" s="13"/>
      <c r="L807" s="63"/>
      <c r="M807" s="63"/>
      <c r="N807" s="63"/>
      <c r="O807" s="63"/>
      <c r="P807" s="63"/>
      <c r="Q807" s="35"/>
      <c r="R807" s="35"/>
      <c r="S807" s="35"/>
      <c r="T807" s="1"/>
      <c r="U807" s="1"/>
      <c r="V807" s="1"/>
    </row>
    <row r="808" ht="28.5" customHeight="1">
      <c r="A808" s="6"/>
      <c r="B808" s="172" t="s">
        <v>607</v>
      </c>
      <c r="C808" s="7">
        <f>SUM(H809:H834)</f>
        <v>4359.07</v>
      </c>
      <c r="D808" s="148"/>
      <c r="E808" s="148"/>
      <c r="F808" s="83"/>
      <c r="G808" s="82"/>
      <c r="H808" s="82"/>
      <c r="I808" s="82"/>
      <c r="J808" s="82"/>
      <c r="K808" s="83"/>
      <c r="L808" s="83"/>
      <c r="M808" s="83"/>
      <c r="N808" s="83"/>
      <c r="O808" s="83"/>
      <c r="P808" s="83"/>
      <c r="Q808" s="35"/>
      <c r="R808" s="35"/>
      <c r="S808" s="35"/>
      <c r="T808" s="1"/>
      <c r="U808" s="1"/>
      <c r="V808" s="1"/>
    </row>
    <row r="809" ht="15.75" customHeight="1">
      <c r="A809" s="13"/>
      <c r="B809" s="43" t="s">
        <v>64</v>
      </c>
      <c r="C809" s="169" t="s">
        <v>191</v>
      </c>
      <c r="D809" s="66" t="s">
        <v>22</v>
      </c>
      <c r="E809" s="15"/>
      <c r="F809" s="40">
        <v>2.0</v>
      </c>
      <c r="G809" s="34">
        <v>100.0</v>
      </c>
      <c r="H809" s="17">
        <f t="shared" ref="H809:H921" si="22">SUM(F809*G809)</f>
        <v>200</v>
      </c>
      <c r="I809" s="18"/>
      <c r="J809" s="18"/>
      <c r="K809" s="13"/>
      <c r="L809" s="13"/>
      <c r="M809" s="13"/>
      <c r="N809" s="13"/>
      <c r="O809" s="13"/>
      <c r="P809" s="13"/>
      <c r="Q809" s="35"/>
      <c r="R809" s="35"/>
      <c r="S809" s="35"/>
      <c r="T809" s="1"/>
      <c r="U809" s="1"/>
      <c r="V809" s="1"/>
    </row>
    <row r="810" ht="15.75" customHeight="1">
      <c r="A810" s="13"/>
      <c r="B810" s="13" t="s">
        <v>18</v>
      </c>
      <c r="C810" s="169" t="s">
        <v>294</v>
      </c>
      <c r="D810" s="14" t="s">
        <v>20</v>
      </c>
      <c r="E810" s="15"/>
      <c r="F810" s="40">
        <v>2.0</v>
      </c>
      <c r="G810" s="17">
        <v>5.0</v>
      </c>
      <c r="H810" s="17">
        <f t="shared" si="22"/>
        <v>10</v>
      </c>
      <c r="I810" s="18"/>
      <c r="J810" s="18"/>
      <c r="K810" s="13"/>
      <c r="L810" s="13"/>
      <c r="M810" s="19"/>
      <c r="N810" s="19"/>
      <c r="O810" s="38"/>
      <c r="P810" s="19"/>
      <c r="Q810" s="35"/>
      <c r="R810" s="35"/>
      <c r="S810" s="35"/>
      <c r="T810" s="1"/>
      <c r="U810" s="1"/>
      <c r="V810" s="1"/>
    </row>
    <row r="811" ht="15.75" customHeight="1">
      <c r="A811" s="13"/>
      <c r="B811" s="13" t="s">
        <v>18</v>
      </c>
      <c r="C811" s="169" t="s">
        <v>296</v>
      </c>
      <c r="D811" s="14" t="s">
        <v>20</v>
      </c>
      <c r="E811" s="155" t="s">
        <v>608</v>
      </c>
      <c r="F811" s="16">
        <v>1.0</v>
      </c>
      <c r="G811" s="34">
        <v>75.6</v>
      </c>
      <c r="H811" s="17">
        <f t="shared" si="22"/>
        <v>75.6</v>
      </c>
      <c r="I811" s="18"/>
      <c r="J811" s="18"/>
      <c r="K811" s="13"/>
      <c r="L811" s="27"/>
      <c r="M811" s="28"/>
      <c r="N811" s="27"/>
      <c r="O811" s="28"/>
      <c r="P811" s="27"/>
      <c r="Q811" s="35"/>
      <c r="R811" s="35"/>
      <c r="S811" s="35"/>
      <c r="T811" s="1"/>
      <c r="U811" s="1"/>
      <c r="V811" s="1"/>
    </row>
    <row r="812" ht="15.75" customHeight="1">
      <c r="A812" s="13"/>
      <c r="B812" s="13"/>
      <c r="C812" s="169" t="s">
        <v>298</v>
      </c>
      <c r="D812" s="70" t="s">
        <v>24</v>
      </c>
      <c r="E812" s="15"/>
      <c r="F812" s="16">
        <v>1.0</v>
      </c>
      <c r="G812" s="17">
        <v>95.0</v>
      </c>
      <c r="H812" s="17">
        <f t="shared" si="22"/>
        <v>95</v>
      </c>
      <c r="I812" s="18"/>
      <c r="J812" s="18"/>
      <c r="K812" s="13"/>
      <c r="L812" s="63"/>
      <c r="M812" s="63"/>
      <c r="N812" s="63"/>
      <c r="O812" s="63"/>
      <c r="P812" s="63"/>
      <c r="Q812" s="35"/>
      <c r="R812" s="35"/>
      <c r="S812" s="35"/>
      <c r="T812" s="1"/>
      <c r="U812" s="1"/>
      <c r="V812" s="1"/>
    </row>
    <row r="813" ht="15.75" customHeight="1">
      <c r="A813" s="13"/>
      <c r="B813" s="13" t="s">
        <v>18</v>
      </c>
      <c r="C813" s="169" t="s">
        <v>300</v>
      </c>
      <c r="D813" s="14" t="s">
        <v>20</v>
      </c>
      <c r="E813" s="15" t="s">
        <v>609</v>
      </c>
      <c r="F813" s="16">
        <v>6.0</v>
      </c>
      <c r="G813" s="17">
        <v>5.0</v>
      </c>
      <c r="H813" s="17">
        <f t="shared" si="22"/>
        <v>30</v>
      </c>
      <c r="I813" s="18"/>
      <c r="J813" s="18"/>
      <c r="K813" s="13"/>
      <c r="L813" s="27"/>
      <c r="M813" s="27"/>
      <c r="N813" s="27"/>
      <c r="O813" s="27"/>
      <c r="P813" s="27"/>
      <c r="Q813" s="35"/>
      <c r="R813" s="35"/>
      <c r="S813" s="35"/>
      <c r="T813" s="1"/>
      <c r="U813" s="1"/>
      <c r="V813" s="1"/>
    </row>
    <row r="814" ht="15.75" customHeight="1">
      <c r="A814" s="13"/>
      <c r="B814" s="43" t="s">
        <v>610</v>
      </c>
      <c r="C814" s="169" t="s">
        <v>305</v>
      </c>
      <c r="D814" s="101" t="s">
        <v>32</v>
      </c>
      <c r="E814" s="154" t="s">
        <v>611</v>
      </c>
      <c r="F814" s="16">
        <v>1.0</v>
      </c>
      <c r="G814" s="34">
        <v>713.7</v>
      </c>
      <c r="H814" s="17">
        <f t="shared" si="22"/>
        <v>713.7</v>
      </c>
      <c r="I814" s="18"/>
      <c r="J814" s="18"/>
      <c r="K814" s="13"/>
      <c r="L814" s="13"/>
      <c r="M814" s="13"/>
      <c r="N814" s="13"/>
      <c r="O814" s="13"/>
      <c r="P814" s="13"/>
      <c r="Q814" s="35"/>
      <c r="R814" s="35"/>
      <c r="S814" s="35"/>
      <c r="T814" s="1"/>
      <c r="U814" s="1"/>
      <c r="V814" s="1"/>
    </row>
    <row r="815" ht="15.75" customHeight="1">
      <c r="A815" s="13"/>
      <c r="B815" s="43" t="s">
        <v>217</v>
      </c>
      <c r="C815" s="169" t="s">
        <v>307</v>
      </c>
      <c r="D815" s="101" t="s">
        <v>32</v>
      </c>
      <c r="E815" s="154">
        <v>82499.0</v>
      </c>
      <c r="F815" s="40">
        <v>2.0</v>
      </c>
      <c r="G815" s="34">
        <v>256.74</v>
      </c>
      <c r="H815" s="17">
        <f t="shared" si="22"/>
        <v>513.48</v>
      </c>
      <c r="I815" s="18"/>
      <c r="J815" s="18"/>
      <c r="K815" s="13"/>
      <c r="L815" s="27"/>
      <c r="M815" s="28"/>
      <c r="N815" s="27"/>
      <c r="O815" s="27"/>
      <c r="P815" s="27"/>
      <c r="Q815" s="35"/>
      <c r="R815" s="35"/>
      <c r="S815" s="35"/>
      <c r="T815" s="1"/>
      <c r="U815" s="1"/>
      <c r="V815" s="1"/>
    </row>
    <row r="816" ht="15.75" customHeight="1">
      <c r="A816" s="13"/>
      <c r="B816" s="43" t="s">
        <v>217</v>
      </c>
      <c r="C816" s="169" t="s">
        <v>308</v>
      </c>
      <c r="D816" s="101" t="s">
        <v>32</v>
      </c>
      <c r="E816" s="154">
        <v>82500.0</v>
      </c>
      <c r="F816" s="16">
        <v>1.0</v>
      </c>
      <c r="G816" s="34">
        <v>613.29</v>
      </c>
      <c r="H816" s="17">
        <f t="shared" si="22"/>
        <v>613.29</v>
      </c>
      <c r="I816" s="18"/>
      <c r="J816" s="18"/>
      <c r="K816" s="13"/>
      <c r="L816" s="27"/>
      <c r="M816" s="28"/>
      <c r="N816" s="27"/>
      <c r="O816" s="28"/>
      <c r="P816" s="28"/>
      <c r="Q816" s="35"/>
      <c r="R816" s="35"/>
      <c r="S816" s="35"/>
      <c r="T816" s="1"/>
      <c r="U816" s="1"/>
      <c r="V816" s="1"/>
    </row>
    <row r="817" ht="15.75" customHeight="1">
      <c r="A817" s="13"/>
      <c r="B817" s="13" t="s">
        <v>239</v>
      </c>
      <c r="C817" s="195" t="s">
        <v>322</v>
      </c>
      <c r="D817" s="14" t="s">
        <v>20</v>
      </c>
      <c r="E817" s="15"/>
      <c r="F817" s="16">
        <v>1.0</v>
      </c>
      <c r="G817" s="34">
        <v>300.0</v>
      </c>
      <c r="H817" s="17">
        <f t="shared" si="22"/>
        <v>300</v>
      </c>
      <c r="I817" s="18"/>
      <c r="J817" s="18"/>
      <c r="K817" s="13"/>
      <c r="L817" s="13"/>
      <c r="M817" s="19"/>
      <c r="N817" s="13"/>
      <c r="O817" s="19"/>
      <c r="P817" s="19"/>
      <c r="Q817" s="35"/>
      <c r="R817" s="35"/>
      <c r="S817" s="35"/>
      <c r="T817" s="1"/>
      <c r="U817" s="1"/>
      <c r="V817" s="1"/>
    </row>
    <row r="818" ht="15.75" customHeight="1">
      <c r="A818" s="13"/>
      <c r="B818" s="13"/>
      <c r="C818" s="169" t="s">
        <v>323</v>
      </c>
      <c r="D818" s="70" t="s">
        <v>24</v>
      </c>
      <c r="E818" s="15"/>
      <c r="F818" s="16">
        <v>1.0</v>
      </c>
      <c r="G818" s="34">
        <v>80.0</v>
      </c>
      <c r="H818" s="17">
        <f t="shared" si="22"/>
        <v>80</v>
      </c>
      <c r="I818" s="18"/>
      <c r="J818" s="18"/>
      <c r="K818" s="13"/>
      <c r="L818" s="63"/>
      <c r="M818" s="63"/>
      <c r="N818" s="63"/>
      <c r="O818" s="63"/>
      <c r="P818" s="63"/>
      <c r="Q818" s="35"/>
      <c r="R818" s="35"/>
      <c r="S818" s="35"/>
      <c r="T818" s="1"/>
      <c r="U818" s="1"/>
      <c r="V818" s="1"/>
    </row>
    <row r="819" ht="15.75" customHeight="1">
      <c r="A819" s="13"/>
      <c r="B819" s="13"/>
      <c r="C819" s="169" t="s">
        <v>324</v>
      </c>
      <c r="D819" s="14" t="s">
        <v>20</v>
      </c>
      <c r="E819" s="15"/>
      <c r="F819" s="16">
        <v>1.0</v>
      </c>
      <c r="G819" s="17">
        <v>35.0</v>
      </c>
      <c r="H819" s="17">
        <f t="shared" si="22"/>
        <v>35</v>
      </c>
      <c r="I819" s="18"/>
      <c r="J819" s="18"/>
      <c r="K819" s="13"/>
      <c r="L819" s="13"/>
      <c r="M819" s="19"/>
      <c r="N819" s="13"/>
      <c r="O819" s="19"/>
      <c r="P819" s="19"/>
      <c r="Q819" s="35"/>
      <c r="R819" s="35"/>
      <c r="S819" s="35"/>
      <c r="T819" s="1"/>
      <c r="U819" s="1"/>
      <c r="V819" s="1"/>
    </row>
    <row r="820" ht="15.75" customHeight="1">
      <c r="A820" s="13"/>
      <c r="B820" s="13" t="s">
        <v>18</v>
      </c>
      <c r="C820" s="196" t="s">
        <v>325</v>
      </c>
      <c r="D820" s="150" t="s">
        <v>22</v>
      </c>
      <c r="E820" s="47" t="s">
        <v>326</v>
      </c>
      <c r="F820" s="48">
        <v>1.0</v>
      </c>
      <c r="G820" s="49">
        <v>46.8</v>
      </c>
      <c r="H820" s="50">
        <f t="shared" si="22"/>
        <v>46.8</v>
      </c>
      <c r="I820" s="18"/>
      <c r="J820" s="18"/>
      <c r="K820" s="13"/>
      <c r="L820" s="13"/>
      <c r="M820" s="13"/>
      <c r="N820" s="13"/>
      <c r="O820" s="19"/>
      <c r="P820" s="19"/>
      <c r="Q820" s="35"/>
      <c r="R820" s="35"/>
      <c r="S820" s="35"/>
      <c r="T820" s="1"/>
      <c r="U820" s="1"/>
      <c r="V820" s="1"/>
    </row>
    <row r="821" ht="15.75" customHeight="1">
      <c r="A821" s="15"/>
      <c r="B821" s="52" t="s">
        <v>18</v>
      </c>
      <c r="C821" s="196" t="s">
        <v>329</v>
      </c>
      <c r="D821" s="150" t="s">
        <v>22</v>
      </c>
      <c r="E821" s="199" t="s">
        <v>330</v>
      </c>
      <c r="F821" s="48">
        <v>2.0</v>
      </c>
      <c r="G821" s="49">
        <v>25.2</v>
      </c>
      <c r="H821" s="50">
        <f t="shared" si="22"/>
        <v>50.4</v>
      </c>
      <c r="I821" s="51"/>
      <c r="J821" s="51"/>
      <c r="K821" s="52"/>
      <c r="L821" s="52"/>
      <c r="M821" s="52"/>
      <c r="N821" s="52"/>
      <c r="O821" s="200"/>
      <c r="P821" s="200"/>
      <c r="Q821" s="1"/>
      <c r="R821" s="1"/>
      <c r="S821" s="1"/>
      <c r="T821" s="1"/>
      <c r="U821" s="1"/>
      <c r="V821" s="1"/>
    </row>
    <row r="822" ht="15.75" customHeight="1">
      <c r="A822" s="53"/>
      <c r="B822" s="54" t="s">
        <v>18</v>
      </c>
      <c r="C822" s="197" t="s">
        <v>331</v>
      </c>
      <c r="D822" s="198" t="s">
        <v>22</v>
      </c>
      <c r="E822" s="201" t="s">
        <v>332</v>
      </c>
      <c r="F822" s="56">
        <v>1.0</v>
      </c>
      <c r="G822" s="159">
        <v>48.0</v>
      </c>
      <c r="H822" s="57">
        <f t="shared" si="22"/>
        <v>48</v>
      </c>
      <c r="I822" s="58"/>
      <c r="J822" s="58"/>
      <c r="K822" s="54"/>
      <c r="L822" s="54"/>
      <c r="M822" s="54"/>
      <c r="N822" s="54"/>
      <c r="O822" s="202"/>
      <c r="P822" s="202"/>
      <c r="Q822" s="1"/>
      <c r="R822" s="1"/>
      <c r="S822" s="1"/>
      <c r="T822" s="1"/>
      <c r="U822" s="1"/>
      <c r="V822" s="1"/>
    </row>
    <row r="823" ht="15.75" customHeight="1">
      <c r="A823" s="53"/>
      <c r="B823" s="54" t="s">
        <v>18</v>
      </c>
      <c r="C823" s="203" t="s">
        <v>333</v>
      </c>
      <c r="D823" s="198" t="s">
        <v>22</v>
      </c>
      <c r="E823" s="204" t="s">
        <v>334</v>
      </c>
      <c r="F823" s="56">
        <v>1.0</v>
      </c>
      <c r="G823" s="159">
        <v>46.8</v>
      </c>
      <c r="H823" s="57">
        <f t="shared" si="22"/>
        <v>46.8</v>
      </c>
      <c r="I823" s="58"/>
      <c r="J823" s="58"/>
      <c r="K823" s="54"/>
      <c r="L823" s="54"/>
      <c r="M823" s="54"/>
      <c r="N823" s="54"/>
      <c r="O823" s="202"/>
      <c r="P823" s="202"/>
      <c r="Q823" s="1"/>
      <c r="R823" s="1"/>
      <c r="S823" s="1"/>
      <c r="T823" s="1"/>
      <c r="U823" s="1"/>
      <c r="V823" s="1"/>
    </row>
    <row r="824" ht="15.75" customHeight="1">
      <c r="A824" s="53"/>
      <c r="B824" s="13" t="s">
        <v>18</v>
      </c>
      <c r="C824" s="196" t="s">
        <v>348</v>
      </c>
      <c r="D824" s="150" t="s">
        <v>22</v>
      </c>
      <c r="E824" s="199" t="s">
        <v>349</v>
      </c>
      <c r="F824" s="48">
        <v>1.0</v>
      </c>
      <c r="G824" s="49">
        <v>24.0</v>
      </c>
      <c r="H824" s="50">
        <f t="shared" si="22"/>
        <v>24</v>
      </c>
      <c r="I824" s="58"/>
      <c r="J824" s="58"/>
      <c r="K824" s="54"/>
      <c r="L824" s="54"/>
      <c r="M824" s="54"/>
      <c r="N824" s="54"/>
      <c r="O824" s="202"/>
      <c r="P824" s="202"/>
      <c r="Q824" s="1"/>
      <c r="R824" s="1"/>
      <c r="S824" s="1"/>
      <c r="T824" s="1"/>
      <c r="U824" s="1"/>
      <c r="V824" s="1"/>
    </row>
    <row r="825" ht="15.75" customHeight="1">
      <c r="A825" s="53"/>
      <c r="B825" s="13" t="s">
        <v>350</v>
      </c>
      <c r="C825" s="196" t="s">
        <v>351</v>
      </c>
      <c r="D825" s="150" t="s">
        <v>22</v>
      </c>
      <c r="E825" s="207" t="s">
        <v>352</v>
      </c>
      <c r="F825" s="48">
        <v>1.0</v>
      </c>
      <c r="G825" s="49">
        <v>420.0</v>
      </c>
      <c r="H825" s="50">
        <f t="shared" si="22"/>
        <v>420</v>
      </c>
      <c r="I825" s="58"/>
      <c r="J825" s="58"/>
      <c r="K825" s="54"/>
      <c r="L825" s="54"/>
      <c r="M825" s="54"/>
      <c r="N825" s="54"/>
      <c r="O825" s="202"/>
      <c r="P825" s="202"/>
      <c r="Q825" s="1"/>
      <c r="R825" s="1"/>
      <c r="S825" s="1"/>
      <c r="T825" s="1"/>
      <c r="U825" s="1"/>
      <c r="V825" s="1"/>
    </row>
    <row r="826" ht="15.75" customHeight="1">
      <c r="A826" s="13"/>
      <c r="B826" s="206" t="s">
        <v>350</v>
      </c>
      <c r="C826" s="197" t="s">
        <v>353</v>
      </c>
      <c r="D826" s="198" t="s">
        <v>22</v>
      </c>
      <c r="E826" s="208" t="s">
        <v>352</v>
      </c>
      <c r="F826" s="56">
        <v>1.0</v>
      </c>
      <c r="G826" s="159">
        <v>172.0</v>
      </c>
      <c r="H826" s="57">
        <f t="shared" si="22"/>
        <v>172</v>
      </c>
      <c r="I826" s="18"/>
      <c r="J826" s="18"/>
      <c r="K826" s="13"/>
      <c r="L826" s="13"/>
      <c r="M826" s="13"/>
      <c r="N826" s="13"/>
      <c r="O826" s="19"/>
      <c r="P826" s="19"/>
      <c r="Q826" s="35"/>
      <c r="R826" s="35"/>
      <c r="S826" s="35"/>
      <c r="T826" s="1"/>
      <c r="U826" s="1"/>
      <c r="V826" s="1"/>
    </row>
    <row r="827" ht="15.75" customHeight="1">
      <c r="A827" s="13"/>
      <c r="B827" s="13" t="s">
        <v>361</v>
      </c>
      <c r="C827" s="169" t="s">
        <v>362</v>
      </c>
      <c r="D827" s="66" t="s">
        <v>22</v>
      </c>
      <c r="E827" s="15" t="s">
        <v>363</v>
      </c>
      <c r="F827" s="16">
        <v>4.0</v>
      </c>
      <c r="G827" s="17">
        <v>11.0</v>
      </c>
      <c r="H827" s="17">
        <f t="shared" si="22"/>
        <v>44</v>
      </c>
      <c r="I827" s="18"/>
      <c r="J827" s="18"/>
      <c r="K827" s="13"/>
      <c r="L827" s="27"/>
      <c r="M827" s="28"/>
      <c r="N827" s="27"/>
      <c r="O827" s="28"/>
      <c r="P827" s="27"/>
      <c r="Q827" s="35"/>
      <c r="R827" s="35"/>
      <c r="S827" s="35"/>
      <c r="T827" s="1"/>
      <c r="U827" s="1"/>
      <c r="V827" s="1"/>
    </row>
    <row r="828" ht="15.75" customHeight="1">
      <c r="A828" s="13"/>
      <c r="B828" s="13" t="s">
        <v>974</v>
      </c>
      <c r="C828" s="169" t="s">
        <v>263</v>
      </c>
      <c r="D828" s="66" t="s">
        <v>22</v>
      </c>
      <c r="E828" s="15" t="s">
        <v>612</v>
      </c>
      <c r="F828" s="16">
        <v>2.0</v>
      </c>
      <c r="G828" s="17">
        <v>180.0</v>
      </c>
      <c r="H828" s="17">
        <f t="shared" si="22"/>
        <v>360</v>
      </c>
      <c r="I828" s="18"/>
      <c r="J828" s="18"/>
      <c r="K828" s="13"/>
      <c r="L828" s="27"/>
      <c r="M828" s="28"/>
      <c r="N828" s="27"/>
      <c r="O828" s="28"/>
      <c r="P828" s="27"/>
      <c r="Q828" s="35"/>
      <c r="R828" s="35"/>
      <c r="S828" s="35"/>
      <c r="T828" s="1"/>
      <c r="U828" s="1"/>
      <c r="V828" s="1"/>
    </row>
    <row r="829" ht="15.75" customHeight="1">
      <c r="A829" s="13"/>
      <c r="B829" s="13"/>
      <c r="C829" s="13" t="s">
        <v>67</v>
      </c>
      <c r="D829" s="70" t="s">
        <v>24</v>
      </c>
      <c r="E829" s="15"/>
      <c r="F829" s="16">
        <v>2.0</v>
      </c>
      <c r="G829" s="17">
        <v>18.0</v>
      </c>
      <c r="H829" s="17">
        <f t="shared" si="22"/>
        <v>36</v>
      </c>
      <c r="I829" s="18"/>
      <c r="J829" s="18"/>
      <c r="K829" s="13"/>
      <c r="L829" s="95"/>
      <c r="M829" s="96"/>
      <c r="N829" s="95"/>
      <c r="O829" s="95"/>
      <c r="P829" s="95"/>
      <c r="Q829" s="35"/>
      <c r="R829" s="35"/>
      <c r="S829" s="35"/>
      <c r="T829" s="1"/>
      <c r="U829" s="1"/>
      <c r="V829" s="1"/>
    </row>
    <row r="830" ht="15.75" customHeight="1">
      <c r="A830" s="13"/>
      <c r="B830" s="43" t="s">
        <v>88</v>
      </c>
      <c r="C830" s="195" t="s">
        <v>431</v>
      </c>
      <c r="D830" s="14" t="s">
        <v>20</v>
      </c>
      <c r="E830" s="171" t="s">
        <v>412</v>
      </c>
      <c r="F830" s="16">
        <v>1.0</v>
      </c>
      <c r="G830" s="34">
        <v>334.0</v>
      </c>
      <c r="H830" s="17">
        <f t="shared" si="22"/>
        <v>334</v>
      </c>
      <c r="I830" s="18"/>
      <c r="J830" s="18"/>
      <c r="K830" s="13"/>
      <c r="L830" s="95"/>
      <c r="M830" s="96"/>
      <c r="N830" s="95"/>
      <c r="O830" s="95"/>
      <c r="P830" s="95"/>
      <c r="Q830" s="35"/>
      <c r="R830" s="35"/>
      <c r="S830" s="35"/>
      <c r="T830" s="1"/>
      <c r="U830" s="1"/>
      <c r="V830" s="1"/>
    </row>
    <row r="831" ht="15.75" customHeight="1">
      <c r="A831" s="13"/>
      <c r="B831" s="13" t="s">
        <v>18</v>
      </c>
      <c r="C831" s="169" t="s">
        <v>280</v>
      </c>
      <c r="D831" s="14" t="s">
        <v>20</v>
      </c>
      <c r="E831" s="33" t="s">
        <v>368</v>
      </c>
      <c r="F831" s="16">
        <v>1.0</v>
      </c>
      <c r="G831" s="34">
        <v>20.0</v>
      </c>
      <c r="H831" s="17">
        <f t="shared" si="22"/>
        <v>20</v>
      </c>
      <c r="I831" s="18"/>
      <c r="J831" s="18"/>
      <c r="K831" s="13"/>
      <c r="L831" s="13"/>
      <c r="M831" s="19"/>
      <c r="N831" s="13"/>
      <c r="O831" s="19"/>
      <c r="P831" s="19"/>
      <c r="Q831" s="35"/>
      <c r="R831" s="35"/>
      <c r="S831" s="35"/>
      <c r="T831" s="1"/>
      <c r="U831" s="1"/>
      <c r="V831" s="1"/>
    </row>
    <row r="832" ht="15.75" customHeight="1">
      <c r="A832" s="13"/>
      <c r="B832" s="13"/>
      <c r="C832" s="169" t="s">
        <v>282</v>
      </c>
      <c r="D832" s="70" t="s">
        <v>24</v>
      </c>
      <c r="E832" s="15"/>
      <c r="F832" s="16">
        <v>1.0</v>
      </c>
      <c r="G832" s="17">
        <v>80.0</v>
      </c>
      <c r="H832" s="17">
        <f t="shared" si="22"/>
        <v>80</v>
      </c>
      <c r="I832" s="18"/>
      <c r="J832" s="18"/>
      <c r="K832" s="13"/>
      <c r="L832" s="63"/>
      <c r="M832" s="79"/>
      <c r="N832" s="63"/>
      <c r="O832" s="79"/>
      <c r="P832" s="79"/>
      <c r="Q832" s="35"/>
      <c r="R832" s="35"/>
      <c r="S832" s="35"/>
      <c r="T832" s="1"/>
      <c r="U832" s="1"/>
      <c r="V832" s="1"/>
    </row>
    <row r="833" ht="15.75" customHeight="1">
      <c r="A833" s="13"/>
      <c r="B833" s="13" t="s">
        <v>369</v>
      </c>
      <c r="C833" s="169" t="s">
        <v>370</v>
      </c>
      <c r="D833" s="14" t="s">
        <v>20</v>
      </c>
      <c r="E833" s="15">
        <v>8.49069896E8</v>
      </c>
      <c r="F833" s="16">
        <v>1.0</v>
      </c>
      <c r="G833" s="17">
        <v>5.0</v>
      </c>
      <c r="H833" s="17">
        <f t="shared" si="22"/>
        <v>5</v>
      </c>
      <c r="I833" s="18"/>
      <c r="J833" s="18"/>
      <c r="K833" s="13"/>
      <c r="L833" s="27"/>
      <c r="M833" s="27"/>
      <c r="N833" s="27"/>
      <c r="O833" s="27"/>
      <c r="P833" s="27"/>
      <c r="Q833" s="35"/>
      <c r="R833" s="35"/>
      <c r="S833" s="35"/>
      <c r="T833" s="1"/>
      <c r="U833" s="1"/>
      <c r="V833" s="1"/>
    </row>
    <row r="834" ht="15.75" customHeight="1">
      <c r="A834" s="13"/>
      <c r="B834" s="13" t="s">
        <v>18</v>
      </c>
      <c r="C834" s="169" t="s">
        <v>371</v>
      </c>
      <c r="D834" s="14" t="s">
        <v>20</v>
      </c>
      <c r="E834" s="15" t="s">
        <v>286</v>
      </c>
      <c r="F834" s="16">
        <v>2.0</v>
      </c>
      <c r="G834" s="17">
        <v>3.0</v>
      </c>
      <c r="H834" s="17">
        <f t="shared" si="22"/>
        <v>6</v>
      </c>
      <c r="I834" s="18"/>
      <c r="J834" s="18"/>
      <c r="K834" s="13"/>
      <c r="L834" s="63"/>
      <c r="M834" s="63"/>
      <c r="N834" s="63"/>
      <c r="O834" s="63"/>
      <c r="P834" s="63"/>
      <c r="Q834" s="35"/>
      <c r="R834" s="35"/>
      <c r="S834" s="35"/>
      <c r="T834" s="1"/>
      <c r="U834" s="1"/>
      <c r="V834" s="1"/>
    </row>
    <row r="835" ht="15.75" hidden="1" customHeight="1">
      <c r="A835" s="13"/>
      <c r="B835" s="13"/>
      <c r="C835" s="169" t="s">
        <v>375</v>
      </c>
      <c r="D835" s="70" t="s">
        <v>24</v>
      </c>
      <c r="E835" s="15"/>
      <c r="F835" s="16">
        <v>0.0</v>
      </c>
      <c r="G835" s="17">
        <v>450.0</v>
      </c>
      <c r="H835" s="17">
        <f t="shared" si="22"/>
        <v>0</v>
      </c>
      <c r="I835" s="18"/>
      <c r="J835" s="18"/>
      <c r="K835" s="13" t="s">
        <v>376</v>
      </c>
      <c r="L835" s="63"/>
      <c r="M835" s="63"/>
      <c r="N835" s="63"/>
      <c r="O835" s="63"/>
      <c r="P835" s="63"/>
      <c r="Q835" s="35"/>
      <c r="R835" s="35"/>
      <c r="S835" s="35"/>
      <c r="T835" s="1"/>
      <c r="U835" s="1"/>
      <c r="V835" s="1"/>
    </row>
    <row r="836" ht="15.75" hidden="1" customHeight="1">
      <c r="A836" s="13"/>
      <c r="B836" s="13"/>
      <c r="C836" s="13" t="s">
        <v>71</v>
      </c>
      <c r="D836" s="213" t="s">
        <v>24</v>
      </c>
      <c r="E836" s="52"/>
      <c r="F836" s="48">
        <v>0.0</v>
      </c>
      <c r="G836" s="50">
        <v>80.0</v>
      </c>
      <c r="H836" s="50">
        <f t="shared" si="22"/>
        <v>0</v>
      </c>
      <c r="I836" s="18"/>
      <c r="J836" s="18"/>
      <c r="K836" s="13"/>
      <c r="L836" s="63"/>
      <c r="M836" s="63"/>
      <c r="N836" s="63"/>
      <c r="O836" s="63"/>
      <c r="P836" s="63"/>
      <c r="Q836" s="35"/>
      <c r="R836" s="35"/>
      <c r="S836" s="35"/>
      <c r="T836" s="1"/>
      <c r="U836" s="1"/>
      <c r="V836" s="1"/>
    </row>
    <row r="837" ht="15.75" hidden="1" customHeight="1">
      <c r="A837" s="13"/>
      <c r="B837" s="13" t="s">
        <v>18</v>
      </c>
      <c r="C837" s="13" t="s">
        <v>377</v>
      </c>
      <c r="D837" s="14" t="s">
        <v>20</v>
      </c>
      <c r="E837" s="52" t="s">
        <v>28</v>
      </c>
      <c r="F837" s="48">
        <v>0.0</v>
      </c>
      <c r="G837" s="50">
        <v>70.0</v>
      </c>
      <c r="H837" s="50">
        <f t="shared" si="22"/>
        <v>0</v>
      </c>
      <c r="I837" s="18"/>
      <c r="J837" s="18"/>
      <c r="K837" s="13"/>
      <c r="L837" s="63"/>
      <c r="M837" s="63"/>
      <c r="N837" s="63"/>
      <c r="O837" s="63"/>
      <c r="P837" s="63"/>
      <c r="Q837" s="35"/>
      <c r="R837" s="35"/>
      <c r="S837" s="35"/>
      <c r="T837" s="1"/>
      <c r="U837" s="1"/>
      <c r="V837" s="1"/>
    </row>
    <row r="838" ht="15.75" hidden="1" customHeight="1">
      <c r="A838" s="13"/>
      <c r="B838" s="13"/>
      <c r="C838" s="13" t="s">
        <v>221</v>
      </c>
      <c r="D838" s="213" t="s">
        <v>24</v>
      </c>
      <c r="E838" s="52"/>
      <c r="F838" s="48">
        <v>0.0</v>
      </c>
      <c r="G838" s="50">
        <v>50.0</v>
      </c>
      <c r="H838" s="50">
        <f t="shared" si="22"/>
        <v>0</v>
      </c>
      <c r="I838" s="18"/>
      <c r="J838" s="18"/>
      <c r="K838" s="13"/>
      <c r="L838" s="63"/>
      <c r="M838" s="63"/>
      <c r="N838" s="63"/>
      <c r="O838" s="63"/>
      <c r="P838" s="63"/>
      <c r="Q838" s="35"/>
      <c r="R838" s="35"/>
      <c r="S838" s="35"/>
      <c r="T838" s="1"/>
      <c r="U838" s="1"/>
      <c r="V838" s="1"/>
    </row>
    <row r="839" ht="15.75" hidden="1" customHeight="1">
      <c r="A839" s="13"/>
      <c r="B839" s="13"/>
      <c r="C839" s="206" t="s">
        <v>222</v>
      </c>
      <c r="D839" s="216" t="s">
        <v>24</v>
      </c>
      <c r="E839" s="54"/>
      <c r="F839" s="56">
        <v>0.0</v>
      </c>
      <c r="G839" s="57">
        <v>40.0</v>
      </c>
      <c r="H839" s="57">
        <f t="shared" si="22"/>
        <v>0</v>
      </c>
      <c r="I839" s="18"/>
      <c r="J839" s="18"/>
      <c r="K839" s="13"/>
      <c r="L839" s="63"/>
      <c r="M839" s="63"/>
      <c r="N839" s="63"/>
      <c r="O839" s="63"/>
      <c r="P839" s="63"/>
      <c r="Q839" s="35"/>
      <c r="R839" s="35"/>
      <c r="S839" s="35"/>
      <c r="T839" s="1"/>
      <c r="U839" s="1"/>
      <c r="V839" s="1"/>
    </row>
    <row r="840" ht="15.75" hidden="1" customHeight="1">
      <c r="A840" s="53"/>
      <c r="B840" s="54"/>
      <c r="C840" s="197" t="s">
        <v>191</v>
      </c>
      <c r="D840" s="198" t="s">
        <v>22</v>
      </c>
      <c r="E840" s="54"/>
      <c r="F840" s="56">
        <v>0.0</v>
      </c>
      <c r="G840" s="57">
        <v>100.0</v>
      </c>
      <c r="H840" s="57">
        <f t="shared" si="22"/>
        <v>0</v>
      </c>
      <c r="I840" s="58"/>
      <c r="J840" s="58"/>
      <c r="K840" s="54"/>
      <c r="L840" s="54"/>
      <c r="M840" s="54"/>
      <c r="N840" s="54"/>
      <c r="O840" s="54"/>
      <c r="P840" s="54"/>
      <c r="Q840" s="1"/>
      <c r="R840" s="1"/>
      <c r="S840" s="1"/>
      <c r="T840" s="1"/>
      <c r="U840" s="1"/>
      <c r="V840" s="1"/>
    </row>
    <row r="841" ht="15.75" hidden="1" customHeight="1">
      <c r="A841" s="53"/>
      <c r="B841" s="54" t="s">
        <v>18</v>
      </c>
      <c r="C841" s="197" t="s">
        <v>433</v>
      </c>
      <c r="D841" s="55" t="s">
        <v>20</v>
      </c>
      <c r="E841" s="54"/>
      <c r="F841" s="56">
        <v>0.0</v>
      </c>
      <c r="G841" s="57">
        <v>5.0</v>
      </c>
      <c r="H841" s="57">
        <f t="shared" si="22"/>
        <v>0</v>
      </c>
      <c r="I841" s="58"/>
      <c r="J841" s="58"/>
      <c r="K841" s="54"/>
      <c r="L841" s="54"/>
      <c r="M841" s="54"/>
      <c r="N841" s="54"/>
      <c r="O841" s="54"/>
      <c r="P841" s="54"/>
      <c r="Q841" s="1"/>
      <c r="R841" s="1"/>
      <c r="S841" s="1"/>
      <c r="T841" s="1"/>
      <c r="U841" s="1"/>
      <c r="V841" s="1"/>
    </row>
    <row r="842" ht="15.75" hidden="1" customHeight="1">
      <c r="A842" s="53"/>
      <c r="B842" s="54" t="s">
        <v>18</v>
      </c>
      <c r="C842" s="197" t="s">
        <v>19</v>
      </c>
      <c r="D842" s="55" t="s">
        <v>20</v>
      </c>
      <c r="E842" s="54"/>
      <c r="F842" s="56">
        <v>0.0</v>
      </c>
      <c r="G842" s="57">
        <v>0.0</v>
      </c>
      <c r="H842" s="57">
        <f t="shared" si="22"/>
        <v>0</v>
      </c>
      <c r="I842" s="58"/>
      <c r="J842" s="58"/>
      <c r="K842" s="54"/>
      <c r="L842" s="54"/>
      <c r="M842" s="202"/>
      <c r="N842" s="202"/>
      <c r="O842" s="270"/>
      <c r="P842" s="202"/>
      <c r="Q842" s="1"/>
      <c r="R842" s="1"/>
      <c r="S842" s="1"/>
      <c r="T842" s="1"/>
      <c r="U842" s="1"/>
      <c r="V842" s="1"/>
    </row>
    <row r="843" ht="15.75" hidden="1" customHeight="1">
      <c r="A843" s="53"/>
      <c r="B843" s="54" t="s">
        <v>18</v>
      </c>
      <c r="C843" s="197" t="s">
        <v>434</v>
      </c>
      <c r="D843" s="55" t="s">
        <v>20</v>
      </c>
      <c r="E843" s="54"/>
      <c r="F843" s="56">
        <v>0.0</v>
      </c>
      <c r="G843" s="57">
        <v>5.0</v>
      </c>
      <c r="H843" s="57">
        <f t="shared" si="22"/>
        <v>0</v>
      </c>
      <c r="I843" s="58"/>
      <c r="J843" s="58"/>
      <c r="K843" s="54"/>
      <c r="L843" s="54"/>
      <c r="M843" s="202"/>
      <c r="N843" s="202"/>
      <c r="O843" s="270"/>
      <c r="P843" s="202"/>
      <c r="Q843" s="1"/>
      <c r="R843" s="1"/>
      <c r="S843" s="1"/>
      <c r="T843" s="1"/>
      <c r="U843" s="1"/>
      <c r="V843" s="1"/>
    </row>
    <row r="844" ht="15.75" hidden="1" customHeight="1">
      <c r="A844" s="53"/>
      <c r="B844" s="54"/>
      <c r="C844" s="197" t="s">
        <v>435</v>
      </c>
      <c r="D844" s="216" t="s">
        <v>24</v>
      </c>
      <c r="E844" s="54"/>
      <c r="F844" s="56">
        <v>0.0</v>
      </c>
      <c r="G844" s="57">
        <v>103.5</v>
      </c>
      <c r="H844" s="57">
        <f t="shared" si="22"/>
        <v>0</v>
      </c>
      <c r="I844" s="58"/>
      <c r="J844" s="58"/>
      <c r="K844" s="54"/>
      <c r="L844" s="54"/>
      <c r="M844" s="202"/>
      <c r="N844" s="202"/>
      <c r="O844" s="270"/>
      <c r="P844" s="202"/>
      <c r="Q844" s="1"/>
      <c r="R844" s="1"/>
      <c r="S844" s="1"/>
      <c r="T844" s="1"/>
      <c r="U844" s="1"/>
      <c r="V844" s="1"/>
    </row>
    <row r="845" ht="15.75" hidden="1" customHeight="1">
      <c r="A845" s="53"/>
      <c r="B845" s="54" t="s">
        <v>18</v>
      </c>
      <c r="C845" s="197" t="s">
        <v>258</v>
      </c>
      <c r="D845" s="55" t="s">
        <v>20</v>
      </c>
      <c r="E845" s="54"/>
      <c r="F845" s="56">
        <v>0.0</v>
      </c>
      <c r="G845" s="57">
        <v>123.0</v>
      </c>
      <c r="H845" s="57">
        <f t="shared" si="22"/>
        <v>0</v>
      </c>
      <c r="I845" s="58"/>
      <c r="J845" s="58"/>
      <c r="K845" s="54"/>
      <c r="L845" s="54"/>
      <c r="M845" s="202"/>
      <c r="N845" s="202"/>
      <c r="O845" s="270"/>
      <c r="P845" s="202"/>
      <c r="Q845" s="1"/>
      <c r="R845" s="1"/>
      <c r="S845" s="1"/>
      <c r="T845" s="1"/>
      <c r="U845" s="1"/>
      <c r="V845" s="1"/>
    </row>
    <row r="846" ht="15.75" hidden="1" customHeight="1">
      <c r="A846" s="53"/>
      <c r="B846" s="54" t="s">
        <v>18</v>
      </c>
      <c r="C846" s="197" t="s">
        <v>300</v>
      </c>
      <c r="D846" s="55" t="s">
        <v>20</v>
      </c>
      <c r="E846" s="54"/>
      <c r="F846" s="56">
        <v>0.0</v>
      </c>
      <c r="G846" s="57">
        <v>5.0</v>
      </c>
      <c r="H846" s="57">
        <f t="shared" si="22"/>
        <v>0</v>
      </c>
      <c r="I846" s="58"/>
      <c r="J846" s="58"/>
      <c r="K846" s="54"/>
      <c r="L846" s="54"/>
      <c r="M846" s="202"/>
      <c r="N846" s="202"/>
      <c r="O846" s="270"/>
      <c r="P846" s="202"/>
      <c r="Q846" s="1"/>
      <c r="R846" s="1"/>
      <c r="S846" s="1"/>
      <c r="T846" s="1"/>
      <c r="U846" s="1"/>
      <c r="V846" s="1"/>
    </row>
    <row r="847" ht="15.75" hidden="1" customHeight="1">
      <c r="A847" s="53"/>
      <c r="B847" s="54"/>
      <c r="C847" s="197" t="s">
        <v>380</v>
      </c>
      <c r="D847" s="216" t="s">
        <v>24</v>
      </c>
      <c r="E847" s="54"/>
      <c r="F847" s="56">
        <v>0.0</v>
      </c>
      <c r="G847" s="57">
        <v>95.0</v>
      </c>
      <c r="H847" s="57">
        <f t="shared" si="22"/>
        <v>0</v>
      </c>
      <c r="I847" s="58"/>
      <c r="J847" s="58"/>
      <c r="K847" s="54"/>
      <c r="L847" s="54"/>
      <c r="M847" s="202"/>
      <c r="N847" s="202"/>
      <c r="O847" s="270"/>
      <c r="P847" s="202"/>
      <c r="Q847" s="1"/>
      <c r="R847" s="1"/>
      <c r="S847" s="1"/>
      <c r="T847" s="1"/>
      <c r="U847" s="1"/>
      <c r="V847" s="1"/>
    </row>
    <row r="848" ht="15.75" hidden="1" customHeight="1">
      <c r="A848" s="53"/>
      <c r="B848" s="54"/>
      <c r="C848" s="197" t="s">
        <v>440</v>
      </c>
      <c r="D848" s="216" t="s">
        <v>24</v>
      </c>
      <c r="E848" s="54"/>
      <c r="F848" s="56">
        <v>0.0</v>
      </c>
      <c r="G848" s="57">
        <v>200.0</v>
      </c>
      <c r="H848" s="57">
        <f t="shared" si="22"/>
        <v>0</v>
      </c>
      <c r="I848" s="58"/>
      <c r="J848" s="58"/>
      <c r="K848" s="54"/>
      <c r="L848" s="54"/>
      <c r="M848" s="202"/>
      <c r="N848" s="202"/>
      <c r="O848" s="270"/>
      <c r="P848" s="202"/>
      <c r="Q848" s="1"/>
      <c r="R848" s="1"/>
      <c r="S848" s="1"/>
      <c r="T848" s="1"/>
      <c r="U848" s="1"/>
      <c r="V848" s="1"/>
    </row>
    <row r="849" ht="15.75" hidden="1" customHeight="1">
      <c r="A849" s="53"/>
      <c r="B849" s="54"/>
      <c r="C849" s="197" t="s">
        <v>307</v>
      </c>
      <c r="D849" s="259" t="s">
        <v>32</v>
      </c>
      <c r="E849" s="54"/>
      <c r="F849" s="56">
        <v>0.0</v>
      </c>
      <c r="G849" s="57">
        <v>0.0</v>
      </c>
      <c r="H849" s="57">
        <f t="shared" si="22"/>
        <v>0</v>
      </c>
      <c r="I849" s="58"/>
      <c r="J849" s="58"/>
      <c r="K849" s="54"/>
      <c r="L849" s="271"/>
      <c r="M849" s="271"/>
      <c r="N849" s="271"/>
      <c r="O849" s="271"/>
      <c r="P849" s="271"/>
      <c r="Q849" s="1"/>
      <c r="R849" s="1"/>
      <c r="S849" s="1"/>
      <c r="T849" s="1"/>
      <c r="U849" s="1"/>
      <c r="V849" s="1"/>
    </row>
    <row r="850" ht="15.75" hidden="1" customHeight="1">
      <c r="A850" s="53"/>
      <c r="B850" s="54" t="s">
        <v>18</v>
      </c>
      <c r="C850" s="197" t="s">
        <v>613</v>
      </c>
      <c r="D850" s="55" t="s">
        <v>20</v>
      </c>
      <c r="E850" s="205" t="s">
        <v>614</v>
      </c>
      <c r="F850" s="158">
        <v>0.0</v>
      </c>
      <c r="G850" s="57">
        <v>17.0</v>
      </c>
      <c r="H850" s="57">
        <f t="shared" si="22"/>
        <v>0</v>
      </c>
      <c r="I850" s="58"/>
      <c r="J850" s="58"/>
      <c r="K850" s="54"/>
      <c r="L850" s="272"/>
      <c r="M850" s="273"/>
      <c r="N850" s="272"/>
      <c r="O850" s="272"/>
      <c r="P850" s="272"/>
      <c r="Q850" s="1"/>
      <c r="R850" s="1"/>
      <c r="S850" s="1"/>
      <c r="T850" s="1"/>
      <c r="U850" s="1"/>
      <c r="V850" s="1"/>
    </row>
    <row r="851" ht="15.75" hidden="1" customHeight="1">
      <c r="A851" s="13"/>
      <c r="B851" s="18" t="s">
        <v>18</v>
      </c>
      <c r="C851" s="169" t="s">
        <v>447</v>
      </c>
      <c r="D851" s="46" t="s">
        <v>20</v>
      </c>
      <c r="E851" s="207" t="s">
        <v>448</v>
      </c>
      <c r="F851" s="242">
        <v>0.0</v>
      </c>
      <c r="G851" s="243">
        <v>19.0</v>
      </c>
      <c r="H851" s="192">
        <f t="shared" si="22"/>
        <v>0</v>
      </c>
      <c r="I851" s="193"/>
      <c r="J851" s="18"/>
      <c r="K851" s="13"/>
      <c r="L851" s="27"/>
      <c r="M851" s="241"/>
      <c r="N851" s="27"/>
      <c r="O851" s="27"/>
      <c r="P851" s="27"/>
      <c r="Q851" s="35"/>
      <c r="R851" s="35"/>
      <c r="S851" s="35"/>
      <c r="T851" s="1"/>
      <c r="U851" s="1"/>
      <c r="V851" s="1"/>
    </row>
    <row r="852" ht="15.75" hidden="1" customHeight="1">
      <c r="A852" s="13"/>
      <c r="B852" s="18" t="s">
        <v>18</v>
      </c>
      <c r="C852" s="169" t="s">
        <v>450</v>
      </c>
      <c r="D852" s="46" t="s">
        <v>20</v>
      </c>
      <c r="E852" s="52" t="s">
        <v>451</v>
      </c>
      <c r="F852" s="48">
        <v>0.0</v>
      </c>
      <c r="G852" s="50">
        <v>19.99</v>
      </c>
      <c r="H852" s="50">
        <f t="shared" si="22"/>
        <v>0</v>
      </c>
      <c r="I852" s="193"/>
      <c r="J852" s="18"/>
      <c r="K852" s="13"/>
      <c r="L852" s="27"/>
      <c r="M852" s="241"/>
      <c r="N852" s="27"/>
      <c r="O852" s="27"/>
      <c r="P852" s="27"/>
      <c r="Q852" s="35"/>
      <c r="R852" s="35"/>
      <c r="S852" s="35"/>
      <c r="T852" s="1"/>
      <c r="U852" s="1"/>
      <c r="V852" s="1"/>
    </row>
    <row r="853" ht="15.75" hidden="1" customHeight="1">
      <c r="A853" s="53"/>
      <c r="B853" s="54"/>
      <c r="C853" s="197" t="s">
        <v>541</v>
      </c>
      <c r="D853" s="198" t="s">
        <v>22</v>
      </c>
      <c r="E853" s="54"/>
      <c r="F853" s="56">
        <v>0.0</v>
      </c>
      <c r="G853" s="57">
        <v>30.0</v>
      </c>
      <c r="H853" s="57">
        <f t="shared" si="22"/>
        <v>0</v>
      </c>
      <c r="I853" s="58"/>
      <c r="J853" s="58"/>
      <c r="K853" s="54"/>
      <c r="L853" s="54"/>
      <c r="M853" s="54"/>
      <c r="N853" s="54"/>
      <c r="O853" s="54"/>
      <c r="P853" s="54"/>
      <c r="Q853" s="1"/>
      <c r="R853" s="1"/>
      <c r="S853" s="1"/>
      <c r="T853" s="1"/>
      <c r="U853" s="1"/>
      <c r="V853" s="1"/>
    </row>
    <row r="854" ht="15.75" hidden="1" customHeight="1">
      <c r="A854" s="53"/>
      <c r="B854" s="54" t="s">
        <v>454</v>
      </c>
      <c r="C854" s="197" t="s">
        <v>321</v>
      </c>
      <c r="D854" s="198" t="s">
        <v>22</v>
      </c>
      <c r="E854" s="54"/>
      <c r="F854" s="56">
        <v>0.0</v>
      </c>
      <c r="G854" s="57">
        <v>10.0</v>
      </c>
      <c r="H854" s="57">
        <f t="shared" si="22"/>
        <v>0</v>
      </c>
      <c r="I854" s="58"/>
      <c r="J854" s="58"/>
      <c r="K854" s="54"/>
      <c r="L854" s="54"/>
      <c r="M854" s="202"/>
      <c r="N854" s="54"/>
      <c r="O854" s="54"/>
      <c r="P854" s="54"/>
      <c r="Q854" s="1"/>
      <c r="R854" s="1"/>
      <c r="S854" s="1"/>
      <c r="T854" s="1"/>
      <c r="U854" s="1"/>
      <c r="V854" s="1"/>
    </row>
    <row r="855" ht="15.75" hidden="1" customHeight="1">
      <c r="A855" s="53"/>
      <c r="B855" s="54"/>
      <c r="C855" s="197" t="s">
        <v>401</v>
      </c>
      <c r="D855" s="198" t="s">
        <v>22</v>
      </c>
      <c r="E855" s="54"/>
      <c r="F855" s="56">
        <v>0.0</v>
      </c>
      <c r="G855" s="57">
        <v>25.0</v>
      </c>
      <c r="H855" s="57">
        <f t="shared" si="22"/>
        <v>0</v>
      </c>
      <c r="I855" s="58"/>
      <c r="J855" s="58"/>
      <c r="K855" s="54"/>
      <c r="L855" s="54"/>
      <c r="M855" s="54"/>
      <c r="N855" s="54"/>
      <c r="O855" s="54"/>
      <c r="P855" s="54"/>
      <c r="Q855" s="1"/>
      <c r="R855" s="1"/>
      <c r="S855" s="1"/>
      <c r="T855" s="1"/>
      <c r="U855" s="1"/>
      <c r="V855" s="1"/>
    </row>
    <row r="856" ht="15.75" hidden="1" customHeight="1">
      <c r="A856" s="53"/>
      <c r="B856" s="54"/>
      <c r="C856" s="169" t="s">
        <v>323</v>
      </c>
      <c r="D856" s="216" t="s">
        <v>24</v>
      </c>
      <c r="E856" s="54"/>
      <c r="F856" s="56">
        <v>0.0</v>
      </c>
      <c r="G856" s="57">
        <v>80.0</v>
      </c>
      <c r="H856" s="57">
        <f t="shared" si="22"/>
        <v>0</v>
      </c>
      <c r="I856" s="58"/>
      <c r="J856" s="58"/>
      <c r="K856" s="54"/>
      <c r="L856" s="54"/>
      <c r="M856" s="54"/>
      <c r="N856" s="54"/>
      <c r="O856" s="54"/>
      <c r="P856" s="54"/>
      <c r="Q856" s="1"/>
      <c r="R856" s="1"/>
      <c r="S856" s="1"/>
      <c r="T856" s="1"/>
      <c r="U856" s="1"/>
      <c r="V856" s="1"/>
    </row>
    <row r="857" ht="15.75" hidden="1" customHeight="1">
      <c r="A857" s="53"/>
      <c r="B857" s="54"/>
      <c r="C857" s="197" t="s">
        <v>324</v>
      </c>
      <c r="D857" s="55" t="s">
        <v>20</v>
      </c>
      <c r="E857" s="54"/>
      <c r="F857" s="56">
        <v>0.0</v>
      </c>
      <c r="G857" s="57">
        <v>35.0</v>
      </c>
      <c r="H857" s="57">
        <f t="shared" si="22"/>
        <v>0</v>
      </c>
      <c r="I857" s="58"/>
      <c r="J857" s="58"/>
      <c r="K857" s="54"/>
      <c r="L857" s="54"/>
      <c r="M857" s="202"/>
      <c r="N857" s="54"/>
      <c r="O857" s="202"/>
      <c r="P857" s="202"/>
      <c r="Q857" s="1"/>
      <c r="R857" s="1"/>
      <c r="S857" s="1"/>
      <c r="T857" s="1"/>
      <c r="U857" s="1"/>
      <c r="V857" s="1"/>
    </row>
    <row r="858" ht="15.75" hidden="1" customHeight="1">
      <c r="A858" s="53"/>
      <c r="B858" s="54"/>
      <c r="C858" s="197" t="s">
        <v>469</v>
      </c>
      <c r="D858" s="216" t="s">
        <v>24</v>
      </c>
      <c r="E858" s="54"/>
      <c r="F858" s="56">
        <v>0.0</v>
      </c>
      <c r="G858" s="57">
        <v>290.0</v>
      </c>
      <c r="H858" s="57">
        <f t="shared" si="22"/>
        <v>0</v>
      </c>
      <c r="I858" s="58"/>
      <c r="J858" s="58"/>
      <c r="K858" s="54"/>
      <c r="L858" s="252"/>
      <c r="M858" s="252"/>
      <c r="N858" s="252"/>
      <c r="O858" s="252"/>
      <c r="P858" s="252"/>
      <c r="Q858" s="1"/>
      <c r="R858" s="1"/>
      <c r="S858" s="1"/>
      <c r="T858" s="1"/>
      <c r="U858" s="1"/>
      <c r="V858" s="1"/>
    </row>
    <row r="859" ht="15.75" hidden="1" customHeight="1">
      <c r="A859" s="53"/>
      <c r="B859" s="54"/>
      <c r="C859" s="197" t="s">
        <v>470</v>
      </c>
      <c r="D859" s="55" t="s">
        <v>20</v>
      </c>
      <c r="E859" s="54"/>
      <c r="F859" s="56">
        <v>0.0</v>
      </c>
      <c r="G859" s="57">
        <v>150.0</v>
      </c>
      <c r="H859" s="57">
        <f t="shared" si="22"/>
        <v>0</v>
      </c>
      <c r="I859" s="58"/>
      <c r="J859" s="58"/>
      <c r="K859" s="54"/>
      <c r="L859" s="54"/>
      <c r="M859" s="202"/>
      <c r="N859" s="54"/>
      <c r="O859" s="202"/>
      <c r="P859" s="202"/>
      <c r="Q859" s="1"/>
      <c r="R859" s="1"/>
      <c r="S859" s="1"/>
      <c r="T859" s="1"/>
      <c r="U859" s="1"/>
      <c r="V859" s="1"/>
    </row>
    <row r="860" ht="15.75" hidden="1" customHeight="1">
      <c r="A860" s="53"/>
      <c r="B860" s="54"/>
      <c r="C860" s="197" t="s">
        <v>471</v>
      </c>
      <c r="D860" s="216" t="s">
        <v>24</v>
      </c>
      <c r="E860" s="54"/>
      <c r="F860" s="56">
        <v>0.0</v>
      </c>
      <c r="G860" s="57">
        <v>250.0</v>
      </c>
      <c r="H860" s="57">
        <f t="shared" si="22"/>
        <v>0</v>
      </c>
      <c r="I860" s="58"/>
      <c r="J860" s="58"/>
      <c r="K860" s="54"/>
      <c r="L860" s="54"/>
      <c r="M860" s="202"/>
      <c r="N860" s="54"/>
      <c r="O860" s="202"/>
      <c r="P860" s="202"/>
      <c r="Q860" s="1"/>
      <c r="R860" s="1"/>
      <c r="S860" s="1"/>
      <c r="T860" s="1"/>
      <c r="U860" s="1"/>
      <c r="V860" s="1"/>
    </row>
    <row r="861" ht="15.75" hidden="1" customHeight="1">
      <c r="A861" s="53"/>
      <c r="B861" s="54"/>
      <c r="C861" s="274" t="s">
        <v>472</v>
      </c>
      <c r="D861" s="55" t="s">
        <v>20</v>
      </c>
      <c r="E861" s="54"/>
      <c r="F861" s="56">
        <v>0.0</v>
      </c>
      <c r="G861" s="57">
        <v>150.0</v>
      </c>
      <c r="H861" s="57">
        <f t="shared" si="22"/>
        <v>0</v>
      </c>
      <c r="I861" s="58"/>
      <c r="J861" s="58"/>
      <c r="K861" s="54"/>
      <c r="L861" s="54"/>
      <c r="M861" s="202"/>
      <c r="N861" s="54"/>
      <c r="O861" s="202"/>
      <c r="P861" s="202"/>
      <c r="Q861" s="1"/>
      <c r="R861" s="1"/>
      <c r="S861" s="1"/>
      <c r="T861" s="1"/>
      <c r="U861" s="1"/>
      <c r="V861" s="1"/>
    </row>
    <row r="862" ht="15.75" hidden="1" customHeight="1">
      <c r="A862" s="53"/>
      <c r="B862" s="54" t="s">
        <v>18</v>
      </c>
      <c r="C862" s="197" t="s">
        <v>309</v>
      </c>
      <c r="D862" s="55" t="s">
        <v>20</v>
      </c>
      <c r="E862" s="208" t="s">
        <v>473</v>
      </c>
      <c r="F862" s="56">
        <v>0.0</v>
      </c>
      <c r="G862" s="57">
        <v>20.0</v>
      </c>
      <c r="H862" s="57">
        <f t="shared" si="22"/>
        <v>0</v>
      </c>
      <c r="I862" s="58"/>
      <c r="J862" s="58"/>
      <c r="K862" s="54"/>
      <c r="L862" s="54"/>
      <c r="M862" s="202"/>
      <c r="N862" s="54"/>
      <c r="O862" s="202"/>
      <c r="P862" s="202"/>
      <c r="Q862" s="1"/>
      <c r="R862" s="1"/>
      <c r="S862" s="1"/>
      <c r="T862" s="1"/>
      <c r="U862" s="1"/>
      <c r="V862" s="1"/>
    </row>
    <row r="863" ht="15.75" hidden="1" customHeight="1">
      <c r="A863" s="53"/>
      <c r="B863" s="54" t="s">
        <v>18</v>
      </c>
      <c r="C863" s="197" t="s">
        <v>474</v>
      </c>
      <c r="D863" s="55" t="s">
        <v>20</v>
      </c>
      <c r="E863" s="208" t="s">
        <v>475</v>
      </c>
      <c r="F863" s="56">
        <v>0.0</v>
      </c>
      <c r="G863" s="57">
        <v>24.0</v>
      </c>
      <c r="H863" s="57">
        <f t="shared" si="22"/>
        <v>0</v>
      </c>
      <c r="I863" s="58"/>
      <c r="J863" s="58"/>
      <c r="K863" s="54"/>
      <c r="L863" s="54"/>
      <c r="M863" s="202"/>
      <c r="N863" s="54"/>
      <c r="O863" s="202"/>
      <c r="P863" s="202"/>
      <c r="Q863" s="1"/>
      <c r="R863" s="1"/>
      <c r="S863" s="1"/>
      <c r="T863" s="1"/>
      <c r="U863" s="1"/>
      <c r="V863" s="1"/>
    </row>
    <row r="864" ht="15.75" hidden="1" customHeight="1">
      <c r="A864" s="53"/>
      <c r="B864" s="54"/>
      <c r="C864" s="197" t="s">
        <v>258</v>
      </c>
      <c r="D864" s="198" t="s">
        <v>22</v>
      </c>
      <c r="E864" s="54"/>
      <c r="F864" s="56">
        <v>0.0</v>
      </c>
      <c r="G864" s="57">
        <v>150.0</v>
      </c>
      <c r="H864" s="57">
        <f t="shared" si="22"/>
        <v>0</v>
      </c>
      <c r="I864" s="58"/>
      <c r="J864" s="58"/>
      <c r="K864" s="54"/>
      <c r="L864" s="54"/>
      <c r="M864" s="54"/>
      <c r="N864" s="54"/>
      <c r="O864" s="202"/>
      <c r="P864" s="202"/>
      <c r="Q864" s="1"/>
      <c r="R864" s="1"/>
      <c r="S864" s="1"/>
      <c r="T864" s="1"/>
      <c r="U864" s="1"/>
      <c r="V864" s="1"/>
    </row>
    <row r="865" ht="15.75" hidden="1" customHeight="1">
      <c r="A865" s="53"/>
      <c r="B865" s="54" t="s">
        <v>18</v>
      </c>
      <c r="C865" s="197" t="s">
        <v>476</v>
      </c>
      <c r="D865" s="198" t="s">
        <v>22</v>
      </c>
      <c r="E865" s="208" t="s">
        <v>477</v>
      </c>
      <c r="F865" s="56">
        <v>0.0</v>
      </c>
      <c r="G865" s="57">
        <v>15.0</v>
      </c>
      <c r="H865" s="57">
        <f t="shared" si="22"/>
        <v>0</v>
      </c>
      <c r="I865" s="58"/>
      <c r="J865" s="58"/>
      <c r="K865" s="54"/>
      <c r="L865" s="54"/>
      <c r="M865" s="54"/>
      <c r="N865" s="54"/>
      <c r="O865" s="54"/>
      <c r="P865" s="54"/>
      <c r="Q865" s="1"/>
      <c r="R865" s="1"/>
      <c r="S865" s="1"/>
      <c r="T865" s="1"/>
      <c r="U865" s="1"/>
      <c r="V865" s="1"/>
    </row>
    <row r="866" ht="15.75" hidden="1" customHeight="1">
      <c r="A866" s="53"/>
      <c r="B866" s="54"/>
      <c r="C866" s="197" t="s">
        <v>478</v>
      </c>
      <c r="D866" s="55" t="s">
        <v>20</v>
      </c>
      <c r="E866" s="54"/>
      <c r="F866" s="56">
        <v>0.0</v>
      </c>
      <c r="G866" s="57">
        <v>500.0</v>
      </c>
      <c r="H866" s="57">
        <f t="shared" si="22"/>
        <v>0</v>
      </c>
      <c r="I866" s="58"/>
      <c r="J866" s="58"/>
      <c r="K866" s="54"/>
      <c r="L866" s="54"/>
      <c r="M866" s="54"/>
      <c r="N866" s="54"/>
      <c r="O866" s="54"/>
      <c r="P866" s="54"/>
      <c r="Q866" s="1"/>
      <c r="R866" s="1"/>
      <c r="S866" s="1"/>
      <c r="T866" s="1"/>
      <c r="U866" s="1"/>
      <c r="V866" s="1"/>
    </row>
    <row r="867" ht="15.75" hidden="1" customHeight="1">
      <c r="A867" s="53"/>
      <c r="B867" s="54"/>
      <c r="C867" s="54" t="s">
        <v>479</v>
      </c>
      <c r="D867" s="216" t="s">
        <v>24</v>
      </c>
      <c r="E867" s="54"/>
      <c r="F867" s="56">
        <v>0.0</v>
      </c>
      <c r="G867" s="57">
        <v>210.0</v>
      </c>
      <c r="H867" s="57">
        <f t="shared" si="22"/>
        <v>0</v>
      </c>
      <c r="I867" s="58"/>
      <c r="J867" s="58"/>
      <c r="K867" s="54"/>
      <c r="L867" s="252"/>
      <c r="M867" s="252"/>
      <c r="N867" s="252"/>
      <c r="O867" s="252"/>
      <c r="P867" s="252"/>
      <c r="Q867" s="1"/>
      <c r="R867" s="1"/>
      <c r="S867" s="1"/>
      <c r="T867" s="1"/>
      <c r="U867" s="1"/>
      <c r="V867" s="1"/>
    </row>
    <row r="868" ht="15.75" hidden="1" customHeight="1">
      <c r="A868" s="53"/>
      <c r="B868" s="54"/>
      <c r="C868" s="197" t="s">
        <v>480</v>
      </c>
      <c r="D868" s="55" t="s">
        <v>20</v>
      </c>
      <c r="E868" s="54"/>
      <c r="F868" s="56">
        <v>0.0</v>
      </c>
      <c r="G868" s="57">
        <v>155.0</v>
      </c>
      <c r="H868" s="57">
        <f t="shared" si="22"/>
        <v>0</v>
      </c>
      <c r="I868" s="58"/>
      <c r="J868" s="58"/>
      <c r="K868" s="54"/>
      <c r="L868" s="54"/>
      <c r="M868" s="54"/>
      <c r="N868" s="54"/>
      <c r="O868" s="54"/>
      <c r="P868" s="54"/>
      <c r="Q868" s="1"/>
      <c r="R868" s="1"/>
      <c r="S868" s="1"/>
      <c r="T868" s="1"/>
      <c r="U868" s="1"/>
      <c r="V868" s="1"/>
    </row>
    <row r="869" ht="15.75" hidden="1" customHeight="1">
      <c r="A869" s="53"/>
      <c r="B869" s="54"/>
      <c r="C869" s="197" t="s">
        <v>481</v>
      </c>
      <c r="D869" s="216" t="s">
        <v>24</v>
      </c>
      <c r="E869" s="54"/>
      <c r="F869" s="56">
        <v>0.0</v>
      </c>
      <c r="G869" s="57">
        <v>70.0</v>
      </c>
      <c r="H869" s="57">
        <f t="shared" si="22"/>
        <v>0</v>
      </c>
      <c r="I869" s="58"/>
      <c r="J869" s="58"/>
      <c r="K869" s="54"/>
      <c r="L869" s="54"/>
      <c r="M869" s="202"/>
      <c r="N869" s="54"/>
      <c r="O869" s="202"/>
      <c r="P869" s="202"/>
      <c r="Q869" s="1"/>
      <c r="R869" s="1"/>
      <c r="S869" s="1"/>
      <c r="T869" s="1"/>
      <c r="U869" s="1"/>
      <c r="V869" s="1"/>
    </row>
    <row r="870" ht="15.75" hidden="1" customHeight="1">
      <c r="A870" s="53"/>
      <c r="B870" s="54"/>
      <c r="C870" s="197" t="s">
        <v>482</v>
      </c>
      <c r="D870" s="55" t="s">
        <v>20</v>
      </c>
      <c r="E870" s="54"/>
      <c r="F870" s="56">
        <v>0.0</v>
      </c>
      <c r="G870" s="57">
        <v>400.0</v>
      </c>
      <c r="H870" s="57">
        <f t="shared" si="22"/>
        <v>0</v>
      </c>
      <c r="I870" s="58"/>
      <c r="J870" s="58"/>
      <c r="K870" s="54"/>
      <c r="L870" s="54"/>
      <c r="M870" s="202"/>
      <c r="N870" s="54"/>
      <c r="O870" s="202"/>
      <c r="P870" s="202"/>
      <c r="Q870" s="1"/>
      <c r="R870" s="1"/>
      <c r="S870" s="1"/>
      <c r="T870" s="1"/>
      <c r="U870" s="1"/>
      <c r="V870" s="1"/>
    </row>
    <row r="871" ht="15.75" hidden="1" customHeight="1">
      <c r="A871" s="53"/>
      <c r="B871" s="54"/>
      <c r="C871" s="197" t="s">
        <v>483</v>
      </c>
      <c r="D871" s="55" t="s">
        <v>20</v>
      </c>
      <c r="E871" s="54"/>
      <c r="F871" s="56">
        <v>0.0</v>
      </c>
      <c r="G871" s="57">
        <v>440.0</v>
      </c>
      <c r="H871" s="57">
        <f t="shared" si="22"/>
        <v>0</v>
      </c>
      <c r="I871" s="58"/>
      <c r="J871" s="58"/>
      <c r="K871" s="54"/>
      <c r="L871" s="54"/>
      <c r="M871" s="202"/>
      <c r="N871" s="54"/>
      <c r="O871" s="202"/>
      <c r="P871" s="202"/>
      <c r="Q871" s="1"/>
      <c r="R871" s="1"/>
      <c r="S871" s="1"/>
      <c r="T871" s="1"/>
      <c r="U871" s="1"/>
      <c r="V871" s="1"/>
    </row>
    <row r="872" ht="15.75" hidden="1" customHeight="1">
      <c r="A872" s="53"/>
      <c r="B872" s="54"/>
      <c r="C872" s="197" t="s">
        <v>484</v>
      </c>
      <c r="D872" s="216" t="s">
        <v>24</v>
      </c>
      <c r="E872" s="54"/>
      <c r="F872" s="56">
        <v>0.0</v>
      </c>
      <c r="G872" s="57">
        <v>90.0</v>
      </c>
      <c r="H872" s="57">
        <f t="shared" si="22"/>
        <v>0</v>
      </c>
      <c r="I872" s="58"/>
      <c r="J872" s="58"/>
      <c r="K872" s="54"/>
      <c r="L872" s="252"/>
      <c r="M872" s="275"/>
      <c r="N872" s="252"/>
      <c r="O872" s="275"/>
      <c r="P872" s="275"/>
      <c r="Q872" s="1"/>
      <c r="R872" s="1"/>
      <c r="S872" s="1"/>
      <c r="T872" s="1"/>
      <c r="U872" s="1"/>
      <c r="V872" s="1"/>
    </row>
    <row r="873" ht="15.75" hidden="1" customHeight="1">
      <c r="A873" s="53"/>
      <c r="B873" s="54"/>
      <c r="C873" s="197" t="s">
        <v>485</v>
      </c>
      <c r="D873" s="55" t="s">
        <v>20</v>
      </c>
      <c r="E873" s="54"/>
      <c r="F873" s="56">
        <v>0.0</v>
      </c>
      <c r="G873" s="57">
        <v>100.0</v>
      </c>
      <c r="H873" s="57">
        <f t="shared" si="22"/>
        <v>0</v>
      </c>
      <c r="I873" s="58"/>
      <c r="J873" s="58"/>
      <c r="K873" s="54"/>
      <c r="L873" s="252"/>
      <c r="M873" s="275"/>
      <c r="N873" s="252"/>
      <c r="O873" s="275"/>
      <c r="P873" s="275"/>
      <c r="Q873" s="1"/>
      <c r="R873" s="1"/>
      <c r="S873" s="1"/>
      <c r="T873" s="1"/>
      <c r="U873" s="1"/>
      <c r="V873" s="1"/>
    </row>
    <row r="874" ht="15.75" hidden="1" customHeight="1">
      <c r="A874" s="53"/>
      <c r="B874" s="54"/>
      <c r="C874" s="54" t="s">
        <v>486</v>
      </c>
      <c r="D874" s="55" t="s">
        <v>20</v>
      </c>
      <c r="E874" s="54"/>
      <c r="F874" s="56">
        <v>0.0</v>
      </c>
      <c r="G874" s="57">
        <v>30.0</v>
      </c>
      <c r="H874" s="57">
        <f t="shared" si="22"/>
        <v>0</v>
      </c>
      <c r="I874" s="58"/>
      <c r="J874" s="58"/>
      <c r="K874" s="54"/>
      <c r="L874" s="252"/>
      <c r="M874" s="275"/>
      <c r="N874" s="252"/>
      <c r="O874" s="275"/>
      <c r="P874" s="275"/>
      <c r="Q874" s="1"/>
      <c r="R874" s="1"/>
      <c r="S874" s="1"/>
      <c r="T874" s="1"/>
      <c r="U874" s="1"/>
      <c r="V874" s="1"/>
    </row>
    <row r="875" ht="15.75" hidden="1" customHeight="1">
      <c r="A875" s="53"/>
      <c r="B875" s="54"/>
      <c r="C875" s="54" t="s">
        <v>487</v>
      </c>
      <c r="D875" s="55" t="s">
        <v>20</v>
      </c>
      <c r="E875" s="54"/>
      <c r="F875" s="56">
        <v>0.0</v>
      </c>
      <c r="G875" s="57">
        <v>30.0</v>
      </c>
      <c r="H875" s="57">
        <f t="shared" si="22"/>
        <v>0</v>
      </c>
      <c r="I875" s="58"/>
      <c r="J875" s="58"/>
      <c r="K875" s="54"/>
      <c r="L875" s="252"/>
      <c r="M875" s="275"/>
      <c r="N875" s="252"/>
      <c r="O875" s="275"/>
      <c r="P875" s="275"/>
      <c r="Q875" s="1"/>
      <c r="R875" s="1"/>
      <c r="S875" s="1"/>
      <c r="T875" s="1"/>
      <c r="U875" s="1"/>
      <c r="V875" s="1"/>
    </row>
    <row r="876" ht="15.75" hidden="1" customHeight="1">
      <c r="A876" s="53"/>
      <c r="B876" s="54"/>
      <c r="C876" s="54" t="s">
        <v>488</v>
      </c>
      <c r="D876" s="55" t="s">
        <v>20</v>
      </c>
      <c r="E876" s="54"/>
      <c r="F876" s="56">
        <v>0.0</v>
      </c>
      <c r="G876" s="57">
        <v>850.0</v>
      </c>
      <c r="H876" s="57">
        <f t="shared" si="22"/>
        <v>0</v>
      </c>
      <c r="I876" s="58"/>
      <c r="J876" s="58"/>
      <c r="K876" s="54"/>
      <c r="L876" s="252"/>
      <c r="M876" s="275"/>
      <c r="N876" s="252"/>
      <c r="O876" s="275"/>
      <c r="P876" s="275"/>
      <c r="Q876" s="1"/>
      <c r="R876" s="1"/>
      <c r="S876" s="1"/>
      <c r="T876" s="1"/>
      <c r="U876" s="1"/>
      <c r="V876" s="1"/>
    </row>
    <row r="877" ht="15.75" hidden="1" customHeight="1">
      <c r="A877" s="53"/>
      <c r="B877" s="54"/>
      <c r="C877" s="54" t="s">
        <v>489</v>
      </c>
      <c r="D877" s="216" t="s">
        <v>24</v>
      </c>
      <c r="E877" s="54"/>
      <c r="F877" s="56">
        <v>0.0</v>
      </c>
      <c r="G877" s="57">
        <v>460.0</v>
      </c>
      <c r="H877" s="57">
        <f t="shared" si="22"/>
        <v>0</v>
      </c>
      <c r="I877" s="58"/>
      <c r="J877" s="58"/>
      <c r="K877" s="54"/>
      <c r="L877" s="252"/>
      <c r="M877" s="275"/>
      <c r="N877" s="252"/>
      <c r="O877" s="275"/>
      <c r="P877" s="275"/>
      <c r="Q877" s="1"/>
      <c r="R877" s="1"/>
      <c r="S877" s="1"/>
      <c r="T877" s="1"/>
      <c r="U877" s="1"/>
      <c r="V877" s="1"/>
    </row>
    <row r="878" ht="15.75" hidden="1" customHeight="1">
      <c r="A878" s="53"/>
      <c r="B878" s="54"/>
      <c r="C878" s="197" t="s">
        <v>490</v>
      </c>
      <c r="D878" s="198" t="s">
        <v>22</v>
      </c>
      <c r="E878" s="54"/>
      <c r="F878" s="56">
        <v>0.0</v>
      </c>
      <c r="G878" s="57">
        <v>0.0</v>
      </c>
      <c r="H878" s="57">
        <f t="shared" si="22"/>
        <v>0</v>
      </c>
      <c r="I878" s="58"/>
      <c r="J878" s="58"/>
      <c r="K878" s="54"/>
      <c r="L878" s="54"/>
      <c r="M878" s="202"/>
      <c r="N878" s="54"/>
      <c r="O878" s="202"/>
      <c r="P878" s="202"/>
      <c r="Q878" s="1"/>
      <c r="R878" s="1"/>
      <c r="S878" s="1"/>
      <c r="T878" s="1"/>
      <c r="U878" s="1"/>
      <c r="V878" s="1"/>
    </row>
    <row r="879" ht="15.75" hidden="1" customHeight="1">
      <c r="A879" s="53"/>
      <c r="B879" s="43" t="s">
        <v>350</v>
      </c>
      <c r="C879" s="197" t="s">
        <v>493</v>
      </c>
      <c r="D879" s="198" t="s">
        <v>22</v>
      </c>
      <c r="E879" s="154" t="s">
        <v>494</v>
      </c>
      <c r="F879" s="16">
        <v>0.0</v>
      </c>
      <c r="G879" s="227">
        <v>86.0</v>
      </c>
      <c r="H879" s="17">
        <f t="shared" si="22"/>
        <v>0</v>
      </c>
      <c r="I879" s="58"/>
      <c r="J879" s="58"/>
      <c r="K879" s="54"/>
      <c r="L879" s="54"/>
      <c r="M879" s="202"/>
      <c r="N879" s="54"/>
      <c r="O879" s="202"/>
      <c r="P879" s="202"/>
      <c r="Q879" s="1"/>
      <c r="R879" s="1"/>
      <c r="S879" s="1"/>
      <c r="T879" s="1"/>
      <c r="U879" s="1"/>
      <c r="V879" s="1"/>
    </row>
    <row r="880" ht="15.75" hidden="1" customHeight="1">
      <c r="A880" s="53"/>
      <c r="B880" s="54"/>
      <c r="C880" s="197" t="s">
        <v>495</v>
      </c>
      <c r="D880" s="198" t="s">
        <v>22</v>
      </c>
      <c r="E880" s="15"/>
      <c r="F880" s="16">
        <v>0.0</v>
      </c>
      <c r="G880" s="249">
        <v>70.0</v>
      </c>
      <c r="H880" s="17">
        <f t="shared" si="22"/>
        <v>0</v>
      </c>
      <c r="I880" s="58"/>
      <c r="J880" s="58"/>
      <c r="K880" s="54"/>
      <c r="L880" s="54"/>
      <c r="M880" s="202"/>
      <c r="N880" s="54"/>
      <c r="O880" s="202"/>
      <c r="P880" s="202"/>
      <c r="Q880" s="1"/>
      <c r="R880" s="1"/>
      <c r="S880" s="1"/>
      <c r="T880" s="1"/>
      <c r="U880" s="1"/>
      <c r="V880" s="1"/>
    </row>
    <row r="881" ht="15.75" hidden="1" customHeight="1">
      <c r="A881" s="53"/>
      <c r="B881" s="54"/>
      <c r="C881" s="197" t="s">
        <v>407</v>
      </c>
      <c r="D881" s="198" t="s">
        <v>22</v>
      </c>
      <c r="E881" s="54" t="s">
        <v>615</v>
      </c>
      <c r="F881" s="56">
        <v>0.0</v>
      </c>
      <c r="G881" s="248">
        <v>135.4</v>
      </c>
      <c r="H881" s="57">
        <f t="shared" si="22"/>
        <v>0</v>
      </c>
      <c r="I881" s="58"/>
      <c r="J881" s="58"/>
      <c r="K881" s="54"/>
      <c r="L881" s="271"/>
      <c r="M881" s="276"/>
      <c r="N881" s="271"/>
      <c r="O881" s="276"/>
      <c r="P881" s="271"/>
      <c r="Q881" s="1"/>
      <c r="R881" s="1"/>
      <c r="S881" s="1"/>
      <c r="T881" s="1"/>
      <c r="U881" s="1"/>
      <c r="V881" s="1"/>
    </row>
    <row r="882" ht="15.75" hidden="1" customHeight="1">
      <c r="A882" s="53"/>
      <c r="B882" s="231" t="s">
        <v>350</v>
      </c>
      <c r="C882" s="197" t="s">
        <v>427</v>
      </c>
      <c r="D882" s="198" t="s">
        <v>22</v>
      </c>
      <c r="E882" s="231" t="s">
        <v>428</v>
      </c>
      <c r="F882" s="56">
        <v>0.0</v>
      </c>
      <c r="G882" s="235">
        <v>107.5</v>
      </c>
      <c r="H882" s="57">
        <f t="shared" si="22"/>
        <v>0</v>
      </c>
      <c r="I882" s="58"/>
      <c r="J882" s="58"/>
      <c r="K882" s="54"/>
      <c r="L882" s="271"/>
      <c r="M882" s="276"/>
      <c r="N882" s="271"/>
      <c r="O882" s="276"/>
      <c r="P882" s="271"/>
      <c r="Q882" s="1"/>
      <c r="R882" s="1"/>
      <c r="S882" s="1"/>
      <c r="T882" s="1"/>
      <c r="U882" s="1"/>
      <c r="V882" s="1"/>
    </row>
    <row r="883" ht="15.75" hidden="1" customHeight="1">
      <c r="A883" s="53"/>
      <c r="B883" s="258" t="s">
        <v>350</v>
      </c>
      <c r="C883" s="197" t="s">
        <v>429</v>
      </c>
      <c r="D883" s="198" t="s">
        <v>22</v>
      </c>
      <c r="E883" s="54"/>
      <c r="F883" s="56">
        <v>0.0</v>
      </c>
      <c r="G883" s="277">
        <v>97.0</v>
      </c>
      <c r="H883" s="57">
        <f t="shared" si="22"/>
        <v>0</v>
      </c>
      <c r="I883" s="58"/>
      <c r="J883" s="58"/>
      <c r="K883" s="54"/>
      <c r="L883" s="271"/>
      <c r="M883" s="276"/>
      <c r="N883" s="271"/>
      <c r="O883" s="276"/>
      <c r="P883" s="271"/>
      <c r="Q883" s="1"/>
      <c r="R883" s="1"/>
      <c r="S883" s="1"/>
      <c r="T883" s="1"/>
      <c r="U883" s="1"/>
      <c r="V883" s="1"/>
    </row>
    <row r="884" ht="15.75" hidden="1" customHeight="1">
      <c r="A884" s="53"/>
      <c r="B884" s="54" t="s">
        <v>18</v>
      </c>
      <c r="C884" s="197" t="s">
        <v>409</v>
      </c>
      <c r="D884" s="198" t="s">
        <v>22</v>
      </c>
      <c r="E884" s="54" t="s">
        <v>616</v>
      </c>
      <c r="F884" s="56">
        <v>0.0</v>
      </c>
      <c r="G884" s="57">
        <v>19.99</v>
      </c>
      <c r="H884" s="57">
        <f t="shared" si="22"/>
        <v>0</v>
      </c>
      <c r="I884" s="58"/>
      <c r="J884" s="58"/>
      <c r="K884" s="54"/>
      <c r="L884" s="271"/>
      <c r="M884" s="276"/>
      <c r="N884" s="271"/>
      <c r="O884" s="276"/>
      <c r="P884" s="271"/>
      <c r="Q884" s="1"/>
      <c r="R884" s="1"/>
      <c r="S884" s="1"/>
      <c r="T884" s="1"/>
      <c r="U884" s="1"/>
      <c r="V884" s="1"/>
    </row>
    <row r="885" ht="15.75" hidden="1" customHeight="1">
      <c r="A885" s="53"/>
      <c r="B885" s="54" t="s">
        <v>18</v>
      </c>
      <c r="C885" s="197" t="s">
        <v>500</v>
      </c>
      <c r="D885" s="55" t="s">
        <v>20</v>
      </c>
      <c r="E885" s="54"/>
      <c r="F885" s="56">
        <v>0.0</v>
      </c>
      <c r="G885" s="57">
        <v>5.0</v>
      </c>
      <c r="H885" s="57">
        <f t="shared" si="22"/>
        <v>0</v>
      </c>
      <c r="I885" s="58"/>
      <c r="J885" s="58"/>
      <c r="K885" s="58"/>
      <c r="L885" s="54"/>
      <c r="M885" s="202"/>
      <c r="N885" s="54"/>
      <c r="O885" s="202"/>
      <c r="P885" s="202"/>
      <c r="Q885" s="1"/>
      <c r="R885" s="1"/>
      <c r="S885" s="1"/>
      <c r="T885" s="1"/>
      <c r="U885" s="1"/>
      <c r="V885" s="1"/>
    </row>
    <row r="886" ht="15.75" hidden="1" customHeight="1">
      <c r="A886" s="53"/>
      <c r="B886" s="54"/>
      <c r="C886" s="197" t="s">
        <v>501</v>
      </c>
      <c r="D886" s="216" t="s">
        <v>24</v>
      </c>
      <c r="E886" s="54"/>
      <c r="F886" s="56">
        <v>0.0</v>
      </c>
      <c r="G886" s="57">
        <v>210.0</v>
      </c>
      <c r="H886" s="57">
        <f t="shared" si="22"/>
        <v>0</v>
      </c>
      <c r="I886" s="58"/>
      <c r="J886" s="58"/>
      <c r="K886" s="54"/>
      <c r="L886" s="252"/>
      <c r="M886" s="275"/>
      <c r="N886" s="252"/>
      <c r="O886" s="275"/>
      <c r="P886" s="275"/>
      <c r="Q886" s="1"/>
      <c r="R886" s="1"/>
      <c r="S886" s="1"/>
      <c r="T886" s="1"/>
      <c r="U886" s="1"/>
      <c r="V886" s="1"/>
    </row>
    <row r="887" ht="15.75" hidden="1" customHeight="1">
      <c r="A887" s="53"/>
      <c r="B887" s="54" t="s">
        <v>18</v>
      </c>
      <c r="C887" s="197" t="s">
        <v>502</v>
      </c>
      <c r="D887" s="198" t="s">
        <v>22</v>
      </c>
      <c r="E887" s="54"/>
      <c r="F887" s="56">
        <v>0.0</v>
      </c>
      <c r="G887" s="57">
        <v>0.0</v>
      </c>
      <c r="H887" s="57">
        <f t="shared" si="22"/>
        <v>0</v>
      </c>
      <c r="I887" s="58"/>
      <c r="J887" s="58"/>
      <c r="K887" s="54"/>
      <c r="L887" s="54"/>
      <c r="M887" s="202"/>
      <c r="N887" s="54"/>
      <c r="O887" s="202"/>
      <c r="P887" s="202"/>
      <c r="Q887" s="1"/>
      <c r="R887" s="1"/>
      <c r="S887" s="1"/>
      <c r="T887" s="1"/>
      <c r="U887" s="1"/>
      <c r="V887" s="1"/>
    </row>
    <row r="888" ht="15.75" hidden="1" customHeight="1">
      <c r="A888" s="53"/>
      <c r="B888" s="54" t="s">
        <v>18</v>
      </c>
      <c r="C888" s="197" t="s">
        <v>283</v>
      </c>
      <c r="D888" s="55" t="s">
        <v>20</v>
      </c>
      <c r="E888" s="208" t="s">
        <v>284</v>
      </c>
      <c r="F888" s="56">
        <v>0.0</v>
      </c>
      <c r="G888" s="57">
        <v>12.0</v>
      </c>
      <c r="H888" s="57">
        <f t="shared" si="22"/>
        <v>0</v>
      </c>
      <c r="I888" s="58"/>
      <c r="J888" s="58"/>
      <c r="K888" s="54"/>
      <c r="L888" s="252"/>
      <c r="M888" s="252"/>
      <c r="N888" s="252"/>
      <c r="O888" s="252"/>
      <c r="P888" s="252"/>
      <c r="Q888" s="1"/>
      <c r="R888" s="1"/>
      <c r="S888" s="1"/>
      <c r="T888" s="1"/>
      <c r="U888" s="1"/>
      <c r="V888" s="1"/>
    </row>
    <row r="889" ht="15.75" hidden="1" customHeight="1">
      <c r="A889" s="53"/>
      <c r="B889" s="54"/>
      <c r="C889" s="54" t="s">
        <v>221</v>
      </c>
      <c r="D889" s="216" t="s">
        <v>24</v>
      </c>
      <c r="E889" s="54"/>
      <c r="F889" s="56">
        <v>0.0</v>
      </c>
      <c r="G889" s="57">
        <v>50.0</v>
      </c>
      <c r="H889" s="57">
        <f t="shared" si="22"/>
        <v>0</v>
      </c>
      <c r="I889" s="58"/>
      <c r="J889" s="58"/>
      <c r="K889" s="54"/>
      <c r="L889" s="252"/>
      <c r="M889" s="252"/>
      <c r="N889" s="252"/>
      <c r="O889" s="252"/>
      <c r="P889" s="252"/>
      <c r="Q889" s="1"/>
      <c r="R889" s="1"/>
      <c r="S889" s="1"/>
      <c r="T889" s="1"/>
      <c r="U889" s="1"/>
      <c r="V889" s="1"/>
    </row>
    <row r="890" ht="15.75" hidden="1" customHeight="1">
      <c r="A890" s="53"/>
      <c r="B890" s="54"/>
      <c r="C890" s="54" t="s">
        <v>222</v>
      </c>
      <c r="D890" s="216" t="s">
        <v>24</v>
      </c>
      <c r="E890" s="54"/>
      <c r="F890" s="56">
        <v>0.0</v>
      </c>
      <c r="G890" s="57">
        <v>40.0</v>
      </c>
      <c r="H890" s="57">
        <f t="shared" si="22"/>
        <v>0</v>
      </c>
      <c r="I890" s="58"/>
      <c r="J890" s="58"/>
      <c r="K890" s="54"/>
      <c r="L890" s="252"/>
      <c r="M890" s="252"/>
      <c r="N890" s="252"/>
      <c r="O890" s="252"/>
      <c r="P890" s="252"/>
      <c r="Q890" s="1"/>
      <c r="R890" s="1"/>
      <c r="S890" s="1"/>
      <c r="T890" s="1"/>
      <c r="U890" s="1"/>
      <c r="V890" s="1"/>
    </row>
    <row r="891" ht="15.75" hidden="1" customHeight="1">
      <c r="A891" s="53"/>
      <c r="B891" s="54"/>
      <c r="C891" s="197" t="s">
        <v>374</v>
      </c>
      <c r="D891" s="216" t="s">
        <v>24</v>
      </c>
      <c r="E891" s="54"/>
      <c r="F891" s="56">
        <v>0.0</v>
      </c>
      <c r="G891" s="57">
        <v>210.0</v>
      </c>
      <c r="H891" s="57">
        <f t="shared" si="22"/>
        <v>0</v>
      </c>
      <c r="I891" s="58"/>
      <c r="J891" s="58"/>
      <c r="K891" s="54"/>
      <c r="L891" s="252"/>
      <c r="M891" s="252"/>
      <c r="N891" s="252"/>
      <c r="O891" s="252"/>
      <c r="P891" s="252"/>
      <c r="Q891" s="1"/>
      <c r="R891" s="1"/>
      <c r="S891" s="1"/>
      <c r="T891" s="1"/>
      <c r="U891" s="1"/>
      <c r="V891" s="1"/>
    </row>
    <row r="892" ht="15.75" hidden="1" customHeight="1">
      <c r="A892" s="53"/>
      <c r="B892" s="54" t="s">
        <v>373</v>
      </c>
      <c r="C892" s="197" t="s">
        <v>372</v>
      </c>
      <c r="D892" s="55" t="s">
        <v>20</v>
      </c>
      <c r="E892" s="54"/>
      <c r="F892" s="56">
        <v>0.0</v>
      </c>
      <c r="G892" s="57">
        <v>70.0</v>
      </c>
      <c r="H892" s="57">
        <f t="shared" si="22"/>
        <v>0</v>
      </c>
      <c r="I892" s="58"/>
      <c r="J892" s="58"/>
      <c r="K892" s="54"/>
      <c r="L892" s="54"/>
      <c r="M892" s="54"/>
      <c r="N892" s="54"/>
      <c r="O892" s="54"/>
      <c r="P892" s="54"/>
      <c r="Q892" s="1"/>
      <c r="R892" s="1"/>
      <c r="S892" s="1"/>
      <c r="T892" s="1"/>
      <c r="U892" s="1"/>
      <c r="V892" s="1"/>
    </row>
    <row r="893" ht="15.75" hidden="1" customHeight="1">
      <c r="A893" s="53"/>
      <c r="B893" s="54" t="s">
        <v>18</v>
      </c>
      <c r="C893" s="197" t="s">
        <v>503</v>
      </c>
      <c r="D893" s="55" t="s">
        <v>20</v>
      </c>
      <c r="E893" s="54"/>
      <c r="F893" s="56">
        <v>0.0</v>
      </c>
      <c r="G893" s="57">
        <v>50.0</v>
      </c>
      <c r="H893" s="57">
        <f t="shared" si="22"/>
        <v>0</v>
      </c>
      <c r="I893" s="58"/>
      <c r="J893" s="58"/>
      <c r="K893" s="54"/>
      <c r="L893" s="54"/>
      <c r="M893" s="54"/>
      <c r="N893" s="54"/>
      <c r="O893" s="54"/>
      <c r="P893" s="54"/>
      <c r="Q893" s="1"/>
      <c r="R893" s="1"/>
      <c r="S893" s="1"/>
      <c r="T893" s="1"/>
      <c r="U893" s="1"/>
      <c r="V893" s="1"/>
    </row>
    <row r="894" ht="15.75" hidden="1" customHeight="1">
      <c r="A894" s="53"/>
      <c r="B894" s="54"/>
      <c r="C894" s="197" t="s">
        <v>504</v>
      </c>
      <c r="D894" s="216" t="s">
        <v>24</v>
      </c>
      <c r="E894" s="54"/>
      <c r="F894" s="56">
        <v>0.0</v>
      </c>
      <c r="G894" s="57">
        <v>50.0</v>
      </c>
      <c r="H894" s="57">
        <f t="shared" si="22"/>
        <v>0</v>
      </c>
      <c r="I894" s="58"/>
      <c r="J894" s="58"/>
      <c r="K894" s="54"/>
      <c r="L894" s="54"/>
      <c r="M894" s="54"/>
      <c r="N894" s="54"/>
      <c r="O894" s="54"/>
      <c r="P894" s="54"/>
      <c r="Q894" s="1"/>
      <c r="R894" s="1"/>
      <c r="S894" s="1"/>
      <c r="T894" s="1"/>
      <c r="U894" s="1"/>
      <c r="V894" s="1"/>
    </row>
    <row r="895" ht="15.75" hidden="1" customHeight="1">
      <c r="A895" s="53"/>
      <c r="B895" s="54"/>
      <c r="C895" s="197" t="s">
        <v>505</v>
      </c>
      <c r="D895" s="216" t="s">
        <v>24</v>
      </c>
      <c r="E895" s="54"/>
      <c r="F895" s="56">
        <v>0.0</v>
      </c>
      <c r="G895" s="57">
        <v>120.0</v>
      </c>
      <c r="H895" s="57">
        <f t="shared" si="22"/>
        <v>0</v>
      </c>
      <c r="I895" s="58"/>
      <c r="J895" s="58"/>
      <c r="K895" s="54"/>
      <c r="L895" s="252"/>
      <c r="M895" s="252"/>
      <c r="N895" s="252"/>
      <c r="O895" s="252"/>
      <c r="P895" s="252"/>
      <c r="Q895" s="1"/>
      <c r="R895" s="1"/>
      <c r="S895" s="1"/>
      <c r="T895" s="1"/>
      <c r="U895" s="1"/>
      <c r="V895" s="1"/>
    </row>
    <row r="896" ht="15.75" hidden="1" customHeight="1">
      <c r="A896" s="53"/>
      <c r="B896" s="54"/>
      <c r="C896" s="197" t="s">
        <v>506</v>
      </c>
      <c r="D896" s="216" t="s">
        <v>24</v>
      </c>
      <c r="E896" s="54"/>
      <c r="F896" s="56">
        <v>0.0</v>
      </c>
      <c r="G896" s="57">
        <v>80.0</v>
      </c>
      <c r="H896" s="57">
        <f t="shared" si="22"/>
        <v>0</v>
      </c>
      <c r="I896" s="58"/>
      <c r="J896" s="58"/>
      <c r="K896" s="54"/>
      <c r="L896" s="252"/>
      <c r="M896" s="252"/>
      <c r="N896" s="252"/>
      <c r="O896" s="252"/>
      <c r="P896" s="252"/>
      <c r="Q896" s="1"/>
      <c r="R896" s="1"/>
      <c r="S896" s="1"/>
      <c r="T896" s="1"/>
      <c r="U896" s="1"/>
      <c r="V896" s="1"/>
    </row>
    <row r="897" ht="15.75" hidden="1" customHeight="1">
      <c r="A897" s="53"/>
      <c r="B897" s="54"/>
      <c r="C897" s="197" t="s">
        <v>507</v>
      </c>
      <c r="D897" s="55" t="s">
        <v>20</v>
      </c>
      <c r="E897" s="54"/>
      <c r="F897" s="56">
        <v>0.0</v>
      </c>
      <c r="G897" s="57">
        <v>300.0</v>
      </c>
      <c r="H897" s="57">
        <f t="shared" si="22"/>
        <v>0</v>
      </c>
      <c r="I897" s="58"/>
      <c r="J897" s="58"/>
      <c r="K897" s="54"/>
      <c r="L897" s="252"/>
      <c r="M897" s="252"/>
      <c r="N897" s="252"/>
      <c r="O897" s="252"/>
      <c r="P897" s="252"/>
      <c r="Q897" s="1"/>
      <c r="R897" s="1"/>
      <c r="S897" s="1"/>
      <c r="T897" s="1"/>
      <c r="U897" s="1"/>
      <c r="V897" s="1"/>
    </row>
    <row r="898" ht="15.75" hidden="1" customHeight="1">
      <c r="A898" s="53"/>
      <c r="B898" s="54"/>
      <c r="C898" s="197" t="s">
        <v>508</v>
      </c>
      <c r="D898" s="216" t="s">
        <v>24</v>
      </c>
      <c r="E898" s="54"/>
      <c r="F898" s="56">
        <v>0.0</v>
      </c>
      <c r="G898" s="57">
        <v>290.0</v>
      </c>
      <c r="H898" s="57">
        <f t="shared" si="22"/>
        <v>0</v>
      </c>
      <c r="I898" s="58"/>
      <c r="J898" s="58"/>
      <c r="K898" s="54"/>
      <c r="L898" s="252"/>
      <c r="M898" s="252"/>
      <c r="N898" s="252"/>
      <c r="O898" s="252"/>
      <c r="P898" s="252"/>
      <c r="Q898" s="1"/>
      <c r="R898" s="1"/>
      <c r="S898" s="1"/>
      <c r="T898" s="1"/>
      <c r="U898" s="1"/>
      <c r="V898" s="1"/>
    </row>
    <row r="899" ht="15.75" hidden="1" customHeight="1">
      <c r="A899" s="53"/>
      <c r="B899" s="54"/>
      <c r="C899" s="54" t="s">
        <v>509</v>
      </c>
      <c r="D899" s="55" t="s">
        <v>20</v>
      </c>
      <c r="E899" s="54"/>
      <c r="F899" s="56">
        <v>0.0</v>
      </c>
      <c r="G899" s="57">
        <v>30.0</v>
      </c>
      <c r="H899" s="57">
        <f t="shared" si="22"/>
        <v>0</v>
      </c>
      <c r="I899" s="58"/>
      <c r="J899" s="58"/>
      <c r="K899" s="54"/>
      <c r="L899" s="252"/>
      <c r="M899" s="252"/>
      <c r="N899" s="252"/>
      <c r="O899" s="252"/>
      <c r="P899" s="252"/>
      <c r="Q899" s="1"/>
      <c r="R899" s="1"/>
      <c r="S899" s="1"/>
      <c r="T899" s="1"/>
      <c r="U899" s="1"/>
      <c r="V899" s="1"/>
    </row>
    <row r="900" ht="15.75" hidden="1" customHeight="1">
      <c r="A900" s="53"/>
      <c r="B900" s="54"/>
      <c r="C900" s="54" t="s">
        <v>510</v>
      </c>
      <c r="D900" s="216" t="s">
        <v>24</v>
      </c>
      <c r="E900" s="54"/>
      <c r="F900" s="56">
        <v>0.0</v>
      </c>
      <c r="G900" s="57">
        <v>70.0</v>
      </c>
      <c r="H900" s="57">
        <f t="shared" si="22"/>
        <v>0</v>
      </c>
      <c r="I900" s="58"/>
      <c r="J900" s="58"/>
      <c r="K900" s="54"/>
      <c r="L900" s="252"/>
      <c r="M900" s="252"/>
      <c r="N900" s="252"/>
      <c r="O900" s="252"/>
      <c r="P900" s="252"/>
      <c r="Q900" s="1"/>
      <c r="R900" s="1"/>
      <c r="S900" s="1"/>
      <c r="T900" s="1"/>
      <c r="U900" s="1"/>
      <c r="V900" s="1"/>
    </row>
    <row r="901" ht="15.75" hidden="1" customHeight="1">
      <c r="A901" s="53"/>
      <c r="B901" s="54"/>
      <c r="C901" s="54" t="s">
        <v>511</v>
      </c>
      <c r="D901" s="55" t="s">
        <v>20</v>
      </c>
      <c r="E901" s="54"/>
      <c r="F901" s="56">
        <v>0.0</v>
      </c>
      <c r="G901" s="57">
        <v>368.0</v>
      </c>
      <c r="H901" s="57">
        <f t="shared" si="22"/>
        <v>0</v>
      </c>
      <c r="I901" s="58"/>
      <c r="J901" s="58"/>
      <c r="K901" s="54"/>
      <c r="L901" s="252"/>
      <c r="M901" s="252"/>
      <c r="N901" s="252"/>
      <c r="O901" s="252"/>
      <c r="P901" s="252"/>
      <c r="Q901" s="1"/>
      <c r="R901" s="1"/>
      <c r="S901" s="1"/>
      <c r="T901" s="1"/>
      <c r="U901" s="1"/>
      <c r="V901" s="1"/>
    </row>
    <row r="902" ht="15.75" hidden="1" customHeight="1">
      <c r="A902" s="53"/>
      <c r="B902" s="54"/>
      <c r="C902" s="54" t="s">
        <v>512</v>
      </c>
      <c r="D902" s="55" t="s">
        <v>20</v>
      </c>
      <c r="E902" s="54"/>
      <c r="F902" s="56">
        <v>0.0</v>
      </c>
      <c r="G902" s="57">
        <v>183.0</v>
      </c>
      <c r="H902" s="57">
        <f t="shared" si="22"/>
        <v>0</v>
      </c>
      <c r="I902" s="58"/>
      <c r="J902" s="58"/>
      <c r="K902" s="54"/>
      <c r="L902" s="252"/>
      <c r="M902" s="252"/>
      <c r="N902" s="252"/>
      <c r="O902" s="252"/>
      <c r="P902" s="252"/>
      <c r="Q902" s="1"/>
      <c r="R902" s="1"/>
      <c r="S902" s="1"/>
      <c r="T902" s="1"/>
      <c r="U902" s="1"/>
      <c r="V902" s="1"/>
    </row>
    <row r="903" ht="15.75" hidden="1" customHeight="1">
      <c r="A903" s="53"/>
      <c r="B903" s="54"/>
      <c r="C903" s="278" t="s">
        <v>513</v>
      </c>
      <c r="D903" s="55" t="s">
        <v>20</v>
      </c>
      <c r="E903" s="54"/>
      <c r="F903" s="56">
        <v>0.0</v>
      </c>
      <c r="G903" s="57">
        <v>45.0</v>
      </c>
      <c r="H903" s="57">
        <f t="shared" si="22"/>
        <v>0</v>
      </c>
      <c r="I903" s="58"/>
      <c r="J903" s="58"/>
      <c r="K903" s="54"/>
      <c r="L903" s="252"/>
      <c r="M903" s="252"/>
      <c r="N903" s="252"/>
      <c r="O903" s="252"/>
      <c r="P903" s="252"/>
      <c r="Q903" s="1"/>
      <c r="R903" s="1"/>
      <c r="S903" s="1"/>
      <c r="T903" s="1"/>
      <c r="U903" s="1"/>
      <c r="V903" s="1"/>
    </row>
    <row r="904" ht="15.75" hidden="1" customHeight="1">
      <c r="A904" s="53"/>
      <c r="B904" s="54"/>
      <c r="C904" s="278" t="s">
        <v>514</v>
      </c>
      <c r="D904" s="55" t="s">
        <v>20</v>
      </c>
      <c r="E904" s="54"/>
      <c r="F904" s="56">
        <v>0.0</v>
      </c>
      <c r="G904" s="57">
        <v>60.0</v>
      </c>
      <c r="H904" s="57">
        <f t="shared" si="22"/>
        <v>0</v>
      </c>
      <c r="I904" s="58"/>
      <c r="J904" s="58"/>
      <c r="K904" s="54"/>
      <c r="L904" s="252"/>
      <c r="M904" s="252"/>
      <c r="N904" s="252"/>
      <c r="O904" s="252"/>
      <c r="P904" s="252"/>
      <c r="Q904" s="1"/>
      <c r="R904" s="1"/>
      <c r="S904" s="1"/>
      <c r="T904" s="1"/>
      <c r="U904" s="1"/>
      <c r="V904" s="1"/>
    </row>
    <row r="905" ht="15.75" hidden="1" customHeight="1">
      <c r="A905" s="53"/>
      <c r="B905" s="54"/>
      <c r="C905" s="279" t="s">
        <v>515</v>
      </c>
      <c r="D905" s="216" t="s">
        <v>24</v>
      </c>
      <c r="E905" s="54"/>
      <c r="F905" s="56">
        <v>0.0</v>
      </c>
      <c r="G905" s="57">
        <v>290.0</v>
      </c>
      <c r="H905" s="57">
        <f t="shared" si="22"/>
        <v>0</v>
      </c>
      <c r="I905" s="58"/>
      <c r="J905" s="58"/>
      <c r="K905" s="54"/>
      <c r="L905" s="252"/>
      <c r="M905" s="252"/>
      <c r="N905" s="252"/>
      <c r="O905" s="252"/>
      <c r="P905" s="252"/>
      <c r="Q905" s="1"/>
      <c r="R905" s="1"/>
      <c r="S905" s="1"/>
      <c r="T905" s="1"/>
      <c r="U905" s="1"/>
      <c r="V905" s="1"/>
    </row>
    <row r="906" ht="15.75" hidden="1" customHeight="1">
      <c r="A906" s="53"/>
      <c r="B906" s="54"/>
      <c r="C906" s="54" t="s">
        <v>71</v>
      </c>
      <c r="D906" s="216" t="s">
        <v>24</v>
      </c>
      <c r="E906" s="54"/>
      <c r="F906" s="56">
        <v>0.0</v>
      </c>
      <c r="G906" s="57">
        <v>80.0</v>
      </c>
      <c r="H906" s="57">
        <f t="shared" si="22"/>
        <v>0</v>
      </c>
      <c r="I906" s="58"/>
      <c r="J906" s="58"/>
      <c r="K906" s="54"/>
      <c r="L906" s="252"/>
      <c r="M906" s="252"/>
      <c r="N906" s="252"/>
      <c r="O906" s="252"/>
      <c r="P906" s="252"/>
      <c r="Q906" s="1"/>
      <c r="R906" s="1"/>
      <c r="S906" s="1"/>
      <c r="T906" s="1"/>
      <c r="U906" s="1"/>
      <c r="V906" s="1"/>
    </row>
    <row r="907" ht="15.75" hidden="1" customHeight="1">
      <c r="A907" s="53"/>
      <c r="B907" s="54"/>
      <c r="C907" s="197" t="s">
        <v>516</v>
      </c>
      <c r="D907" s="55" t="s">
        <v>20</v>
      </c>
      <c r="E907" s="54"/>
      <c r="F907" s="56">
        <v>0.0</v>
      </c>
      <c r="G907" s="57">
        <v>300.0</v>
      </c>
      <c r="H907" s="57">
        <f t="shared" si="22"/>
        <v>0</v>
      </c>
      <c r="I907" s="58"/>
      <c r="J907" s="58"/>
      <c r="K907" s="54"/>
      <c r="L907" s="252"/>
      <c r="M907" s="252"/>
      <c r="N907" s="252"/>
      <c r="O907" s="252"/>
      <c r="P907" s="252"/>
      <c r="Q907" s="1"/>
      <c r="R907" s="1"/>
      <c r="S907" s="1"/>
      <c r="T907" s="1"/>
      <c r="U907" s="1"/>
      <c r="V907" s="1"/>
    </row>
    <row r="908" ht="15.75" hidden="1" customHeight="1">
      <c r="A908" s="53"/>
      <c r="B908" s="54"/>
      <c r="C908" s="197" t="s">
        <v>517</v>
      </c>
      <c r="D908" s="216" t="s">
        <v>24</v>
      </c>
      <c r="E908" s="54"/>
      <c r="F908" s="56">
        <v>0.0</v>
      </c>
      <c r="G908" s="57">
        <v>900.0</v>
      </c>
      <c r="H908" s="57">
        <f t="shared" si="22"/>
        <v>0</v>
      </c>
      <c r="I908" s="58"/>
      <c r="J908" s="58"/>
      <c r="K908" s="54"/>
      <c r="L908" s="252"/>
      <c r="M908" s="252"/>
      <c r="N908" s="252"/>
      <c r="O908" s="252"/>
      <c r="P908" s="252"/>
      <c r="Q908" s="1"/>
      <c r="R908" s="1"/>
      <c r="S908" s="1"/>
      <c r="T908" s="1"/>
      <c r="U908" s="1"/>
      <c r="V908" s="1"/>
    </row>
    <row r="909" ht="15.75" hidden="1" customHeight="1">
      <c r="A909" s="53"/>
      <c r="B909" s="54"/>
      <c r="C909" s="197" t="s">
        <v>518</v>
      </c>
      <c r="D909" s="216" t="s">
        <v>24</v>
      </c>
      <c r="E909" s="54"/>
      <c r="F909" s="56">
        <v>0.0</v>
      </c>
      <c r="G909" s="57">
        <v>150.0</v>
      </c>
      <c r="H909" s="57">
        <f t="shared" si="22"/>
        <v>0</v>
      </c>
      <c r="I909" s="58"/>
      <c r="J909" s="58"/>
      <c r="K909" s="54"/>
      <c r="L909" s="252"/>
      <c r="M909" s="252"/>
      <c r="N909" s="252"/>
      <c r="O909" s="252"/>
      <c r="P909" s="252"/>
      <c r="Q909" s="1"/>
      <c r="R909" s="1"/>
      <c r="S909" s="1"/>
      <c r="T909" s="1"/>
      <c r="U909" s="1"/>
      <c r="V909" s="1"/>
    </row>
    <row r="910" ht="15.75" hidden="1" customHeight="1">
      <c r="A910" s="53"/>
      <c r="B910" s="54"/>
      <c r="C910" s="197" t="s">
        <v>519</v>
      </c>
      <c r="D910" s="55" t="s">
        <v>20</v>
      </c>
      <c r="E910" s="54"/>
      <c r="F910" s="56">
        <v>0.0</v>
      </c>
      <c r="G910" s="57">
        <v>60.0</v>
      </c>
      <c r="H910" s="57">
        <f t="shared" si="22"/>
        <v>0</v>
      </c>
      <c r="I910" s="58"/>
      <c r="J910" s="58"/>
      <c r="K910" s="54"/>
      <c r="L910" s="252"/>
      <c r="M910" s="252"/>
      <c r="N910" s="252"/>
      <c r="O910" s="252"/>
      <c r="P910" s="252"/>
      <c r="Q910" s="1"/>
      <c r="R910" s="1"/>
      <c r="S910" s="1"/>
      <c r="T910" s="1"/>
      <c r="U910" s="1"/>
      <c r="V910" s="1"/>
    </row>
    <row r="911" ht="15.75" hidden="1" customHeight="1">
      <c r="A911" s="53"/>
      <c r="B911" s="54"/>
      <c r="C911" s="197" t="s">
        <v>520</v>
      </c>
      <c r="D911" s="216" t="s">
        <v>24</v>
      </c>
      <c r="E911" s="54"/>
      <c r="F911" s="56">
        <v>0.0</v>
      </c>
      <c r="G911" s="57">
        <v>500.0</v>
      </c>
      <c r="H911" s="57">
        <f t="shared" si="22"/>
        <v>0</v>
      </c>
      <c r="I911" s="58"/>
      <c r="J911" s="58"/>
      <c r="K911" s="54"/>
      <c r="L911" s="252"/>
      <c r="M911" s="252"/>
      <c r="N911" s="252"/>
      <c r="O911" s="252"/>
      <c r="P911" s="252"/>
      <c r="Q911" s="1"/>
      <c r="R911" s="1"/>
      <c r="S911" s="1"/>
      <c r="T911" s="1"/>
      <c r="U911" s="1"/>
      <c r="V911" s="1"/>
    </row>
    <row r="912" ht="15.75" hidden="1" customHeight="1">
      <c r="A912" s="53"/>
      <c r="B912" s="54"/>
      <c r="C912" s="197" t="s">
        <v>521</v>
      </c>
      <c r="D912" s="55" t="s">
        <v>20</v>
      </c>
      <c r="E912" s="54"/>
      <c r="F912" s="56">
        <v>0.0</v>
      </c>
      <c r="G912" s="57">
        <v>130.0</v>
      </c>
      <c r="H912" s="57">
        <f t="shared" si="22"/>
        <v>0</v>
      </c>
      <c r="I912" s="58"/>
      <c r="J912" s="58"/>
      <c r="K912" s="54"/>
      <c r="L912" s="252"/>
      <c r="M912" s="252"/>
      <c r="N912" s="252"/>
      <c r="O912" s="252"/>
      <c r="P912" s="252"/>
      <c r="Q912" s="1"/>
      <c r="R912" s="1"/>
      <c r="S912" s="1"/>
      <c r="T912" s="1"/>
      <c r="U912" s="1"/>
      <c r="V912" s="1"/>
    </row>
    <row r="913" ht="15.75" hidden="1" customHeight="1">
      <c r="A913" s="53"/>
      <c r="B913" s="54"/>
      <c r="C913" s="197" t="s">
        <v>522</v>
      </c>
      <c r="D913" s="55" t="s">
        <v>20</v>
      </c>
      <c r="E913" s="54"/>
      <c r="F913" s="56">
        <v>0.0</v>
      </c>
      <c r="G913" s="57">
        <v>30.0</v>
      </c>
      <c r="H913" s="57">
        <f t="shared" si="22"/>
        <v>0</v>
      </c>
      <c r="I913" s="58"/>
      <c r="J913" s="58"/>
      <c r="K913" s="54"/>
      <c r="L913" s="54"/>
      <c r="M913" s="54"/>
      <c r="N913" s="54"/>
      <c r="O913" s="54"/>
      <c r="P913" s="54"/>
      <c r="Q913" s="1"/>
      <c r="R913" s="1"/>
      <c r="S913" s="1"/>
      <c r="T913" s="1"/>
      <c r="U913" s="1"/>
      <c r="V913" s="1"/>
    </row>
    <row r="914" ht="15.75" hidden="1" customHeight="1">
      <c r="A914" s="53"/>
      <c r="B914" s="54"/>
      <c r="C914" s="197" t="s">
        <v>523</v>
      </c>
      <c r="D914" s="216" t="s">
        <v>24</v>
      </c>
      <c r="E914" s="54"/>
      <c r="F914" s="56">
        <v>0.0</v>
      </c>
      <c r="G914" s="57">
        <v>25.0</v>
      </c>
      <c r="H914" s="57">
        <f t="shared" si="22"/>
        <v>0</v>
      </c>
      <c r="I914" s="58"/>
      <c r="J914" s="58"/>
      <c r="K914" s="54"/>
      <c r="L914" s="252"/>
      <c r="M914" s="252"/>
      <c r="N914" s="252"/>
      <c r="O914" s="252"/>
      <c r="P914" s="252"/>
      <c r="Q914" s="1"/>
      <c r="R914" s="1"/>
      <c r="S914" s="1"/>
      <c r="T914" s="1"/>
      <c r="U914" s="1"/>
      <c r="V914" s="1"/>
    </row>
    <row r="915" ht="15.75" hidden="1" customHeight="1">
      <c r="A915" s="53"/>
      <c r="B915" s="54"/>
      <c r="C915" s="197" t="s">
        <v>524</v>
      </c>
      <c r="D915" s="55" t="s">
        <v>20</v>
      </c>
      <c r="E915" s="54"/>
      <c r="F915" s="56">
        <v>0.0</v>
      </c>
      <c r="G915" s="57">
        <v>15.0</v>
      </c>
      <c r="H915" s="57">
        <f t="shared" si="22"/>
        <v>0</v>
      </c>
      <c r="I915" s="58"/>
      <c r="J915" s="58"/>
      <c r="K915" s="54"/>
      <c r="L915" s="54"/>
      <c r="M915" s="54"/>
      <c r="N915" s="54"/>
      <c r="O915" s="54"/>
      <c r="P915" s="54"/>
      <c r="Q915" s="1"/>
      <c r="R915" s="1"/>
      <c r="S915" s="1"/>
      <c r="T915" s="1"/>
      <c r="U915" s="1"/>
      <c r="V915" s="1"/>
    </row>
    <row r="916" ht="15.75" hidden="1" customHeight="1">
      <c r="A916" s="53"/>
      <c r="B916" s="54"/>
      <c r="C916" s="197" t="s">
        <v>525</v>
      </c>
      <c r="D916" s="216" t="s">
        <v>24</v>
      </c>
      <c r="E916" s="54"/>
      <c r="F916" s="56">
        <v>0.0</v>
      </c>
      <c r="G916" s="57">
        <v>60.0</v>
      </c>
      <c r="H916" s="57">
        <f t="shared" si="22"/>
        <v>0</v>
      </c>
      <c r="I916" s="58"/>
      <c r="J916" s="58"/>
      <c r="K916" s="54"/>
      <c r="L916" s="252"/>
      <c r="M916" s="252"/>
      <c r="N916" s="252"/>
      <c r="O916" s="252"/>
      <c r="P916" s="252"/>
      <c r="Q916" s="1"/>
      <c r="R916" s="1"/>
      <c r="S916" s="1"/>
      <c r="T916" s="1"/>
      <c r="U916" s="1"/>
      <c r="V916" s="1"/>
    </row>
    <row r="917" ht="15.75" hidden="1" customHeight="1">
      <c r="A917" s="53"/>
      <c r="B917" s="54"/>
      <c r="C917" s="197" t="s">
        <v>526</v>
      </c>
      <c r="D917" s="216" t="s">
        <v>24</v>
      </c>
      <c r="E917" s="54"/>
      <c r="F917" s="56">
        <v>0.0</v>
      </c>
      <c r="G917" s="57">
        <v>80.0</v>
      </c>
      <c r="H917" s="57">
        <f t="shared" si="22"/>
        <v>0</v>
      </c>
      <c r="I917" s="58"/>
      <c r="J917" s="58"/>
      <c r="K917" s="54"/>
      <c r="L917" s="252"/>
      <c r="M917" s="252"/>
      <c r="N917" s="252"/>
      <c r="O917" s="252"/>
      <c r="P917" s="252"/>
      <c r="Q917" s="1"/>
      <c r="R917" s="1"/>
      <c r="S917" s="1"/>
      <c r="T917" s="1"/>
      <c r="U917" s="1"/>
      <c r="V917" s="1"/>
    </row>
    <row r="918" ht="15.75" hidden="1" customHeight="1">
      <c r="A918" s="53"/>
      <c r="B918" s="54"/>
      <c r="C918" s="197" t="s">
        <v>527</v>
      </c>
      <c r="D918" s="55" t="s">
        <v>20</v>
      </c>
      <c r="E918" s="54"/>
      <c r="F918" s="56">
        <v>0.0</v>
      </c>
      <c r="G918" s="57">
        <v>5000.0</v>
      </c>
      <c r="H918" s="57">
        <f t="shared" si="22"/>
        <v>0</v>
      </c>
      <c r="I918" s="58"/>
      <c r="J918" s="58"/>
      <c r="K918" s="54"/>
      <c r="L918" s="252"/>
      <c r="M918" s="252"/>
      <c r="N918" s="252"/>
      <c r="O918" s="252"/>
      <c r="P918" s="252"/>
      <c r="Q918" s="1"/>
      <c r="R918" s="1"/>
      <c r="S918" s="1"/>
      <c r="T918" s="1"/>
      <c r="U918" s="1"/>
      <c r="V918" s="1"/>
    </row>
    <row r="919" ht="15.75" hidden="1" customHeight="1">
      <c r="A919" s="53"/>
      <c r="B919" s="54"/>
      <c r="C919" s="197" t="s">
        <v>528</v>
      </c>
      <c r="D919" s="216" t="s">
        <v>24</v>
      </c>
      <c r="E919" s="54" t="s">
        <v>529</v>
      </c>
      <c r="F919" s="56">
        <v>0.0</v>
      </c>
      <c r="G919" s="57">
        <v>2800.0</v>
      </c>
      <c r="H919" s="57">
        <f t="shared" si="22"/>
        <v>0</v>
      </c>
      <c r="I919" s="58"/>
      <c r="J919" s="58"/>
      <c r="K919" s="54"/>
      <c r="L919" s="252"/>
      <c r="M919" s="252"/>
      <c r="N919" s="252"/>
      <c r="O919" s="252"/>
      <c r="P919" s="252"/>
      <c r="Q919" s="1"/>
      <c r="R919" s="1"/>
      <c r="S919" s="1"/>
      <c r="T919" s="1"/>
      <c r="U919" s="1"/>
      <c r="V919" s="1"/>
    </row>
    <row r="920" ht="15.75" hidden="1" customHeight="1">
      <c r="A920" s="53"/>
      <c r="B920" s="54"/>
      <c r="C920" s="197" t="s">
        <v>530</v>
      </c>
      <c r="D920" s="216" t="s">
        <v>24</v>
      </c>
      <c r="E920" s="54"/>
      <c r="F920" s="56">
        <v>0.0</v>
      </c>
      <c r="G920" s="57">
        <v>2000.0</v>
      </c>
      <c r="H920" s="57">
        <f t="shared" si="22"/>
        <v>0</v>
      </c>
      <c r="I920" s="58"/>
      <c r="J920" s="58"/>
      <c r="K920" s="54"/>
      <c r="L920" s="252"/>
      <c r="M920" s="252"/>
      <c r="N920" s="252"/>
      <c r="O920" s="252"/>
      <c r="P920" s="252"/>
      <c r="Q920" s="1"/>
      <c r="R920" s="1"/>
      <c r="S920" s="1"/>
      <c r="T920" s="1"/>
      <c r="U920" s="1"/>
      <c r="V920" s="1"/>
    </row>
    <row r="921" ht="15.75" hidden="1" customHeight="1">
      <c r="A921" s="53"/>
      <c r="B921" s="54"/>
      <c r="C921" s="197" t="s">
        <v>531</v>
      </c>
      <c r="D921" s="216" t="s">
        <v>24</v>
      </c>
      <c r="E921" s="54"/>
      <c r="F921" s="56">
        <v>0.0</v>
      </c>
      <c r="G921" s="57">
        <v>2200.0</v>
      </c>
      <c r="H921" s="57">
        <f t="shared" si="22"/>
        <v>0</v>
      </c>
      <c r="I921" s="58"/>
      <c r="J921" s="58"/>
      <c r="K921" s="54"/>
      <c r="L921" s="252"/>
      <c r="M921" s="252"/>
      <c r="N921" s="252"/>
      <c r="O921" s="252"/>
      <c r="P921" s="252"/>
      <c r="Q921" s="1"/>
      <c r="R921" s="1"/>
      <c r="S921" s="1"/>
      <c r="T921" s="1"/>
      <c r="U921" s="1"/>
      <c r="V921" s="1"/>
    </row>
    <row r="922" ht="30.75" customHeight="1">
      <c r="A922" s="83"/>
      <c r="B922" s="254" t="s">
        <v>617</v>
      </c>
      <c r="C922" s="255">
        <f>SUM(H923:H996)</f>
        <v>13098.72</v>
      </c>
      <c r="D922" s="256"/>
      <c r="E922" s="256"/>
      <c r="F922" s="256"/>
      <c r="G922" s="257"/>
      <c r="H922" s="257"/>
      <c r="I922" s="257"/>
      <c r="J922" s="257"/>
      <c r="K922" s="256"/>
      <c r="L922" s="256"/>
      <c r="M922" s="256"/>
      <c r="N922" s="256"/>
      <c r="O922" s="256"/>
      <c r="P922" s="256"/>
      <c r="Q922" s="1"/>
      <c r="R922" s="1"/>
      <c r="S922" s="1"/>
      <c r="T922" s="1"/>
      <c r="U922" s="1"/>
      <c r="V922" s="1"/>
    </row>
    <row r="923" ht="15.75" hidden="1" customHeight="1">
      <c r="A923" s="53"/>
      <c r="B923" s="54"/>
      <c r="C923" s="197" t="s">
        <v>191</v>
      </c>
      <c r="D923" s="198" t="s">
        <v>22</v>
      </c>
      <c r="E923" s="54"/>
      <c r="F923" s="56">
        <v>0.0</v>
      </c>
      <c r="G923" s="57">
        <v>100.0</v>
      </c>
      <c r="H923" s="57">
        <f t="shared" ref="H923:H929" si="23">SUM(F923*G923)</f>
        <v>0</v>
      </c>
      <c r="I923" s="58"/>
      <c r="J923" s="58"/>
      <c r="K923" s="54"/>
      <c r="L923" s="54"/>
      <c r="M923" s="54"/>
      <c r="N923" s="54"/>
      <c r="O923" s="54"/>
      <c r="P923" s="54"/>
      <c r="Q923" s="1"/>
      <c r="R923" s="1"/>
      <c r="S923" s="1"/>
      <c r="T923" s="1"/>
      <c r="U923" s="1"/>
      <c r="V923" s="1"/>
    </row>
    <row r="924" ht="15.75" hidden="1" customHeight="1">
      <c r="A924" s="53"/>
      <c r="B924" s="54" t="s">
        <v>18</v>
      </c>
      <c r="C924" s="197" t="s">
        <v>433</v>
      </c>
      <c r="D924" s="55" t="s">
        <v>20</v>
      </c>
      <c r="E924" s="54"/>
      <c r="F924" s="56">
        <v>0.0</v>
      </c>
      <c r="G924" s="57">
        <v>5.0</v>
      </c>
      <c r="H924" s="57">
        <f t="shared" si="23"/>
        <v>0</v>
      </c>
      <c r="I924" s="58"/>
      <c r="J924" s="58"/>
      <c r="K924" s="54"/>
      <c r="L924" s="54"/>
      <c r="M924" s="54"/>
      <c r="N924" s="54"/>
      <c r="O924" s="54"/>
      <c r="P924" s="54"/>
      <c r="Q924" s="1"/>
      <c r="R924" s="1"/>
      <c r="S924" s="1"/>
      <c r="T924" s="1"/>
      <c r="U924" s="1"/>
      <c r="V924" s="1"/>
    </row>
    <row r="925" ht="15.75" hidden="1" customHeight="1">
      <c r="A925" s="53"/>
      <c r="B925" s="54" t="s">
        <v>18</v>
      </c>
      <c r="C925" s="197" t="s">
        <v>19</v>
      </c>
      <c r="D925" s="55" t="s">
        <v>20</v>
      </c>
      <c r="E925" s="54"/>
      <c r="F925" s="56">
        <v>0.0</v>
      </c>
      <c r="G925" s="57">
        <v>0.0</v>
      </c>
      <c r="H925" s="57">
        <f t="shared" si="23"/>
        <v>0</v>
      </c>
      <c r="I925" s="58"/>
      <c r="J925" s="58"/>
      <c r="K925" s="54"/>
      <c r="L925" s="54"/>
      <c r="M925" s="202"/>
      <c r="N925" s="202"/>
      <c r="O925" s="270"/>
      <c r="P925" s="202"/>
      <c r="Q925" s="1"/>
      <c r="R925" s="1"/>
      <c r="S925" s="1"/>
      <c r="T925" s="1"/>
      <c r="U925" s="1"/>
      <c r="V925" s="1"/>
    </row>
    <row r="926" ht="15.75" hidden="1" customHeight="1">
      <c r="A926" s="53"/>
      <c r="B926" s="54" t="s">
        <v>18</v>
      </c>
      <c r="C926" s="197" t="s">
        <v>434</v>
      </c>
      <c r="D926" s="55" t="s">
        <v>20</v>
      </c>
      <c r="E926" s="54"/>
      <c r="F926" s="56">
        <v>0.0</v>
      </c>
      <c r="G926" s="57">
        <v>5.0</v>
      </c>
      <c r="H926" s="57">
        <f t="shared" si="23"/>
        <v>0</v>
      </c>
      <c r="I926" s="58"/>
      <c r="J926" s="58"/>
      <c r="K926" s="54"/>
      <c r="L926" s="54"/>
      <c r="M926" s="202"/>
      <c r="N926" s="202"/>
      <c r="O926" s="270"/>
      <c r="P926" s="202"/>
      <c r="Q926" s="1"/>
      <c r="R926" s="1"/>
      <c r="S926" s="1"/>
      <c r="T926" s="1"/>
      <c r="U926" s="1"/>
      <c r="V926" s="1"/>
    </row>
    <row r="927" ht="15.75" hidden="1" customHeight="1">
      <c r="A927" s="53"/>
      <c r="B927" s="54"/>
      <c r="C927" s="197" t="s">
        <v>435</v>
      </c>
      <c r="D927" s="216" t="s">
        <v>24</v>
      </c>
      <c r="E927" s="54"/>
      <c r="F927" s="56">
        <v>0.0</v>
      </c>
      <c r="G927" s="57">
        <v>103.5</v>
      </c>
      <c r="H927" s="57">
        <f t="shared" si="23"/>
        <v>0</v>
      </c>
      <c r="I927" s="58"/>
      <c r="J927" s="58"/>
      <c r="K927" s="54"/>
      <c r="L927" s="54"/>
      <c r="M927" s="202"/>
      <c r="N927" s="202"/>
      <c r="O927" s="270"/>
      <c r="P927" s="202"/>
      <c r="Q927" s="1"/>
      <c r="R927" s="1"/>
      <c r="S927" s="1"/>
      <c r="T927" s="1"/>
      <c r="U927" s="1"/>
      <c r="V927" s="1"/>
    </row>
    <row r="928" ht="15.75" customHeight="1">
      <c r="A928" s="53"/>
      <c r="B928" s="54" t="s">
        <v>18</v>
      </c>
      <c r="C928" s="197" t="s">
        <v>296</v>
      </c>
      <c r="D928" s="55" t="s">
        <v>20</v>
      </c>
      <c r="E928" s="54"/>
      <c r="F928" s="56">
        <v>1.0</v>
      </c>
      <c r="G928" s="159">
        <v>200.0</v>
      </c>
      <c r="H928" s="57">
        <f t="shared" si="23"/>
        <v>200</v>
      </c>
      <c r="I928" s="58"/>
      <c r="J928" s="58"/>
      <c r="K928" s="54"/>
      <c r="L928" s="54"/>
      <c r="M928" s="202"/>
      <c r="N928" s="202"/>
      <c r="O928" s="270"/>
      <c r="P928" s="202"/>
      <c r="Q928" s="1"/>
      <c r="R928" s="1"/>
      <c r="S928" s="1"/>
      <c r="T928" s="1"/>
      <c r="U928" s="1"/>
      <c r="V928" s="1"/>
    </row>
    <row r="929" ht="15.75" customHeight="1">
      <c r="A929" s="53"/>
      <c r="B929" s="54" t="s">
        <v>18</v>
      </c>
      <c r="C929" s="197" t="s">
        <v>300</v>
      </c>
      <c r="D929" s="55" t="s">
        <v>20</v>
      </c>
      <c r="E929" s="54"/>
      <c r="F929" s="56">
        <v>9.0</v>
      </c>
      <c r="G929" s="57">
        <v>5.0</v>
      </c>
      <c r="H929" s="57">
        <f t="shared" si="23"/>
        <v>45</v>
      </c>
      <c r="I929" s="58"/>
      <c r="J929" s="58"/>
      <c r="K929" s="13"/>
      <c r="L929" s="54"/>
      <c r="M929" s="202"/>
      <c r="N929" s="202"/>
      <c r="O929" s="270"/>
      <c r="P929" s="202"/>
      <c r="Q929" s="1"/>
      <c r="R929" s="1"/>
      <c r="S929" s="1"/>
      <c r="T929" s="1"/>
      <c r="U929" s="1"/>
      <c r="V929" s="1"/>
    </row>
    <row r="930" ht="15.75" hidden="1" customHeight="1">
      <c r="A930" s="53"/>
      <c r="B930" s="54" t="s">
        <v>18</v>
      </c>
      <c r="C930" s="197" t="s">
        <v>19</v>
      </c>
      <c r="D930" s="55" t="s">
        <v>20</v>
      </c>
      <c r="E930" s="201" t="s">
        <v>619</v>
      </c>
      <c r="F930" s="158">
        <v>0.0</v>
      </c>
      <c r="G930" s="57"/>
      <c r="H930" s="57"/>
      <c r="I930" s="58"/>
      <c r="J930" s="58"/>
      <c r="K930" s="54"/>
      <c r="L930" s="54"/>
      <c r="M930" s="202"/>
      <c r="N930" s="202"/>
      <c r="O930" s="270"/>
      <c r="P930" s="202"/>
      <c r="Q930" s="1"/>
      <c r="R930" s="1"/>
      <c r="S930" s="1"/>
      <c r="T930" s="1"/>
      <c r="U930" s="1"/>
      <c r="V930" s="1"/>
    </row>
    <row r="931" ht="15.75" hidden="1" customHeight="1">
      <c r="A931" s="53"/>
      <c r="B931" s="54" t="s">
        <v>620</v>
      </c>
      <c r="C931" s="197" t="s">
        <v>23</v>
      </c>
      <c r="D931" s="55" t="s">
        <v>20</v>
      </c>
      <c r="E931" s="201" t="s">
        <v>621</v>
      </c>
      <c r="F931" s="158">
        <v>0.0</v>
      </c>
      <c r="G931" s="57"/>
      <c r="H931" s="57"/>
      <c r="I931" s="58"/>
      <c r="J931" s="58"/>
      <c r="K931" s="54"/>
      <c r="L931" s="54"/>
      <c r="M931" s="202"/>
      <c r="N931" s="202"/>
      <c r="O931" s="270"/>
      <c r="P931" s="202"/>
      <c r="Q931" s="1"/>
      <c r="R931" s="1"/>
      <c r="S931" s="1"/>
      <c r="T931" s="1"/>
      <c r="U931" s="1"/>
      <c r="V931" s="1"/>
    </row>
    <row r="932" ht="15.75" customHeight="1">
      <c r="A932" s="53"/>
      <c r="B932" s="54"/>
      <c r="C932" s="197" t="s">
        <v>380</v>
      </c>
      <c r="D932" s="216" t="s">
        <v>24</v>
      </c>
      <c r="E932" s="54"/>
      <c r="F932" s="158">
        <v>1.0</v>
      </c>
      <c r="G932" s="57">
        <v>95.0</v>
      </c>
      <c r="H932" s="57">
        <f t="shared" ref="H932:H1022" si="24">SUM(F932*G932)</f>
        <v>95</v>
      </c>
      <c r="I932" s="58"/>
      <c r="J932" s="58"/>
      <c r="K932" s="54"/>
      <c r="L932" s="54"/>
      <c r="M932" s="202"/>
      <c r="N932" s="202"/>
      <c r="O932" s="270"/>
      <c r="P932" s="202"/>
      <c r="Q932" s="1"/>
      <c r="R932" s="1"/>
      <c r="S932" s="1"/>
      <c r="T932" s="1"/>
      <c r="U932" s="1"/>
      <c r="V932" s="1"/>
    </row>
    <row r="933" ht="15.75" hidden="1" customHeight="1">
      <c r="A933" s="53"/>
      <c r="B933" s="54"/>
      <c r="C933" s="197" t="s">
        <v>440</v>
      </c>
      <c r="D933" s="216" t="s">
        <v>24</v>
      </c>
      <c r="E933" s="54"/>
      <c r="F933" s="56">
        <v>0.0</v>
      </c>
      <c r="G933" s="57">
        <v>200.0</v>
      </c>
      <c r="H933" s="57">
        <f t="shared" si="24"/>
        <v>0</v>
      </c>
      <c r="I933" s="58"/>
      <c r="J933" s="58"/>
      <c r="K933" s="54"/>
      <c r="L933" s="54"/>
      <c r="M933" s="202"/>
      <c r="N933" s="202"/>
      <c r="O933" s="270"/>
      <c r="P933" s="202"/>
      <c r="Q933" s="1"/>
      <c r="R933" s="1"/>
      <c r="S933" s="1"/>
      <c r="T933" s="1"/>
      <c r="U933" s="1"/>
      <c r="V933" s="1"/>
    </row>
    <row r="934" ht="15.75" customHeight="1">
      <c r="A934" s="53"/>
      <c r="B934" s="54" t="s">
        <v>637</v>
      </c>
      <c r="C934" s="197" t="s">
        <v>436</v>
      </c>
      <c r="D934" s="259" t="s">
        <v>32</v>
      </c>
      <c r="E934" s="219"/>
      <c r="F934" s="190">
        <v>1.0</v>
      </c>
      <c r="G934" s="191">
        <v>11000.0</v>
      </c>
      <c r="H934" s="192">
        <f t="shared" si="24"/>
        <v>11000</v>
      </c>
      <c r="I934" s="193"/>
      <c r="J934" s="18"/>
      <c r="K934" s="13"/>
      <c r="L934" s="54"/>
      <c r="M934" s="202"/>
      <c r="N934" s="54"/>
      <c r="O934" s="202"/>
      <c r="P934" s="54"/>
      <c r="Q934" s="1"/>
      <c r="R934" s="1"/>
      <c r="S934" s="1"/>
      <c r="T934" s="1"/>
      <c r="U934" s="1"/>
      <c r="V934" s="1"/>
    </row>
    <row r="935" ht="15.75" hidden="1" customHeight="1">
      <c r="A935" s="53"/>
      <c r="B935" s="54"/>
      <c r="C935" s="197" t="s">
        <v>307</v>
      </c>
      <c r="D935" s="259" t="s">
        <v>32</v>
      </c>
      <c r="E935" s="54"/>
      <c r="F935" s="56">
        <v>0.0</v>
      </c>
      <c r="G935" s="57">
        <v>0.0</v>
      </c>
      <c r="H935" s="57">
        <f t="shared" si="24"/>
        <v>0</v>
      </c>
      <c r="I935" s="58"/>
      <c r="J935" s="58"/>
      <c r="K935" s="54"/>
      <c r="L935" s="271"/>
      <c r="M935" s="271"/>
      <c r="N935" s="271"/>
      <c r="O935" s="271"/>
      <c r="P935" s="271"/>
      <c r="Q935" s="1"/>
      <c r="R935" s="1"/>
      <c r="S935" s="1"/>
      <c r="T935" s="1"/>
      <c r="U935" s="1"/>
      <c r="V935" s="1"/>
    </row>
    <row r="936" ht="15.75" customHeight="1">
      <c r="A936" s="53"/>
      <c r="B936" s="54" t="s">
        <v>264</v>
      </c>
      <c r="C936" s="197" t="s">
        <v>308</v>
      </c>
      <c r="D936" s="259" t="s">
        <v>32</v>
      </c>
      <c r="E936" s="54">
        <v>202413.0</v>
      </c>
      <c r="F936" s="56">
        <v>1.0</v>
      </c>
      <c r="G936" s="159">
        <v>239.12</v>
      </c>
      <c r="H936" s="57">
        <f t="shared" si="24"/>
        <v>239.12</v>
      </c>
      <c r="I936" s="58"/>
      <c r="J936" s="58"/>
      <c r="K936" s="54"/>
      <c r="L936" s="271"/>
      <c r="M936" s="280"/>
      <c r="N936" s="271"/>
      <c r="O936" s="271"/>
      <c r="P936" s="271"/>
      <c r="Q936" s="1"/>
      <c r="R936" s="1"/>
      <c r="S936" s="1"/>
      <c r="T936" s="1"/>
      <c r="U936" s="1"/>
      <c r="V936" s="1"/>
    </row>
    <row r="937" ht="15.75" hidden="1" customHeight="1">
      <c r="A937" s="13"/>
      <c r="B937" s="18" t="s">
        <v>18</v>
      </c>
      <c r="C937" s="169" t="s">
        <v>447</v>
      </c>
      <c r="D937" s="46" t="s">
        <v>20</v>
      </c>
      <c r="E937" s="207" t="s">
        <v>448</v>
      </c>
      <c r="F937" s="242">
        <v>0.0</v>
      </c>
      <c r="G937" s="243">
        <v>19.0</v>
      </c>
      <c r="H937" s="192">
        <f t="shared" si="24"/>
        <v>0</v>
      </c>
      <c r="I937" s="193"/>
      <c r="J937" s="18"/>
      <c r="K937" s="13"/>
      <c r="L937" s="27"/>
      <c r="M937" s="241"/>
      <c r="N937" s="27"/>
      <c r="O937" s="27"/>
      <c r="P937" s="27"/>
      <c r="Q937" s="35"/>
      <c r="R937" s="35"/>
      <c r="S937" s="35"/>
      <c r="T937" s="1"/>
      <c r="U937" s="1"/>
      <c r="V937" s="1"/>
    </row>
    <row r="938" ht="15.75" hidden="1" customHeight="1">
      <c r="A938" s="13"/>
      <c r="B938" s="18" t="s">
        <v>18</v>
      </c>
      <c r="C938" s="169" t="s">
        <v>450</v>
      </c>
      <c r="D938" s="46" t="s">
        <v>20</v>
      </c>
      <c r="E938" s="52" t="s">
        <v>451</v>
      </c>
      <c r="F938" s="48">
        <v>0.0</v>
      </c>
      <c r="G938" s="50">
        <v>19.99</v>
      </c>
      <c r="H938" s="50">
        <f t="shared" si="24"/>
        <v>0</v>
      </c>
      <c r="I938" s="193"/>
      <c r="J938" s="18"/>
      <c r="K938" s="13"/>
      <c r="L938" s="27"/>
      <c r="M938" s="241"/>
      <c r="N938" s="27"/>
      <c r="O938" s="27"/>
      <c r="P938" s="27"/>
      <c r="Q938" s="35"/>
      <c r="R938" s="35"/>
      <c r="S938" s="35"/>
      <c r="T938" s="1"/>
      <c r="U938" s="1"/>
      <c r="V938" s="1"/>
    </row>
    <row r="939" ht="15.75" hidden="1" customHeight="1">
      <c r="A939" s="53"/>
      <c r="B939" s="54"/>
      <c r="C939" s="197" t="s">
        <v>541</v>
      </c>
      <c r="D939" s="198" t="s">
        <v>22</v>
      </c>
      <c r="E939" s="54"/>
      <c r="F939" s="56">
        <v>0.0</v>
      </c>
      <c r="G939" s="57">
        <v>30.0</v>
      </c>
      <c r="H939" s="57">
        <f t="shared" si="24"/>
        <v>0</v>
      </c>
      <c r="I939" s="58"/>
      <c r="J939" s="58"/>
      <c r="K939" s="54"/>
      <c r="L939" s="54"/>
      <c r="M939" s="54"/>
      <c r="N939" s="54"/>
      <c r="O939" s="54"/>
      <c r="P939" s="54"/>
      <c r="Q939" s="1"/>
      <c r="R939" s="1"/>
      <c r="S939" s="1"/>
      <c r="T939" s="1"/>
      <c r="U939" s="1"/>
      <c r="V939" s="1"/>
    </row>
    <row r="940" ht="15.75" hidden="1" customHeight="1">
      <c r="A940" s="53"/>
      <c r="B940" s="54" t="s">
        <v>454</v>
      </c>
      <c r="C940" s="197" t="s">
        <v>321</v>
      </c>
      <c r="D940" s="198" t="s">
        <v>22</v>
      </c>
      <c r="E940" s="54"/>
      <c r="F940" s="56">
        <v>0.0</v>
      </c>
      <c r="G940" s="57">
        <v>10.0</v>
      </c>
      <c r="H940" s="57">
        <f t="shared" si="24"/>
        <v>0</v>
      </c>
      <c r="I940" s="58"/>
      <c r="J940" s="58"/>
      <c r="K940" s="54"/>
      <c r="L940" s="54"/>
      <c r="M940" s="202"/>
      <c r="N940" s="54"/>
      <c r="O940" s="54"/>
      <c r="P940" s="54"/>
      <c r="Q940" s="1"/>
      <c r="R940" s="1"/>
      <c r="S940" s="1"/>
      <c r="T940" s="1"/>
      <c r="U940" s="1"/>
      <c r="V940" s="1"/>
    </row>
    <row r="941" ht="15.75" customHeight="1">
      <c r="A941" s="53"/>
      <c r="B941" s="54" t="s">
        <v>18</v>
      </c>
      <c r="C941" s="197" t="s">
        <v>626</v>
      </c>
      <c r="D941" s="198" t="s">
        <v>22</v>
      </c>
      <c r="E941" s="205" t="s">
        <v>627</v>
      </c>
      <c r="F941" s="56">
        <v>4.0</v>
      </c>
      <c r="G941" s="159">
        <v>63.6</v>
      </c>
      <c r="H941" s="57">
        <f t="shared" si="24"/>
        <v>254.4</v>
      </c>
      <c r="I941" s="58"/>
      <c r="J941" s="58"/>
      <c r="K941" s="54"/>
      <c r="L941" s="54"/>
      <c r="M941" s="54"/>
      <c r="N941" s="54"/>
      <c r="O941" s="54"/>
      <c r="P941" s="54"/>
      <c r="Q941" s="1"/>
      <c r="R941" s="1"/>
      <c r="S941" s="1"/>
      <c r="T941" s="1"/>
      <c r="U941" s="1"/>
      <c r="V941" s="1"/>
    </row>
    <row r="942" ht="15.75" hidden="1" customHeight="1">
      <c r="A942" s="281"/>
      <c r="B942" s="120"/>
      <c r="C942" s="282" t="s">
        <v>442</v>
      </c>
      <c r="D942" s="283" t="s">
        <v>22</v>
      </c>
      <c r="E942" s="120"/>
      <c r="F942" s="284">
        <v>0.0</v>
      </c>
      <c r="G942" s="285">
        <v>30.0</v>
      </c>
      <c r="H942" s="285">
        <f t="shared" si="24"/>
        <v>0</v>
      </c>
      <c r="I942" s="286"/>
      <c r="J942" s="286"/>
      <c r="K942" s="120"/>
      <c r="L942" s="120"/>
      <c r="M942" s="120"/>
      <c r="N942" s="120"/>
      <c r="O942" s="120"/>
      <c r="P942" s="120"/>
      <c r="Q942" s="182"/>
      <c r="R942" s="182"/>
      <c r="S942" s="182"/>
      <c r="T942" s="182"/>
      <c r="U942" s="182"/>
      <c r="V942" s="182"/>
    </row>
    <row r="943" ht="15.75" customHeight="1">
      <c r="A943" s="53"/>
      <c r="B943" s="54" t="s">
        <v>399</v>
      </c>
      <c r="C943" s="197" t="s">
        <v>364</v>
      </c>
      <c r="D943" s="198" t="s">
        <v>22</v>
      </c>
      <c r="E943" s="54" t="s">
        <v>365</v>
      </c>
      <c r="F943" s="56">
        <v>4.0</v>
      </c>
      <c r="G943" s="57">
        <v>6.0</v>
      </c>
      <c r="H943" s="57">
        <f t="shared" si="24"/>
        <v>24</v>
      </c>
      <c r="I943" s="58"/>
      <c r="J943" s="58"/>
      <c r="K943" s="54"/>
      <c r="L943" s="54"/>
      <c r="M943" s="54"/>
      <c r="N943" s="54"/>
      <c r="O943" s="54"/>
      <c r="P943" s="54"/>
      <c r="Q943" s="1"/>
      <c r="R943" s="1"/>
      <c r="S943" s="1"/>
      <c r="T943" s="1"/>
      <c r="U943" s="1"/>
      <c r="V943" s="1"/>
    </row>
    <row r="944" ht="15.75" customHeight="1">
      <c r="A944" s="53"/>
      <c r="B944" s="54" t="s">
        <v>18</v>
      </c>
      <c r="C944" s="197" t="s">
        <v>400</v>
      </c>
      <c r="D944" s="198" t="s">
        <v>22</v>
      </c>
      <c r="E944" s="205" t="s">
        <v>628</v>
      </c>
      <c r="F944" s="56">
        <v>2.0</v>
      </c>
      <c r="G944" s="159">
        <v>20.4</v>
      </c>
      <c r="H944" s="57">
        <f t="shared" si="24"/>
        <v>40.8</v>
      </c>
      <c r="I944" s="58"/>
      <c r="J944" s="58"/>
      <c r="K944" s="54"/>
      <c r="L944" s="54"/>
      <c r="M944" s="54"/>
      <c r="N944" s="54"/>
      <c r="O944" s="54"/>
      <c r="P944" s="54"/>
      <c r="Q944" s="1"/>
      <c r="R944" s="1"/>
      <c r="S944" s="1"/>
      <c r="T944" s="1"/>
      <c r="U944" s="1"/>
      <c r="V944" s="1"/>
    </row>
    <row r="945" ht="15.75" customHeight="1">
      <c r="A945" s="53"/>
      <c r="B945" s="54" t="s">
        <v>18</v>
      </c>
      <c r="C945" s="197" t="s">
        <v>258</v>
      </c>
      <c r="D945" s="198" t="s">
        <v>22</v>
      </c>
      <c r="E945" s="201" t="s">
        <v>629</v>
      </c>
      <c r="F945" s="56">
        <v>1.0</v>
      </c>
      <c r="G945" s="159">
        <v>49.2</v>
      </c>
      <c r="H945" s="57">
        <f t="shared" si="24"/>
        <v>49.2</v>
      </c>
      <c r="I945" s="58"/>
      <c r="J945" s="58"/>
      <c r="K945" s="54"/>
      <c r="L945" s="54"/>
      <c r="M945" s="54"/>
      <c r="N945" s="54"/>
      <c r="O945" s="54"/>
      <c r="P945" s="54"/>
      <c r="Q945" s="1"/>
      <c r="R945" s="1"/>
      <c r="S945" s="1"/>
      <c r="T945" s="1"/>
      <c r="U945" s="1"/>
      <c r="V945" s="1"/>
    </row>
    <row r="946" ht="15.75" hidden="1" customHeight="1">
      <c r="A946" s="53"/>
      <c r="B946" s="54" t="s">
        <v>18</v>
      </c>
      <c r="C946" s="197" t="s">
        <v>258</v>
      </c>
      <c r="D946" s="198" t="s">
        <v>22</v>
      </c>
      <c r="E946" s="54"/>
      <c r="F946" s="158">
        <v>0.0</v>
      </c>
      <c r="G946" s="57">
        <v>300.0</v>
      </c>
      <c r="H946" s="57">
        <f t="shared" si="24"/>
        <v>0</v>
      </c>
      <c r="I946" s="58"/>
      <c r="J946" s="58"/>
      <c r="K946" s="54"/>
      <c r="L946" s="54"/>
      <c r="M946" s="54"/>
      <c r="N946" s="54"/>
      <c r="O946" s="54"/>
      <c r="P946" s="54"/>
      <c r="Q946" s="1"/>
      <c r="R946" s="1"/>
      <c r="S946" s="1"/>
      <c r="T946" s="1"/>
      <c r="U946" s="1"/>
      <c r="V946" s="1"/>
    </row>
    <row r="947" ht="15.75" customHeight="1">
      <c r="A947" s="53"/>
      <c r="B947" s="54" t="s">
        <v>18</v>
      </c>
      <c r="C947" s="197" t="s">
        <v>258</v>
      </c>
      <c r="D947" s="198" t="s">
        <v>22</v>
      </c>
      <c r="E947" s="205" t="s">
        <v>630</v>
      </c>
      <c r="F947" s="56">
        <v>2.0</v>
      </c>
      <c r="G947" s="159">
        <v>36.0</v>
      </c>
      <c r="H947" s="57">
        <f t="shared" si="24"/>
        <v>72</v>
      </c>
      <c r="I947" s="58"/>
      <c r="J947" s="58"/>
      <c r="K947" s="54"/>
      <c r="L947" s="54"/>
      <c r="M947" s="54"/>
      <c r="N947" s="54"/>
      <c r="O947" s="54"/>
      <c r="P947" s="54"/>
      <c r="Q947" s="1"/>
      <c r="R947" s="1"/>
      <c r="S947" s="1"/>
      <c r="T947" s="1"/>
      <c r="U947" s="1"/>
      <c r="V947" s="1"/>
    </row>
    <row r="948" ht="15.75" customHeight="1">
      <c r="A948" s="53"/>
      <c r="B948" s="54" t="s">
        <v>18</v>
      </c>
      <c r="C948" s="197" t="s">
        <v>258</v>
      </c>
      <c r="D948" s="198" t="s">
        <v>22</v>
      </c>
      <c r="E948" s="201" t="s">
        <v>975</v>
      </c>
      <c r="F948" s="56">
        <v>1.0</v>
      </c>
      <c r="G948" s="57">
        <v>27.0</v>
      </c>
      <c r="H948" s="57">
        <f t="shared" si="24"/>
        <v>27</v>
      </c>
      <c r="I948" s="58"/>
      <c r="J948" s="58"/>
      <c r="K948" s="54"/>
      <c r="L948" s="54"/>
      <c r="M948" s="54"/>
      <c r="N948" s="54"/>
      <c r="O948" s="54"/>
      <c r="P948" s="54"/>
      <c r="Q948" s="1"/>
      <c r="R948" s="1"/>
      <c r="S948" s="1"/>
      <c r="T948" s="1"/>
      <c r="U948" s="1"/>
      <c r="V948" s="1"/>
    </row>
    <row r="949" ht="15.75" customHeight="1">
      <c r="A949" s="53"/>
      <c r="B949" s="54" t="s">
        <v>239</v>
      </c>
      <c r="C949" s="203" t="s">
        <v>406</v>
      </c>
      <c r="D949" s="55" t="s">
        <v>20</v>
      </c>
      <c r="E949" s="54"/>
      <c r="F949" s="56">
        <v>1.0</v>
      </c>
      <c r="G949" s="159">
        <v>300.0</v>
      </c>
      <c r="H949" s="57">
        <f t="shared" si="24"/>
        <v>300</v>
      </c>
      <c r="I949" s="58"/>
      <c r="J949" s="58"/>
      <c r="K949" s="54"/>
      <c r="L949" s="54"/>
      <c r="M949" s="54"/>
      <c r="N949" s="54"/>
      <c r="O949" s="54"/>
      <c r="P949" s="54"/>
      <c r="Q949" s="1"/>
      <c r="R949" s="1"/>
      <c r="S949" s="1"/>
      <c r="T949" s="1"/>
      <c r="U949" s="1"/>
      <c r="V949" s="1"/>
    </row>
    <row r="950" ht="15.75" hidden="1" customHeight="1">
      <c r="A950" s="53"/>
      <c r="B950" s="54"/>
      <c r="C950" s="169" t="s">
        <v>323</v>
      </c>
      <c r="D950" s="216" t="s">
        <v>24</v>
      </c>
      <c r="E950" s="54"/>
      <c r="F950" s="56">
        <v>0.0</v>
      </c>
      <c r="G950" s="57">
        <v>80.0</v>
      </c>
      <c r="H950" s="57">
        <f t="shared" si="24"/>
        <v>0</v>
      </c>
      <c r="I950" s="58"/>
      <c r="J950" s="58"/>
      <c r="K950" s="54"/>
      <c r="L950" s="54"/>
      <c r="M950" s="54"/>
      <c r="N950" s="54"/>
      <c r="O950" s="54"/>
      <c r="P950" s="54"/>
      <c r="Q950" s="1"/>
      <c r="R950" s="1"/>
      <c r="S950" s="1"/>
      <c r="T950" s="1"/>
      <c r="U950" s="1"/>
      <c r="V950" s="1"/>
    </row>
    <row r="951" ht="15.75" hidden="1" customHeight="1">
      <c r="A951" s="53"/>
      <c r="B951" s="54"/>
      <c r="C951" s="197" t="s">
        <v>324</v>
      </c>
      <c r="D951" s="55" t="s">
        <v>20</v>
      </c>
      <c r="E951" s="54"/>
      <c r="F951" s="56">
        <v>0.0</v>
      </c>
      <c r="G951" s="57">
        <v>35.0</v>
      </c>
      <c r="H951" s="57">
        <f t="shared" si="24"/>
        <v>0</v>
      </c>
      <c r="I951" s="58"/>
      <c r="J951" s="58"/>
      <c r="K951" s="54"/>
      <c r="L951" s="54"/>
      <c r="M951" s="202"/>
      <c r="N951" s="54"/>
      <c r="O951" s="202"/>
      <c r="P951" s="202"/>
      <c r="Q951" s="1"/>
      <c r="R951" s="1"/>
      <c r="S951" s="1"/>
      <c r="T951" s="1"/>
      <c r="U951" s="1"/>
      <c r="V951" s="1"/>
    </row>
    <row r="952" ht="15.75" hidden="1" customHeight="1">
      <c r="A952" s="53"/>
      <c r="B952" s="54"/>
      <c r="C952" s="197" t="s">
        <v>469</v>
      </c>
      <c r="D952" s="216" t="s">
        <v>24</v>
      </c>
      <c r="E952" s="54"/>
      <c r="F952" s="56">
        <v>0.0</v>
      </c>
      <c r="G952" s="57">
        <v>290.0</v>
      </c>
      <c r="H952" s="57">
        <f t="shared" si="24"/>
        <v>0</v>
      </c>
      <c r="I952" s="58"/>
      <c r="J952" s="58"/>
      <c r="K952" s="54"/>
      <c r="L952" s="252"/>
      <c r="M952" s="252"/>
      <c r="N952" s="252"/>
      <c r="O952" s="252"/>
      <c r="P952" s="252"/>
      <c r="Q952" s="1"/>
      <c r="R952" s="1"/>
      <c r="S952" s="1"/>
      <c r="T952" s="1"/>
      <c r="U952" s="1"/>
      <c r="V952" s="1"/>
    </row>
    <row r="953" ht="15.75" hidden="1" customHeight="1">
      <c r="A953" s="53"/>
      <c r="B953" s="54"/>
      <c r="C953" s="197" t="s">
        <v>470</v>
      </c>
      <c r="D953" s="55" t="s">
        <v>20</v>
      </c>
      <c r="E953" s="54"/>
      <c r="F953" s="56">
        <v>0.0</v>
      </c>
      <c r="G953" s="57">
        <v>150.0</v>
      </c>
      <c r="H953" s="57">
        <f t="shared" si="24"/>
        <v>0</v>
      </c>
      <c r="I953" s="58"/>
      <c r="J953" s="58"/>
      <c r="K953" s="54"/>
      <c r="L953" s="54"/>
      <c r="M953" s="202"/>
      <c r="N953" s="54"/>
      <c r="O953" s="202"/>
      <c r="P953" s="202"/>
      <c r="Q953" s="1"/>
      <c r="R953" s="1"/>
      <c r="S953" s="1"/>
      <c r="T953" s="1"/>
      <c r="U953" s="1"/>
      <c r="V953" s="1"/>
    </row>
    <row r="954" ht="15.75" hidden="1" customHeight="1">
      <c r="A954" s="53"/>
      <c r="B954" s="54"/>
      <c r="C954" s="197" t="s">
        <v>471</v>
      </c>
      <c r="D954" s="216" t="s">
        <v>24</v>
      </c>
      <c r="E954" s="54"/>
      <c r="F954" s="56">
        <v>0.0</v>
      </c>
      <c r="G954" s="57">
        <v>250.0</v>
      </c>
      <c r="H954" s="57">
        <f t="shared" si="24"/>
        <v>0</v>
      </c>
      <c r="I954" s="58"/>
      <c r="J954" s="58"/>
      <c r="K954" s="54"/>
      <c r="L954" s="54"/>
      <c r="M954" s="202"/>
      <c r="N954" s="54"/>
      <c r="O954" s="202"/>
      <c r="P954" s="202"/>
      <c r="Q954" s="1"/>
      <c r="R954" s="1"/>
      <c r="S954" s="1"/>
      <c r="T954" s="1"/>
      <c r="U954" s="1"/>
      <c r="V954" s="1"/>
    </row>
    <row r="955" ht="15.75" hidden="1" customHeight="1">
      <c r="A955" s="53"/>
      <c r="B955" s="54"/>
      <c r="C955" s="274" t="s">
        <v>472</v>
      </c>
      <c r="D955" s="55" t="s">
        <v>20</v>
      </c>
      <c r="E955" s="54"/>
      <c r="F955" s="56">
        <v>0.0</v>
      </c>
      <c r="G955" s="57">
        <v>150.0</v>
      </c>
      <c r="H955" s="57">
        <f t="shared" si="24"/>
        <v>0</v>
      </c>
      <c r="I955" s="58"/>
      <c r="J955" s="58"/>
      <c r="K955" s="54"/>
      <c r="L955" s="54"/>
      <c r="M955" s="202"/>
      <c r="N955" s="54"/>
      <c r="O955" s="202"/>
      <c r="P955" s="202"/>
      <c r="Q955" s="1"/>
      <c r="R955" s="1"/>
      <c r="S955" s="1"/>
      <c r="T955" s="1"/>
      <c r="U955" s="1"/>
      <c r="V955" s="1"/>
    </row>
    <row r="956" ht="15.75" hidden="1" customHeight="1">
      <c r="A956" s="53"/>
      <c r="B956" s="54" t="s">
        <v>18</v>
      </c>
      <c r="C956" s="197" t="s">
        <v>309</v>
      </c>
      <c r="D956" s="55" t="s">
        <v>20</v>
      </c>
      <c r="E956" s="208" t="s">
        <v>473</v>
      </c>
      <c r="F956" s="56">
        <v>0.0</v>
      </c>
      <c r="G956" s="57">
        <v>20.0</v>
      </c>
      <c r="H956" s="57">
        <f t="shared" si="24"/>
        <v>0</v>
      </c>
      <c r="I956" s="58"/>
      <c r="J956" s="58"/>
      <c r="K956" s="54"/>
      <c r="L956" s="54"/>
      <c r="M956" s="202"/>
      <c r="N956" s="54"/>
      <c r="O956" s="202"/>
      <c r="P956" s="202"/>
      <c r="Q956" s="1"/>
      <c r="R956" s="1"/>
      <c r="S956" s="1"/>
      <c r="T956" s="1"/>
      <c r="U956" s="1"/>
      <c r="V956" s="1"/>
    </row>
    <row r="957" ht="15.75" hidden="1" customHeight="1">
      <c r="A957" s="53"/>
      <c r="B957" s="54" t="s">
        <v>18</v>
      </c>
      <c r="C957" s="197" t="s">
        <v>474</v>
      </c>
      <c r="D957" s="55" t="s">
        <v>20</v>
      </c>
      <c r="E957" s="208" t="s">
        <v>475</v>
      </c>
      <c r="F957" s="56">
        <v>0.0</v>
      </c>
      <c r="G957" s="57">
        <v>24.0</v>
      </c>
      <c r="H957" s="57">
        <f t="shared" si="24"/>
        <v>0</v>
      </c>
      <c r="I957" s="58"/>
      <c r="J957" s="58"/>
      <c r="K957" s="54"/>
      <c r="L957" s="54"/>
      <c r="M957" s="202"/>
      <c r="N957" s="54"/>
      <c r="O957" s="202"/>
      <c r="P957" s="202"/>
      <c r="Q957" s="1"/>
      <c r="R957" s="1"/>
      <c r="S957" s="1"/>
      <c r="T957" s="1"/>
      <c r="U957" s="1"/>
      <c r="V957" s="1"/>
    </row>
    <row r="958" ht="15.75" hidden="1" customHeight="1">
      <c r="A958" s="53"/>
      <c r="B958" s="54"/>
      <c r="C958" s="197" t="s">
        <v>258</v>
      </c>
      <c r="D958" s="198" t="s">
        <v>22</v>
      </c>
      <c r="E958" s="54"/>
      <c r="F958" s="56">
        <v>0.0</v>
      </c>
      <c r="G958" s="57">
        <v>150.0</v>
      </c>
      <c r="H958" s="57">
        <f t="shared" si="24"/>
        <v>0</v>
      </c>
      <c r="I958" s="58"/>
      <c r="J958" s="58"/>
      <c r="K958" s="54"/>
      <c r="L958" s="54"/>
      <c r="M958" s="54"/>
      <c r="N958" s="54"/>
      <c r="O958" s="202"/>
      <c r="P958" s="202"/>
      <c r="Q958" s="1"/>
      <c r="R958" s="1"/>
      <c r="S958" s="1"/>
      <c r="T958" s="1"/>
      <c r="U958" s="1"/>
      <c r="V958" s="1"/>
    </row>
    <row r="959" ht="15.75" hidden="1" customHeight="1">
      <c r="A959" s="53"/>
      <c r="B959" s="54" t="s">
        <v>18</v>
      </c>
      <c r="C959" s="197" t="s">
        <v>476</v>
      </c>
      <c r="D959" s="198" t="s">
        <v>22</v>
      </c>
      <c r="E959" s="208" t="s">
        <v>477</v>
      </c>
      <c r="F959" s="56">
        <v>0.0</v>
      </c>
      <c r="G959" s="57">
        <v>15.0</v>
      </c>
      <c r="H959" s="57">
        <f t="shared" si="24"/>
        <v>0</v>
      </c>
      <c r="I959" s="58"/>
      <c r="J959" s="58"/>
      <c r="K959" s="54"/>
      <c r="L959" s="54"/>
      <c r="M959" s="54"/>
      <c r="N959" s="54"/>
      <c r="O959" s="54"/>
      <c r="P959" s="54"/>
      <c r="Q959" s="1"/>
      <c r="R959" s="1"/>
      <c r="S959" s="1"/>
      <c r="T959" s="1"/>
      <c r="U959" s="1"/>
      <c r="V959" s="1"/>
    </row>
    <row r="960" ht="15.75" hidden="1" customHeight="1">
      <c r="A960" s="53"/>
      <c r="B960" s="54"/>
      <c r="C960" s="197" t="s">
        <v>478</v>
      </c>
      <c r="D960" s="55" t="s">
        <v>20</v>
      </c>
      <c r="E960" s="54"/>
      <c r="F960" s="56">
        <v>0.0</v>
      </c>
      <c r="G960" s="57">
        <v>500.0</v>
      </c>
      <c r="H960" s="57">
        <f t="shared" si="24"/>
        <v>0</v>
      </c>
      <c r="I960" s="58"/>
      <c r="J960" s="58"/>
      <c r="K960" s="54"/>
      <c r="L960" s="54"/>
      <c r="M960" s="54"/>
      <c r="N960" s="54"/>
      <c r="O960" s="54"/>
      <c r="P960" s="54"/>
      <c r="Q960" s="1"/>
      <c r="R960" s="1"/>
      <c r="S960" s="1"/>
      <c r="T960" s="1"/>
      <c r="U960" s="1"/>
      <c r="V960" s="1"/>
    </row>
    <row r="961" ht="15.75" hidden="1" customHeight="1">
      <c r="A961" s="53"/>
      <c r="B961" s="54"/>
      <c r="C961" s="54" t="s">
        <v>479</v>
      </c>
      <c r="D961" s="216" t="s">
        <v>24</v>
      </c>
      <c r="E961" s="54"/>
      <c r="F961" s="56">
        <v>0.0</v>
      </c>
      <c r="G961" s="57">
        <v>210.0</v>
      </c>
      <c r="H961" s="57">
        <f t="shared" si="24"/>
        <v>0</v>
      </c>
      <c r="I961" s="58"/>
      <c r="J961" s="58"/>
      <c r="K961" s="54"/>
      <c r="L961" s="252"/>
      <c r="M961" s="252"/>
      <c r="N961" s="252"/>
      <c r="O961" s="252"/>
      <c r="P961" s="252"/>
      <c r="Q961" s="1"/>
      <c r="R961" s="1"/>
      <c r="S961" s="1"/>
      <c r="T961" s="1"/>
      <c r="U961" s="1"/>
      <c r="V961" s="1"/>
    </row>
    <row r="962" ht="15.75" hidden="1" customHeight="1">
      <c r="A962" s="53"/>
      <c r="B962" s="54"/>
      <c r="C962" s="197" t="s">
        <v>480</v>
      </c>
      <c r="D962" s="55" t="s">
        <v>20</v>
      </c>
      <c r="E962" s="54"/>
      <c r="F962" s="56">
        <v>0.0</v>
      </c>
      <c r="G962" s="57">
        <v>155.0</v>
      </c>
      <c r="H962" s="57">
        <f t="shared" si="24"/>
        <v>0</v>
      </c>
      <c r="I962" s="58"/>
      <c r="J962" s="58"/>
      <c r="K962" s="54"/>
      <c r="L962" s="54"/>
      <c r="M962" s="54"/>
      <c r="N962" s="54"/>
      <c r="O962" s="54"/>
      <c r="P962" s="54"/>
      <c r="Q962" s="1"/>
      <c r="R962" s="1"/>
      <c r="S962" s="1"/>
      <c r="T962" s="1"/>
      <c r="U962" s="1"/>
      <c r="V962" s="1"/>
    </row>
    <row r="963" ht="15.75" hidden="1" customHeight="1">
      <c r="A963" s="53"/>
      <c r="B963" s="54"/>
      <c r="C963" s="197" t="s">
        <v>481</v>
      </c>
      <c r="D963" s="216" t="s">
        <v>24</v>
      </c>
      <c r="E963" s="54"/>
      <c r="F963" s="56">
        <v>0.0</v>
      </c>
      <c r="G963" s="57">
        <v>70.0</v>
      </c>
      <c r="H963" s="57">
        <f t="shared" si="24"/>
        <v>0</v>
      </c>
      <c r="I963" s="58"/>
      <c r="J963" s="58"/>
      <c r="K963" s="54"/>
      <c r="L963" s="54"/>
      <c r="M963" s="202"/>
      <c r="N963" s="54"/>
      <c r="O963" s="202"/>
      <c r="P963" s="202"/>
      <c r="Q963" s="1"/>
      <c r="R963" s="1"/>
      <c r="S963" s="1"/>
      <c r="T963" s="1"/>
      <c r="U963" s="1"/>
      <c r="V963" s="1"/>
    </row>
    <row r="964" ht="15.75" hidden="1" customHeight="1">
      <c r="A964" s="53"/>
      <c r="B964" s="54"/>
      <c r="C964" s="197" t="s">
        <v>482</v>
      </c>
      <c r="D964" s="55" t="s">
        <v>20</v>
      </c>
      <c r="E964" s="54"/>
      <c r="F964" s="56">
        <v>0.0</v>
      </c>
      <c r="G964" s="57">
        <v>400.0</v>
      </c>
      <c r="H964" s="57">
        <f t="shared" si="24"/>
        <v>0</v>
      </c>
      <c r="I964" s="58"/>
      <c r="J964" s="58"/>
      <c r="K964" s="54"/>
      <c r="L964" s="54"/>
      <c r="M964" s="202"/>
      <c r="N964" s="54"/>
      <c r="O964" s="202"/>
      <c r="P964" s="202"/>
      <c r="Q964" s="1"/>
      <c r="R964" s="1"/>
      <c r="S964" s="1"/>
      <c r="T964" s="1"/>
      <c r="U964" s="1"/>
      <c r="V964" s="1"/>
    </row>
    <row r="965" ht="15.75" hidden="1" customHeight="1">
      <c r="A965" s="53"/>
      <c r="B965" s="54"/>
      <c r="C965" s="197" t="s">
        <v>483</v>
      </c>
      <c r="D965" s="55" t="s">
        <v>20</v>
      </c>
      <c r="E965" s="54"/>
      <c r="F965" s="56">
        <v>0.0</v>
      </c>
      <c r="G965" s="57">
        <v>440.0</v>
      </c>
      <c r="H965" s="57">
        <f t="shared" si="24"/>
        <v>0</v>
      </c>
      <c r="I965" s="58"/>
      <c r="J965" s="58"/>
      <c r="K965" s="54"/>
      <c r="L965" s="54"/>
      <c r="M965" s="202"/>
      <c r="N965" s="54"/>
      <c r="O965" s="202"/>
      <c r="P965" s="202"/>
      <c r="Q965" s="1"/>
      <c r="R965" s="1"/>
      <c r="S965" s="1"/>
      <c r="T965" s="1"/>
      <c r="U965" s="1"/>
      <c r="V965" s="1"/>
    </row>
    <row r="966" ht="15.75" hidden="1" customHeight="1">
      <c r="A966" s="53"/>
      <c r="B966" s="54"/>
      <c r="C966" s="197" t="s">
        <v>484</v>
      </c>
      <c r="D966" s="216" t="s">
        <v>24</v>
      </c>
      <c r="E966" s="54"/>
      <c r="F966" s="56">
        <v>0.0</v>
      </c>
      <c r="G966" s="57">
        <v>90.0</v>
      </c>
      <c r="H966" s="57">
        <f t="shared" si="24"/>
        <v>0</v>
      </c>
      <c r="I966" s="58"/>
      <c r="J966" s="58"/>
      <c r="K966" s="54"/>
      <c r="L966" s="252"/>
      <c r="M966" s="275"/>
      <c r="N966" s="252"/>
      <c r="O966" s="275"/>
      <c r="P966" s="275"/>
      <c r="Q966" s="1"/>
      <c r="R966" s="1"/>
      <c r="S966" s="1"/>
      <c r="T966" s="1"/>
      <c r="U966" s="1"/>
      <c r="V966" s="1"/>
    </row>
    <row r="967" ht="15.75" hidden="1" customHeight="1">
      <c r="A967" s="53"/>
      <c r="B967" s="54"/>
      <c r="C967" s="197" t="s">
        <v>485</v>
      </c>
      <c r="D967" s="55" t="s">
        <v>20</v>
      </c>
      <c r="E967" s="54"/>
      <c r="F967" s="56">
        <v>0.0</v>
      </c>
      <c r="G967" s="57">
        <v>100.0</v>
      </c>
      <c r="H967" s="57">
        <f t="shared" si="24"/>
        <v>0</v>
      </c>
      <c r="I967" s="58"/>
      <c r="J967" s="58"/>
      <c r="K967" s="54"/>
      <c r="L967" s="252"/>
      <c r="M967" s="275"/>
      <c r="N967" s="252"/>
      <c r="O967" s="275"/>
      <c r="P967" s="275"/>
      <c r="Q967" s="1"/>
      <c r="R967" s="1"/>
      <c r="S967" s="1"/>
      <c r="T967" s="1"/>
      <c r="U967" s="1"/>
      <c r="V967" s="1"/>
    </row>
    <row r="968" ht="15.75" hidden="1" customHeight="1">
      <c r="A968" s="53"/>
      <c r="B968" s="54"/>
      <c r="C968" s="54" t="s">
        <v>486</v>
      </c>
      <c r="D968" s="55" t="s">
        <v>20</v>
      </c>
      <c r="E968" s="54"/>
      <c r="F968" s="56">
        <v>0.0</v>
      </c>
      <c r="G968" s="57">
        <v>30.0</v>
      </c>
      <c r="H968" s="57">
        <f t="shared" si="24"/>
        <v>0</v>
      </c>
      <c r="I968" s="58"/>
      <c r="J968" s="58"/>
      <c r="K968" s="54"/>
      <c r="L968" s="252"/>
      <c r="M968" s="275"/>
      <c r="N968" s="252"/>
      <c r="O968" s="275"/>
      <c r="P968" s="275"/>
      <c r="Q968" s="1"/>
      <c r="R968" s="1"/>
      <c r="S968" s="1"/>
      <c r="T968" s="1"/>
      <c r="U968" s="1"/>
      <c r="V968" s="1"/>
    </row>
    <row r="969" ht="15.75" hidden="1" customHeight="1">
      <c r="A969" s="53"/>
      <c r="B969" s="54"/>
      <c r="C969" s="54" t="s">
        <v>487</v>
      </c>
      <c r="D969" s="55" t="s">
        <v>20</v>
      </c>
      <c r="E969" s="54"/>
      <c r="F969" s="56">
        <v>0.0</v>
      </c>
      <c r="G969" s="57">
        <v>30.0</v>
      </c>
      <c r="H969" s="57">
        <f t="shared" si="24"/>
        <v>0</v>
      </c>
      <c r="I969" s="58"/>
      <c r="J969" s="58"/>
      <c r="K969" s="54"/>
      <c r="L969" s="252"/>
      <c r="M969" s="275"/>
      <c r="N969" s="252"/>
      <c r="O969" s="275"/>
      <c r="P969" s="275"/>
      <c r="Q969" s="1"/>
      <c r="R969" s="1"/>
      <c r="S969" s="1"/>
      <c r="T969" s="1"/>
      <c r="U969" s="1"/>
      <c r="V969" s="1"/>
    </row>
    <row r="970" ht="15.75" hidden="1" customHeight="1">
      <c r="A970" s="53"/>
      <c r="B970" s="54"/>
      <c r="C970" s="54" t="s">
        <v>488</v>
      </c>
      <c r="D970" s="55" t="s">
        <v>20</v>
      </c>
      <c r="E970" s="54"/>
      <c r="F970" s="56">
        <v>0.0</v>
      </c>
      <c r="G970" s="57">
        <v>850.0</v>
      </c>
      <c r="H970" s="57">
        <f t="shared" si="24"/>
        <v>0</v>
      </c>
      <c r="I970" s="58"/>
      <c r="J970" s="58"/>
      <c r="K970" s="54"/>
      <c r="L970" s="252"/>
      <c r="M970" s="275"/>
      <c r="N970" s="252"/>
      <c r="O970" s="275"/>
      <c r="P970" s="275"/>
      <c r="Q970" s="1"/>
      <c r="R970" s="1"/>
      <c r="S970" s="1"/>
      <c r="T970" s="1"/>
      <c r="U970" s="1"/>
      <c r="V970" s="1"/>
    </row>
    <row r="971" ht="15.75" hidden="1" customHeight="1">
      <c r="A971" s="53"/>
      <c r="B971" s="54"/>
      <c r="C971" s="54" t="s">
        <v>489</v>
      </c>
      <c r="D971" s="216" t="s">
        <v>24</v>
      </c>
      <c r="E971" s="54"/>
      <c r="F971" s="56">
        <v>0.0</v>
      </c>
      <c r="G971" s="57">
        <v>460.0</v>
      </c>
      <c r="H971" s="57">
        <f t="shared" si="24"/>
        <v>0</v>
      </c>
      <c r="I971" s="58"/>
      <c r="J971" s="58"/>
      <c r="K971" s="54"/>
      <c r="L971" s="252"/>
      <c r="M971" s="275"/>
      <c r="N971" s="252"/>
      <c r="O971" s="275"/>
      <c r="P971" s="275"/>
      <c r="Q971" s="1"/>
      <c r="R971" s="1"/>
      <c r="S971" s="1"/>
      <c r="T971" s="1"/>
      <c r="U971" s="1"/>
      <c r="V971" s="1"/>
    </row>
    <row r="972" ht="15.75" hidden="1" customHeight="1">
      <c r="A972" s="53"/>
      <c r="B972" s="54"/>
      <c r="C972" s="197" t="s">
        <v>490</v>
      </c>
      <c r="D972" s="198" t="s">
        <v>22</v>
      </c>
      <c r="E972" s="54"/>
      <c r="F972" s="56">
        <v>0.0</v>
      </c>
      <c r="G972" s="57">
        <v>0.0</v>
      </c>
      <c r="H972" s="57">
        <f t="shared" si="24"/>
        <v>0</v>
      </c>
      <c r="I972" s="58"/>
      <c r="J972" s="58"/>
      <c r="K972" s="54"/>
      <c r="L972" s="54"/>
      <c r="M972" s="202"/>
      <c r="N972" s="54"/>
      <c r="O972" s="202"/>
      <c r="P972" s="202"/>
      <c r="Q972" s="1"/>
      <c r="R972" s="1"/>
      <c r="S972" s="1"/>
      <c r="T972" s="1"/>
      <c r="U972" s="1"/>
      <c r="V972" s="1"/>
    </row>
    <row r="973" ht="15.75" customHeight="1">
      <c r="A973" s="53"/>
      <c r="B973" s="54" t="s">
        <v>18</v>
      </c>
      <c r="C973" s="197" t="s">
        <v>491</v>
      </c>
      <c r="D973" s="198" t="s">
        <v>22</v>
      </c>
      <c r="E973" s="33" t="s">
        <v>632</v>
      </c>
      <c r="F973" s="16">
        <v>2.0</v>
      </c>
      <c r="G973" s="226">
        <v>134.4</v>
      </c>
      <c r="H973" s="17">
        <f t="shared" si="24"/>
        <v>268.8</v>
      </c>
      <c r="I973" s="58"/>
      <c r="J973" s="58"/>
      <c r="K973" s="54"/>
      <c r="L973" s="54"/>
      <c r="M973" s="202"/>
      <c r="N973" s="54"/>
      <c r="O973" s="202"/>
      <c r="P973" s="202"/>
      <c r="Q973" s="1"/>
      <c r="R973" s="1"/>
      <c r="S973" s="1"/>
      <c r="T973" s="1"/>
      <c r="U973" s="1"/>
      <c r="V973" s="1"/>
    </row>
    <row r="974" ht="15.75" hidden="1" customHeight="1">
      <c r="A974" s="53"/>
      <c r="B974" s="43" t="s">
        <v>350</v>
      </c>
      <c r="C974" s="197" t="s">
        <v>493</v>
      </c>
      <c r="D974" s="198" t="s">
        <v>22</v>
      </c>
      <c r="E974" s="154" t="s">
        <v>494</v>
      </c>
      <c r="F974" s="16">
        <v>0.0</v>
      </c>
      <c r="G974" s="227">
        <v>86.0</v>
      </c>
      <c r="H974" s="17">
        <f t="shared" si="24"/>
        <v>0</v>
      </c>
      <c r="I974" s="58"/>
      <c r="J974" s="58"/>
      <c r="K974" s="54"/>
      <c r="L974" s="54"/>
      <c r="M974" s="202"/>
      <c r="N974" s="54"/>
      <c r="O974" s="202"/>
      <c r="P974" s="202"/>
      <c r="Q974" s="1"/>
      <c r="R974" s="1"/>
      <c r="S974" s="1"/>
      <c r="T974" s="1"/>
      <c r="U974" s="1"/>
      <c r="V974" s="1"/>
    </row>
    <row r="975" ht="15.75" hidden="1" customHeight="1">
      <c r="A975" s="53"/>
      <c r="B975" s="54"/>
      <c r="C975" s="197" t="s">
        <v>495</v>
      </c>
      <c r="D975" s="198" t="s">
        <v>22</v>
      </c>
      <c r="E975" s="15"/>
      <c r="F975" s="16">
        <v>0.0</v>
      </c>
      <c r="G975" s="249">
        <v>70.0</v>
      </c>
      <c r="H975" s="17">
        <f t="shared" si="24"/>
        <v>0</v>
      </c>
      <c r="I975" s="58"/>
      <c r="J975" s="58"/>
      <c r="K975" s="54"/>
      <c r="L975" s="54"/>
      <c r="M975" s="202"/>
      <c r="N975" s="54"/>
      <c r="O975" s="202"/>
      <c r="P975" s="202"/>
      <c r="Q975" s="1"/>
      <c r="R975" s="1"/>
      <c r="S975" s="1"/>
      <c r="T975" s="1"/>
      <c r="U975" s="1"/>
      <c r="V975" s="1"/>
    </row>
    <row r="976" ht="15.75" customHeight="1">
      <c r="A976" s="53"/>
      <c r="B976" s="54" t="s">
        <v>18</v>
      </c>
      <c r="C976" s="197" t="s">
        <v>496</v>
      </c>
      <c r="D976" s="198" t="s">
        <v>22</v>
      </c>
      <c r="E976" s="33" t="s">
        <v>633</v>
      </c>
      <c r="F976" s="16">
        <v>2.0</v>
      </c>
      <c r="G976" s="227">
        <v>19.2</v>
      </c>
      <c r="H976" s="17">
        <f t="shared" si="24"/>
        <v>38.4</v>
      </c>
      <c r="I976" s="58"/>
      <c r="J976" s="58"/>
      <c r="K976" s="54"/>
      <c r="L976" s="271"/>
      <c r="M976" s="276"/>
      <c r="N976" s="271"/>
      <c r="O976" s="276"/>
      <c r="P976" s="271"/>
      <c r="Q976" s="1"/>
      <c r="R976" s="1"/>
      <c r="S976" s="1"/>
      <c r="T976" s="1"/>
      <c r="U976" s="1"/>
      <c r="V976" s="1"/>
    </row>
    <row r="977" ht="15.75" hidden="1" customHeight="1">
      <c r="A977" s="53"/>
      <c r="B977" s="54"/>
      <c r="C977" s="197" t="s">
        <v>407</v>
      </c>
      <c r="D977" s="198" t="s">
        <v>22</v>
      </c>
      <c r="E977" s="54"/>
      <c r="F977" s="56">
        <v>0.0</v>
      </c>
      <c r="G977" s="248">
        <v>135.4</v>
      </c>
      <c r="H977" s="57">
        <f t="shared" si="24"/>
        <v>0</v>
      </c>
      <c r="I977" s="58"/>
      <c r="J977" s="58"/>
      <c r="K977" s="54"/>
      <c r="L977" s="271"/>
      <c r="M977" s="276"/>
      <c r="N977" s="271"/>
      <c r="O977" s="276"/>
      <c r="P977" s="271"/>
      <c r="Q977" s="1"/>
      <c r="R977" s="1"/>
      <c r="S977" s="1"/>
      <c r="T977" s="1"/>
      <c r="U977" s="1"/>
      <c r="V977" s="1"/>
    </row>
    <row r="978" ht="15.75" hidden="1" customHeight="1">
      <c r="A978" s="53"/>
      <c r="B978" s="231" t="s">
        <v>350</v>
      </c>
      <c r="C978" s="197" t="s">
        <v>427</v>
      </c>
      <c r="D978" s="198" t="s">
        <v>22</v>
      </c>
      <c r="E978" s="231" t="s">
        <v>428</v>
      </c>
      <c r="F978" s="56">
        <v>0.0</v>
      </c>
      <c r="G978" s="235">
        <v>107.5</v>
      </c>
      <c r="H978" s="57">
        <f t="shared" si="24"/>
        <v>0</v>
      </c>
      <c r="I978" s="58"/>
      <c r="J978" s="58"/>
      <c r="K978" s="54"/>
      <c r="L978" s="271"/>
      <c r="M978" s="276"/>
      <c r="N978" s="271"/>
      <c r="O978" s="276"/>
      <c r="P978" s="271"/>
      <c r="Q978" s="1"/>
      <c r="R978" s="1"/>
      <c r="S978" s="1"/>
      <c r="T978" s="1"/>
      <c r="U978" s="1"/>
      <c r="V978" s="1"/>
    </row>
    <row r="979" ht="15.75" hidden="1" customHeight="1">
      <c r="A979" s="53"/>
      <c r="B979" s="258" t="s">
        <v>350</v>
      </c>
      <c r="C979" s="197" t="s">
        <v>429</v>
      </c>
      <c r="D979" s="198" t="s">
        <v>22</v>
      </c>
      <c r="E979" s="54"/>
      <c r="F979" s="56">
        <v>0.0</v>
      </c>
      <c r="G979" s="277">
        <v>97.0</v>
      </c>
      <c r="H979" s="57">
        <f t="shared" si="24"/>
        <v>0</v>
      </c>
      <c r="I979" s="58"/>
      <c r="J979" s="58"/>
      <c r="K979" s="54"/>
      <c r="L979" s="271"/>
      <c r="M979" s="276"/>
      <c r="N979" s="271"/>
      <c r="O979" s="276"/>
      <c r="P979" s="271"/>
      <c r="Q979" s="1"/>
      <c r="R979" s="1"/>
      <c r="S979" s="1"/>
      <c r="T979" s="1"/>
      <c r="U979" s="1"/>
      <c r="V979" s="1"/>
    </row>
    <row r="980" ht="15.75" hidden="1" customHeight="1">
      <c r="A980" s="53"/>
      <c r="B980" s="54" t="s">
        <v>18</v>
      </c>
      <c r="C980" s="197" t="s">
        <v>409</v>
      </c>
      <c r="D980" s="198" t="s">
        <v>22</v>
      </c>
      <c r="E980" s="54" t="s">
        <v>616</v>
      </c>
      <c r="F980" s="56">
        <v>0.0</v>
      </c>
      <c r="G980" s="57">
        <v>19.99</v>
      </c>
      <c r="H980" s="57">
        <f t="shared" si="24"/>
        <v>0</v>
      </c>
      <c r="I980" s="58"/>
      <c r="J980" s="58"/>
      <c r="K980" s="54"/>
      <c r="L980" s="271"/>
      <c r="M980" s="276"/>
      <c r="N980" s="271"/>
      <c r="O980" s="276"/>
      <c r="P980" s="271"/>
      <c r="Q980" s="1"/>
      <c r="R980" s="1"/>
      <c r="S980" s="1"/>
      <c r="T980" s="1"/>
      <c r="U980" s="1"/>
      <c r="V980" s="1"/>
    </row>
    <row r="981" ht="15.75" hidden="1" customHeight="1">
      <c r="A981" s="53"/>
      <c r="B981" s="54" t="s">
        <v>18</v>
      </c>
      <c r="C981" s="197" t="s">
        <v>500</v>
      </c>
      <c r="D981" s="55" t="s">
        <v>20</v>
      </c>
      <c r="E981" s="54"/>
      <c r="F981" s="56">
        <v>0.0</v>
      </c>
      <c r="G981" s="57">
        <v>5.0</v>
      </c>
      <c r="H981" s="57">
        <f t="shared" si="24"/>
        <v>0</v>
      </c>
      <c r="I981" s="58"/>
      <c r="J981" s="58"/>
      <c r="K981" s="58"/>
      <c r="L981" s="54"/>
      <c r="M981" s="202"/>
      <c r="N981" s="54"/>
      <c r="O981" s="202"/>
      <c r="P981" s="202"/>
      <c r="Q981" s="1"/>
      <c r="R981" s="1"/>
      <c r="S981" s="1"/>
      <c r="T981" s="1"/>
      <c r="U981" s="1"/>
      <c r="V981" s="1"/>
    </row>
    <row r="982" ht="15.75" hidden="1" customHeight="1">
      <c r="A982" s="53"/>
      <c r="B982" s="54"/>
      <c r="C982" s="197" t="s">
        <v>501</v>
      </c>
      <c r="D982" s="216" t="s">
        <v>24</v>
      </c>
      <c r="E982" s="54"/>
      <c r="F982" s="56">
        <v>0.0</v>
      </c>
      <c r="G982" s="57">
        <v>210.0</v>
      </c>
      <c r="H982" s="57">
        <f t="shared" si="24"/>
        <v>0</v>
      </c>
      <c r="I982" s="58"/>
      <c r="J982" s="58"/>
      <c r="K982" s="54"/>
      <c r="L982" s="252"/>
      <c r="M982" s="275"/>
      <c r="N982" s="252"/>
      <c r="O982" s="275"/>
      <c r="P982" s="275"/>
      <c r="Q982" s="1"/>
      <c r="R982" s="1"/>
      <c r="S982" s="1"/>
      <c r="T982" s="1"/>
      <c r="U982" s="1"/>
      <c r="V982" s="1"/>
    </row>
    <row r="983" ht="15.75" hidden="1" customHeight="1">
      <c r="A983" s="53"/>
      <c r="B983" s="54" t="s">
        <v>18</v>
      </c>
      <c r="C983" s="197" t="s">
        <v>502</v>
      </c>
      <c r="D983" s="198" t="s">
        <v>22</v>
      </c>
      <c r="E983" s="54"/>
      <c r="F983" s="56">
        <v>0.0</v>
      </c>
      <c r="G983" s="57">
        <v>0.0</v>
      </c>
      <c r="H983" s="57">
        <f t="shared" si="24"/>
        <v>0</v>
      </c>
      <c r="I983" s="58"/>
      <c r="J983" s="58"/>
      <c r="K983" s="54"/>
      <c r="L983" s="54"/>
      <c r="M983" s="202"/>
      <c r="N983" s="54"/>
      <c r="O983" s="202"/>
      <c r="P983" s="202"/>
      <c r="Q983" s="1"/>
      <c r="R983" s="1"/>
      <c r="S983" s="1"/>
      <c r="T983" s="1"/>
      <c r="U983" s="1"/>
      <c r="V983" s="1"/>
    </row>
    <row r="984" ht="15.75" customHeight="1">
      <c r="A984" s="53"/>
      <c r="B984" s="43" t="s">
        <v>88</v>
      </c>
      <c r="C984" s="54" t="s">
        <v>411</v>
      </c>
      <c r="D984" s="55" t="s">
        <v>20</v>
      </c>
      <c r="E984" s="171" t="s">
        <v>412</v>
      </c>
      <c r="F984" s="56">
        <v>1.0</v>
      </c>
      <c r="G984" s="34">
        <v>334.0</v>
      </c>
      <c r="H984" s="57">
        <f t="shared" si="24"/>
        <v>334</v>
      </c>
      <c r="I984" s="58"/>
      <c r="J984" s="58"/>
      <c r="K984" s="54"/>
      <c r="L984" s="54"/>
      <c r="M984" s="202"/>
      <c r="N984" s="54"/>
      <c r="O984" s="54"/>
      <c r="P984" s="54"/>
      <c r="Q984" s="1"/>
      <c r="R984" s="1"/>
      <c r="S984" s="1"/>
      <c r="T984" s="1"/>
      <c r="U984" s="1"/>
      <c r="V984" s="1"/>
    </row>
    <row r="985" ht="15.75" customHeight="1">
      <c r="A985" s="53"/>
      <c r="B985" s="54" t="s">
        <v>18</v>
      </c>
      <c r="C985" s="197" t="s">
        <v>280</v>
      </c>
      <c r="D985" s="55" t="s">
        <v>20</v>
      </c>
      <c r="E985" s="15" t="s">
        <v>636</v>
      </c>
      <c r="F985" s="56">
        <v>1.0</v>
      </c>
      <c r="G985" s="34">
        <v>20.0</v>
      </c>
      <c r="H985" s="57">
        <f t="shared" si="24"/>
        <v>20</v>
      </c>
      <c r="I985" s="58"/>
      <c r="J985" s="58"/>
      <c r="K985" s="54"/>
      <c r="L985" s="271"/>
      <c r="M985" s="271"/>
      <c r="N985" s="271"/>
      <c r="O985" s="271"/>
      <c r="P985" s="271"/>
      <c r="Q985" s="1"/>
      <c r="R985" s="1"/>
      <c r="S985" s="1"/>
      <c r="T985" s="1"/>
      <c r="U985" s="1"/>
      <c r="V985" s="1"/>
    </row>
    <row r="986" ht="15.75" customHeight="1">
      <c r="A986" s="53"/>
      <c r="B986" s="54" t="s">
        <v>637</v>
      </c>
      <c r="C986" s="197" t="s">
        <v>414</v>
      </c>
      <c r="D986" s="216" t="s">
        <v>24</v>
      </c>
      <c r="E986" s="54"/>
      <c r="F986" s="56">
        <v>1.0</v>
      </c>
      <c r="G986" s="57">
        <v>80.0</v>
      </c>
      <c r="H986" s="57">
        <f t="shared" si="24"/>
        <v>80</v>
      </c>
      <c r="I986" s="58"/>
      <c r="J986" s="58"/>
      <c r="K986" s="13"/>
      <c r="L986" s="252"/>
      <c r="M986" s="252"/>
      <c r="N986" s="252"/>
      <c r="O986" s="252"/>
      <c r="P986" s="252"/>
      <c r="Q986" s="1"/>
      <c r="R986" s="1"/>
      <c r="S986" s="1"/>
      <c r="T986" s="1"/>
      <c r="U986" s="1"/>
      <c r="V986" s="1"/>
    </row>
    <row r="987" ht="15.75" hidden="1" customHeight="1">
      <c r="A987" s="53"/>
      <c r="B987" s="54" t="s">
        <v>18</v>
      </c>
      <c r="C987" s="197" t="s">
        <v>283</v>
      </c>
      <c r="D987" s="55" t="s">
        <v>20</v>
      </c>
      <c r="E987" s="208" t="s">
        <v>284</v>
      </c>
      <c r="F987" s="56">
        <v>0.0</v>
      </c>
      <c r="G987" s="57">
        <v>12.0</v>
      </c>
      <c r="H987" s="57">
        <f t="shared" si="24"/>
        <v>0</v>
      </c>
      <c r="I987" s="58"/>
      <c r="J987" s="58"/>
      <c r="K987" s="54"/>
      <c r="L987" s="252"/>
      <c r="M987" s="252"/>
      <c r="N987" s="252"/>
      <c r="O987" s="252"/>
      <c r="P987" s="252"/>
      <c r="Q987" s="1"/>
      <c r="R987" s="1"/>
      <c r="S987" s="1"/>
      <c r="T987" s="1"/>
      <c r="U987" s="1"/>
      <c r="V987" s="1"/>
    </row>
    <row r="988" ht="15.75" customHeight="1">
      <c r="A988" s="53"/>
      <c r="B988" s="54" t="s">
        <v>18</v>
      </c>
      <c r="C988" s="197" t="s">
        <v>370</v>
      </c>
      <c r="D988" s="55" t="s">
        <v>20</v>
      </c>
      <c r="E988" s="208">
        <v>8.49069896E8</v>
      </c>
      <c r="F988" s="56">
        <v>1.0</v>
      </c>
      <c r="G988" s="57">
        <v>5.0</v>
      </c>
      <c r="H988" s="57">
        <f t="shared" si="24"/>
        <v>5</v>
      </c>
      <c r="I988" s="58"/>
      <c r="J988" s="58"/>
      <c r="K988" s="54"/>
      <c r="L988" s="252"/>
      <c r="M988" s="252"/>
      <c r="N988" s="252"/>
      <c r="O988" s="252"/>
      <c r="P988" s="252"/>
      <c r="Q988" s="1"/>
      <c r="R988" s="1"/>
      <c r="S988" s="1"/>
      <c r="T988" s="1"/>
      <c r="U988" s="1"/>
      <c r="V988" s="1"/>
    </row>
    <row r="989" ht="15.75" customHeight="1">
      <c r="A989" s="53"/>
      <c r="B989" s="54" t="s">
        <v>18</v>
      </c>
      <c r="C989" s="197" t="s">
        <v>371</v>
      </c>
      <c r="D989" s="55" t="s">
        <v>20</v>
      </c>
      <c r="E989" s="208" t="s">
        <v>286</v>
      </c>
      <c r="F989" s="56">
        <v>2.0</v>
      </c>
      <c r="G989" s="57">
        <v>3.0</v>
      </c>
      <c r="H989" s="57">
        <f t="shared" si="24"/>
        <v>6</v>
      </c>
      <c r="I989" s="58"/>
      <c r="J989" s="58"/>
      <c r="K989" s="13"/>
      <c r="L989" s="252"/>
      <c r="M989" s="252"/>
      <c r="N989" s="252"/>
      <c r="O989" s="252"/>
      <c r="P989" s="252"/>
      <c r="Q989" s="1"/>
      <c r="R989" s="1"/>
      <c r="S989" s="1"/>
      <c r="T989" s="1"/>
      <c r="U989" s="1"/>
      <c r="V989" s="1"/>
    </row>
    <row r="990" ht="15.75" hidden="1" customHeight="1">
      <c r="A990" s="53"/>
      <c r="B990" s="54"/>
      <c r="C990" s="54" t="s">
        <v>221</v>
      </c>
      <c r="D990" s="216" t="s">
        <v>24</v>
      </c>
      <c r="E990" s="54"/>
      <c r="F990" s="56">
        <v>0.0</v>
      </c>
      <c r="G990" s="57">
        <v>50.0</v>
      </c>
      <c r="H990" s="57">
        <f t="shared" si="24"/>
        <v>0</v>
      </c>
      <c r="I990" s="58"/>
      <c r="J990" s="58"/>
      <c r="K990" s="54"/>
      <c r="L990" s="252"/>
      <c r="M990" s="252"/>
      <c r="N990" s="252"/>
      <c r="O990" s="252"/>
      <c r="P990" s="252"/>
      <c r="Q990" s="1"/>
      <c r="R990" s="1"/>
      <c r="S990" s="1"/>
      <c r="T990" s="1"/>
      <c r="U990" s="1"/>
      <c r="V990" s="1"/>
    </row>
    <row r="991" ht="15.75" hidden="1" customHeight="1">
      <c r="A991" s="53"/>
      <c r="B991" s="54"/>
      <c r="C991" s="54" t="s">
        <v>222</v>
      </c>
      <c r="D991" s="216" t="s">
        <v>24</v>
      </c>
      <c r="E991" s="54"/>
      <c r="F991" s="56">
        <v>0.0</v>
      </c>
      <c r="G991" s="57">
        <v>40.0</v>
      </c>
      <c r="H991" s="57">
        <f t="shared" si="24"/>
        <v>0</v>
      </c>
      <c r="I991" s="58"/>
      <c r="J991" s="58"/>
      <c r="K991" s="54"/>
      <c r="L991" s="252"/>
      <c r="M991" s="252"/>
      <c r="N991" s="252"/>
      <c r="O991" s="252"/>
      <c r="P991" s="252"/>
      <c r="Q991" s="1"/>
      <c r="R991" s="1"/>
      <c r="S991" s="1"/>
      <c r="T991" s="1"/>
      <c r="U991" s="1"/>
      <c r="V991" s="1"/>
    </row>
    <row r="992" ht="15.75" hidden="1" customHeight="1">
      <c r="A992" s="53"/>
      <c r="B992" s="54"/>
      <c r="C992" s="197" t="s">
        <v>374</v>
      </c>
      <c r="D992" s="216" t="s">
        <v>24</v>
      </c>
      <c r="E992" s="54"/>
      <c r="F992" s="56">
        <v>0.0</v>
      </c>
      <c r="G992" s="57">
        <v>210.0</v>
      </c>
      <c r="H992" s="57">
        <f t="shared" si="24"/>
        <v>0</v>
      </c>
      <c r="I992" s="58"/>
      <c r="J992" s="58"/>
      <c r="K992" s="54"/>
      <c r="L992" s="252"/>
      <c r="M992" s="252"/>
      <c r="N992" s="252"/>
      <c r="O992" s="252"/>
      <c r="P992" s="252"/>
      <c r="Q992" s="1"/>
      <c r="R992" s="1"/>
      <c r="S992" s="1"/>
      <c r="T992" s="1"/>
      <c r="U992" s="1"/>
      <c r="V992" s="1"/>
    </row>
    <row r="993" ht="15.75" hidden="1" customHeight="1">
      <c r="A993" s="53"/>
      <c r="B993" s="54" t="s">
        <v>373</v>
      </c>
      <c r="C993" s="197" t="s">
        <v>372</v>
      </c>
      <c r="D993" s="55" t="s">
        <v>20</v>
      </c>
      <c r="E993" s="54"/>
      <c r="F993" s="56">
        <v>0.0</v>
      </c>
      <c r="G993" s="57">
        <v>70.0</v>
      </c>
      <c r="H993" s="57">
        <f t="shared" si="24"/>
        <v>0</v>
      </c>
      <c r="I993" s="58"/>
      <c r="J993" s="58"/>
      <c r="K993" s="54"/>
      <c r="L993" s="54"/>
      <c r="M993" s="54"/>
      <c r="N993" s="54"/>
      <c r="O993" s="54"/>
      <c r="P993" s="54"/>
      <c r="Q993" s="1"/>
      <c r="R993" s="1"/>
      <c r="S993" s="1"/>
      <c r="T993" s="1"/>
      <c r="U993" s="1"/>
      <c r="V993" s="1"/>
    </row>
    <row r="994" ht="15.75" hidden="1" customHeight="1">
      <c r="A994" s="53"/>
      <c r="B994" s="54" t="s">
        <v>18</v>
      </c>
      <c r="C994" s="197" t="s">
        <v>503</v>
      </c>
      <c r="D994" s="55" t="s">
        <v>20</v>
      </c>
      <c r="E994" s="54"/>
      <c r="F994" s="56">
        <v>0.0</v>
      </c>
      <c r="G994" s="57">
        <v>50.0</v>
      </c>
      <c r="H994" s="57">
        <f t="shared" si="24"/>
        <v>0</v>
      </c>
      <c r="I994" s="58"/>
      <c r="J994" s="58"/>
      <c r="K994" s="54"/>
      <c r="L994" s="54"/>
      <c r="M994" s="54"/>
      <c r="N994" s="54"/>
      <c r="O994" s="54"/>
      <c r="P994" s="54"/>
      <c r="Q994" s="1"/>
      <c r="R994" s="1"/>
      <c r="S994" s="1"/>
      <c r="T994" s="1"/>
      <c r="U994" s="1"/>
      <c r="V994" s="1"/>
    </row>
    <row r="995" ht="15.75" hidden="1" customHeight="1">
      <c r="A995" s="53"/>
      <c r="B995" s="54"/>
      <c r="C995" s="197" t="s">
        <v>504</v>
      </c>
      <c r="D995" s="216" t="s">
        <v>24</v>
      </c>
      <c r="E995" s="54"/>
      <c r="F995" s="56">
        <v>0.0</v>
      </c>
      <c r="G995" s="57">
        <v>50.0</v>
      </c>
      <c r="H995" s="57">
        <f t="shared" si="24"/>
        <v>0</v>
      </c>
      <c r="I995" s="58"/>
      <c r="J995" s="58"/>
      <c r="K995" s="54"/>
      <c r="L995" s="54"/>
      <c r="M995" s="54"/>
      <c r="N995" s="54"/>
      <c r="O995" s="54"/>
      <c r="P995" s="54"/>
      <c r="Q995" s="1"/>
      <c r="R995" s="1"/>
      <c r="S995" s="1"/>
      <c r="T995" s="1"/>
      <c r="U995" s="1"/>
      <c r="V995" s="1"/>
    </row>
    <row r="996" ht="15.75" hidden="1" customHeight="1">
      <c r="A996" s="53"/>
      <c r="B996" s="54"/>
      <c r="C996" s="197" t="s">
        <v>505</v>
      </c>
      <c r="D996" s="216" t="s">
        <v>24</v>
      </c>
      <c r="E996" s="54"/>
      <c r="F996" s="56">
        <v>0.0</v>
      </c>
      <c r="G996" s="57">
        <v>120.0</v>
      </c>
      <c r="H996" s="57">
        <f t="shared" si="24"/>
        <v>0</v>
      </c>
      <c r="I996" s="58"/>
      <c r="J996" s="58"/>
      <c r="K996" s="54"/>
      <c r="L996" s="252"/>
      <c r="M996" s="252"/>
      <c r="N996" s="252"/>
      <c r="O996" s="252"/>
      <c r="P996" s="252"/>
      <c r="Q996" s="1"/>
      <c r="R996" s="1"/>
      <c r="S996" s="1"/>
      <c r="T996" s="1"/>
      <c r="U996" s="1"/>
      <c r="V996" s="1"/>
    </row>
    <row r="997" ht="15.75" hidden="1" customHeight="1">
      <c r="A997" s="53"/>
      <c r="B997" s="54"/>
      <c r="C997" s="197" t="s">
        <v>506</v>
      </c>
      <c r="D997" s="216" t="s">
        <v>24</v>
      </c>
      <c r="E997" s="54"/>
      <c r="F997" s="56">
        <v>0.0</v>
      </c>
      <c r="G997" s="57">
        <v>80.0</v>
      </c>
      <c r="H997" s="57">
        <f t="shared" si="24"/>
        <v>0</v>
      </c>
      <c r="I997" s="58"/>
      <c r="J997" s="58"/>
      <c r="K997" s="54"/>
      <c r="L997" s="252"/>
      <c r="M997" s="252"/>
      <c r="N997" s="252"/>
      <c r="O997" s="252"/>
      <c r="P997" s="252"/>
      <c r="Q997" s="1"/>
      <c r="R997" s="1"/>
      <c r="S997" s="1"/>
      <c r="T997" s="1"/>
      <c r="U997" s="1"/>
      <c r="V997" s="1"/>
    </row>
    <row r="998" ht="15.75" hidden="1" customHeight="1">
      <c r="A998" s="53"/>
      <c r="B998" s="54"/>
      <c r="C998" s="197" t="s">
        <v>507</v>
      </c>
      <c r="D998" s="55" t="s">
        <v>20</v>
      </c>
      <c r="E998" s="54"/>
      <c r="F998" s="56">
        <v>0.0</v>
      </c>
      <c r="G998" s="57">
        <v>300.0</v>
      </c>
      <c r="H998" s="57">
        <f t="shared" si="24"/>
        <v>0</v>
      </c>
      <c r="I998" s="58"/>
      <c r="J998" s="58"/>
      <c r="K998" s="54"/>
      <c r="L998" s="252"/>
      <c r="M998" s="252"/>
      <c r="N998" s="252"/>
      <c r="O998" s="252"/>
      <c r="P998" s="252"/>
      <c r="Q998" s="1"/>
      <c r="R998" s="1"/>
      <c r="S998" s="1"/>
      <c r="T998" s="1"/>
      <c r="U998" s="1"/>
      <c r="V998" s="1"/>
    </row>
    <row r="999" ht="15.75" hidden="1" customHeight="1">
      <c r="A999" s="53"/>
      <c r="B999" s="54"/>
      <c r="C999" s="197" t="s">
        <v>508</v>
      </c>
      <c r="D999" s="216" t="s">
        <v>24</v>
      </c>
      <c r="E999" s="54"/>
      <c r="F999" s="56">
        <v>0.0</v>
      </c>
      <c r="G999" s="57">
        <v>290.0</v>
      </c>
      <c r="H999" s="57">
        <f t="shared" si="24"/>
        <v>0</v>
      </c>
      <c r="I999" s="58"/>
      <c r="J999" s="58"/>
      <c r="K999" s="54"/>
      <c r="L999" s="252"/>
      <c r="M999" s="252"/>
      <c r="N999" s="252"/>
      <c r="O999" s="252"/>
      <c r="P999" s="252"/>
      <c r="Q999" s="1"/>
      <c r="R999" s="1"/>
      <c r="S999" s="1"/>
      <c r="T999" s="1"/>
      <c r="U999" s="1"/>
      <c r="V999" s="1"/>
    </row>
    <row r="1000" ht="15.75" hidden="1" customHeight="1">
      <c r="A1000" s="53"/>
      <c r="B1000" s="54"/>
      <c r="C1000" s="54" t="s">
        <v>509</v>
      </c>
      <c r="D1000" s="55" t="s">
        <v>20</v>
      </c>
      <c r="E1000" s="54"/>
      <c r="F1000" s="56">
        <v>0.0</v>
      </c>
      <c r="G1000" s="57">
        <v>30.0</v>
      </c>
      <c r="H1000" s="57">
        <f t="shared" si="24"/>
        <v>0</v>
      </c>
      <c r="I1000" s="58"/>
      <c r="J1000" s="58"/>
      <c r="K1000" s="54"/>
      <c r="L1000" s="252"/>
      <c r="M1000" s="252"/>
      <c r="N1000" s="252"/>
      <c r="O1000" s="252"/>
      <c r="P1000" s="252"/>
      <c r="Q1000" s="1"/>
      <c r="R1000" s="1"/>
      <c r="S1000" s="1"/>
      <c r="T1000" s="1"/>
      <c r="U1000" s="1"/>
      <c r="V1000" s="1"/>
    </row>
    <row r="1001" ht="15.75" hidden="1" customHeight="1">
      <c r="A1001" s="53"/>
      <c r="B1001" s="54"/>
      <c r="C1001" s="54" t="s">
        <v>510</v>
      </c>
      <c r="D1001" s="216" t="s">
        <v>24</v>
      </c>
      <c r="E1001" s="54"/>
      <c r="F1001" s="56">
        <v>0.0</v>
      </c>
      <c r="G1001" s="57">
        <v>70.0</v>
      </c>
      <c r="H1001" s="57">
        <f t="shared" si="24"/>
        <v>0</v>
      </c>
      <c r="I1001" s="58"/>
      <c r="J1001" s="58"/>
      <c r="K1001" s="54"/>
      <c r="L1001" s="252"/>
      <c r="M1001" s="252"/>
      <c r="N1001" s="252"/>
      <c r="O1001" s="252"/>
      <c r="P1001" s="252"/>
      <c r="Q1001" s="1"/>
      <c r="R1001" s="1"/>
      <c r="S1001" s="1"/>
      <c r="T1001" s="1"/>
      <c r="U1001" s="1"/>
      <c r="V1001" s="1"/>
    </row>
    <row r="1002" ht="15.75" hidden="1" customHeight="1">
      <c r="A1002" s="53"/>
      <c r="B1002" s="54"/>
      <c r="C1002" s="54" t="s">
        <v>511</v>
      </c>
      <c r="D1002" s="55" t="s">
        <v>20</v>
      </c>
      <c r="E1002" s="54"/>
      <c r="F1002" s="56">
        <v>0.0</v>
      </c>
      <c r="G1002" s="57">
        <v>368.0</v>
      </c>
      <c r="H1002" s="57">
        <f t="shared" si="24"/>
        <v>0</v>
      </c>
      <c r="I1002" s="58"/>
      <c r="J1002" s="58"/>
      <c r="K1002" s="54"/>
      <c r="L1002" s="252"/>
      <c r="M1002" s="252"/>
      <c r="N1002" s="252"/>
      <c r="O1002" s="252"/>
      <c r="P1002" s="252"/>
      <c r="Q1002" s="1"/>
      <c r="R1002" s="1"/>
      <c r="S1002" s="1"/>
      <c r="T1002" s="1"/>
      <c r="U1002" s="1"/>
      <c r="V1002" s="1"/>
    </row>
    <row r="1003" ht="15.75" hidden="1" customHeight="1">
      <c r="A1003" s="53"/>
      <c r="B1003" s="54"/>
      <c r="C1003" s="54" t="s">
        <v>512</v>
      </c>
      <c r="D1003" s="55" t="s">
        <v>20</v>
      </c>
      <c r="E1003" s="54"/>
      <c r="F1003" s="56">
        <v>0.0</v>
      </c>
      <c r="G1003" s="57">
        <v>183.0</v>
      </c>
      <c r="H1003" s="57">
        <f t="shared" si="24"/>
        <v>0</v>
      </c>
      <c r="I1003" s="58"/>
      <c r="J1003" s="58"/>
      <c r="K1003" s="54"/>
      <c r="L1003" s="252"/>
      <c r="M1003" s="252"/>
      <c r="N1003" s="252"/>
      <c r="O1003" s="252"/>
      <c r="P1003" s="252"/>
      <c r="Q1003" s="1"/>
      <c r="R1003" s="1"/>
      <c r="S1003" s="1"/>
      <c r="T1003" s="1"/>
      <c r="U1003" s="1"/>
      <c r="V1003" s="1"/>
    </row>
    <row r="1004" ht="15.75" hidden="1" customHeight="1">
      <c r="A1004" s="53"/>
      <c r="B1004" s="54"/>
      <c r="C1004" s="278" t="s">
        <v>513</v>
      </c>
      <c r="D1004" s="55" t="s">
        <v>20</v>
      </c>
      <c r="E1004" s="54"/>
      <c r="F1004" s="56">
        <v>0.0</v>
      </c>
      <c r="G1004" s="57">
        <v>45.0</v>
      </c>
      <c r="H1004" s="57">
        <f t="shared" si="24"/>
        <v>0</v>
      </c>
      <c r="I1004" s="58"/>
      <c r="J1004" s="58"/>
      <c r="K1004" s="54"/>
      <c r="L1004" s="252"/>
      <c r="M1004" s="252"/>
      <c r="N1004" s="252"/>
      <c r="O1004" s="252"/>
      <c r="P1004" s="252"/>
      <c r="Q1004" s="1"/>
      <c r="R1004" s="1"/>
      <c r="S1004" s="1"/>
      <c r="T1004" s="1"/>
      <c r="U1004" s="1"/>
      <c r="V1004" s="1"/>
    </row>
    <row r="1005" ht="15.75" hidden="1" customHeight="1">
      <c r="A1005" s="53"/>
      <c r="B1005" s="54"/>
      <c r="C1005" s="278" t="s">
        <v>514</v>
      </c>
      <c r="D1005" s="55" t="s">
        <v>20</v>
      </c>
      <c r="E1005" s="54"/>
      <c r="F1005" s="56">
        <v>0.0</v>
      </c>
      <c r="G1005" s="57">
        <v>60.0</v>
      </c>
      <c r="H1005" s="57">
        <f t="shared" si="24"/>
        <v>0</v>
      </c>
      <c r="I1005" s="58"/>
      <c r="J1005" s="58"/>
      <c r="K1005" s="54"/>
      <c r="L1005" s="252"/>
      <c r="M1005" s="252"/>
      <c r="N1005" s="252"/>
      <c r="O1005" s="252"/>
      <c r="P1005" s="252"/>
      <c r="Q1005" s="1"/>
      <c r="R1005" s="1"/>
      <c r="S1005" s="1"/>
      <c r="T1005" s="1"/>
      <c r="U1005" s="1"/>
      <c r="V1005" s="1"/>
    </row>
    <row r="1006" ht="15.75" hidden="1" customHeight="1">
      <c r="A1006" s="53"/>
      <c r="B1006" s="54"/>
      <c r="C1006" s="279" t="s">
        <v>515</v>
      </c>
      <c r="D1006" s="216" t="s">
        <v>24</v>
      </c>
      <c r="E1006" s="54"/>
      <c r="F1006" s="56">
        <v>0.0</v>
      </c>
      <c r="G1006" s="57">
        <v>290.0</v>
      </c>
      <c r="H1006" s="57">
        <f t="shared" si="24"/>
        <v>0</v>
      </c>
      <c r="I1006" s="58"/>
      <c r="J1006" s="58"/>
      <c r="K1006" s="54"/>
      <c r="L1006" s="252"/>
      <c r="M1006" s="252"/>
      <c r="N1006" s="252"/>
      <c r="O1006" s="252"/>
      <c r="P1006" s="252"/>
      <c r="Q1006" s="1"/>
      <c r="R1006" s="1"/>
      <c r="S1006" s="1"/>
      <c r="T1006" s="1"/>
      <c r="U1006" s="1"/>
      <c r="V1006" s="1"/>
    </row>
    <row r="1007" ht="15.75" hidden="1" customHeight="1">
      <c r="A1007" s="53"/>
      <c r="B1007" s="54"/>
      <c r="C1007" s="54" t="s">
        <v>71</v>
      </c>
      <c r="D1007" s="216" t="s">
        <v>24</v>
      </c>
      <c r="E1007" s="54"/>
      <c r="F1007" s="56">
        <v>0.0</v>
      </c>
      <c r="G1007" s="57">
        <v>80.0</v>
      </c>
      <c r="H1007" s="57">
        <f t="shared" si="24"/>
        <v>0</v>
      </c>
      <c r="I1007" s="58"/>
      <c r="J1007" s="58"/>
      <c r="K1007" s="54"/>
      <c r="L1007" s="252"/>
      <c r="M1007" s="252"/>
      <c r="N1007" s="252"/>
      <c r="O1007" s="252"/>
      <c r="P1007" s="252"/>
      <c r="Q1007" s="1"/>
      <c r="R1007" s="1"/>
      <c r="S1007" s="1"/>
      <c r="T1007" s="1"/>
      <c r="U1007" s="1"/>
      <c r="V1007" s="1"/>
    </row>
    <row r="1008" ht="15.75" hidden="1" customHeight="1">
      <c r="A1008" s="53"/>
      <c r="B1008" s="54"/>
      <c r="C1008" s="197" t="s">
        <v>516</v>
      </c>
      <c r="D1008" s="55" t="s">
        <v>20</v>
      </c>
      <c r="E1008" s="54"/>
      <c r="F1008" s="56">
        <v>0.0</v>
      </c>
      <c r="G1008" s="57">
        <v>300.0</v>
      </c>
      <c r="H1008" s="57">
        <f t="shared" si="24"/>
        <v>0</v>
      </c>
      <c r="I1008" s="58"/>
      <c r="J1008" s="58"/>
      <c r="K1008" s="54"/>
      <c r="L1008" s="252"/>
      <c r="M1008" s="252"/>
      <c r="N1008" s="252"/>
      <c r="O1008" s="252"/>
      <c r="P1008" s="252"/>
      <c r="Q1008" s="1"/>
      <c r="R1008" s="1"/>
      <c r="S1008" s="1"/>
      <c r="T1008" s="1"/>
      <c r="U1008" s="1"/>
      <c r="V1008" s="1"/>
    </row>
    <row r="1009" ht="15.75" hidden="1" customHeight="1">
      <c r="A1009" s="53"/>
      <c r="B1009" s="54"/>
      <c r="C1009" s="197" t="s">
        <v>517</v>
      </c>
      <c r="D1009" s="216" t="s">
        <v>24</v>
      </c>
      <c r="E1009" s="54"/>
      <c r="F1009" s="56">
        <v>0.0</v>
      </c>
      <c r="G1009" s="57">
        <v>900.0</v>
      </c>
      <c r="H1009" s="57">
        <f t="shared" si="24"/>
        <v>0</v>
      </c>
      <c r="I1009" s="58"/>
      <c r="J1009" s="58"/>
      <c r="K1009" s="54"/>
      <c r="L1009" s="252"/>
      <c r="M1009" s="252"/>
      <c r="N1009" s="252"/>
      <c r="O1009" s="252"/>
      <c r="P1009" s="252"/>
      <c r="Q1009" s="1"/>
      <c r="R1009" s="1"/>
      <c r="S1009" s="1"/>
      <c r="T1009" s="1"/>
      <c r="U1009" s="1"/>
      <c r="V1009" s="1"/>
    </row>
    <row r="1010" ht="15.75" hidden="1" customHeight="1">
      <c r="A1010" s="53"/>
      <c r="B1010" s="54"/>
      <c r="C1010" s="197" t="s">
        <v>518</v>
      </c>
      <c r="D1010" s="216" t="s">
        <v>24</v>
      </c>
      <c r="E1010" s="54"/>
      <c r="F1010" s="56">
        <v>0.0</v>
      </c>
      <c r="G1010" s="57">
        <v>150.0</v>
      </c>
      <c r="H1010" s="57">
        <f t="shared" si="24"/>
        <v>0</v>
      </c>
      <c r="I1010" s="58"/>
      <c r="J1010" s="58"/>
      <c r="K1010" s="54"/>
      <c r="L1010" s="252"/>
      <c r="M1010" s="252"/>
      <c r="N1010" s="252"/>
      <c r="O1010" s="252"/>
      <c r="P1010" s="252"/>
      <c r="Q1010" s="1"/>
      <c r="R1010" s="1"/>
      <c r="S1010" s="1"/>
      <c r="T1010" s="1"/>
      <c r="U1010" s="1"/>
      <c r="V1010" s="1"/>
    </row>
    <row r="1011" ht="15.75" hidden="1" customHeight="1">
      <c r="A1011" s="53"/>
      <c r="B1011" s="54"/>
      <c r="C1011" s="197" t="s">
        <v>519</v>
      </c>
      <c r="D1011" s="55" t="s">
        <v>20</v>
      </c>
      <c r="E1011" s="54"/>
      <c r="F1011" s="56">
        <v>0.0</v>
      </c>
      <c r="G1011" s="57">
        <v>60.0</v>
      </c>
      <c r="H1011" s="57">
        <f t="shared" si="24"/>
        <v>0</v>
      </c>
      <c r="I1011" s="58"/>
      <c r="J1011" s="58"/>
      <c r="K1011" s="54"/>
      <c r="L1011" s="252"/>
      <c r="M1011" s="252"/>
      <c r="N1011" s="252"/>
      <c r="O1011" s="252"/>
      <c r="P1011" s="252"/>
      <c r="Q1011" s="1"/>
      <c r="R1011" s="1"/>
      <c r="S1011" s="1"/>
      <c r="T1011" s="1"/>
      <c r="U1011" s="1"/>
      <c r="V1011" s="1"/>
    </row>
    <row r="1012" ht="15.75" hidden="1" customHeight="1">
      <c r="A1012" s="53"/>
      <c r="B1012" s="54"/>
      <c r="C1012" s="197" t="s">
        <v>520</v>
      </c>
      <c r="D1012" s="216" t="s">
        <v>24</v>
      </c>
      <c r="E1012" s="54"/>
      <c r="F1012" s="56">
        <v>0.0</v>
      </c>
      <c r="G1012" s="57">
        <v>500.0</v>
      </c>
      <c r="H1012" s="57">
        <f t="shared" si="24"/>
        <v>0</v>
      </c>
      <c r="I1012" s="58"/>
      <c r="J1012" s="58"/>
      <c r="K1012" s="54"/>
      <c r="L1012" s="252"/>
      <c r="M1012" s="252"/>
      <c r="N1012" s="252"/>
      <c r="O1012" s="252"/>
      <c r="P1012" s="252"/>
      <c r="Q1012" s="1"/>
      <c r="R1012" s="1"/>
      <c r="S1012" s="1"/>
      <c r="T1012" s="1"/>
      <c r="U1012" s="1"/>
      <c r="V1012" s="1"/>
    </row>
    <row r="1013" ht="15.75" hidden="1" customHeight="1">
      <c r="A1013" s="53"/>
      <c r="B1013" s="54"/>
      <c r="C1013" s="197" t="s">
        <v>521</v>
      </c>
      <c r="D1013" s="55" t="s">
        <v>20</v>
      </c>
      <c r="E1013" s="54"/>
      <c r="F1013" s="56">
        <v>0.0</v>
      </c>
      <c r="G1013" s="57">
        <v>130.0</v>
      </c>
      <c r="H1013" s="57">
        <f t="shared" si="24"/>
        <v>0</v>
      </c>
      <c r="I1013" s="58"/>
      <c r="J1013" s="58"/>
      <c r="K1013" s="54"/>
      <c r="L1013" s="252"/>
      <c r="M1013" s="252"/>
      <c r="N1013" s="252"/>
      <c r="O1013" s="252"/>
      <c r="P1013" s="252"/>
      <c r="Q1013" s="1"/>
      <c r="R1013" s="1"/>
      <c r="S1013" s="1"/>
      <c r="T1013" s="1"/>
      <c r="U1013" s="1"/>
      <c r="V1013" s="1"/>
    </row>
    <row r="1014" ht="15.75" hidden="1" customHeight="1">
      <c r="A1014" s="53"/>
      <c r="B1014" s="54"/>
      <c r="C1014" s="197" t="s">
        <v>522</v>
      </c>
      <c r="D1014" s="55" t="s">
        <v>20</v>
      </c>
      <c r="E1014" s="54"/>
      <c r="F1014" s="56">
        <v>0.0</v>
      </c>
      <c r="G1014" s="57">
        <v>30.0</v>
      </c>
      <c r="H1014" s="57">
        <f t="shared" si="24"/>
        <v>0</v>
      </c>
      <c r="I1014" s="58"/>
      <c r="J1014" s="58"/>
      <c r="K1014" s="54"/>
      <c r="L1014" s="54"/>
      <c r="M1014" s="54"/>
      <c r="N1014" s="54"/>
      <c r="O1014" s="54"/>
      <c r="P1014" s="54"/>
      <c r="Q1014" s="1"/>
      <c r="R1014" s="1"/>
      <c r="S1014" s="1"/>
      <c r="T1014" s="1"/>
      <c r="U1014" s="1"/>
      <c r="V1014" s="1"/>
    </row>
    <row r="1015" ht="15.75" hidden="1" customHeight="1">
      <c r="A1015" s="53"/>
      <c r="B1015" s="54"/>
      <c r="C1015" s="197" t="s">
        <v>523</v>
      </c>
      <c r="D1015" s="216" t="s">
        <v>24</v>
      </c>
      <c r="E1015" s="54"/>
      <c r="F1015" s="56">
        <v>0.0</v>
      </c>
      <c r="G1015" s="57">
        <v>25.0</v>
      </c>
      <c r="H1015" s="57">
        <f t="shared" si="24"/>
        <v>0</v>
      </c>
      <c r="I1015" s="58"/>
      <c r="J1015" s="58"/>
      <c r="K1015" s="54"/>
      <c r="L1015" s="252"/>
      <c r="M1015" s="252"/>
      <c r="N1015" s="252"/>
      <c r="O1015" s="252"/>
      <c r="P1015" s="252"/>
      <c r="Q1015" s="1"/>
      <c r="R1015" s="1"/>
      <c r="S1015" s="1"/>
      <c r="T1015" s="1"/>
      <c r="U1015" s="1"/>
      <c r="V1015" s="1"/>
    </row>
    <row r="1016" ht="15.75" hidden="1" customHeight="1">
      <c r="A1016" s="53"/>
      <c r="B1016" s="54"/>
      <c r="C1016" s="197" t="s">
        <v>524</v>
      </c>
      <c r="D1016" s="55" t="s">
        <v>20</v>
      </c>
      <c r="E1016" s="54"/>
      <c r="F1016" s="56">
        <v>0.0</v>
      </c>
      <c r="G1016" s="57">
        <v>15.0</v>
      </c>
      <c r="H1016" s="57">
        <f t="shared" si="24"/>
        <v>0</v>
      </c>
      <c r="I1016" s="58"/>
      <c r="J1016" s="58"/>
      <c r="K1016" s="54"/>
      <c r="L1016" s="54"/>
      <c r="M1016" s="54"/>
      <c r="N1016" s="54"/>
      <c r="O1016" s="54"/>
      <c r="P1016" s="54"/>
      <c r="Q1016" s="1"/>
      <c r="R1016" s="1"/>
      <c r="S1016" s="1"/>
      <c r="T1016" s="1"/>
      <c r="U1016" s="1"/>
      <c r="V1016" s="1"/>
    </row>
    <row r="1017" ht="15.75" hidden="1" customHeight="1">
      <c r="A1017" s="53"/>
      <c r="B1017" s="54"/>
      <c r="C1017" s="197" t="s">
        <v>525</v>
      </c>
      <c r="D1017" s="216" t="s">
        <v>24</v>
      </c>
      <c r="E1017" s="54"/>
      <c r="F1017" s="56">
        <v>0.0</v>
      </c>
      <c r="G1017" s="57">
        <v>60.0</v>
      </c>
      <c r="H1017" s="57">
        <f t="shared" si="24"/>
        <v>0</v>
      </c>
      <c r="I1017" s="58"/>
      <c r="J1017" s="58"/>
      <c r="K1017" s="54"/>
      <c r="L1017" s="252"/>
      <c r="M1017" s="252"/>
      <c r="N1017" s="252"/>
      <c r="O1017" s="252"/>
      <c r="P1017" s="252"/>
      <c r="Q1017" s="1"/>
      <c r="R1017" s="1"/>
      <c r="S1017" s="1"/>
      <c r="T1017" s="1"/>
      <c r="U1017" s="1"/>
      <c r="V1017" s="1"/>
    </row>
    <row r="1018" ht="15.75" hidden="1" customHeight="1">
      <c r="A1018" s="53"/>
      <c r="B1018" s="54"/>
      <c r="C1018" s="197" t="s">
        <v>526</v>
      </c>
      <c r="D1018" s="216" t="s">
        <v>24</v>
      </c>
      <c r="E1018" s="54"/>
      <c r="F1018" s="56">
        <v>0.0</v>
      </c>
      <c r="G1018" s="57">
        <v>80.0</v>
      </c>
      <c r="H1018" s="57">
        <f t="shared" si="24"/>
        <v>0</v>
      </c>
      <c r="I1018" s="58"/>
      <c r="J1018" s="58"/>
      <c r="K1018" s="54"/>
      <c r="L1018" s="252"/>
      <c r="M1018" s="252"/>
      <c r="N1018" s="252"/>
      <c r="O1018" s="252"/>
      <c r="P1018" s="252"/>
      <c r="Q1018" s="1"/>
      <c r="R1018" s="1"/>
      <c r="S1018" s="1"/>
      <c r="T1018" s="1"/>
      <c r="U1018" s="1"/>
      <c r="V1018" s="1"/>
    </row>
    <row r="1019" ht="15.75" hidden="1" customHeight="1">
      <c r="A1019" s="53"/>
      <c r="B1019" s="54"/>
      <c r="C1019" s="197" t="s">
        <v>527</v>
      </c>
      <c r="D1019" s="55" t="s">
        <v>20</v>
      </c>
      <c r="E1019" s="54"/>
      <c r="F1019" s="56">
        <v>0.0</v>
      </c>
      <c r="G1019" s="57">
        <v>5000.0</v>
      </c>
      <c r="H1019" s="57">
        <f t="shared" si="24"/>
        <v>0</v>
      </c>
      <c r="I1019" s="58"/>
      <c r="J1019" s="58"/>
      <c r="K1019" s="54"/>
      <c r="L1019" s="252"/>
      <c r="M1019" s="252"/>
      <c r="N1019" s="252"/>
      <c r="O1019" s="252"/>
      <c r="P1019" s="252"/>
      <c r="Q1019" s="1"/>
      <c r="R1019" s="1"/>
      <c r="S1019" s="1"/>
      <c r="T1019" s="1"/>
      <c r="U1019" s="1"/>
      <c r="V1019" s="1"/>
    </row>
    <row r="1020" ht="15.75" hidden="1" customHeight="1">
      <c r="A1020" s="53"/>
      <c r="B1020" s="54"/>
      <c r="C1020" s="197" t="s">
        <v>528</v>
      </c>
      <c r="D1020" s="216" t="s">
        <v>24</v>
      </c>
      <c r="E1020" s="54" t="s">
        <v>529</v>
      </c>
      <c r="F1020" s="56">
        <v>0.0</v>
      </c>
      <c r="G1020" s="57">
        <v>2800.0</v>
      </c>
      <c r="H1020" s="57">
        <f t="shared" si="24"/>
        <v>0</v>
      </c>
      <c r="I1020" s="58"/>
      <c r="J1020" s="58"/>
      <c r="K1020" s="54"/>
      <c r="L1020" s="252"/>
      <c r="M1020" s="252"/>
      <c r="N1020" s="252"/>
      <c r="O1020" s="252"/>
      <c r="P1020" s="252"/>
      <c r="Q1020" s="1"/>
      <c r="R1020" s="1"/>
      <c r="S1020" s="1"/>
      <c r="T1020" s="1"/>
      <c r="U1020" s="1"/>
      <c r="V1020" s="1"/>
    </row>
    <row r="1021" ht="15.75" hidden="1" customHeight="1">
      <c r="A1021" s="53"/>
      <c r="B1021" s="54"/>
      <c r="C1021" s="197" t="s">
        <v>530</v>
      </c>
      <c r="D1021" s="216" t="s">
        <v>24</v>
      </c>
      <c r="E1021" s="54"/>
      <c r="F1021" s="56">
        <v>0.0</v>
      </c>
      <c r="G1021" s="57">
        <v>2000.0</v>
      </c>
      <c r="H1021" s="57">
        <f t="shared" si="24"/>
        <v>0</v>
      </c>
      <c r="I1021" s="58"/>
      <c r="J1021" s="58"/>
      <c r="K1021" s="54"/>
      <c r="L1021" s="252"/>
      <c r="M1021" s="252"/>
      <c r="N1021" s="252"/>
      <c r="O1021" s="252"/>
      <c r="P1021" s="252"/>
      <c r="Q1021" s="1"/>
      <c r="R1021" s="1"/>
      <c r="S1021" s="1"/>
      <c r="T1021" s="1"/>
      <c r="U1021" s="1"/>
      <c r="V1021" s="1"/>
    </row>
    <row r="1022" ht="15.75" hidden="1" customHeight="1">
      <c r="A1022" s="53"/>
      <c r="B1022" s="54"/>
      <c r="C1022" s="197" t="s">
        <v>531</v>
      </c>
      <c r="D1022" s="216" t="s">
        <v>24</v>
      </c>
      <c r="E1022" s="54"/>
      <c r="F1022" s="56">
        <v>0.0</v>
      </c>
      <c r="G1022" s="57">
        <v>2200.0</v>
      </c>
      <c r="H1022" s="57">
        <f t="shared" si="24"/>
        <v>0</v>
      </c>
      <c r="I1022" s="58"/>
      <c r="J1022" s="58"/>
      <c r="K1022" s="54"/>
      <c r="L1022" s="252"/>
      <c r="M1022" s="252"/>
      <c r="N1022" s="252"/>
      <c r="O1022" s="252"/>
      <c r="P1022" s="252"/>
      <c r="Q1022" s="1"/>
      <c r="R1022" s="1"/>
      <c r="S1022" s="1"/>
      <c r="T1022" s="1"/>
      <c r="U1022" s="1"/>
      <c r="V1022" s="1"/>
    </row>
    <row r="1023" ht="28.5" customHeight="1">
      <c r="A1023" s="6"/>
      <c r="B1023" s="6" t="s">
        <v>638</v>
      </c>
      <c r="C1023" s="7">
        <f>SUM(H1024:H1047)</f>
        <v>1562.29</v>
      </c>
      <c r="D1023" s="148"/>
      <c r="E1023" s="148"/>
      <c r="F1023" s="81"/>
      <c r="G1023" s="82"/>
      <c r="H1023" s="82"/>
      <c r="I1023" s="82"/>
      <c r="J1023" s="82"/>
      <c r="K1023" s="81"/>
      <c r="L1023" s="83"/>
      <c r="M1023" s="83"/>
      <c r="N1023" s="83"/>
      <c r="O1023" s="83"/>
      <c r="P1023" s="83"/>
      <c r="Q1023" s="35"/>
      <c r="R1023" s="35"/>
      <c r="S1023" s="35"/>
      <c r="T1023" s="1"/>
      <c r="U1023" s="1"/>
      <c r="V1023" s="1"/>
    </row>
    <row r="1024" ht="15.75" customHeight="1">
      <c r="A1024" s="15"/>
      <c r="B1024" s="52" t="s">
        <v>18</v>
      </c>
      <c r="C1024" s="52" t="s">
        <v>639</v>
      </c>
      <c r="D1024" s="150" t="s">
        <v>22</v>
      </c>
      <c r="E1024" s="287" t="s">
        <v>640</v>
      </c>
      <c r="F1024" s="48">
        <v>1.0</v>
      </c>
      <c r="G1024" s="49">
        <v>20.0</v>
      </c>
      <c r="H1024" s="50">
        <f t="shared" ref="H1024:H1047" si="25">SUM(F1024*G1024)</f>
        <v>20</v>
      </c>
      <c r="I1024" s="51"/>
      <c r="J1024" s="51"/>
      <c r="K1024" s="52"/>
      <c r="L1024" s="52"/>
      <c r="M1024" s="52"/>
      <c r="N1024" s="52"/>
      <c r="O1024" s="52"/>
      <c r="P1024" s="52"/>
      <c r="Q1024" s="1"/>
      <c r="R1024" s="1"/>
      <c r="S1024" s="1"/>
      <c r="T1024" s="1"/>
      <c r="U1024" s="1"/>
      <c r="V1024" s="1"/>
    </row>
    <row r="1025" ht="15.75" customHeight="1">
      <c r="A1025" s="53"/>
      <c r="B1025" s="54" t="s">
        <v>18</v>
      </c>
      <c r="C1025" s="54" t="s">
        <v>641</v>
      </c>
      <c r="D1025" s="198" t="s">
        <v>22</v>
      </c>
      <c r="E1025" s="288" t="s">
        <v>642</v>
      </c>
      <c r="F1025" s="56">
        <v>1.0</v>
      </c>
      <c r="G1025" s="159">
        <v>9.6</v>
      </c>
      <c r="H1025" s="57">
        <f t="shared" si="25"/>
        <v>9.6</v>
      </c>
      <c r="I1025" s="58"/>
      <c r="J1025" s="58"/>
      <c r="K1025" s="54"/>
      <c r="L1025" s="54"/>
      <c r="M1025" s="54"/>
      <c r="N1025" s="54"/>
      <c r="O1025" s="54"/>
      <c r="P1025" s="54"/>
      <c r="Q1025" s="1"/>
      <c r="R1025" s="1"/>
      <c r="S1025" s="1"/>
      <c r="T1025" s="1"/>
      <c r="U1025" s="1"/>
      <c r="V1025" s="1"/>
    </row>
    <row r="1026" ht="15.75" customHeight="1">
      <c r="A1026" s="53"/>
      <c r="B1026" s="54" t="s">
        <v>18</v>
      </c>
      <c r="C1026" s="54" t="s">
        <v>643</v>
      </c>
      <c r="D1026" s="198" t="s">
        <v>22</v>
      </c>
      <c r="E1026" s="288" t="s">
        <v>644</v>
      </c>
      <c r="F1026" s="56">
        <v>1.0</v>
      </c>
      <c r="G1026" s="159">
        <v>20.0</v>
      </c>
      <c r="H1026" s="57">
        <f t="shared" si="25"/>
        <v>20</v>
      </c>
      <c r="I1026" s="58"/>
      <c r="J1026" s="58"/>
      <c r="K1026" s="289"/>
      <c r="L1026" s="290"/>
      <c r="M1026" s="290"/>
      <c r="N1026" s="290"/>
      <c r="O1026" s="290"/>
      <c r="P1026" s="290"/>
      <c r="Q1026" s="1"/>
      <c r="R1026" s="1"/>
      <c r="S1026" s="1"/>
      <c r="T1026" s="1"/>
      <c r="U1026" s="1"/>
      <c r="V1026" s="1"/>
    </row>
    <row r="1027" ht="15.75" customHeight="1">
      <c r="A1027" s="53"/>
      <c r="B1027" s="54" t="s">
        <v>18</v>
      </c>
      <c r="C1027" s="54" t="s">
        <v>645</v>
      </c>
      <c r="D1027" s="198" t="s">
        <v>22</v>
      </c>
      <c r="E1027" s="288" t="s">
        <v>646</v>
      </c>
      <c r="F1027" s="56">
        <v>1.0</v>
      </c>
      <c r="G1027" s="159">
        <v>8.65</v>
      </c>
      <c r="H1027" s="57">
        <f t="shared" si="25"/>
        <v>8.65</v>
      </c>
      <c r="I1027" s="58"/>
      <c r="J1027" s="58"/>
      <c r="K1027" s="54"/>
      <c r="L1027" s="54"/>
      <c r="M1027" s="54"/>
      <c r="N1027" s="54"/>
      <c r="O1027" s="54"/>
      <c r="P1027" s="54"/>
      <c r="Q1027" s="1"/>
      <c r="R1027" s="1"/>
      <c r="S1027" s="1"/>
      <c r="T1027" s="1"/>
      <c r="U1027" s="1"/>
      <c r="V1027" s="1"/>
    </row>
    <row r="1028" ht="15.75" customHeight="1">
      <c r="A1028" s="53"/>
      <c r="B1028" s="54" t="s">
        <v>320</v>
      </c>
      <c r="C1028" s="54" t="s">
        <v>647</v>
      </c>
      <c r="D1028" s="198" t="s">
        <v>22</v>
      </c>
      <c r="E1028" s="288" t="s">
        <v>648</v>
      </c>
      <c r="F1028" s="56">
        <v>5.0</v>
      </c>
      <c r="G1028" s="159">
        <v>4.8</v>
      </c>
      <c r="H1028" s="57">
        <f t="shared" si="25"/>
        <v>24</v>
      </c>
      <c r="I1028" s="58"/>
      <c r="J1028" s="58"/>
      <c r="K1028" s="54"/>
      <c r="L1028" s="54"/>
      <c r="M1028" s="202"/>
      <c r="N1028" s="54"/>
      <c r="O1028" s="202"/>
      <c r="P1028" s="54"/>
      <c r="Q1028" s="1"/>
      <c r="R1028" s="1"/>
      <c r="S1028" s="1"/>
      <c r="T1028" s="1"/>
      <c r="U1028" s="1"/>
      <c r="V1028" s="1"/>
    </row>
    <row r="1029" ht="15.75" customHeight="1">
      <c r="A1029" s="53"/>
      <c r="B1029" s="54" t="s">
        <v>320</v>
      </c>
      <c r="C1029" s="54" t="s">
        <v>649</v>
      </c>
      <c r="D1029" s="198" t="s">
        <v>22</v>
      </c>
      <c r="E1029" s="291" t="s">
        <v>650</v>
      </c>
      <c r="F1029" s="56">
        <v>5.0</v>
      </c>
      <c r="G1029" s="159">
        <v>18.0</v>
      </c>
      <c r="H1029" s="57">
        <f t="shared" si="25"/>
        <v>90</v>
      </c>
      <c r="I1029" s="58"/>
      <c r="J1029" s="58"/>
      <c r="K1029" s="54"/>
      <c r="L1029" s="54"/>
      <c r="M1029" s="54"/>
      <c r="N1029" s="54"/>
      <c r="O1029" s="54"/>
      <c r="P1029" s="54"/>
      <c r="Q1029" s="1"/>
      <c r="R1029" s="1"/>
      <c r="S1029" s="1"/>
      <c r="T1029" s="1"/>
      <c r="U1029" s="1"/>
      <c r="V1029" s="1"/>
    </row>
    <row r="1030" ht="15.75" customHeight="1">
      <c r="A1030" s="53"/>
      <c r="B1030" s="54" t="s">
        <v>64</v>
      </c>
      <c r="C1030" s="54" t="s">
        <v>651</v>
      </c>
      <c r="D1030" s="198" t="s">
        <v>22</v>
      </c>
      <c r="E1030" s="54"/>
      <c r="F1030" s="56">
        <v>5.0</v>
      </c>
      <c r="G1030" s="57">
        <v>35.0</v>
      </c>
      <c r="H1030" s="57">
        <f t="shared" si="25"/>
        <v>175</v>
      </c>
      <c r="I1030" s="58"/>
      <c r="J1030" s="58"/>
      <c r="K1030" s="54"/>
      <c r="L1030" s="54"/>
      <c r="M1030" s="54"/>
      <c r="N1030" s="54"/>
      <c r="O1030" s="54"/>
      <c r="P1030" s="54"/>
      <c r="Q1030" s="1"/>
      <c r="R1030" s="1"/>
      <c r="S1030" s="1"/>
      <c r="T1030" s="1"/>
      <c r="U1030" s="1"/>
      <c r="V1030" s="1"/>
    </row>
    <row r="1031" ht="15.75" customHeight="1">
      <c r="A1031" s="53"/>
      <c r="B1031" s="54"/>
      <c r="C1031" s="54" t="s">
        <v>67</v>
      </c>
      <c r="D1031" s="216" t="s">
        <v>24</v>
      </c>
      <c r="E1031" s="54"/>
      <c r="F1031" s="56">
        <v>10.0</v>
      </c>
      <c r="G1031" s="57">
        <v>18.0</v>
      </c>
      <c r="H1031" s="57">
        <f t="shared" si="25"/>
        <v>180</v>
      </c>
      <c r="I1031" s="58"/>
      <c r="J1031" s="58"/>
      <c r="K1031" s="54"/>
      <c r="L1031" s="252"/>
      <c r="M1031" s="275"/>
      <c r="N1031" s="252"/>
      <c r="O1031" s="275"/>
      <c r="P1031" s="275"/>
      <c r="Q1031" s="1"/>
      <c r="R1031" s="1"/>
      <c r="S1031" s="1"/>
      <c r="T1031" s="1"/>
      <c r="U1031" s="1"/>
      <c r="V1031" s="1"/>
    </row>
    <row r="1032" ht="15.75" customHeight="1">
      <c r="A1032" s="53"/>
      <c r="B1032" s="54" t="s">
        <v>18</v>
      </c>
      <c r="C1032" s="54" t="s">
        <v>652</v>
      </c>
      <c r="D1032" s="198" t="s">
        <v>22</v>
      </c>
      <c r="E1032" s="288" t="s">
        <v>653</v>
      </c>
      <c r="F1032" s="56">
        <v>5.0</v>
      </c>
      <c r="G1032" s="159">
        <v>19.58</v>
      </c>
      <c r="H1032" s="57">
        <f t="shared" si="25"/>
        <v>97.9</v>
      </c>
      <c r="I1032" s="58"/>
      <c r="J1032" s="58"/>
      <c r="K1032" s="54"/>
      <c r="L1032" s="292"/>
      <c r="M1032" s="292"/>
      <c r="N1032" s="292"/>
      <c r="O1032" s="292"/>
      <c r="P1032" s="292"/>
      <c r="Q1032" s="1"/>
      <c r="R1032" s="1"/>
      <c r="S1032" s="1"/>
      <c r="T1032" s="1"/>
      <c r="U1032" s="1"/>
      <c r="V1032" s="1"/>
    </row>
    <row r="1033" ht="15.75" customHeight="1">
      <c r="A1033" s="53"/>
      <c r="B1033" s="54" t="s">
        <v>64</v>
      </c>
      <c r="C1033" s="54" t="s">
        <v>654</v>
      </c>
      <c r="D1033" s="198" t="s">
        <v>22</v>
      </c>
      <c r="E1033" s="54"/>
      <c r="F1033" s="56">
        <v>5.0</v>
      </c>
      <c r="G1033" s="57">
        <v>15.0</v>
      </c>
      <c r="H1033" s="57">
        <f t="shared" si="25"/>
        <v>75</v>
      </c>
      <c r="I1033" s="58"/>
      <c r="J1033" s="58"/>
      <c r="K1033" s="54"/>
      <c r="L1033" s="54"/>
      <c r="M1033" s="54"/>
      <c r="N1033" s="54"/>
      <c r="O1033" s="54"/>
      <c r="P1033" s="54"/>
      <c r="Q1033" s="1"/>
      <c r="R1033" s="1"/>
      <c r="S1033" s="1"/>
      <c r="T1033" s="1"/>
      <c r="U1033" s="1"/>
      <c r="V1033" s="1"/>
    </row>
    <row r="1034" ht="15.75" customHeight="1">
      <c r="A1034" s="53"/>
      <c r="B1034" s="54" t="s">
        <v>64</v>
      </c>
      <c r="C1034" s="54" t="s">
        <v>655</v>
      </c>
      <c r="D1034" s="198" t="s">
        <v>22</v>
      </c>
      <c r="E1034" s="54"/>
      <c r="F1034" s="56">
        <v>5.0</v>
      </c>
      <c r="G1034" s="57">
        <v>15.0</v>
      </c>
      <c r="H1034" s="57">
        <f t="shared" si="25"/>
        <v>75</v>
      </c>
      <c r="I1034" s="58"/>
      <c r="J1034" s="58"/>
      <c r="K1034" s="54"/>
      <c r="L1034" s="54"/>
      <c r="M1034" s="202"/>
      <c r="N1034" s="54"/>
      <c r="O1034" s="202"/>
      <c r="P1034" s="202"/>
      <c r="Q1034" s="1"/>
      <c r="R1034" s="1"/>
      <c r="S1034" s="1"/>
      <c r="T1034" s="1"/>
      <c r="U1034" s="1"/>
      <c r="V1034" s="1"/>
    </row>
    <row r="1035" ht="15.75" customHeight="1">
      <c r="A1035" s="53"/>
      <c r="B1035" s="54" t="s">
        <v>18</v>
      </c>
      <c r="C1035" s="54" t="s">
        <v>656</v>
      </c>
      <c r="D1035" s="198" t="s">
        <v>22</v>
      </c>
      <c r="E1035" s="288" t="s">
        <v>657</v>
      </c>
      <c r="F1035" s="56">
        <v>5.0</v>
      </c>
      <c r="G1035" s="159">
        <v>12.0</v>
      </c>
      <c r="H1035" s="57">
        <f t="shared" si="25"/>
        <v>60</v>
      </c>
      <c r="I1035" s="58"/>
      <c r="J1035" s="58"/>
      <c r="K1035" s="54"/>
      <c r="L1035" s="271"/>
      <c r="M1035" s="271"/>
      <c r="N1035" s="271"/>
      <c r="O1035" s="271"/>
      <c r="P1035" s="293">
        <v>16.0</v>
      </c>
      <c r="Q1035" s="1"/>
      <c r="R1035" s="1"/>
      <c r="S1035" s="1"/>
      <c r="T1035" s="1"/>
      <c r="U1035" s="1"/>
      <c r="V1035" s="1"/>
    </row>
    <row r="1036" ht="15.75" customHeight="1">
      <c r="A1036" s="53"/>
      <c r="B1036" s="54" t="s">
        <v>18</v>
      </c>
      <c r="C1036" s="54" t="s">
        <v>658</v>
      </c>
      <c r="D1036" s="198" t="s">
        <v>22</v>
      </c>
      <c r="E1036" s="291" t="s">
        <v>659</v>
      </c>
      <c r="F1036" s="56">
        <v>1.0</v>
      </c>
      <c r="G1036" s="159">
        <v>28.8</v>
      </c>
      <c r="H1036" s="57">
        <f t="shared" si="25"/>
        <v>28.8</v>
      </c>
      <c r="I1036" s="58"/>
      <c r="J1036" s="58"/>
      <c r="K1036" s="54"/>
      <c r="L1036" s="271"/>
      <c r="M1036" s="271"/>
      <c r="N1036" s="271"/>
      <c r="O1036" s="271"/>
      <c r="P1036" s="293"/>
      <c r="Q1036" s="1"/>
      <c r="R1036" s="1"/>
      <c r="S1036" s="1"/>
      <c r="T1036" s="1"/>
      <c r="U1036" s="1"/>
      <c r="V1036" s="1"/>
    </row>
    <row r="1037" ht="15.75" customHeight="1">
      <c r="A1037" s="53"/>
      <c r="B1037" s="54" t="s">
        <v>64</v>
      </c>
      <c r="C1037" s="294" t="s">
        <v>660</v>
      </c>
      <c r="D1037" s="198" t="s">
        <v>22</v>
      </c>
      <c r="E1037" s="54"/>
      <c r="F1037" s="56">
        <v>5.0</v>
      </c>
      <c r="G1037" s="57">
        <v>30.0</v>
      </c>
      <c r="H1037" s="57">
        <f t="shared" si="25"/>
        <v>150</v>
      </c>
      <c r="I1037" s="58"/>
      <c r="J1037" s="58"/>
      <c r="K1037" s="54"/>
      <c r="L1037" s="54"/>
      <c r="M1037" s="54"/>
      <c r="N1037" s="54"/>
      <c r="O1037" s="54"/>
      <c r="P1037" s="54"/>
      <c r="Q1037" s="1"/>
      <c r="R1037" s="1"/>
      <c r="S1037" s="1"/>
      <c r="T1037" s="1"/>
      <c r="U1037" s="1"/>
      <c r="V1037" s="1"/>
    </row>
    <row r="1038" ht="15.75" customHeight="1">
      <c r="A1038" s="53"/>
      <c r="B1038" s="54" t="s">
        <v>121</v>
      </c>
      <c r="C1038" s="294" t="s">
        <v>661</v>
      </c>
      <c r="D1038" s="198" t="s">
        <v>22</v>
      </c>
      <c r="E1038" s="54"/>
      <c r="F1038" s="56">
        <v>9.0</v>
      </c>
      <c r="G1038" s="57">
        <v>27.99</v>
      </c>
      <c r="H1038" s="57">
        <f t="shared" si="25"/>
        <v>251.91</v>
      </c>
      <c r="I1038" s="58"/>
      <c r="J1038" s="58"/>
      <c r="K1038" s="54"/>
      <c r="L1038" s="54"/>
      <c r="M1038" s="54"/>
      <c r="N1038" s="54"/>
      <c r="O1038" s="54"/>
      <c r="P1038" s="54"/>
      <c r="Q1038" s="1"/>
      <c r="R1038" s="1"/>
      <c r="S1038" s="1"/>
      <c r="T1038" s="1"/>
      <c r="U1038" s="1"/>
      <c r="V1038" s="1"/>
    </row>
    <row r="1039" ht="15.75" customHeight="1">
      <c r="A1039" s="53"/>
      <c r="B1039" s="54" t="s">
        <v>121</v>
      </c>
      <c r="C1039" s="54" t="s">
        <v>662</v>
      </c>
      <c r="D1039" s="198" t="s">
        <v>22</v>
      </c>
      <c r="E1039" s="54"/>
      <c r="F1039" s="56">
        <v>5.0</v>
      </c>
      <c r="G1039" s="159">
        <v>20.31</v>
      </c>
      <c r="H1039" s="57">
        <f t="shared" si="25"/>
        <v>101.55</v>
      </c>
      <c r="I1039" s="58"/>
      <c r="J1039" s="58"/>
      <c r="K1039" s="258"/>
      <c r="L1039" s="54"/>
      <c r="M1039" s="54"/>
      <c r="N1039" s="54"/>
      <c r="O1039" s="54"/>
      <c r="P1039" s="54"/>
      <c r="Q1039" s="1"/>
      <c r="R1039" s="1"/>
      <c r="S1039" s="1"/>
      <c r="T1039" s="1"/>
      <c r="U1039" s="1"/>
      <c r="V1039" s="1"/>
    </row>
    <row r="1040" ht="15.75" customHeight="1">
      <c r="A1040" s="53"/>
      <c r="B1040" s="54" t="s">
        <v>121</v>
      </c>
      <c r="C1040" s="54" t="s">
        <v>663</v>
      </c>
      <c r="D1040" s="198" t="s">
        <v>22</v>
      </c>
      <c r="E1040" s="54"/>
      <c r="F1040" s="56">
        <v>3.0</v>
      </c>
      <c r="G1040" s="159">
        <v>14.96</v>
      </c>
      <c r="H1040" s="57">
        <f t="shared" si="25"/>
        <v>44.88</v>
      </c>
      <c r="I1040" s="58"/>
      <c r="J1040" s="58"/>
      <c r="K1040" s="258"/>
      <c r="L1040" s="54"/>
      <c r="M1040" s="54"/>
      <c r="N1040" s="54"/>
      <c r="O1040" s="54"/>
      <c r="P1040" s="54"/>
      <c r="Q1040" s="1"/>
      <c r="R1040" s="1"/>
      <c r="S1040" s="1"/>
      <c r="T1040" s="1"/>
      <c r="U1040" s="1"/>
      <c r="V1040" s="1"/>
    </row>
    <row r="1041" ht="15.75" customHeight="1">
      <c r="A1041" s="53"/>
      <c r="B1041" s="54" t="s">
        <v>64</v>
      </c>
      <c r="C1041" s="54" t="s">
        <v>664</v>
      </c>
      <c r="D1041" s="198" t="s">
        <v>22</v>
      </c>
      <c r="E1041" s="54"/>
      <c r="F1041" s="56">
        <v>10.0</v>
      </c>
      <c r="G1041" s="159">
        <v>15.0</v>
      </c>
      <c r="H1041" s="57">
        <f t="shared" si="25"/>
        <v>150</v>
      </c>
      <c r="I1041" s="58"/>
      <c r="J1041" s="58"/>
      <c r="K1041" s="54"/>
      <c r="L1041" s="54"/>
      <c r="M1041" s="54"/>
      <c r="N1041" s="54"/>
      <c r="O1041" s="54"/>
      <c r="P1041" s="54"/>
      <c r="Q1041" s="1"/>
      <c r="R1041" s="1"/>
      <c r="S1041" s="1"/>
      <c r="T1041" s="1"/>
      <c r="U1041" s="1"/>
      <c r="V1041" s="1"/>
    </row>
    <row r="1042" ht="15.75" hidden="1" customHeight="1">
      <c r="A1042" s="53"/>
      <c r="B1042" s="54" t="s">
        <v>574</v>
      </c>
      <c r="C1042" s="54" t="s">
        <v>665</v>
      </c>
      <c r="D1042" s="198" t="s">
        <v>22</v>
      </c>
      <c r="E1042" s="54"/>
      <c r="F1042" s="56">
        <v>0.0</v>
      </c>
      <c r="G1042" s="57">
        <v>400.0</v>
      </c>
      <c r="H1042" s="57">
        <f t="shared" si="25"/>
        <v>0</v>
      </c>
      <c r="I1042" s="58"/>
      <c r="J1042" s="58"/>
      <c r="K1042" s="54"/>
      <c r="L1042" s="54"/>
      <c r="M1042" s="54"/>
      <c r="N1042" s="54"/>
      <c r="O1042" s="54"/>
      <c r="P1042" s="54"/>
      <c r="Q1042" s="1"/>
      <c r="R1042" s="1"/>
      <c r="S1042" s="1"/>
      <c r="T1042" s="1"/>
      <c r="U1042" s="1"/>
      <c r="V1042" s="1"/>
    </row>
    <row r="1043" ht="15.75" hidden="1" customHeight="1">
      <c r="A1043" s="53"/>
      <c r="B1043" s="54"/>
      <c r="C1043" s="54" t="s">
        <v>666</v>
      </c>
      <c r="D1043" s="216" t="s">
        <v>24</v>
      </c>
      <c r="E1043" s="54"/>
      <c r="F1043" s="56">
        <v>0.0</v>
      </c>
      <c r="G1043" s="57">
        <v>250.0</v>
      </c>
      <c r="H1043" s="57">
        <f t="shared" si="25"/>
        <v>0</v>
      </c>
      <c r="I1043" s="58"/>
      <c r="J1043" s="58"/>
      <c r="K1043" s="54"/>
      <c r="L1043" s="54"/>
      <c r="M1043" s="54"/>
      <c r="N1043" s="54"/>
      <c r="O1043" s="54"/>
      <c r="P1043" s="54"/>
      <c r="Q1043" s="1"/>
      <c r="R1043" s="1"/>
      <c r="S1043" s="1"/>
      <c r="T1043" s="1"/>
      <c r="U1043" s="1"/>
      <c r="V1043" s="1"/>
    </row>
    <row r="1044" ht="15.75" hidden="1" customHeight="1">
      <c r="A1044" s="53"/>
      <c r="B1044" s="54" t="s">
        <v>18</v>
      </c>
      <c r="C1044" s="54" t="s">
        <v>667</v>
      </c>
      <c r="D1044" s="55" t="s">
        <v>20</v>
      </c>
      <c r="E1044" s="208" t="s">
        <v>668</v>
      </c>
      <c r="F1044" s="56">
        <v>0.0</v>
      </c>
      <c r="G1044" s="57">
        <v>17.97</v>
      </c>
      <c r="H1044" s="57">
        <f t="shared" si="25"/>
        <v>0</v>
      </c>
      <c r="I1044" s="58"/>
      <c r="J1044" s="58"/>
      <c r="K1044" s="54"/>
      <c r="L1044" s="54"/>
      <c r="M1044" s="54"/>
      <c r="N1044" s="54"/>
      <c r="O1044" s="54"/>
      <c r="P1044" s="54"/>
      <c r="Q1044" s="1"/>
      <c r="R1044" s="1"/>
      <c r="S1044" s="1"/>
      <c r="T1044" s="1"/>
      <c r="U1044" s="1"/>
      <c r="V1044" s="1"/>
    </row>
    <row r="1045" ht="15.75" hidden="1" customHeight="1">
      <c r="A1045" s="53"/>
      <c r="B1045" s="54" t="s">
        <v>18</v>
      </c>
      <c r="C1045" s="54" t="s">
        <v>669</v>
      </c>
      <c r="D1045" s="55" t="s">
        <v>20</v>
      </c>
      <c r="E1045" s="208" t="s">
        <v>670</v>
      </c>
      <c r="F1045" s="56">
        <v>0.0</v>
      </c>
      <c r="G1045" s="57">
        <v>9.99</v>
      </c>
      <c r="H1045" s="57">
        <f t="shared" si="25"/>
        <v>0</v>
      </c>
      <c r="I1045" s="58"/>
      <c r="J1045" s="58"/>
      <c r="K1045" s="54"/>
      <c r="L1045" s="54"/>
      <c r="M1045" s="54"/>
      <c r="N1045" s="54"/>
      <c r="O1045" s="54"/>
      <c r="P1045" s="54"/>
      <c r="Q1045" s="1"/>
      <c r="R1045" s="1"/>
      <c r="S1045" s="1"/>
      <c r="T1045" s="1"/>
      <c r="U1045" s="1"/>
      <c r="V1045" s="1"/>
    </row>
    <row r="1046" ht="15.75" hidden="1" customHeight="1">
      <c r="A1046" s="53"/>
      <c r="B1046" s="54" t="s">
        <v>18</v>
      </c>
      <c r="C1046" s="54" t="s">
        <v>671</v>
      </c>
      <c r="D1046" s="55" t="s">
        <v>20</v>
      </c>
      <c r="E1046" s="208" t="s">
        <v>672</v>
      </c>
      <c r="F1046" s="56">
        <v>0.0</v>
      </c>
      <c r="G1046" s="57">
        <v>16.92</v>
      </c>
      <c r="H1046" s="57">
        <f t="shared" si="25"/>
        <v>0</v>
      </c>
      <c r="I1046" s="58"/>
      <c r="J1046" s="58"/>
      <c r="K1046" s="54"/>
      <c r="L1046" s="54"/>
      <c r="M1046" s="54"/>
      <c r="N1046" s="54"/>
      <c r="O1046" s="54"/>
      <c r="P1046" s="54"/>
      <c r="Q1046" s="1"/>
      <c r="R1046" s="1"/>
      <c r="S1046" s="1"/>
      <c r="T1046" s="1"/>
      <c r="U1046" s="1"/>
      <c r="V1046" s="1"/>
    </row>
    <row r="1047" ht="15.75" hidden="1" customHeight="1">
      <c r="A1047" s="53"/>
      <c r="B1047" s="54"/>
      <c r="C1047" s="54" t="s">
        <v>673</v>
      </c>
      <c r="D1047" s="216" t="s">
        <v>24</v>
      </c>
      <c r="E1047" s="54"/>
      <c r="F1047" s="56">
        <v>0.0</v>
      </c>
      <c r="G1047" s="57">
        <v>25.0</v>
      </c>
      <c r="H1047" s="57">
        <f t="shared" si="25"/>
        <v>0</v>
      </c>
      <c r="I1047" s="58"/>
      <c r="J1047" s="58"/>
      <c r="K1047" s="54"/>
      <c r="L1047" s="54"/>
      <c r="M1047" s="54"/>
      <c r="N1047" s="54"/>
      <c r="O1047" s="54"/>
      <c r="P1047" s="54"/>
      <c r="Q1047" s="1"/>
      <c r="R1047" s="1"/>
      <c r="S1047" s="1"/>
      <c r="T1047" s="1"/>
      <c r="U1047" s="1"/>
      <c r="V1047" s="1"/>
    </row>
    <row r="1048" ht="28.5" customHeight="1">
      <c r="A1048" s="6"/>
      <c r="B1048" s="6" t="s">
        <v>674</v>
      </c>
      <c r="C1048" s="7">
        <f>SUM(H1049:H1072)</f>
        <v>764.94</v>
      </c>
      <c r="D1048" s="148"/>
      <c r="E1048" s="148"/>
      <c r="F1048" s="81"/>
      <c r="G1048" s="82"/>
      <c r="H1048" s="82"/>
      <c r="I1048" s="82"/>
      <c r="J1048" s="82"/>
      <c r="K1048" s="81"/>
      <c r="L1048" s="83"/>
      <c r="M1048" s="83"/>
      <c r="N1048" s="83"/>
      <c r="O1048" s="83"/>
      <c r="P1048" s="83"/>
      <c r="Q1048" s="35"/>
      <c r="R1048" s="35"/>
      <c r="S1048" s="35"/>
      <c r="T1048" s="1"/>
      <c r="U1048" s="1"/>
      <c r="V1048" s="1"/>
    </row>
    <row r="1049" ht="15.75" hidden="1" customHeight="1">
      <c r="A1049" s="15"/>
      <c r="B1049" s="52" t="s">
        <v>18</v>
      </c>
      <c r="C1049" s="52" t="s">
        <v>639</v>
      </c>
      <c r="D1049" s="150" t="s">
        <v>22</v>
      </c>
      <c r="E1049" s="207" t="s">
        <v>675</v>
      </c>
      <c r="F1049" s="48">
        <v>0.0</v>
      </c>
      <c r="G1049" s="50">
        <v>18.99</v>
      </c>
      <c r="H1049" s="50">
        <f t="shared" ref="H1049:H1072" si="26">SUM(F1049*G1049)</f>
        <v>0</v>
      </c>
      <c r="I1049" s="51"/>
      <c r="J1049" s="51"/>
      <c r="K1049" s="52"/>
      <c r="L1049" s="52"/>
      <c r="M1049" s="52"/>
      <c r="N1049" s="52"/>
      <c r="O1049" s="52"/>
      <c r="P1049" s="52"/>
      <c r="Q1049" s="1"/>
      <c r="R1049" s="1"/>
      <c r="S1049" s="1"/>
      <c r="T1049" s="1"/>
      <c r="U1049" s="1"/>
      <c r="V1049" s="1"/>
    </row>
    <row r="1050" ht="15.75" hidden="1" customHeight="1">
      <c r="A1050" s="53"/>
      <c r="B1050" s="54" t="s">
        <v>18</v>
      </c>
      <c r="C1050" s="54" t="s">
        <v>641</v>
      </c>
      <c r="D1050" s="198" t="s">
        <v>22</v>
      </c>
      <c r="E1050" s="208" t="s">
        <v>676</v>
      </c>
      <c r="F1050" s="56">
        <v>0.0</v>
      </c>
      <c r="G1050" s="57">
        <v>6.57</v>
      </c>
      <c r="H1050" s="57">
        <f t="shared" si="26"/>
        <v>0</v>
      </c>
      <c r="I1050" s="58"/>
      <c r="J1050" s="58"/>
      <c r="K1050" s="54"/>
      <c r="L1050" s="54"/>
      <c r="M1050" s="54"/>
      <c r="N1050" s="54"/>
      <c r="O1050" s="54"/>
      <c r="P1050" s="54"/>
      <c r="Q1050" s="1"/>
      <c r="R1050" s="1"/>
      <c r="S1050" s="1"/>
      <c r="T1050" s="1"/>
      <c r="U1050" s="1"/>
      <c r="V1050" s="1"/>
    </row>
    <row r="1051" ht="15.75" hidden="1" customHeight="1">
      <c r="A1051" s="53"/>
      <c r="B1051" s="54" t="s">
        <v>18</v>
      </c>
      <c r="C1051" s="54" t="s">
        <v>643</v>
      </c>
      <c r="D1051" s="198" t="s">
        <v>22</v>
      </c>
      <c r="E1051" s="208" t="s">
        <v>677</v>
      </c>
      <c r="F1051" s="56">
        <v>0.0</v>
      </c>
      <c r="G1051" s="57">
        <v>11.0</v>
      </c>
      <c r="H1051" s="57">
        <f t="shared" si="26"/>
        <v>0</v>
      </c>
      <c r="I1051" s="58"/>
      <c r="J1051" s="58"/>
      <c r="K1051" s="295" t="s">
        <v>678</v>
      </c>
      <c r="L1051" s="290"/>
      <c r="M1051" s="290"/>
      <c r="N1051" s="290"/>
      <c r="O1051" s="290"/>
      <c r="P1051" s="290"/>
      <c r="Q1051" s="1"/>
      <c r="R1051" s="1"/>
      <c r="S1051" s="1"/>
      <c r="T1051" s="1"/>
      <c r="U1051" s="1"/>
      <c r="V1051" s="1"/>
    </row>
    <row r="1052" ht="15.75" hidden="1" customHeight="1">
      <c r="A1052" s="53"/>
      <c r="B1052" s="54" t="s">
        <v>18</v>
      </c>
      <c r="C1052" s="54" t="s">
        <v>645</v>
      </c>
      <c r="D1052" s="198" t="s">
        <v>22</v>
      </c>
      <c r="E1052" s="208" t="s">
        <v>679</v>
      </c>
      <c r="F1052" s="56">
        <v>0.0</v>
      </c>
      <c r="G1052" s="57">
        <v>7.0</v>
      </c>
      <c r="H1052" s="57">
        <f t="shared" si="26"/>
        <v>0</v>
      </c>
      <c r="I1052" s="58"/>
      <c r="J1052" s="58"/>
      <c r="K1052" s="54"/>
      <c r="L1052" s="54"/>
      <c r="M1052" s="54"/>
      <c r="N1052" s="54"/>
      <c r="O1052" s="54"/>
      <c r="P1052" s="54"/>
      <c r="Q1052" s="1"/>
      <c r="R1052" s="1"/>
      <c r="S1052" s="1"/>
      <c r="T1052" s="1"/>
      <c r="U1052" s="1"/>
      <c r="V1052" s="1"/>
    </row>
    <row r="1053" ht="15.75" customHeight="1">
      <c r="A1053" s="53"/>
      <c r="B1053" s="54" t="s">
        <v>320</v>
      </c>
      <c r="C1053" s="54" t="s">
        <v>680</v>
      </c>
      <c r="D1053" s="198" t="s">
        <v>22</v>
      </c>
      <c r="E1053" s="288" t="s">
        <v>648</v>
      </c>
      <c r="F1053" s="56">
        <v>3.0</v>
      </c>
      <c r="G1053" s="159">
        <v>4.8</v>
      </c>
      <c r="H1053" s="57">
        <f t="shared" si="26"/>
        <v>14.4</v>
      </c>
      <c r="I1053" s="58"/>
      <c r="J1053" s="58"/>
      <c r="K1053" s="54"/>
      <c r="L1053" s="54"/>
      <c r="M1053" s="202"/>
      <c r="N1053" s="54"/>
      <c r="O1053" s="202"/>
      <c r="P1053" s="54"/>
      <c r="Q1053" s="1"/>
      <c r="R1053" s="1"/>
      <c r="S1053" s="1"/>
      <c r="T1053" s="1"/>
      <c r="U1053" s="1"/>
      <c r="V1053" s="1"/>
    </row>
    <row r="1054" ht="15.75" customHeight="1">
      <c r="A1054" s="53"/>
      <c r="B1054" s="54" t="s">
        <v>320</v>
      </c>
      <c r="C1054" s="54" t="s">
        <v>649</v>
      </c>
      <c r="D1054" s="198" t="s">
        <v>22</v>
      </c>
      <c r="E1054" s="291" t="s">
        <v>650</v>
      </c>
      <c r="F1054" s="56">
        <v>3.0</v>
      </c>
      <c r="G1054" s="159">
        <v>18.0</v>
      </c>
      <c r="H1054" s="57">
        <f t="shared" si="26"/>
        <v>54</v>
      </c>
      <c r="I1054" s="58"/>
      <c r="J1054" s="58"/>
      <c r="K1054" s="54"/>
      <c r="L1054" s="54"/>
      <c r="M1054" s="54"/>
      <c r="N1054" s="54"/>
      <c r="O1054" s="54"/>
      <c r="P1054" s="54"/>
      <c r="Q1054" s="1"/>
      <c r="R1054" s="1"/>
      <c r="S1054" s="1"/>
      <c r="T1054" s="1"/>
      <c r="U1054" s="1"/>
      <c r="V1054" s="1"/>
    </row>
    <row r="1055" ht="15.75" customHeight="1">
      <c r="A1055" s="53"/>
      <c r="B1055" s="54" t="s">
        <v>64</v>
      </c>
      <c r="C1055" s="54" t="s">
        <v>651</v>
      </c>
      <c r="D1055" s="198" t="s">
        <v>22</v>
      </c>
      <c r="E1055" s="54"/>
      <c r="F1055" s="56">
        <v>3.0</v>
      </c>
      <c r="G1055" s="57">
        <v>35.0</v>
      </c>
      <c r="H1055" s="57">
        <f t="shared" si="26"/>
        <v>105</v>
      </c>
      <c r="I1055" s="58"/>
      <c r="J1055" s="58"/>
      <c r="K1055" s="54"/>
      <c r="L1055" s="54"/>
      <c r="M1055" s="54"/>
      <c r="N1055" s="54"/>
      <c r="O1055" s="54"/>
      <c r="P1055" s="54"/>
      <c r="Q1055" s="1"/>
      <c r="R1055" s="1"/>
      <c r="S1055" s="1"/>
      <c r="T1055" s="1"/>
      <c r="U1055" s="1"/>
      <c r="V1055" s="1"/>
    </row>
    <row r="1056" ht="15.75" customHeight="1">
      <c r="A1056" s="53"/>
      <c r="B1056" s="54"/>
      <c r="C1056" s="54" t="s">
        <v>67</v>
      </c>
      <c r="D1056" s="216" t="s">
        <v>24</v>
      </c>
      <c r="E1056" s="54"/>
      <c r="F1056" s="56">
        <v>6.0</v>
      </c>
      <c r="G1056" s="57">
        <v>18.0</v>
      </c>
      <c r="H1056" s="57">
        <f t="shared" si="26"/>
        <v>108</v>
      </c>
      <c r="I1056" s="58"/>
      <c r="J1056" s="58"/>
      <c r="K1056" s="54"/>
      <c r="L1056" s="252"/>
      <c r="M1056" s="275"/>
      <c r="N1056" s="252"/>
      <c r="O1056" s="275"/>
      <c r="P1056" s="275"/>
      <c r="Q1056" s="1"/>
      <c r="R1056" s="1"/>
      <c r="S1056" s="1"/>
      <c r="T1056" s="1"/>
      <c r="U1056" s="1"/>
      <c r="V1056" s="1"/>
    </row>
    <row r="1057" ht="15.75" customHeight="1">
      <c r="A1057" s="53"/>
      <c r="B1057" s="54" t="s">
        <v>18</v>
      </c>
      <c r="C1057" s="54" t="s">
        <v>652</v>
      </c>
      <c r="D1057" s="198" t="s">
        <v>22</v>
      </c>
      <c r="E1057" s="288" t="s">
        <v>653</v>
      </c>
      <c r="F1057" s="56">
        <v>3.0</v>
      </c>
      <c r="G1057" s="159">
        <v>19.58</v>
      </c>
      <c r="H1057" s="57">
        <f t="shared" si="26"/>
        <v>58.74</v>
      </c>
      <c r="I1057" s="58"/>
      <c r="J1057" s="58"/>
      <c r="K1057" s="54"/>
      <c r="L1057" s="292"/>
      <c r="M1057" s="292"/>
      <c r="N1057" s="292"/>
      <c r="O1057" s="292"/>
      <c r="P1057" s="292"/>
      <c r="Q1057" s="1"/>
      <c r="R1057" s="1"/>
      <c r="S1057" s="1"/>
      <c r="T1057" s="1"/>
      <c r="U1057" s="1"/>
      <c r="V1057" s="1"/>
    </row>
    <row r="1058" ht="15.75" customHeight="1">
      <c r="A1058" s="53"/>
      <c r="B1058" s="54" t="s">
        <v>64</v>
      </c>
      <c r="C1058" s="54" t="s">
        <v>654</v>
      </c>
      <c r="D1058" s="198" t="s">
        <v>22</v>
      </c>
      <c r="E1058" s="54"/>
      <c r="F1058" s="56">
        <v>6.0</v>
      </c>
      <c r="G1058" s="57">
        <v>15.0</v>
      </c>
      <c r="H1058" s="57">
        <f t="shared" si="26"/>
        <v>90</v>
      </c>
      <c r="I1058" s="58"/>
      <c r="J1058" s="58"/>
      <c r="K1058" s="54"/>
      <c r="L1058" s="54"/>
      <c r="M1058" s="54"/>
      <c r="N1058" s="54"/>
      <c r="O1058" s="54"/>
      <c r="P1058" s="54"/>
      <c r="Q1058" s="1"/>
      <c r="R1058" s="1"/>
      <c r="S1058" s="1"/>
      <c r="T1058" s="1"/>
      <c r="U1058" s="1"/>
      <c r="V1058" s="1"/>
    </row>
    <row r="1059" ht="15.75" customHeight="1">
      <c r="A1059" s="53"/>
      <c r="B1059" s="54" t="s">
        <v>64</v>
      </c>
      <c r="C1059" s="54" t="s">
        <v>655</v>
      </c>
      <c r="D1059" s="198" t="s">
        <v>22</v>
      </c>
      <c r="E1059" s="54"/>
      <c r="F1059" s="56">
        <v>6.0</v>
      </c>
      <c r="G1059" s="57">
        <v>15.0</v>
      </c>
      <c r="H1059" s="57">
        <f t="shared" si="26"/>
        <v>90</v>
      </c>
      <c r="I1059" s="58"/>
      <c r="J1059" s="58"/>
      <c r="K1059" s="54"/>
      <c r="L1059" s="54"/>
      <c r="M1059" s="202"/>
      <c r="N1059" s="54"/>
      <c r="O1059" s="202"/>
      <c r="P1059" s="202"/>
      <c r="Q1059" s="1"/>
      <c r="R1059" s="1"/>
      <c r="S1059" s="1"/>
      <c r="T1059" s="1"/>
      <c r="U1059" s="1"/>
      <c r="V1059" s="1"/>
    </row>
    <row r="1060" ht="15.75" customHeight="1">
      <c r="A1060" s="53"/>
      <c r="B1060" s="54" t="s">
        <v>18</v>
      </c>
      <c r="C1060" s="54" t="s">
        <v>656</v>
      </c>
      <c r="D1060" s="198" t="s">
        <v>22</v>
      </c>
      <c r="E1060" s="288" t="s">
        <v>681</v>
      </c>
      <c r="F1060" s="56">
        <v>3.0</v>
      </c>
      <c r="G1060" s="159">
        <v>12.0</v>
      </c>
      <c r="H1060" s="57">
        <f t="shared" si="26"/>
        <v>36</v>
      </c>
      <c r="I1060" s="58"/>
      <c r="J1060" s="58"/>
      <c r="K1060" s="54"/>
      <c r="L1060" s="271"/>
      <c r="M1060" s="271"/>
      <c r="N1060" s="271"/>
      <c r="O1060" s="271"/>
      <c r="P1060" s="293">
        <v>16.0</v>
      </c>
      <c r="Q1060" s="1"/>
      <c r="R1060" s="1"/>
      <c r="S1060" s="1"/>
      <c r="T1060" s="1"/>
      <c r="U1060" s="1"/>
      <c r="V1060" s="1"/>
    </row>
    <row r="1061" ht="15.75" customHeight="1">
      <c r="A1061" s="53"/>
      <c r="B1061" s="54" t="s">
        <v>18</v>
      </c>
      <c r="C1061" s="54" t="s">
        <v>658</v>
      </c>
      <c r="D1061" s="198" t="s">
        <v>22</v>
      </c>
      <c r="E1061" s="291" t="s">
        <v>659</v>
      </c>
      <c r="F1061" s="56">
        <v>1.0</v>
      </c>
      <c r="G1061" s="159">
        <v>28.8</v>
      </c>
      <c r="H1061" s="57">
        <f t="shared" si="26"/>
        <v>28.8</v>
      </c>
      <c r="I1061" s="58"/>
      <c r="J1061" s="58"/>
      <c r="K1061" s="54"/>
      <c r="L1061" s="271"/>
      <c r="M1061" s="271"/>
      <c r="N1061" s="271"/>
      <c r="O1061" s="271"/>
      <c r="P1061" s="293"/>
      <c r="Q1061" s="1"/>
      <c r="R1061" s="1"/>
      <c r="S1061" s="1"/>
      <c r="T1061" s="1"/>
      <c r="U1061" s="1"/>
      <c r="V1061" s="1"/>
    </row>
    <row r="1062" ht="15.75" customHeight="1">
      <c r="A1062" s="53"/>
      <c r="B1062" s="54" t="s">
        <v>64</v>
      </c>
      <c r="C1062" s="294" t="s">
        <v>660</v>
      </c>
      <c r="D1062" s="198" t="s">
        <v>22</v>
      </c>
      <c r="E1062" s="54"/>
      <c r="F1062" s="56">
        <v>6.0</v>
      </c>
      <c r="G1062" s="57">
        <v>30.0</v>
      </c>
      <c r="H1062" s="57">
        <f t="shared" si="26"/>
        <v>180</v>
      </c>
      <c r="I1062" s="58"/>
      <c r="J1062" s="58"/>
      <c r="K1062" s="54"/>
      <c r="L1062" s="54"/>
      <c r="M1062" s="54"/>
      <c r="N1062" s="54"/>
      <c r="O1062" s="54"/>
      <c r="P1062" s="54"/>
      <c r="Q1062" s="1"/>
      <c r="R1062" s="1"/>
      <c r="S1062" s="1"/>
      <c r="T1062" s="1"/>
      <c r="U1062" s="1"/>
      <c r="V1062" s="1"/>
    </row>
    <row r="1063" ht="15.75" hidden="1" customHeight="1">
      <c r="A1063" s="53"/>
      <c r="B1063" s="54" t="s">
        <v>399</v>
      </c>
      <c r="C1063" s="274" t="s">
        <v>661</v>
      </c>
      <c r="D1063" s="198" t="s">
        <v>22</v>
      </c>
      <c r="E1063" s="54"/>
      <c r="F1063" s="56">
        <v>0.0</v>
      </c>
      <c r="G1063" s="57">
        <v>27.99</v>
      </c>
      <c r="H1063" s="57">
        <f t="shared" si="26"/>
        <v>0</v>
      </c>
      <c r="I1063" s="58"/>
      <c r="J1063" s="58"/>
      <c r="K1063" s="54"/>
      <c r="L1063" s="54"/>
      <c r="M1063" s="54"/>
      <c r="N1063" s="54"/>
      <c r="O1063" s="54"/>
      <c r="P1063" s="54"/>
      <c r="Q1063" s="1"/>
      <c r="R1063" s="1"/>
      <c r="S1063" s="1"/>
      <c r="T1063" s="1"/>
      <c r="U1063" s="1"/>
      <c r="V1063" s="1"/>
    </row>
    <row r="1064" ht="15.75" hidden="1" customHeight="1">
      <c r="A1064" s="53"/>
      <c r="B1064" s="54" t="s">
        <v>399</v>
      </c>
      <c r="C1064" s="54" t="s">
        <v>662</v>
      </c>
      <c r="D1064" s="198" t="s">
        <v>22</v>
      </c>
      <c r="E1064" s="54"/>
      <c r="F1064" s="56">
        <v>0.0</v>
      </c>
      <c r="G1064" s="57">
        <v>18.99</v>
      </c>
      <c r="H1064" s="57">
        <f t="shared" si="26"/>
        <v>0</v>
      </c>
      <c r="I1064" s="58"/>
      <c r="J1064" s="58"/>
      <c r="K1064" s="54"/>
      <c r="L1064" s="54"/>
      <c r="M1064" s="54"/>
      <c r="N1064" s="54"/>
      <c r="O1064" s="54"/>
      <c r="P1064" s="54"/>
      <c r="Q1064" s="1"/>
      <c r="R1064" s="1"/>
      <c r="S1064" s="1"/>
      <c r="T1064" s="1"/>
      <c r="U1064" s="1"/>
      <c r="V1064" s="1"/>
    </row>
    <row r="1065" ht="15.75" hidden="1" customHeight="1">
      <c r="A1065" s="53"/>
      <c r="B1065" s="54" t="s">
        <v>399</v>
      </c>
      <c r="C1065" s="54" t="s">
        <v>663</v>
      </c>
      <c r="D1065" s="198" t="s">
        <v>22</v>
      </c>
      <c r="E1065" s="54"/>
      <c r="F1065" s="56">
        <v>0.0</v>
      </c>
      <c r="G1065" s="57">
        <v>13.99</v>
      </c>
      <c r="H1065" s="57">
        <f t="shared" si="26"/>
        <v>0</v>
      </c>
      <c r="I1065" s="58"/>
      <c r="J1065" s="58"/>
      <c r="K1065" s="54"/>
      <c r="L1065" s="54"/>
      <c r="M1065" s="54"/>
      <c r="N1065" s="54"/>
      <c r="O1065" s="54"/>
      <c r="P1065" s="54"/>
      <c r="Q1065" s="1"/>
      <c r="R1065" s="1"/>
      <c r="S1065" s="1"/>
      <c r="T1065" s="1"/>
      <c r="U1065" s="1"/>
      <c r="V1065" s="1"/>
    </row>
    <row r="1066" ht="15.75" hidden="1" customHeight="1">
      <c r="A1066" s="53"/>
      <c r="B1066" s="54"/>
      <c r="C1066" s="54" t="s">
        <v>682</v>
      </c>
      <c r="D1066" s="198" t="s">
        <v>22</v>
      </c>
      <c r="E1066" s="54"/>
      <c r="F1066" s="56">
        <v>0.0</v>
      </c>
      <c r="G1066" s="57">
        <v>23.99</v>
      </c>
      <c r="H1066" s="57">
        <f t="shared" si="26"/>
        <v>0</v>
      </c>
      <c r="I1066" s="58"/>
      <c r="J1066" s="58"/>
      <c r="K1066" s="54"/>
      <c r="L1066" s="54"/>
      <c r="M1066" s="54"/>
      <c r="N1066" s="54"/>
      <c r="O1066" s="54"/>
      <c r="P1066" s="54"/>
      <c r="Q1066" s="1"/>
      <c r="R1066" s="1"/>
      <c r="S1066" s="1"/>
      <c r="T1066" s="1"/>
      <c r="U1066" s="1"/>
      <c r="V1066" s="1"/>
    </row>
    <row r="1067" ht="15.75" hidden="1" customHeight="1">
      <c r="A1067" s="53"/>
      <c r="B1067" s="54" t="s">
        <v>574</v>
      </c>
      <c r="C1067" s="54" t="s">
        <v>665</v>
      </c>
      <c r="D1067" s="198" t="s">
        <v>22</v>
      </c>
      <c r="E1067" s="54"/>
      <c r="F1067" s="56">
        <v>0.0</v>
      </c>
      <c r="G1067" s="57">
        <v>400.0</v>
      </c>
      <c r="H1067" s="57">
        <f t="shared" si="26"/>
        <v>0</v>
      </c>
      <c r="I1067" s="58"/>
      <c r="J1067" s="58"/>
      <c r="K1067" s="54"/>
      <c r="L1067" s="54"/>
      <c r="M1067" s="54"/>
      <c r="N1067" s="54"/>
      <c r="O1067" s="54"/>
      <c r="P1067" s="54"/>
      <c r="Q1067" s="1"/>
      <c r="R1067" s="1"/>
      <c r="S1067" s="1"/>
      <c r="T1067" s="1"/>
      <c r="U1067" s="1"/>
      <c r="V1067" s="1"/>
    </row>
    <row r="1068" ht="15.75" hidden="1" customHeight="1">
      <c r="A1068" s="53"/>
      <c r="B1068" s="54"/>
      <c r="C1068" s="54" t="s">
        <v>666</v>
      </c>
      <c r="D1068" s="216" t="s">
        <v>24</v>
      </c>
      <c r="E1068" s="54"/>
      <c r="F1068" s="56">
        <v>0.0</v>
      </c>
      <c r="G1068" s="57">
        <v>250.0</v>
      </c>
      <c r="H1068" s="57">
        <f t="shared" si="26"/>
        <v>0</v>
      </c>
      <c r="I1068" s="58"/>
      <c r="J1068" s="58"/>
      <c r="K1068" s="54"/>
      <c r="L1068" s="54"/>
      <c r="M1068" s="54"/>
      <c r="N1068" s="54"/>
      <c r="O1068" s="54"/>
      <c r="P1068" s="54"/>
      <c r="Q1068" s="1"/>
      <c r="R1068" s="1"/>
      <c r="S1068" s="1"/>
      <c r="T1068" s="1"/>
      <c r="U1068" s="1"/>
      <c r="V1068" s="1"/>
    </row>
    <row r="1069" ht="15.75" hidden="1" customHeight="1">
      <c r="A1069" s="53"/>
      <c r="B1069" s="54" t="s">
        <v>18</v>
      </c>
      <c r="C1069" s="54" t="s">
        <v>667</v>
      </c>
      <c r="D1069" s="55" t="s">
        <v>20</v>
      </c>
      <c r="E1069" s="208" t="s">
        <v>668</v>
      </c>
      <c r="F1069" s="56">
        <v>0.0</v>
      </c>
      <c r="G1069" s="57">
        <v>17.97</v>
      </c>
      <c r="H1069" s="57">
        <f t="shared" si="26"/>
        <v>0</v>
      </c>
      <c r="I1069" s="58"/>
      <c r="J1069" s="58"/>
      <c r="K1069" s="54"/>
      <c r="L1069" s="54"/>
      <c r="M1069" s="54"/>
      <c r="N1069" s="54"/>
      <c r="O1069" s="54"/>
      <c r="P1069" s="54"/>
      <c r="Q1069" s="1"/>
      <c r="R1069" s="1"/>
      <c r="S1069" s="1"/>
      <c r="T1069" s="1"/>
      <c r="U1069" s="1"/>
      <c r="V1069" s="1"/>
    </row>
    <row r="1070" ht="15.75" hidden="1" customHeight="1">
      <c r="A1070" s="53"/>
      <c r="B1070" s="54" t="s">
        <v>18</v>
      </c>
      <c r="C1070" s="54" t="s">
        <v>669</v>
      </c>
      <c r="D1070" s="55" t="s">
        <v>20</v>
      </c>
      <c r="E1070" s="208" t="s">
        <v>670</v>
      </c>
      <c r="F1070" s="56">
        <v>0.0</v>
      </c>
      <c r="G1070" s="57">
        <v>9.99</v>
      </c>
      <c r="H1070" s="57">
        <f t="shared" si="26"/>
        <v>0</v>
      </c>
      <c r="I1070" s="58"/>
      <c r="J1070" s="58"/>
      <c r="K1070" s="54"/>
      <c r="L1070" s="54"/>
      <c r="M1070" s="54"/>
      <c r="N1070" s="54"/>
      <c r="O1070" s="54"/>
      <c r="P1070" s="54"/>
      <c r="Q1070" s="1"/>
      <c r="R1070" s="1"/>
      <c r="S1070" s="1"/>
      <c r="T1070" s="1"/>
      <c r="U1070" s="1"/>
      <c r="V1070" s="1"/>
    </row>
    <row r="1071" ht="15.75" hidden="1" customHeight="1">
      <c r="A1071" s="53"/>
      <c r="B1071" s="54" t="s">
        <v>18</v>
      </c>
      <c r="C1071" s="54" t="s">
        <v>671</v>
      </c>
      <c r="D1071" s="55" t="s">
        <v>20</v>
      </c>
      <c r="E1071" s="208" t="s">
        <v>672</v>
      </c>
      <c r="F1071" s="56">
        <v>0.0</v>
      </c>
      <c r="G1071" s="57">
        <v>16.92</v>
      </c>
      <c r="H1071" s="57">
        <f t="shared" si="26"/>
        <v>0</v>
      </c>
      <c r="I1071" s="58"/>
      <c r="J1071" s="58"/>
      <c r="K1071" s="54"/>
      <c r="L1071" s="54"/>
      <c r="M1071" s="54"/>
      <c r="N1071" s="54"/>
      <c r="O1071" s="54"/>
      <c r="P1071" s="54"/>
      <c r="Q1071" s="1"/>
      <c r="R1071" s="1"/>
      <c r="S1071" s="1"/>
      <c r="T1071" s="1"/>
      <c r="U1071" s="1"/>
      <c r="V1071" s="1"/>
    </row>
    <row r="1072" ht="15.75" hidden="1" customHeight="1">
      <c r="A1072" s="53"/>
      <c r="B1072" s="54"/>
      <c r="C1072" s="54" t="s">
        <v>673</v>
      </c>
      <c r="D1072" s="216" t="s">
        <v>24</v>
      </c>
      <c r="E1072" s="54"/>
      <c r="F1072" s="56">
        <v>0.0</v>
      </c>
      <c r="G1072" s="57">
        <v>25.0</v>
      </c>
      <c r="H1072" s="57">
        <f t="shared" si="26"/>
        <v>0</v>
      </c>
      <c r="I1072" s="58"/>
      <c r="J1072" s="58"/>
      <c r="K1072" s="54"/>
      <c r="L1072" s="54"/>
      <c r="M1072" s="54"/>
      <c r="N1072" s="54"/>
      <c r="O1072" s="54"/>
      <c r="P1072" s="54"/>
      <c r="Q1072" s="1"/>
      <c r="R1072" s="1"/>
      <c r="S1072" s="1"/>
      <c r="T1072" s="1"/>
      <c r="U1072" s="1"/>
      <c r="V1072" s="1"/>
    </row>
    <row r="1073" ht="24.75" customHeight="1">
      <c r="A1073" s="6"/>
      <c r="B1073" s="6" t="s">
        <v>683</v>
      </c>
      <c r="C1073" s="7">
        <f>SUM(H1074:H1104)</f>
        <v>25134.01</v>
      </c>
      <c r="D1073" s="148"/>
      <c r="E1073" s="148"/>
      <c r="F1073" s="83"/>
      <c r="G1073" s="82"/>
      <c r="H1073" s="82"/>
      <c r="I1073" s="82"/>
      <c r="J1073" s="82"/>
      <c r="K1073" s="83"/>
      <c r="L1073" s="83"/>
      <c r="M1073" s="83"/>
      <c r="N1073" s="83"/>
      <c r="O1073" s="83"/>
      <c r="P1073" s="83"/>
      <c r="Q1073" s="35"/>
      <c r="R1073" s="35"/>
      <c r="S1073" s="35"/>
      <c r="T1073" s="1"/>
      <c r="U1073" s="1"/>
      <c r="V1073" s="1"/>
    </row>
    <row r="1074" ht="15.75" customHeight="1">
      <c r="A1074" s="13"/>
      <c r="B1074" s="13" t="s">
        <v>18</v>
      </c>
      <c r="C1074" s="13" t="s">
        <v>684</v>
      </c>
      <c r="D1074" s="66" t="s">
        <v>22</v>
      </c>
      <c r="E1074" s="155" t="s">
        <v>685</v>
      </c>
      <c r="F1074" s="16">
        <v>3.0</v>
      </c>
      <c r="G1074" s="34">
        <v>16.8</v>
      </c>
      <c r="H1074" s="17">
        <f t="shared" ref="H1074:H1104" si="27">SUM(F1074*G1074)</f>
        <v>50.4</v>
      </c>
      <c r="I1074" s="18"/>
      <c r="J1074" s="18"/>
      <c r="K1074" s="13"/>
      <c r="L1074" s="13"/>
      <c r="M1074" s="13"/>
      <c r="N1074" s="13"/>
      <c r="O1074" s="13"/>
      <c r="P1074" s="13"/>
      <c r="Q1074" s="35"/>
      <c r="R1074" s="35"/>
      <c r="S1074" s="35"/>
      <c r="T1074" s="1"/>
      <c r="U1074" s="1"/>
      <c r="V1074" s="1"/>
    </row>
    <row r="1075" ht="15.75" customHeight="1">
      <c r="A1075" s="13"/>
      <c r="B1075" s="13" t="s">
        <v>18</v>
      </c>
      <c r="C1075" s="13" t="s">
        <v>686</v>
      </c>
      <c r="D1075" s="66" t="s">
        <v>22</v>
      </c>
      <c r="E1075" s="155" t="s">
        <v>687</v>
      </c>
      <c r="F1075" s="16">
        <v>2.0</v>
      </c>
      <c r="G1075" s="34">
        <v>27.6</v>
      </c>
      <c r="H1075" s="17">
        <f t="shared" si="27"/>
        <v>55.2</v>
      </c>
      <c r="I1075" s="18"/>
      <c r="J1075" s="18"/>
      <c r="K1075" s="13"/>
      <c r="L1075" s="13"/>
      <c r="M1075" s="13"/>
      <c r="N1075" s="13"/>
      <c r="O1075" s="13"/>
      <c r="P1075" s="13"/>
      <c r="Q1075" s="35"/>
      <c r="R1075" s="35"/>
      <c r="S1075" s="35"/>
      <c r="T1075" s="1"/>
      <c r="U1075" s="1"/>
      <c r="V1075" s="1"/>
    </row>
    <row r="1076" ht="15.75" customHeight="1">
      <c r="A1076" s="13"/>
      <c r="B1076" s="13" t="s">
        <v>18</v>
      </c>
      <c r="C1076" s="13" t="s">
        <v>688</v>
      </c>
      <c r="D1076" s="66" t="s">
        <v>22</v>
      </c>
      <c r="E1076" s="155" t="s">
        <v>689</v>
      </c>
      <c r="F1076" s="16">
        <v>1.0</v>
      </c>
      <c r="G1076" s="34">
        <v>17.0</v>
      </c>
      <c r="H1076" s="17">
        <f t="shared" si="27"/>
        <v>17</v>
      </c>
      <c r="I1076" s="18"/>
      <c r="J1076" s="18"/>
      <c r="K1076" s="13"/>
      <c r="L1076" s="13"/>
      <c r="M1076" s="13"/>
      <c r="N1076" s="13"/>
      <c r="O1076" s="13"/>
      <c r="P1076" s="13"/>
      <c r="Q1076" s="35"/>
      <c r="R1076" s="35"/>
      <c r="S1076" s="35"/>
      <c r="T1076" s="1"/>
      <c r="U1076" s="1"/>
      <c r="V1076" s="1"/>
    </row>
    <row r="1077" ht="15.75" customHeight="1">
      <c r="A1077" s="13"/>
      <c r="B1077" s="13" t="s">
        <v>18</v>
      </c>
      <c r="C1077" s="13" t="s">
        <v>690</v>
      </c>
      <c r="D1077" s="66" t="s">
        <v>22</v>
      </c>
      <c r="E1077" s="33" t="s">
        <v>976</v>
      </c>
      <c r="F1077" s="16">
        <v>1.0</v>
      </c>
      <c r="G1077" s="34">
        <v>27.6</v>
      </c>
      <c r="H1077" s="17">
        <f t="shared" si="27"/>
        <v>27.6</v>
      </c>
      <c r="I1077" s="18"/>
      <c r="J1077" s="18"/>
      <c r="K1077" s="13"/>
      <c r="L1077" s="13"/>
      <c r="M1077" s="13"/>
      <c r="N1077" s="13"/>
      <c r="O1077" s="13"/>
      <c r="P1077" s="13"/>
      <c r="Q1077" s="35"/>
      <c r="R1077" s="35"/>
      <c r="S1077" s="35"/>
      <c r="T1077" s="1"/>
      <c r="U1077" s="1"/>
      <c r="V1077" s="1"/>
    </row>
    <row r="1078" ht="15.75" customHeight="1">
      <c r="A1078" s="13"/>
      <c r="B1078" s="13" t="s">
        <v>18</v>
      </c>
      <c r="C1078" s="13" t="s">
        <v>692</v>
      </c>
      <c r="D1078" s="66" t="s">
        <v>22</v>
      </c>
      <c r="E1078" s="218" t="s">
        <v>693</v>
      </c>
      <c r="F1078" s="16">
        <v>2.0</v>
      </c>
      <c r="G1078" s="34">
        <v>110.4</v>
      </c>
      <c r="H1078" s="17">
        <f t="shared" si="27"/>
        <v>220.8</v>
      </c>
      <c r="I1078" s="18"/>
      <c r="J1078" s="18"/>
      <c r="K1078" s="13"/>
      <c r="L1078" s="13"/>
      <c r="M1078" s="13"/>
      <c r="N1078" s="13"/>
      <c r="O1078" s="13"/>
      <c r="P1078" s="13"/>
      <c r="Q1078" s="35"/>
      <c r="R1078" s="35"/>
      <c r="S1078" s="35"/>
      <c r="T1078" s="1"/>
      <c r="U1078" s="1"/>
      <c r="V1078" s="1"/>
    </row>
    <row r="1079" ht="15.75" customHeight="1">
      <c r="A1079" s="13"/>
      <c r="B1079" s="27" t="s">
        <v>694</v>
      </c>
      <c r="C1079" s="27" t="s">
        <v>695</v>
      </c>
      <c r="D1079" s="101" t="s">
        <v>32</v>
      </c>
      <c r="E1079" s="15"/>
      <c r="F1079" s="16">
        <v>1.0</v>
      </c>
      <c r="G1079" s="17">
        <v>450.0</v>
      </c>
      <c r="H1079" s="17">
        <f t="shared" si="27"/>
        <v>450</v>
      </c>
      <c r="I1079" s="18"/>
      <c r="J1079" s="18"/>
      <c r="K1079" s="13"/>
      <c r="L1079" s="27"/>
      <c r="M1079" s="27"/>
      <c r="N1079" s="27"/>
      <c r="O1079" s="27"/>
      <c r="P1079" s="27"/>
      <c r="Q1079" s="35"/>
      <c r="R1079" s="35"/>
      <c r="S1079" s="35"/>
      <c r="T1079" s="1"/>
      <c r="U1079" s="1"/>
      <c r="V1079" s="1"/>
    </row>
    <row r="1080" ht="15.75" customHeight="1">
      <c r="A1080" s="13"/>
      <c r="B1080" s="13" t="s">
        <v>64</v>
      </c>
      <c r="C1080" s="13" t="s">
        <v>696</v>
      </c>
      <c r="D1080" s="66" t="s">
        <v>22</v>
      </c>
      <c r="E1080" s="15"/>
      <c r="F1080" s="16">
        <v>2.0</v>
      </c>
      <c r="G1080" s="17">
        <v>50.0</v>
      </c>
      <c r="H1080" s="17">
        <f t="shared" si="27"/>
        <v>100</v>
      </c>
      <c r="I1080" s="18"/>
      <c r="J1080" s="18"/>
      <c r="K1080" s="13"/>
      <c r="L1080" s="13"/>
      <c r="M1080" s="13"/>
      <c r="N1080" s="13"/>
      <c r="O1080" s="13"/>
      <c r="P1080" s="13"/>
      <c r="Q1080" s="35"/>
      <c r="R1080" s="35"/>
      <c r="S1080" s="35"/>
      <c r="T1080" s="1"/>
      <c r="U1080" s="1"/>
      <c r="V1080" s="1"/>
    </row>
    <row r="1081" ht="15.75" customHeight="1">
      <c r="A1081" s="13"/>
      <c r="B1081" s="13" t="s">
        <v>64</v>
      </c>
      <c r="C1081" s="13" t="s">
        <v>697</v>
      </c>
      <c r="D1081" s="66" t="s">
        <v>22</v>
      </c>
      <c r="E1081" s="15"/>
      <c r="F1081" s="16">
        <v>1.0</v>
      </c>
      <c r="G1081" s="17">
        <v>100.0</v>
      </c>
      <c r="H1081" s="17">
        <f t="shared" si="27"/>
        <v>100</v>
      </c>
      <c r="I1081" s="18"/>
      <c r="J1081" s="18"/>
      <c r="K1081" s="13"/>
      <c r="L1081" s="13"/>
      <c r="M1081" s="13"/>
      <c r="N1081" s="13"/>
      <c r="O1081" s="13"/>
      <c r="P1081" s="13"/>
      <c r="Q1081" s="35"/>
      <c r="R1081" s="35"/>
      <c r="S1081" s="35"/>
      <c r="T1081" s="1"/>
      <c r="U1081" s="1"/>
      <c r="V1081" s="1"/>
    </row>
    <row r="1082" ht="15.75" hidden="1" customHeight="1">
      <c r="A1082" s="13"/>
      <c r="B1082" s="296" t="s">
        <v>454</v>
      </c>
      <c r="C1082" s="296" t="s">
        <v>698</v>
      </c>
      <c r="D1082" s="66" t="s">
        <v>22</v>
      </c>
      <c r="E1082" s="15"/>
      <c r="F1082" s="16">
        <v>0.0</v>
      </c>
      <c r="G1082" s="17">
        <v>77.0</v>
      </c>
      <c r="H1082" s="17">
        <f t="shared" si="27"/>
        <v>0</v>
      </c>
      <c r="I1082" s="18"/>
      <c r="J1082" s="18"/>
      <c r="K1082" s="13"/>
      <c r="L1082" s="13"/>
      <c r="M1082" s="19"/>
      <c r="N1082" s="13"/>
      <c r="O1082" s="19"/>
      <c r="P1082" s="19"/>
      <c r="Q1082" s="35"/>
      <c r="R1082" s="35"/>
      <c r="S1082" s="35"/>
      <c r="T1082" s="1"/>
      <c r="U1082" s="1"/>
      <c r="V1082" s="1"/>
    </row>
    <row r="1083" ht="15.75" hidden="1" customHeight="1">
      <c r="A1083" s="13"/>
      <c r="B1083" s="296" t="s">
        <v>454</v>
      </c>
      <c r="C1083" s="296" t="s">
        <v>699</v>
      </c>
      <c r="D1083" s="66" t="s">
        <v>22</v>
      </c>
      <c r="E1083" s="15"/>
      <c r="F1083" s="16">
        <v>0.0</v>
      </c>
      <c r="G1083" s="17">
        <v>7.0</v>
      </c>
      <c r="H1083" s="17">
        <f t="shared" si="27"/>
        <v>0</v>
      </c>
      <c r="I1083" s="18"/>
      <c r="J1083" s="18"/>
      <c r="K1083" s="13"/>
      <c r="L1083" s="13"/>
      <c r="M1083" s="19"/>
      <c r="N1083" s="13"/>
      <c r="O1083" s="13"/>
      <c r="P1083" s="13"/>
      <c r="Q1083" s="35"/>
      <c r="R1083" s="35"/>
      <c r="S1083" s="35"/>
      <c r="T1083" s="1"/>
      <c r="U1083" s="1"/>
      <c r="V1083" s="1"/>
    </row>
    <row r="1084" ht="15.75" customHeight="1">
      <c r="A1084" s="13"/>
      <c r="B1084" s="13" t="s">
        <v>385</v>
      </c>
      <c r="C1084" s="297" t="s">
        <v>700</v>
      </c>
      <c r="D1084" s="101" t="s">
        <v>32</v>
      </c>
      <c r="E1084" s="171" t="s">
        <v>701</v>
      </c>
      <c r="F1084" s="298">
        <v>1.0</v>
      </c>
      <c r="G1084" s="299">
        <v>617.7</v>
      </c>
      <c r="H1084" s="17">
        <f t="shared" si="27"/>
        <v>617.7</v>
      </c>
      <c r="I1084" s="18"/>
      <c r="J1084" s="17"/>
      <c r="K1084" s="43"/>
      <c r="L1084" s="13"/>
      <c r="M1084" s="13"/>
      <c r="N1084" s="13"/>
      <c r="O1084" s="13"/>
      <c r="P1084" s="13"/>
      <c r="Q1084" s="35"/>
      <c r="R1084" s="35"/>
      <c r="S1084" s="35"/>
      <c r="T1084" s="1"/>
      <c r="U1084" s="1"/>
      <c r="V1084" s="1"/>
    </row>
    <row r="1085" ht="15.75" customHeight="1">
      <c r="A1085" s="13"/>
      <c r="B1085" s="13" t="s">
        <v>385</v>
      </c>
      <c r="C1085" s="13" t="s">
        <v>702</v>
      </c>
      <c r="D1085" s="101" t="s">
        <v>32</v>
      </c>
      <c r="E1085" s="300" t="s">
        <v>703</v>
      </c>
      <c r="F1085" s="16">
        <v>1.0</v>
      </c>
      <c r="G1085" s="34">
        <v>1320.0</v>
      </c>
      <c r="H1085" s="17">
        <f t="shared" si="27"/>
        <v>1320</v>
      </c>
      <c r="I1085" s="18"/>
      <c r="J1085" s="18"/>
      <c r="K1085" s="43"/>
      <c r="L1085" s="27"/>
      <c r="M1085" s="27"/>
      <c r="N1085" s="27"/>
      <c r="O1085" s="27"/>
      <c r="P1085" s="27"/>
      <c r="Q1085" s="35"/>
      <c r="R1085" s="35"/>
      <c r="S1085" s="35"/>
      <c r="T1085" s="1"/>
      <c r="U1085" s="1"/>
      <c r="V1085" s="1"/>
    </row>
    <row r="1086" ht="15.75" hidden="1" customHeight="1">
      <c r="A1086" s="13"/>
      <c r="B1086" s="13" t="s">
        <v>704</v>
      </c>
      <c r="C1086" s="13" t="s">
        <v>705</v>
      </c>
      <c r="D1086" s="101" t="s">
        <v>32</v>
      </c>
      <c r="E1086" s="15" t="s">
        <v>706</v>
      </c>
      <c r="F1086" s="16">
        <v>0.0</v>
      </c>
      <c r="G1086" s="17">
        <v>336.0</v>
      </c>
      <c r="H1086" s="17">
        <f t="shared" si="27"/>
        <v>0</v>
      </c>
      <c r="I1086" s="18"/>
      <c r="J1086" s="18"/>
      <c r="K1086" s="13"/>
      <c r="L1086" s="27"/>
      <c r="M1086" s="27"/>
      <c r="N1086" s="27"/>
      <c r="O1086" s="27"/>
      <c r="P1086" s="27"/>
      <c r="Q1086" s="35"/>
      <c r="R1086" s="35"/>
      <c r="S1086" s="35"/>
      <c r="T1086" s="1"/>
      <c r="U1086" s="1"/>
      <c r="V1086" s="1"/>
    </row>
    <row r="1087" ht="15.75" customHeight="1">
      <c r="A1087" s="13"/>
      <c r="B1087" s="43" t="s">
        <v>217</v>
      </c>
      <c r="C1087" s="43" t="s">
        <v>707</v>
      </c>
      <c r="D1087" s="101" t="s">
        <v>32</v>
      </c>
      <c r="E1087" s="194" t="s">
        <v>708</v>
      </c>
      <c r="F1087" s="40">
        <v>1.0</v>
      </c>
      <c r="G1087" s="34">
        <v>1205.11</v>
      </c>
      <c r="H1087" s="17">
        <f t="shared" si="27"/>
        <v>1205.11</v>
      </c>
      <c r="I1087" s="18"/>
      <c r="J1087" s="18"/>
      <c r="K1087" s="301"/>
      <c r="L1087" s="27"/>
      <c r="M1087" s="27"/>
      <c r="N1087" s="27"/>
      <c r="O1087" s="27"/>
      <c r="P1087" s="27"/>
      <c r="Q1087" s="35"/>
      <c r="R1087" s="35"/>
      <c r="S1087" s="35"/>
      <c r="T1087" s="1"/>
      <c r="U1087" s="1"/>
      <c r="V1087" s="1"/>
    </row>
    <row r="1088" ht="15.75" hidden="1" customHeight="1">
      <c r="A1088" s="13"/>
      <c r="B1088" s="43" t="s">
        <v>385</v>
      </c>
      <c r="C1088" s="43" t="s">
        <v>709</v>
      </c>
      <c r="D1088" s="101" t="s">
        <v>32</v>
      </c>
      <c r="E1088" s="194" t="s">
        <v>710</v>
      </c>
      <c r="F1088" s="40">
        <v>0.0</v>
      </c>
      <c r="G1088" s="34">
        <v>420.0</v>
      </c>
      <c r="H1088" s="17">
        <f t="shared" si="27"/>
        <v>0</v>
      </c>
      <c r="I1088" s="18"/>
      <c r="J1088" s="18"/>
      <c r="K1088" s="13"/>
      <c r="L1088" s="27"/>
      <c r="M1088" s="27"/>
      <c r="N1088" s="27"/>
      <c r="O1088" s="27"/>
      <c r="P1088" s="27"/>
      <c r="Q1088" s="35"/>
      <c r="R1088" s="35"/>
      <c r="S1088" s="35"/>
      <c r="T1088" s="1"/>
      <c r="U1088" s="1"/>
      <c r="V1088" s="1"/>
    </row>
    <row r="1089" ht="15.75" hidden="1" customHeight="1">
      <c r="A1089" s="13"/>
      <c r="B1089" s="13" t="s">
        <v>574</v>
      </c>
      <c r="C1089" s="13" t="s">
        <v>711</v>
      </c>
      <c r="D1089" s="66" t="s">
        <v>22</v>
      </c>
      <c r="E1089" s="15"/>
      <c r="F1089" s="16">
        <v>0.0</v>
      </c>
      <c r="G1089" s="17">
        <v>350.0</v>
      </c>
      <c r="H1089" s="17">
        <f t="shared" si="27"/>
        <v>0</v>
      </c>
      <c r="I1089" s="18"/>
      <c r="J1089" s="18"/>
      <c r="K1089" s="13"/>
      <c r="L1089" s="13"/>
      <c r="M1089" s="13"/>
      <c r="N1089" s="13"/>
      <c r="O1089" s="13"/>
      <c r="P1089" s="13"/>
      <c r="Q1089" s="35"/>
      <c r="R1089" s="35"/>
      <c r="S1089" s="35"/>
      <c r="T1089" s="1"/>
      <c r="U1089" s="1"/>
      <c r="V1089" s="1"/>
    </row>
    <row r="1090" ht="15.75" customHeight="1">
      <c r="A1090" s="13"/>
      <c r="B1090" s="13"/>
      <c r="C1090" s="13" t="s">
        <v>712</v>
      </c>
      <c r="D1090" s="70" t="s">
        <v>24</v>
      </c>
      <c r="E1090" s="15"/>
      <c r="F1090" s="40">
        <v>1.0</v>
      </c>
      <c r="G1090" s="34">
        <v>250.0</v>
      </c>
      <c r="H1090" s="17">
        <f t="shared" si="27"/>
        <v>250</v>
      </c>
      <c r="I1090" s="18"/>
      <c r="J1090" s="18"/>
      <c r="K1090" s="13"/>
      <c r="L1090" s="63"/>
      <c r="M1090" s="63"/>
      <c r="N1090" s="63"/>
      <c r="O1090" s="63"/>
      <c r="P1090" s="63"/>
      <c r="Q1090" s="35"/>
      <c r="R1090" s="35"/>
      <c r="S1090" s="35"/>
      <c r="T1090" s="1"/>
      <c r="U1090" s="1"/>
      <c r="V1090" s="1"/>
    </row>
    <row r="1091" ht="15.75" hidden="1" customHeight="1">
      <c r="A1091" s="13"/>
      <c r="B1091" s="13"/>
      <c r="C1091" s="13" t="s">
        <v>713</v>
      </c>
      <c r="D1091" s="70" t="s">
        <v>24</v>
      </c>
      <c r="E1091" s="15"/>
      <c r="F1091" s="16">
        <v>0.0</v>
      </c>
      <c r="G1091" s="17">
        <v>115.0</v>
      </c>
      <c r="H1091" s="17">
        <f t="shared" si="27"/>
        <v>0</v>
      </c>
      <c r="I1091" s="18"/>
      <c r="J1091" s="18"/>
      <c r="K1091" s="13"/>
      <c r="L1091" s="13"/>
      <c r="M1091" s="13"/>
      <c r="N1091" s="13"/>
      <c r="O1091" s="13"/>
      <c r="P1091" s="13"/>
      <c r="Q1091" s="35"/>
      <c r="R1091" s="35"/>
      <c r="S1091" s="35"/>
      <c r="T1091" s="1"/>
      <c r="U1091" s="1"/>
      <c r="V1091" s="1"/>
    </row>
    <row r="1092" ht="15.75" customHeight="1">
      <c r="A1092" s="13"/>
      <c r="B1092" s="13" t="s">
        <v>64</v>
      </c>
      <c r="C1092" s="13" t="s">
        <v>263</v>
      </c>
      <c r="D1092" s="66" t="s">
        <v>22</v>
      </c>
      <c r="E1092" s="15"/>
      <c r="F1092" s="16">
        <v>2.0</v>
      </c>
      <c r="G1092" s="17">
        <v>100.0</v>
      </c>
      <c r="H1092" s="17">
        <f t="shared" si="27"/>
        <v>200</v>
      </c>
      <c r="I1092" s="18"/>
      <c r="J1092" s="18"/>
      <c r="K1092" s="13"/>
      <c r="L1092" s="13"/>
      <c r="M1092" s="13"/>
      <c r="N1092" s="13"/>
      <c r="O1092" s="13"/>
      <c r="P1092" s="13"/>
      <c r="Q1092" s="35"/>
      <c r="R1092" s="35"/>
      <c r="S1092" s="35"/>
      <c r="T1092" s="1"/>
      <c r="U1092" s="1"/>
      <c r="V1092" s="1"/>
    </row>
    <row r="1093" ht="15.75" customHeight="1">
      <c r="A1093" s="13"/>
      <c r="B1093" s="13"/>
      <c r="C1093" s="13" t="s">
        <v>67</v>
      </c>
      <c r="D1093" s="70" t="s">
        <v>24</v>
      </c>
      <c r="E1093" s="15"/>
      <c r="F1093" s="16">
        <v>2.0</v>
      </c>
      <c r="G1093" s="17">
        <v>18.0</v>
      </c>
      <c r="H1093" s="17">
        <f t="shared" si="27"/>
        <v>36</v>
      </c>
      <c r="I1093" s="18"/>
      <c r="J1093" s="18"/>
      <c r="K1093" s="13"/>
      <c r="L1093" s="13"/>
      <c r="M1093" s="13"/>
      <c r="N1093" s="13"/>
      <c r="O1093" s="13"/>
      <c r="P1093" s="13"/>
      <c r="Q1093" s="35"/>
      <c r="R1093" s="35"/>
      <c r="S1093" s="35"/>
      <c r="T1093" s="1"/>
      <c r="U1093" s="1"/>
      <c r="V1093" s="1"/>
    </row>
    <row r="1094" ht="15.75" customHeight="1">
      <c r="A1094" s="13"/>
      <c r="B1094" s="13" t="s">
        <v>18</v>
      </c>
      <c r="C1094" s="13" t="s">
        <v>714</v>
      </c>
      <c r="D1094" s="14" t="s">
        <v>20</v>
      </c>
      <c r="E1094" s="33" t="s">
        <v>715</v>
      </c>
      <c r="F1094" s="16">
        <v>1.0</v>
      </c>
      <c r="G1094" s="34">
        <v>54.0</v>
      </c>
      <c r="H1094" s="17">
        <f t="shared" si="27"/>
        <v>54</v>
      </c>
      <c r="I1094" s="18"/>
      <c r="J1094" s="18"/>
      <c r="K1094" s="13"/>
      <c r="L1094" s="27"/>
      <c r="M1094" s="28"/>
      <c r="N1094" s="27"/>
      <c r="O1094" s="28"/>
      <c r="P1094" s="28"/>
      <c r="Q1094" s="35"/>
      <c r="R1094" s="35"/>
      <c r="S1094" s="35"/>
      <c r="T1094" s="1"/>
      <c r="U1094" s="1"/>
      <c r="V1094" s="1"/>
    </row>
    <row r="1095" ht="15.75" customHeight="1">
      <c r="A1095" s="13"/>
      <c r="B1095" s="13"/>
      <c r="C1095" s="13" t="s">
        <v>716</v>
      </c>
      <c r="D1095" s="70" t="s">
        <v>24</v>
      </c>
      <c r="E1095" s="15"/>
      <c r="F1095" s="16">
        <v>2.0</v>
      </c>
      <c r="G1095" s="17">
        <v>95.0</v>
      </c>
      <c r="H1095" s="17">
        <f t="shared" si="27"/>
        <v>190</v>
      </c>
      <c r="I1095" s="18"/>
      <c r="J1095" s="18"/>
      <c r="K1095" s="13"/>
      <c r="L1095" s="63"/>
      <c r="M1095" s="63"/>
      <c r="N1095" s="63"/>
      <c r="O1095" s="63"/>
      <c r="P1095" s="63"/>
      <c r="Q1095" s="35"/>
      <c r="R1095" s="35"/>
      <c r="S1095" s="35"/>
      <c r="T1095" s="1"/>
      <c r="U1095" s="1"/>
      <c r="V1095" s="1"/>
    </row>
    <row r="1096" ht="15.75" customHeight="1">
      <c r="A1096" s="13"/>
      <c r="B1096" s="13" t="s">
        <v>717</v>
      </c>
      <c r="C1096" s="13" t="s">
        <v>718</v>
      </c>
      <c r="D1096" s="14" t="s">
        <v>20</v>
      </c>
      <c r="E1096" s="218" t="s">
        <v>719</v>
      </c>
      <c r="F1096" s="16">
        <v>2.0</v>
      </c>
      <c r="G1096" s="34">
        <v>192.0</v>
      </c>
      <c r="H1096" s="17">
        <f t="shared" si="27"/>
        <v>384</v>
      </c>
      <c r="I1096" s="18"/>
      <c r="J1096" s="18"/>
      <c r="K1096" s="43"/>
      <c r="L1096" s="13"/>
      <c r="M1096" s="19"/>
      <c r="N1096" s="13"/>
      <c r="O1096" s="19"/>
      <c r="P1096" s="13"/>
      <c r="Q1096" s="35"/>
      <c r="R1096" s="35"/>
      <c r="S1096" s="35"/>
      <c r="T1096" s="1"/>
      <c r="U1096" s="1"/>
      <c r="V1096" s="1"/>
    </row>
    <row r="1097" ht="15.75" customHeight="1">
      <c r="A1097" s="13"/>
      <c r="B1097" s="13"/>
      <c r="C1097" s="13" t="s">
        <v>720</v>
      </c>
      <c r="D1097" s="70" t="s">
        <v>24</v>
      </c>
      <c r="E1097" s="15"/>
      <c r="F1097" s="16">
        <v>2.0</v>
      </c>
      <c r="G1097" s="17">
        <v>150.0</v>
      </c>
      <c r="H1097" s="17">
        <f t="shared" si="27"/>
        <v>300</v>
      </c>
      <c r="I1097" s="18"/>
      <c r="J1097" s="18"/>
      <c r="K1097" s="13"/>
      <c r="L1097" s="63"/>
      <c r="M1097" s="63"/>
      <c r="N1097" s="63"/>
      <c r="O1097" s="63"/>
      <c r="P1097" s="63"/>
      <c r="Q1097" s="35"/>
      <c r="R1097" s="35"/>
      <c r="S1097" s="35"/>
      <c r="T1097" s="1"/>
      <c r="U1097" s="1"/>
      <c r="V1097" s="1"/>
    </row>
    <row r="1098" ht="15.75" customHeight="1">
      <c r="A1098" s="13"/>
      <c r="B1098" s="13" t="s">
        <v>18</v>
      </c>
      <c r="C1098" s="13" t="s">
        <v>721</v>
      </c>
      <c r="D1098" s="66" t="s">
        <v>22</v>
      </c>
      <c r="E1098" s="33" t="s">
        <v>977</v>
      </c>
      <c r="F1098" s="16">
        <v>1.0</v>
      </c>
      <c r="G1098" s="34">
        <v>25.0</v>
      </c>
      <c r="H1098" s="17">
        <f t="shared" si="27"/>
        <v>25</v>
      </c>
      <c r="I1098" s="18"/>
      <c r="J1098" s="18"/>
      <c r="K1098" s="13"/>
      <c r="L1098" s="13"/>
      <c r="M1098" s="13"/>
      <c r="N1098" s="13"/>
      <c r="O1098" s="13"/>
      <c r="P1098" s="13"/>
      <c r="Q1098" s="35"/>
      <c r="R1098" s="35"/>
      <c r="S1098" s="35"/>
      <c r="T1098" s="1"/>
      <c r="U1098" s="1"/>
      <c r="V1098" s="1"/>
    </row>
    <row r="1099" ht="15.75" customHeight="1">
      <c r="A1099" s="13"/>
      <c r="B1099" s="13" t="s">
        <v>18</v>
      </c>
      <c r="C1099" s="13" t="s">
        <v>721</v>
      </c>
      <c r="D1099" s="66" t="s">
        <v>22</v>
      </c>
      <c r="E1099" s="33" t="s">
        <v>978</v>
      </c>
      <c r="F1099" s="16">
        <v>1.0</v>
      </c>
      <c r="G1099" s="34">
        <v>31.2</v>
      </c>
      <c r="H1099" s="17">
        <f t="shared" si="27"/>
        <v>31.2</v>
      </c>
      <c r="I1099" s="18"/>
      <c r="J1099" s="18"/>
      <c r="K1099" s="13"/>
      <c r="L1099" s="13"/>
      <c r="M1099" s="13"/>
      <c r="N1099" s="13"/>
      <c r="O1099" s="13"/>
      <c r="P1099" s="13"/>
      <c r="Q1099" s="35"/>
      <c r="R1099" s="35"/>
      <c r="S1099" s="35"/>
      <c r="T1099" s="1"/>
      <c r="U1099" s="1"/>
      <c r="V1099" s="1"/>
    </row>
    <row r="1100" ht="15.75" hidden="1" customHeight="1">
      <c r="A1100" s="13"/>
      <c r="B1100" s="13"/>
      <c r="C1100" s="13" t="s">
        <v>724</v>
      </c>
      <c r="D1100" s="66" t="s">
        <v>22</v>
      </c>
      <c r="E1100" s="15"/>
      <c r="F1100" s="16">
        <v>0.0</v>
      </c>
      <c r="G1100" s="17">
        <v>100.0</v>
      </c>
      <c r="H1100" s="17">
        <f t="shared" si="27"/>
        <v>0</v>
      </c>
      <c r="I1100" s="18"/>
      <c r="J1100" s="18"/>
      <c r="K1100" s="13"/>
      <c r="L1100" s="63"/>
      <c r="M1100" s="63"/>
      <c r="N1100" s="63"/>
      <c r="O1100" s="63"/>
      <c r="P1100" s="63"/>
      <c r="Q1100" s="35"/>
      <c r="R1100" s="35"/>
      <c r="S1100" s="35"/>
      <c r="T1100" s="1"/>
      <c r="U1100" s="1"/>
      <c r="V1100" s="1"/>
    </row>
    <row r="1101" ht="15.75" hidden="1" customHeight="1">
      <c r="A1101" s="13"/>
      <c r="B1101" s="13"/>
      <c r="C1101" s="13" t="s">
        <v>67</v>
      </c>
      <c r="D1101" s="70" t="s">
        <v>24</v>
      </c>
      <c r="E1101" s="15"/>
      <c r="F1101" s="16">
        <v>0.0</v>
      </c>
      <c r="G1101" s="17">
        <v>17.0</v>
      </c>
      <c r="H1101" s="17">
        <f t="shared" si="27"/>
        <v>0</v>
      </c>
      <c r="I1101" s="18"/>
      <c r="J1101" s="18"/>
      <c r="K1101" s="13"/>
      <c r="L1101" s="63"/>
      <c r="M1101" s="63"/>
      <c r="N1101" s="63"/>
      <c r="O1101" s="63"/>
      <c r="P1101" s="63"/>
      <c r="Q1101" s="35"/>
      <c r="R1101" s="35"/>
      <c r="S1101" s="35"/>
      <c r="T1101" s="1"/>
      <c r="U1101" s="1"/>
      <c r="V1101" s="1"/>
    </row>
    <row r="1102" ht="15.75" hidden="1" customHeight="1">
      <c r="A1102" s="13"/>
      <c r="B1102" s="13" t="s">
        <v>574</v>
      </c>
      <c r="C1102" s="13" t="s">
        <v>725</v>
      </c>
      <c r="D1102" s="150" t="s">
        <v>22</v>
      </c>
      <c r="E1102" s="52"/>
      <c r="F1102" s="215">
        <v>0.0</v>
      </c>
      <c r="G1102" s="50">
        <v>200.0</v>
      </c>
      <c r="H1102" s="50">
        <f t="shared" si="27"/>
        <v>0</v>
      </c>
      <c r="I1102" s="50"/>
      <c r="J1102" s="18"/>
      <c r="K1102" s="13"/>
      <c r="L1102" s="63"/>
      <c r="M1102" s="63"/>
      <c r="N1102" s="63"/>
      <c r="O1102" s="63"/>
      <c r="P1102" s="63"/>
      <c r="Q1102" s="35"/>
      <c r="R1102" s="35"/>
      <c r="S1102" s="35"/>
      <c r="T1102" s="1"/>
      <c r="U1102" s="1"/>
      <c r="V1102" s="1"/>
    </row>
    <row r="1103" ht="15.75" customHeight="1">
      <c r="A1103" s="13"/>
      <c r="B1103" s="302"/>
      <c r="C1103" s="303" t="s">
        <v>726</v>
      </c>
      <c r="D1103" s="304" t="s">
        <v>22</v>
      </c>
      <c r="E1103" s="302"/>
      <c r="F1103" s="305">
        <v>1.0</v>
      </c>
      <c r="G1103" s="306">
        <v>10500.0</v>
      </c>
      <c r="H1103" s="307">
        <f t="shared" si="27"/>
        <v>10500</v>
      </c>
      <c r="I1103" s="50"/>
      <c r="J1103" s="51"/>
      <c r="K1103" s="52"/>
      <c r="L1103" s="308"/>
      <c r="M1103" s="308"/>
      <c r="N1103" s="308"/>
      <c r="O1103" s="308"/>
      <c r="P1103" s="308"/>
      <c r="Q1103" s="35"/>
      <c r="R1103" s="35"/>
      <c r="S1103" s="35"/>
      <c r="T1103" s="1"/>
      <c r="U1103" s="1"/>
      <c r="V1103" s="1"/>
    </row>
    <row r="1104" ht="15.75" customHeight="1">
      <c r="A1104" s="13"/>
      <c r="B1104" s="52"/>
      <c r="C1104" s="44" t="s">
        <v>727</v>
      </c>
      <c r="D1104" s="150" t="s">
        <v>22</v>
      </c>
      <c r="E1104" s="52"/>
      <c r="F1104" s="215">
        <v>1.0</v>
      </c>
      <c r="G1104" s="49">
        <v>9000.0</v>
      </c>
      <c r="H1104" s="50">
        <f t="shared" si="27"/>
        <v>9000</v>
      </c>
      <c r="I1104" s="50"/>
      <c r="J1104" s="51"/>
      <c r="K1104" s="44"/>
      <c r="L1104" s="308"/>
      <c r="M1104" s="308"/>
      <c r="N1104" s="308"/>
      <c r="O1104" s="308"/>
      <c r="P1104" s="308"/>
      <c r="Q1104" s="35"/>
      <c r="R1104" s="35"/>
      <c r="S1104" s="35"/>
      <c r="T1104" s="1"/>
      <c r="U1104" s="1"/>
      <c r="V1104" s="1"/>
    </row>
    <row r="1105" ht="32.25" customHeight="1">
      <c r="A1105" s="83"/>
      <c r="B1105" s="309" t="s">
        <v>728</v>
      </c>
      <c r="C1105" s="255">
        <f>SUM(H1106:H1188)</f>
        <v>22419.29</v>
      </c>
      <c r="D1105" s="256"/>
      <c r="E1105" s="256"/>
      <c r="F1105" s="256"/>
      <c r="G1105" s="257"/>
      <c r="H1105" s="257"/>
      <c r="I1105" s="257"/>
      <c r="J1105" s="257"/>
      <c r="K1105" s="256"/>
      <c r="L1105" s="256"/>
      <c r="M1105" s="256"/>
      <c r="N1105" s="256"/>
      <c r="O1105" s="256"/>
      <c r="P1105" s="256"/>
      <c r="Q1105" s="1"/>
      <c r="R1105" s="1"/>
      <c r="S1105" s="1"/>
      <c r="T1105" s="1"/>
      <c r="U1105" s="1"/>
      <c r="V1105" s="1"/>
    </row>
    <row r="1106" ht="15.75" hidden="1" customHeight="1">
      <c r="A1106" s="206"/>
      <c r="B1106" s="54" t="s">
        <v>320</v>
      </c>
      <c r="C1106" s="54" t="s">
        <v>729</v>
      </c>
      <c r="D1106" s="198" t="s">
        <v>22</v>
      </c>
      <c r="E1106" s="54"/>
      <c r="F1106" s="56">
        <v>0.0</v>
      </c>
      <c r="G1106" s="57">
        <v>50.0</v>
      </c>
      <c r="H1106" s="57">
        <f t="shared" ref="H1106:H1184" si="28">SUM(F1106*G1106)</f>
        <v>0</v>
      </c>
      <c r="I1106" s="58"/>
      <c r="J1106" s="58"/>
      <c r="K1106" s="54"/>
      <c r="L1106" s="54"/>
      <c r="M1106" s="54"/>
      <c r="N1106" s="54"/>
      <c r="O1106" s="54"/>
      <c r="P1106" s="54"/>
      <c r="Q1106" s="1"/>
      <c r="R1106" s="1"/>
      <c r="S1106" s="1"/>
      <c r="T1106" s="1"/>
      <c r="U1106" s="1"/>
      <c r="V1106" s="1"/>
    </row>
    <row r="1107" ht="15.75" hidden="1" customHeight="1">
      <c r="A1107" s="206"/>
      <c r="B1107" s="258" t="s">
        <v>234</v>
      </c>
      <c r="C1107" s="258" t="s">
        <v>730</v>
      </c>
      <c r="D1107" s="198" t="s">
        <v>22</v>
      </c>
      <c r="E1107" s="258" t="s">
        <v>731</v>
      </c>
      <c r="F1107" s="158">
        <v>0.0</v>
      </c>
      <c r="G1107" s="159">
        <v>2430.0</v>
      </c>
      <c r="H1107" s="57">
        <f t="shared" si="28"/>
        <v>0</v>
      </c>
      <c r="I1107" s="58"/>
      <c r="J1107" s="58"/>
      <c r="K1107" s="54"/>
      <c r="L1107" s="54"/>
      <c r="M1107" s="54"/>
      <c r="N1107" s="54"/>
      <c r="O1107" s="54"/>
      <c r="P1107" s="54"/>
      <c r="Q1107" s="1"/>
      <c r="R1107" s="1"/>
      <c r="S1107" s="1"/>
      <c r="T1107" s="1"/>
      <c r="U1107" s="1"/>
      <c r="V1107" s="1"/>
    </row>
    <row r="1108" ht="15.75" customHeight="1">
      <c r="A1108" s="206"/>
      <c r="B1108" s="258" t="s">
        <v>18</v>
      </c>
      <c r="C1108" s="258" t="s">
        <v>979</v>
      </c>
      <c r="D1108" s="198" t="s">
        <v>22</v>
      </c>
      <c r="E1108" s="157" t="s">
        <v>980</v>
      </c>
      <c r="F1108" s="158">
        <v>1.0</v>
      </c>
      <c r="G1108" s="159">
        <v>250.0</v>
      </c>
      <c r="H1108" s="57">
        <f t="shared" si="28"/>
        <v>250</v>
      </c>
      <c r="I1108" s="58"/>
      <c r="J1108" s="58"/>
      <c r="K1108" s="54"/>
      <c r="L1108" s="54"/>
      <c r="M1108" s="54"/>
      <c r="N1108" s="54"/>
      <c r="O1108" s="54"/>
      <c r="P1108" s="54"/>
      <c r="Q1108" s="1"/>
      <c r="R1108" s="1"/>
      <c r="S1108" s="1"/>
      <c r="T1108" s="1"/>
      <c r="U1108" s="1"/>
      <c r="V1108" s="1"/>
    </row>
    <row r="1109" ht="15.75" customHeight="1">
      <c r="A1109" s="206"/>
      <c r="B1109" s="54" t="s">
        <v>876</v>
      </c>
      <c r="C1109" s="54" t="s">
        <v>877</v>
      </c>
      <c r="D1109" s="198" t="s">
        <v>22</v>
      </c>
      <c r="E1109" s="201" t="s">
        <v>878</v>
      </c>
      <c r="F1109" s="158">
        <v>2.0</v>
      </c>
      <c r="G1109" s="159">
        <v>67.2</v>
      </c>
      <c r="H1109" s="57">
        <f t="shared" si="28"/>
        <v>134.4</v>
      </c>
      <c r="I1109" s="57"/>
      <c r="J1109" s="58"/>
      <c r="K1109" s="54"/>
      <c r="L1109" s="54"/>
      <c r="M1109" s="54"/>
      <c r="N1109" s="54"/>
      <c r="O1109" s="54"/>
      <c r="P1109" s="54"/>
      <c r="Q1109" s="1"/>
      <c r="R1109" s="1"/>
      <c r="S1109" s="1"/>
      <c r="T1109" s="1"/>
      <c r="U1109" s="1"/>
      <c r="V1109" s="1"/>
    </row>
    <row r="1110" ht="15.75" hidden="1" customHeight="1">
      <c r="A1110" s="206"/>
      <c r="B1110" s="54" t="s">
        <v>18</v>
      </c>
      <c r="C1110" s="54" t="s">
        <v>736</v>
      </c>
      <c r="D1110" s="198" t="s">
        <v>22</v>
      </c>
      <c r="E1110" s="205" t="s">
        <v>737</v>
      </c>
      <c r="F1110" s="158">
        <v>0.0</v>
      </c>
      <c r="G1110" s="57">
        <v>70.0</v>
      </c>
      <c r="H1110" s="57">
        <f t="shared" si="28"/>
        <v>0</v>
      </c>
      <c r="I1110" s="57"/>
      <c r="J1110" s="58"/>
      <c r="K1110" s="54"/>
      <c r="L1110" s="54"/>
      <c r="M1110" s="54"/>
      <c r="N1110" s="54"/>
      <c r="O1110" s="54"/>
      <c r="P1110" s="54"/>
      <c r="Q1110" s="1"/>
      <c r="R1110" s="1"/>
      <c r="S1110" s="1"/>
      <c r="T1110" s="1"/>
      <c r="U1110" s="1"/>
      <c r="V1110" s="1"/>
    </row>
    <row r="1111" ht="15.75" hidden="1" customHeight="1">
      <c r="A1111" s="206"/>
      <c r="B1111" s="13" t="s">
        <v>18</v>
      </c>
      <c r="C1111" s="52" t="s">
        <v>738</v>
      </c>
      <c r="D1111" s="150" t="s">
        <v>22</v>
      </c>
      <c r="E1111" s="310" t="s">
        <v>739</v>
      </c>
      <c r="F1111" s="215">
        <v>0.0</v>
      </c>
      <c r="G1111" s="50">
        <v>130.0</v>
      </c>
      <c r="H1111" s="57">
        <f t="shared" si="28"/>
        <v>0</v>
      </c>
      <c r="I1111" s="57"/>
      <c r="J1111" s="58"/>
      <c r="K1111" s="54"/>
      <c r="L1111" s="54"/>
      <c r="M1111" s="54"/>
      <c r="N1111" s="54"/>
      <c r="O1111" s="54"/>
      <c r="P1111" s="54"/>
      <c r="Q1111" s="1"/>
      <c r="R1111" s="1"/>
      <c r="S1111" s="1"/>
      <c r="T1111" s="1"/>
      <c r="U1111" s="1"/>
      <c r="V1111" s="1"/>
    </row>
    <row r="1112" ht="15.75" customHeight="1">
      <c r="A1112" s="206"/>
      <c r="B1112" s="206" t="s">
        <v>18</v>
      </c>
      <c r="C1112" s="258" t="s">
        <v>740</v>
      </c>
      <c r="D1112" s="150" t="s">
        <v>22</v>
      </c>
      <c r="E1112" s="260" t="s">
        <v>741</v>
      </c>
      <c r="F1112" s="48">
        <v>1.0</v>
      </c>
      <c r="G1112" s="49">
        <v>156.0</v>
      </c>
      <c r="H1112" s="50">
        <f t="shared" si="28"/>
        <v>156</v>
      </c>
      <c r="I1112" s="57"/>
      <c r="J1112" s="58"/>
      <c r="K1112" s="54"/>
      <c r="L1112" s="54"/>
      <c r="M1112" s="54"/>
      <c r="N1112" s="54"/>
      <c r="O1112" s="54"/>
      <c r="P1112" s="54"/>
      <c r="Q1112" s="1"/>
      <c r="R1112" s="1"/>
      <c r="S1112" s="1"/>
      <c r="T1112" s="1"/>
      <c r="U1112" s="1"/>
      <c r="V1112" s="1"/>
    </row>
    <row r="1113" ht="15.75" customHeight="1">
      <c r="A1113" s="206"/>
      <c r="B1113" s="156" t="s">
        <v>88</v>
      </c>
      <c r="C1113" s="258" t="s">
        <v>546</v>
      </c>
      <c r="D1113" s="198" t="s">
        <v>22</v>
      </c>
      <c r="E1113" s="261" t="s">
        <v>547</v>
      </c>
      <c r="F1113" s="56">
        <v>1.0</v>
      </c>
      <c r="G1113" s="159">
        <v>258.0</v>
      </c>
      <c r="H1113" s="57">
        <f t="shared" si="28"/>
        <v>258</v>
      </c>
      <c r="I1113" s="57"/>
      <c r="J1113" s="58"/>
      <c r="K1113" s="54"/>
      <c r="L1113" s="54"/>
      <c r="M1113" s="54"/>
      <c r="N1113" s="54"/>
      <c r="O1113" s="54"/>
      <c r="P1113" s="54"/>
      <c r="Q1113" s="1"/>
      <c r="R1113" s="1"/>
      <c r="S1113" s="1"/>
      <c r="T1113" s="1"/>
      <c r="U1113" s="1"/>
      <c r="V1113" s="1"/>
    </row>
    <row r="1114" ht="15.75" customHeight="1">
      <c r="A1114" s="206"/>
      <c r="B1114" s="206" t="s">
        <v>18</v>
      </c>
      <c r="C1114" s="54" t="s">
        <v>742</v>
      </c>
      <c r="D1114" s="198" t="s">
        <v>22</v>
      </c>
      <c r="E1114" s="155" t="s">
        <v>636</v>
      </c>
      <c r="F1114" s="158">
        <v>1.0</v>
      </c>
      <c r="G1114" s="57">
        <v>16.0</v>
      </c>
      <c r="H1114" s="57">
        <f t="shared" si="28"/>
        <v>16</v>
      </c>
      <c r="I1114" s="57"/>
      <c r="J1114" s="58"/>
      <c r="K1114" s="54"/>
      <c r="L1114" s="54"/>
      <c r="M1114" s="54"/>
      <c r="N1114" s="54"/>
      <c r="O1114" s="54"/>
      <c r="P1114" s="54"/>
      <c r="Q1114" s="1"/>
      <c r="R1114" s="1"/>
      <c r="S1114" s="1"/>
      <c r="T1114" s="1"/>
      <c r="U1114" s="1"/>
      <c r="V1114" s="1"/>
    </row>
    <row r="1115" ht="15.75" customHeight="1">
      <c r="A1115" s="206"/>
      <c r="B1115" s="54" t="s">
        <v>18</v>
      </c>
      <c r="C1115" s="258" t="s">
        <v>743</v>
      </c>
      <c r="D1115" s="198" t="s">
        <v>22</v>
      </c>
      <c r="E1115" s="311" t="s">
        <v>981</v>
      </c>
      <c r="F1115" s="158">
        <v>2.0</v>
      </c>
      <c r="G1115" s="159">
        <v>173.0</v>
      </c>
      <c r="H1115" s="57">
        <f t="shared" si="28"/>
        <v>346</v>
      </c>
      <c r="I1115" s="57"/>
      <c r="J1115" s="58"/>
      <c r="K1115" s="54"/>
      <c r="L1115" s="54"/>
      <c r="M1115" s="54"/>
      <c r="N1115" s="54"/>
      <c r="O1115" s="54"/>
      <c r="P1115" s="54"/>
      <c r="Q1115" s="1"/>
      <c r="R1115" s="1"/>
      <c r="S1115" s="1"/>
      <c r="T1115" s="1"/>
      <c r="U1115" s="1"/>
      <c r="V1115" s="1"/>
    </row>
    <row r="1116" ht="15.75" customHeight="1">
      <c r="A1116" s="206"/>
      <c r="B1116" s="258" t="s">
        <v>18</v>
      </c>
      <c r="C1116" s="258" t="s">
        <v>982</v>
      </c>
      <c r="D1116" s="198" t="s">
        <v>22</v>
      </c>
      <c r="E1116" s="311" t="s">
        <v>983</v>
      </c>
      <c r="F1116" s="158">
        <v>1.0</v>
      </c>
      <c r="G1116" s="159">
        <v>120.0</v>
      </c>
      <c r="H1116" s="57">
        <f t="shared" si="28"/>
        <v>120</v>
      </c>
      <c r="I1116" s="57"/>
      <c r="J1116" s="58"/>
      <c r="K1116" s="54"/>
      <c r="L1116" s="54"/>
      <c r="M1116" s="54"/>
      <c r="N1116" s="54"/>
      <c r="O1116" s="54"/>
      <c r="P1116" s="54"/>
      <c r="Q1116" s="1"/>
      <c r="R1116" s="1"/>
      <c r="S1116" s="1"/>
      <c r="T1116" s="1"/>
      <c r="U1116" s="1"/>
      <c r="V1116" s="1"/>
    </row>
    <row r="1117" ht="15.75" customHeight="1">
      <c r="A1117" s="206"/>
      <c r="B1117" s="258"/>
      <c r="C1117" s="258" t="s">
        <v>747</v>
      </c>
      <c r="D1117" s="198" t="s">
        <v>22</v>
      </c>
      <c r="E1117" s="311" t="s">
        <v>984</v>
      </c>
      <c r="F1117" s="158">
        <v>1.0</v>
      </c>
      <c r="G1117" s="159">
        <v>168.0</v>
      </c>
      <c r="H1117" s="57">
        <f t="shared" si="28"/>
        <v>168</v>
      </c>
      <c r="I1117" s="57"/>
      <c r="J1117" s="58"/>
      <c r="K1117" s="54"/>
      <c r="L1117" s="54"/>
      <c r="M1117" s="54"/>
      <c r="N1117" s="54"/>
      <c r="O1117" s="54"/>
      <c r="P1117" s="54"/>
      <c r="Q1117" s="1"/>
      <c r="R1117" s="1"/>
      <c r="S1117" s="1"/>
      <c r="T1117" s="1"/>
      <c r="U1117" s="1"/>
      <c r="V1117" s="1"/>
    </row>
    <row r="1118" ht="15.75" customHeight="1">
      <c r="A1118" s="206"/>
      <c r="B1118" s="258" t="s">
        <v>18</v>
      </c>
      <c r="C1118" s="54" t="s">
        <v>749</v>
      </c>
      <c r="D1118" s="198" t="s">
        <v>22</v>
      </c>
      <c r="E1118" s="261" t="s">
        <v>985</v>
      </c>
      <c r="F1118" s="158">
        <v>3.0</v>
      </c>
      <c r="G1118" s="159">
        <v>60.0</v>
      </c>
      <c r="H1118" s="57">
        <f t="shared" si="28"/>
        <v>180</v>
      </c>
      <c r="I1118" s="57"/>
      <c r="J1118" s="58"/>
      <c r="K1118" s="54"/>
      <c r="L1118" s="54"/>
      <c r="M1118" s="54"/>
      <c r="N1118" s="54"/>
      <c r="O1118" s="54"/>
      <c r="P1118" s="54"/>
      <c r="Q1118" s="1"/>
      <c r="R1118" s="1"/>
      <c r="S1118" s="1"/>
      <c r="T1118" s="1"/>
      <c r="U1118" s="1"/>
      <c r="V1118" s="1"/>
    </row>
    <row r="1119" ht="15.75" hidden="1" customHeight="1">
      <c r="A1119" s="206"/>
      <c r="B1119" s="54" t="s">
        <v>751</v>
      </c>
      <c r="C1119" s="54" t="s">
        <v>752</v>
      </c>
      <c r="D1119" s="198" t="s">
        <v>22</v>
      </c>
      <c r="E1119" s="291" t="s">
        <v>753</v>
      </c>
      <c r="F1119" s="158">
        <v>0.0</v>
      </c>
      <c r="G1119" s="57">
        <v>750.0</v>
      </c>
      <c r="H1119" s="57">
        <f t="shared" si="28"/>
        <v>0</v>
      </c>
      <c r="I1119" s="57"/>
      <c r="J1119" s="58"/>
      <c r="K1119" s="54"/>
      <c r="L1119" s="54"/>
      <c r="M1119" s="54"/>
      <c r="N1119" s="54"/>
      <c r="O1119" s="54"/>
      <c r="P1119" s="54"/>
      <c r="Q1119" s="1"/>
      <c r="R1119" s="1"/>
      <c r="S1119" s="1"/>
      <c r="T1119" s="1"/>
      <c r="U1119" s="1"/>
      <c r="V1119" s="1"/>
    </row>
    <row r="1120" ht="15.75" customHeight="1">
      <c r="A1120" s="206"/>
      <c r="B1120" s="54"/>
      <c r="C1120" s="54" t="s">
        <v>258</v>
      </c>
      <c r="D1120" s="198" t="s">
        <v>22</v>
      </c>
      <c r="E1120" s="208"/>
      <c r="F1120" s="56">
        <v>1.0</v>
      </c>
      <c r="G1120" s="159">
        <v>500.0</v>
      </c>
      <c r="H1120" s="57">
        <f t="shared" si="28"/>
        <v>500</v>
      </c>
      <c r="I1120" s="57"/>
      <c r="J1120" s="58"/>
      <c r="K1120" s="54"/>
      <c r="L1120" s="54"/>
      <c r="M1120" s="54"/>
      <c r="N1120" s="54"/>
      <c r="O1120" s="54"/>
      <c r="P1120" s="54"/>
      <c r="Q1120" s="1"/>
      <c r="R1120" s="1"/>
      <c r="S1120" s="1"/>
      <c r="T1120" s="1"/>
      <c r="U1120" s="1"/>
      <c r="V1120" s="1"/>
    </row>
    <row r="1121" ht="15.75" hidden="1" customHeight="1">
      <c r="A1121" s="206"/>
      <c r="B1121" s="54" t="s">
        <v>754</v>
      </c>
      <c r="C1121" s="54" t="s">
        <v>542</v>
      </c>
      <c r="D1121" s="198" t="s">
        <v>22</v>
      </c>
      <c r="E1121" s="201" t="s">
        <v>755</v>
      </c>
      <c r="F1121" s="56">
        <v>0.0</v>
      </c>
      <c r="G1121" s="57">
        <v>700.0</v>
      </c>
      <c r="H1121" s="57">
        <f t="shared" si="28"/>
        <v>0</v>
      </c>
      <c r="I1121" s="57"/>
      <c r="J1121" s="58"/>
      <c r="K1121" s="54"/>
      <c r="L1121" s="54"/>
      <c r="M1121" s="54"/>
      <c r="N1121" s="54"/>
      <c r="O1121" s="54"/>
      <c r="P1121" s="54"/>
      <c r="Q1121" s="1"/>
      <c r="R1121" s="1"/>
      <c r="S1121" s="1"/>
      <c r="T1121" s="1"/>
      <c r="U1121" s="1"/>
      <c r="V1121" s="1"/>
    </row>
    <row r="1122" ht="15.75" hidden="1" customHeight="1">
      <c r="A1122" s="206"/>
      <c r="B1122" s="54" t="s">
        <v>18</v>
      </c>
      <c r="C1122" s="54" t="s">
        <v>756</v>
      </c>
      <c r="D1122" s="198" t="s">
        <v>22</v>
      </c>
      <c r="E1122" s="157" t="s">
        <v>757</v>
      </c>
      <c r="F1122" s="158">
        <v>0.0</v>
      </c>
      <c r="G1122" s="159">
        <v>1070.0</v>
      </c>
      <c r="H1122" s="57">
        <f t="shared" si="28"/>
        <v>0</v>
      </c>
      <c r="I1122" s="57"/>
      <c r="J1122" s="58"/>
      <c r="K1122" s="54"/>
      <c r="L1122" s="54"/>
      <c r="M1122" s="54"/>
      <c r="N1122" s="54"/>
      <c r="O1122" s="54"/>
      <c r="P1122" s="54"/>
      <c r="Q1122" s="1"/>
      <c r="R1122" s="1"/>
      <c r="S1122" s="1"/>
      <c r="T1122" s="1"/>
      <c r="U1122" s="1"/>
      <c r="V1122" s="1"/>
    </row>
    <row r="1123" ht="15.75" hidden="1" customHeight="1">
      <c r="A1123" s="206"/>
      <c r="B1123" s="258" t="s">
        <v>18</v>
      </c>
      <c r="C1123" s="258" t="s">
        <v>758</v>
      </c>
      <c r="D1123" s="198" t="s">
        <v>22</v>
      </c>
      <c r="E1123" s="157" t="s">
        <v>759</v>
      </c>
      <c r="F1123" s="158">
        <v>0.0</v>
      </c>
      <c r="G1123" s="159">
        <v>630.0</v>
      </c>
      <c r="H1123" s="57">
        <f t="shared" si="28"/>
        <v>0</v>
      </c>
      <c r="I1123" s="57"/>
      <c r="J1123" s="58"/>
      <c r="K1123" s="54"/>
      <c r="L1123" s="54"/>
      <c r="M1123" s="54"/>
      <c r="N1123" s="54"/>
      <c r="O1123" s="54"/>
      <c r="P1123" s="54"/>
      <c r="Q1123" s="1"/>
      <c r="R1123" s="1"/>
      <c r="S1123" s="1"/>
      <c r="T1123" s="1"/>
      <c r="U1123" s="1"/>
      <c r="V1123" s="1"/>
    </row>
    <row r="1124" ht="15.75" hidden="1" customHeight="1">
      <c r="A1124" s="206"/>
      <c r="B1124" s="258"/>
      <c r="C1124" s="258" t="s">
        <v>760</v>
      </c>
      <c r="D1124" s="198" t="s">
        <v>22</v>
      </c>
      <c r="E1124" s="160"/>
      <c r="F1124" s="158">
        <v>0.0</v>
      </c>
      <c r="G1124" s="159">
        <v>0.0</v>
      </c>
      <c r="H1124" s="57">
        <f t="shared" si="28"/>
        <v>0</v>
      </c>
      <c r="I1124" s="57"/>
      <c r="J1124" s="58"/>
      <c r="K1124" s="54"/>
      <c r="L1124" s="54"/>
      <c r="M1124" s="54"/>
      <c r="N1124" s="54"/>
      <c r="O1124" s="54"/>
      <c r="P1124" s="54"/>
      <c r="Q1124" s="1"/>
      <c r="R1124" s="1"/>
      <c r="S1124" s="1"/>
      <c r="T1124" s="1"/>
      <c r="U1124" s="1"/>
      <c r="V1124" s="1"/>
    </row>
    <row r="1125" ht="15.75" customHeight="1">
      <c r="A1125" s="206"/>
      <c r="B1125" s="258" t="s">
        <v>264</v>
      </c>
      <c r="C1125" s="258" t="s">
        <v>761</v>
      </c>
      <c r="D1125" s="101" t="s">
        <v>32</v>
      </c>
      <c r="E1125" s="160">
        <v>100951.0</v>
      </c>
      <c r="F1125" s="158">
        <v>1.0</v>
      </c>
      <c r="G1125" s="159">
        <v>630.0</v>
      </c>
      <c r="H1125" s="57">
        <f t="shared" si="28"/>
        <v>630</v>
      </c>
      <c r="I1125" s="57"/>
      <c r="J1125" s="58"/>
      <c r="K1125" s="54"/>
      <c r="L1125" s="54"/>
      <c r="M1125" s="54"/>
      <c r="N1125" s="54"/>
      <c r="O1125" s="54"/>
      <c r="P1125" s="54"/>
      <c r="Q1125" s="1"/>
      <c r="R1125" s="1"/>
      <c r="S1125" s="1"/>
      <c r="T1125" s="1"/>
      <c r="U1125" s="1"/>
      <c r="V1125" s="1"/>
    </row>
    <row r="1126" ht="15.75" customHeight="1">
      <c r="A1126" s="206"/>
      <c r="B1126" s="258" t="s">
        <v>234</v>
      </c>
      <c r="C1126" s="258" t="s">
        <v>762</v>
      </c>
      <c r="D1126" s="101" t="s">
        <v>32</v>
      </c>
      <c r="E1126" s="160" t="s">
        <v>763</v>
      </c>
      <c r="F1126" s="158">
        <v>1.0</v>
      </c>
      <c r="G1126" s="159">
        <v>115.9</v>
      </c>
      <c r="H1126" s="57">
        <f t="shared" si="28"/>
        <v>115.9</v>
      </c>
      <c r="I1126" s="57"/>
      <c r="J1126" s="58"/>
      <c r="K1126" s="54"/>
      <c r="L1126" s="54"/>
      <c r="M1126" s="54"/>
      <c r="N1126" s="54"/>
      <c r="O1126" s="54"/>
      <c r="P1126" s="54"/>
      <c r="Q1126" s="1"/>
      <c r="R1126" s="1"/>
      <c r="S1126" s="1"/>
      <c r="T1126" s="1"/>
      <c r="U1126" s="1"/>
      <c r="V1126" s="1"/>
    </row>
    <row r="1127" ht="15.75" hidden="1" customHeight="1">
      <c r="A1127" s="206"/>
      <c r="B1127" s="54" t="s">
        <v>18</v>
      </c>
      <c r="C1127" s="54" t="s">
        <v>765</v>
      </c>
      <c r="D1127" s="198" t="s">
        <v>22</v>
      </c>
      <c r="E1127" s="201" t="s">
        <v>766</v>
      </c>
      <c r="F1127" s="158">
        <v>0.0</v>
      </c>
      <c r="G1127" s="57">
        <v>635.0</v>
      </c>
      <c r="H1127" s="57">
        <f t="shared" si="28"/>
        <v>0</v>
      </c>
      <c r="I1127" s="57"/>
      <c r="J1127" s="58"/>
      <c r="K1127" s="54"/>
      <c r="L1127" s="54"/>
      <c r="M1127" s="54"/>
      <c r="N1127" s="54"/>
      <c r="O1127" s="54"/>
      <c r="P1127" s="54"/>
      <c r="Q1127" s="1"/>
      <c r="R1127" s="1"/>
      <c r="S1127" s="1"/>
      <c r="T1127" s="1"/>
      <c r="U1127" s="1"/>
      <c r="V1127" s="1"/>
    </row>
    <row r="1128" ht="15.75" customHeight="1">
      <c r="A1128" s="206"/>
      <c r="B1128" s="54" t="s">
        <v>18</v>
      </c>
      <c r="C1128" s="54" t="s">
        <v>767</v>
      </c>
      <c r="D1128" s="198" t="s">
        <v>22</v>
      </c>
      <c r="E1128" s="201" t="s">
        <v>768</v>
      </c>
      <c r="F1128" s="56">
        <v>1.0</v>
      </c>
      <c r="G1128" s="159">
        <v>564.0</v>
      </c>
      <c r="H1128" s="57">
        <f t="shared" si="28"/>
        <v>564</v>
      </c>
      <c r="I1128" s="57"/>
      <c r="J1128" s="58"/>
      <c r="K1128" s="54"/>
      <c r="L1128" s="54"/>
      <c r="M1128" s="54"/>
      <c r="N1128" s="54"/>
      <c r="O1128" s="54"/>
      <c r="P1128" s="54"/>
      <c r="Q1128" s="1"/>
      <c r="R1128" s="1"/>
      <c r="S1128" s="1"/>
      <c r="T1128" s="1"/>
      <c r="U1128" s="1"/>
      <c r="V1128" s="1"/>
    </row>
    <row r="1129" ht="15.75" hidden="1" customHeight="1">
      <c r="A1129" s="206"/>
      <c r="B1129" s="54"/>
      <c r="C1129" s="54" t="s">
        <v>769</v>
      </c>
      <c r="D1129" s="198" t="s">
        <v>22</v>
      </c>
      <c r="E1129" s="201"/>
      <c r="F1129" s="56">
        <v>0.0</v>
      </c>
      <c r="G1129" s="57">
        <v>687.5</v>
      </c>
      <c r="H1129" s="57">
        <f t="shared" si="28"/>
        <v>0</v>
      </c>
      <c r="I1129" s="57"/>
      <c r="J1129" s="58"/>
      <c r="K1129" s="54"/>
      <c r="L1129" s="54"/>
      <c r="M1129" s="54"/>
      <c r="N1129" s="54"/>
      <c r="O1129" s="54"/>
      <c r="P1129" s="54"/>
      <c r="Q1129" s="1"/>
      <c r="R1129" s="1"/>
      <c r="S1129" s="1"/>
      <c r="T1129" s="1"/>
      <c r="U1129" s="1"/>
      <c r="V1129" s="1"/>
    </row>
    <row r="1130" ht="15.75" hidden="1" customHeight="1">
      <c r="A1130" s="206"/>
      <c r="B1130" s="54" t="s">
        <v>264</v>
      </c>
      <c r="C1130" s="54" t="s">
        <v>770</v>
      </c>
      <c r="D1130" s="198" t="s">
        <v>22</v>
      </c>
      <c r="E1130" s="201">
        <v>603191.0</v>
      </c>
      <c r="F1130" s="158">
        <v>0.0</v>
      </c>
      <c r="G1130" s="57">
        <v>522.0</v>
      </c>
      <c r="H1130" s="57">
        <f t="shared" si="28"/>
        <v>0</v>
      </c>
      <c r="I1130" s="57"/>
      <c r="J1130" s="58"/>
      <c r="K1130" s="54"/>
      <c r="L1130" s="54"/>
      <c r="M1130" s="54"/>
      <c r="N1130" s="54"/>
      <c r="O1130" s="54"/>
      <c r="P1130" s="54"/>
      <c r="Q1130" s="1"/>
      <c r="R1130" s="1"/>
      <c r="S1130" s="1"/>
      <c r="T1130" s="1"/>
      <c r="U1130" s="1"/>
      <c r="V1130" s="1"/>
    </row>
    <row r="1131" ht="15.75" customHeight="1">
      <c r="A1131" s="206"/>
      <c r="B1131" s="54" t="s">
        <v>18</v>
      </c>
      <c r="C1131" s="54" t="s">
        <v>444</v>
      </c>
      <c r="D1131" s="198" t="s">
        <v>22</v>
      </c>
      <c r="E1131" s="205" t="s">
        <v>771</v>
      </c>
      <c r="F1131" s="56">
        <v>1.0</v>
      </c>
      <c r="G1131" s="159">
        <v>480.0</v>
      </c>
      <c r="H1131" s="57">
        <f t="shared" si="28"/>
        <v>480</v>
      </c>
      <c r="I1131" s="57"/>
      <c r="J1131" s="58"/>
      <c r="K1131" s="54"/>
      <c r="L1131" s="54"/>
      <c r="M1131" s="54"/>
      <c r="N1131" s="54"/>
      <c r="O1131" s="54"/>
      <c r="P1131" s="54"/>
      <c r="Q1131" s="1"/>
      <c r="R1131" s="1"/>
      <c r="S1131" s="1"/>
      <c r="T1131" s="1"/>
      <c r="U1131" s="1"/>
      <c r="V1131" s="1"/>
    </row>
    <row r="1132" ht="15.75" hidden="1" customHeight="1">
      <c r="A1132" s="206"/>
      <c r="B1132" s="54" t="s">
        <v>18</v>
      </c>
      <c r="C1132" s="54" t="s">
        <v>772</v>
      </c>
      <c r="D1132" s="198" t="s">
        <v>22</v>
      </c>
      <c r="E1132" s="205" t="s">
        <v>773</v>
      </c>
      <c r="F1132" s="158">
        <v>0.0</v>
      </c>
      <c r="G1132" s="57">
        <v>40.0</v>
      </c>
      <c r="H1132" s="57">
        <f t="shared" si="28"/>
        <v>0</v>
      </c>
      <c r="I1132" s="57"/>
      <c r="J1132" s="58"/>
      <c r="K1132" s="313"/>
      <c r="L1132" s="54"/>
      <c r="M1132" s="54"/>
      <c r="N1132" s="54"/>
      <c r="O1132" s="54"/>
      <c r="P1132" s="54"/>
      <c r="Q1132" s="1"/>
      <c r="R1132" s="1"/>
      <c r="S1132" s="1"/>
      <c r="T1132" s="1"/>
      <c r="U1132" s="1"/>
      <c r="V1132" s="1"/>
    </row>
    <row r="1133" ht="15.75" hidden="1" customHeight="1">
      <c r="A1133" s="206"/>
      <c r="B1133" s="54" t="s">
        <v>320</v>
      </c>
      <c r="C1133" s="54" t="s">
        <v>774</v>
      </c>
      <c r="D1133" s="198" t="s">
        <v>22</v>
      </c>
      <c r="E1133" s="54"/>
      <c r="F1133" s="56">
        <v>0.0</v>
      </c>
      <c r="G1133" s="57">
        <v>320.0</v>
      </c>
      <c r="H1133" s="57">
        <f t="shared" si="28"/>
        <v>0</v>
      </c>
      <c r="I1133" s="57"/>
      <c r="J1133" s="58"/>
      <c r="K1133" s="54"/>
      <c r="L1133" s="54"/>
      <c r="M1133" s="54"/>
      <c r="N1133" s="54"/>
      <c r="O1133" s="54"/>
      <c r="P1133" s="54"/>
      <c r="Q1133" s="1"/>
      <c r="R1133" s="1"/>
      <c r="S1133" s="1"/>
      <c r="T1133" s="1"/>
      <c r="U1133" s="1"/>
      <c r="V1133" s="1"/>
    </row>
    <row r="1134" ht="15.75" customHeight="1">
      <c r="A1134" s="206"/>
      <c r="B1134" s="54" t="s">
        <v>277</v>
      </c>
      <c r="C1134" s="54" t="s">
        <v>775</v>
      </c>
      <c r="D1134" s="198" t="s">
        <v>22</v>
      </c>
      <c r="E1134" s="54"/>
      <c r="F1134" s="56">
        <v>1.0</v>
      </c>
      <c r="G1134" s="57">
        <v>560.0</v>
      </c>
      <c r="H1134" s="57">
        <f t="shared" si="28"/>
        <v>560</v>
      </c>
      <c r="I1134" s="58"/>
      <c r="J1134" s="58"/>
      <c r="K1134" s="54"/>
      <c r="L1134" s="54"/>
      <c r="M1134" s="54"/>
      <c r="N1134" s="54"/>
      <c r="O1134" s="54"/>
      <c r="P1134" s="54"/>
      <c r="Q1134" s="1"/>
      <c r="R1134" s="1"/>
      <c r="S1134" s="1"/>
      <c r="T1134" s="1"/>
      <c r="U1134" s="1"/>
      <c r="V1134" s="1"/>
    </row>
    <row r="1135" ht="15.75" customHeight="1">
      <c r="A1135" s="206"/>
      <c r="B1135" s="43" t="s">
        <v>88</v>
      </c>
      <c r="C1135" s="54" t="s">
        <v>411</v>
      </c>
      <c r="D1135" s="55" t="s">
        <v>20</v>
      </c>
      <c r="E1135" s="171" t="s">
        <v>412</v>
      </c>
      <c r="F1135" s="56">
        <v>1.0</v>
      </c>
      <c r="G1135" s="34">
        <v>334.0</v>
      </c>
      <c r="H1135" s="57">
        <f t="shared" si="28"/>
        <v>334</v>
      </c>
      <c r="I1135" s="57"/>
      <c r="J1135" s="58"/>
      <c r="K1135" s="54"/>
      <c r="L1135" s="54"/>
      <c r="M1135" s="54"/>
      <c r="N1135" s="54"/>
      <c r="O1135" s="54"/>
      <c r="P1135" s="54"/>
      <c r="Q1135" s="1"/>
      <c r="R1135" s="1"/>
      <c r="S1135" s="1"/>
      <c r="T1135" s="1"/>
      <c r="U1135" s="1"/>
      <c r="V1135" s="1"/>
    </row>
    <row r="1136" ht="15.75" hidden="1" customHeight="1">
      <c r="A1136" s="206"/>
      <c r="B1136" s="54" t="s">
        <v>277</v>
      </c>
      <c r="C1136" s="54" t="s">
        <v>776</v>
      </c>
      <c r="D1136" s="55" t="s">
        <v>20</v>
      </c>
      <c r="E1136" s="54"/>
      <c r="F1136" s="158">
        <v>0.0</v>
      </c>
      <c r="G1136" s="57">
        <v>750.0</v>
      </c>
      <c r="H1136" s="57">
        <f t="shared" si="28"/>
        <v>0</v>
      </c>
      <c r="I1136" s="57"/>
      <c r="J1136" s="58"/>
      <c r="K1136" s="54"/>
      <c r="L1136" s="54"/>
      <c r="M1136" s="54"/>
      <c r="N1136" s="54"/>
      <c r="O1136" s="54"/>
      <c r="P1136" s="54"/>
      <c r="Q1136" s="1"/>
      <c r="R1136" s="1"/>
      <c r="S1136" s="1"/>
      <c r="T1136" s="1"/>
      <c r="U1136" s="1"/>
      <c r="V1136" s="1"/>
    </row>
    <row r="1137" ht="15.75" hidden="1" customHeight="1">
      <c r="A1137" s="206"/>
      <c r="B1137" s="54" t="s">
        <v>539</v>
      </c>
      <c r="C1137" s="54" t="s">
        <v>777</v>
      </c>
      <c r="D1137" s="55" t="s">
        <v>20</v>
      </c>
      <c r="E1137" s="54" t="s">
        <v>778</v>
      </c>
      <c r="F1137" s="158">
        <v>0.0</v>
      </c>
      <c r="G1137" s="57">
        <v>0.0</v>
      </c>
      <c r="H1137" s="57">
        <f t="shared" si="28"/>
        <v>0</v>
      </c>
      <c r="I1137" s="57"/>
      <c r="J1137" s="58"/>
      <c r="K1137" s="54"/>
      <c r="L1137" s="54"/>
      <c r="M1137" s="54"/>
      <c r="N1137" s="54"/>
      <c r="O1137" s="54"/>
      <c r="P1137" s="54"/>
      <c r="Q1137" s="1"/>
      <c r="R1137" s="1"/>
      <c r="S1137" s="1"/>
      <c r="T1137" s="1"/>
      <c r="U1137" s="1"/>
      <c r="V1137" s="1"/>
    </row>
    <row r="1138" ht="15.75" hidden="1" customHeight="1">
      <c r="A1138" s="206"/>
      <c r="B1138" s="54" t="s">
        <v>18</v>
      </c>
      <c r="C1138" s="54" t="s">
        <v>779</v>
      </c>
      <c r="D1138" s="55" t="s">
        <v>20</v>
      </c>
      <c r="E1138" s="205" t="s">
        <v>780</v>
      </c>
      <c r="F1138" s="158">
        <v>0.0</v>
      </c>
      <c r="G1138" s="57">
        <v>150.0</v>
      </c>
      <c r="H1138" s="57">
        <f t="shared" si="28"/>
        <v>0</v>
      </c>
      <c r="I1138" s="57"/>
      <c r="J1138" s="58"/>
      <c r="K1138" s="54"/>
      <c r="L1138" s="54"/>
      <c r="M1138" s="54"/>
      <c r="N1138" s="54"/>
      <c r="O1138" s="54"/>
      <c r="P1138" s="54"/>
      <c r="Q1138" s="1"/>
      <c r="R1138" s="1"/>
      <c r="S1138" s="1"/>
      <c r="T1138" s="1"/>
      <c r="U1138" s="1"/>
      <c r="V1138" s="1"/>
    </row>
    <row r="1139" ht="15.75" customHeight="1">
      <c r="A1139" s="206"/>
      <c r="B1139" s="54" t="s">
        <v>18</v>
      </c>
      <c r="C1139" s="54" t="s">
        <v>781</v>
      </c>
      <c r="D1139" s="55" t="s">
        <v>20</v>
      </c>
      <c r="E1139" s="230" t="s">
        <v>986</v>
      </c>
      <c r="F1139" s="56">
        <v>1.0</v>
      </c>
      <c r="G1139" s="159">
        <v>276.0</v>
      </c>
      <c r="H1139" s="57">
        <f t="shared" si="28"/>
        <v>276</v>
      </c>
      <c r="I1139" s="57"/>
      <c r="J1139" s="58"/>
      <c r="K1139" s="54"/>
      <c r="L1139" s="54"/>
      <c r="M1139" s="54"/>
      <c r="N1139" s="54"/>
      <c r="O1139" s="54"/>
      <c r="P1139" s="54"/>
      <c r="Q1139" s="1"/>
      <c r="R1139" s="1"/>
      <c r="S1139" s="1"/>
      <c r="T1139" s="1"/>
      <c r="U1139" s="1"/>
      <c r="V1139" s="1"/>
    </row>
    <row r="1140" ht="15.75" customHeight="1">
      <c r="A1140" s="206"/>
      <c r="B1140" s="54" t="s">
        <v>228</v>
      </c>
      <c r="C1140" s="54" t="s">
        <v>783</v>
      </c>
      <c r="D1140" s="55" t="s">
        <v>20</v>
      </c>
      <c r="E1140" s="54"/>
      <c r="F1140" s="56">
        <v>1.0</v>
      </c>
      <c r="G1140" s="57">
        <v>10.0</v>
      </c>
      <c r="H1140" s="57">
        <f t="shared" si="28"/>
        <v>10</v>
      </c>
      <c r="I1140" s="57"/>
      <c r="J1140" s="58"/>
      <c r="K1140" s="54"/>
      <c r="L1140" s="54"/>
      <c r="M1140" s="54"/>
      <c r="N1140" s="54"/>
      <c r="O1140" s="54"/>
      <c r="P1140" s="54"/>
      <c r="Q1140" s="1"/>
      <c r="R1140" s="1"/>
      <c r="S1140" s="1"/>
      <c r="T1140" s="1"/>
      <c r="U1140" s="1"/>
      <c r="V1140" s="1"/>
    </row>
    <row r="1141" ht="15.75" customHeight="1">
      <c r="A1141" s="206"/>
      <c r="B1141" s="54" t="s">
        <v>18</v>
      </c>
      <c r="C1141" s="54" t="s">
        <v>784</v>
      </c>
      <c r="D1141" s="55" t="s">
        <v>20</v>
      </c>
      <c r="E1141" s="201" t="s">
        <v>785</v>
      </c>
      <c r="F1141" s="56">
        <v>1.0</v>
      </c>
      <c r="G1141" s="57">
        <v>9.0</v>
      </c>
      <c r="H1141" s="57">
        <f t="shared" si="28"/>
        <v>9</v>
      </c>
      <c r="I1141" s="57"/>
      <c r="J1141" s="58"/>
      <c r="K1141" s="54"/>
      <c r="L1141" s="54"/>
      <c r="M1141" s="54"/>
      <c r="N1141" s="54"/>
      <c r="O1141" s="54"/>
      <c r="P1141" s="54"/>
      <c r="Q1141" s="1"/>
      <c r="R1141" s="1"/>
      <c r="S1141" s="1"/>
      <c r="T1141" s="1"/>
      <c r="U1141" s="1"/>
      <c r="V1141" s="1"/>
    </row>
    <row r="1142" ht="15.75" customHeight="1">
      <c r="A1142" s="206"/>
      <c r="B1142" s="54" t="s">
        <v>277</v>
      </c>
      <c r="C1142" s="54" t="s">
        <v>786</v>
      </c>
      <c r="D1142" s="198" t="s">
        <v>22</v>
      </c>
      <c r="E1142" s="54"/>
      <c r="F1142" s="56">
        <v>1.0</v>
      </c>
      <c r="G1142" s="57">
        <v>69.99</v>
      </c>
      <c r="H1142" s="57">
        <f t="shared" si="28"/>
        <v>69.99</v>
      </c>
      <c r="I1142" s="57"/>
      <c r="J1142" s="58"/>
      <c r="K1142" s="54"/>
      <c r="L1142" s="54"/>
      <c r="M1142" s="54"/>
      <c r="N1142" s="54"/>
      <c r="O1142" s="54"/>
      <c r="P1142" s="54"/>
      <c r="Q1142" s="1"/>
      <c r="R1142" s="1"/>
      <c r="S1142" s="1"/>
      <c r="T1142" s="1"/>
      <c r="U1142" s="1"/>
      <c r="V1142" s="1"/>
    </row>
    <row r="1143" ht="15.75" customHeight="1">
      <c r="A1143" s="206"/>
      <c r="B1143" s="54" t="s">
        <v>18</v>
      </c>
      <c r="C1143" s="54" t="s">
        <v>787</v>
      </c>
      <c r="D1143" s="198" t="s">
        <v>22</v>
      </c>
      <c r="E1143" s="157" t="s">
        <v>987</v>
      </c>
      <c r="F1143" s="158">
        <v>2.0</v>
      </c>
      <c r="G1143" s="159">
        <v>108.0</v>
      </c>
      <c r="H1143" s="57">
        <f t="shared" si="28"/>
        <v>216</v>
      </c>
      <c r="I1143" s="57"/>
      <c r="J1143" s="58"/>
      <c r="K1143" s="54"/>
      <c r="L1143" s="54"/>
      <c r="M1143" s="54"/>
      <c r="N1143" s="54"/>
      <c r="O1143" s="54"/>
      <c r="P1143" s="54"/>
      <c r="Q1143" s="1"/>
      <c r="R1143" s="1"/>
      <c r="S1143" s="1"/>
      <c r="T1143" s="1"/>
      <c r="U1143" s="1"/>
      <c r="V1143" s="1"/>
    </row>
    <row r="1144" ht="15.75" customHeight="1">
      <c r="A1144" s="206"/>
      <c r="B1144" s="54" t="s">
        <v>18</v>
      </c>
      <c r="C1144" s="54" t="s">
        <v>285</v>
      </c>
      <c r="D1144" s="55" t="s">
        <v>20</v>
      </c>
      <c r="E1144" s="54" t="s">
        <v>286</v>
      </c>
      <c r="F1144" s="56">
        <v>2.0</v>
      </c>
      <c r="G1144" s="57">
        <v>3.0</v>
      </c>
      <c r="H1144" s="57">
        <f t="shared" si="28"/>
        <v>6</v>
      </c>
      <c r="I1144" s="57"/>
      <c r="J1144" s="58"/>
      <c r="K1144" s="13"/>
      <c r="L1144" s="54"/>
      <c r="M1144" s="54"/>
      <c r="N1144" s="54"/>
      <c r="O1144" s="54"/>
      <c r="P1144" s="54"/>
      <c r="Q1144" s="1"/>
      <c r="R1144" s="1"/>
      <c r="S1144" s="1"/>
      <c r="T1144" s="1"/>
      <c r="U1144" s="1"/>
      <c r="V1144" s="1"/>
    </row>
    <row r="1145" ht="15.75" hidden="1" customHeight="1">
      <c r="A1145" s="206"/>
      <c r="B1145" s="54" t="s">
        <v>18</v>
      </c>
      <c r="C1145" s="54" t="s">
        <v>789</v>
      </c>
      <c r="D1145" s="55" t="s">
        <v>20</v>
      </c>
      <c r="E1145" s="54" t="s">
        <v>790</v>
      </c>
      <c r="F1145" s="56">
        <v>0.0</v>
      </c>
      <c r="G1145" s="57">
        <v>14.0</v>
      </c>
      <c r="H1145" s="57">
        <f t="shared" si="28"/>
        <v>0</v>
      </c>
      <c r="I1145" s="57"/>
      <c r="J1145" s="58"/>
      <c r="K1145" s="54"/>
      <c r="L1145" s="54"/>
      <c r="M1145" s="54"/>
      <c r="N1145" s="54"/>
      <c r="O1145" s="54"/>
      <c r="P1145" s="54"/>
      <c r="Q1145" s="1"/>
      <c r="R1145" s="1"/>
      <c r="S1145" s="1"/>
      <c r="T1145" s="1"/>
      <c r="U1145" s="1"/>
      <c r="V1145" s="1"/>
    </row>
    <row r="1146" ht="15.75" hidden="1" customHeight="1">
      <c r="A1146" s="206"/>
      <c r="B1146" s="54" t="s">
        <v>463</v>
      </c>
      <c r="C1146" s="54" t="s">
        <v>791</v>
      </c>
      <c r="D1146" s="198" t="s">
        <v>22</v>
      </c>
      <c r="E1146" s="201" t="s">
        <v>792</v>
      </c>
      <c r="F1146" s="158">
        <v>0.0</v>
      </c>
      <c r="G1146" s="57">
        <v>23.0</v>
      </c>
      <c r="H1146" s="57">
        <f t="shared" si="28"/>
        <v>0</v>
      </c>
      <c r="I1146" s="57"/>
      <c r="J1146" s="58"/>
      <c r="K1146" s="54"/>
      <c r="L1146" s="54"/>
      <c r="M1146" s="54"/>
      <c r="N1146" s="54"/>
      <c r="O1146" s="54"/>
      <c r="P1146" s="54"/>
      <c r="Q1146" s="1"/>
      <c r="R1146" s="1"/>
      <c r="S1146" s="1"/>
      <c r="T1146" s="1"/>
      <c r="U1146" s="1"/>
      <c r="V1146" s="1"/>
    </row>
    <row r="1147" ht="15.75" hidden="1" customHeight="1">
      <c r="A1147" s="206"/>
      <c r="B1147" s="54" t="s">
        <v>463</v>
      </c>
      <c r="C1147" s="54" t="s">
        <v>793</v>
      </c>
      <c r="D1147" s="198" t="s">
        <v>22</v>
      </c>
      <c r="E1147" s="201" t="s">
        <v>794</v>
      </c>
      <c r="F1147" s="158">
        <v>0.0</v>
      </c>
      <c r="G1147" s="57">
        <v>23.0</v>
      </c>
      <c r="H1147" s="57">
        <f t="shared" si="28"/>
        <v>0</v>
      </c>
      <c r="I1147" s="57"/>
      <c r="J1147" s="58"/>
      <c r="K1147" s="54"/>
      <c r="L1147" s="54"/>
      <c r="M1147" s="54"/>
      <c r="N1147" s="54"/>
      <c r="O1147" s="54"/>
      <c r="P1147" s="54"/>
      <c r="Q1147" s="1"/>
      <c r="R1147" s="1"/>
      <c r="S1147" s="1"/>
      <c r="T1147" s="1"/>
      <c r="U1147" s="1"/>
      <c r="V1147" s="1"/>
    </row>
    <row r="1148" ht="15.75" hidden="1" customHeight="1">
      <c r="A1148" s="206"/>
      <c r="B1148" s="54" t="s">
        <v>463</v>
      </c>
      <c r="C1148" s="54" t="s">
        <v>795</v>
      </c>
      <c r="D1148" s="198" t="s">
        <v>22</v>
      </c>
      <c r="E1148" s="205" t="s">
        <v>796</v>
      </c>
      <c r="F1148" s="158">
        <v>0.0</v>
      </c>
      <c r="G1148" s="57">
        <v>23.0</v>
      </c>
      <c r="H1148" s="57">
        <f t="shared" si="28"/>
        <v>0</v>
      </c>
      <c r="I1148" s="57"/>
      <c r="J1148" s="58"/>
      <c r="K1148" s="54"/>
      <c r="L1148" s="54"/>
      <c r="M1148" s="54"/>
      <c r="N1148" s="54"/>
      <c r="O1148" s="54"/>
      <c r="P1148" s="54"/>
      <c r="Q1148" s="1"/>
      <c r="R1148" s="1"/>
      <c r="S1148" s="1"/>
      <c r="T1148" s="1"/>
      <c r="U1148" s="1"/>
      <c r="V1148" s="1"/>
    </row>
    <row r="1149" ht="15.75" hidden="1" customHeight="1">
      <c r="A1149" s="206"/>
      <c r="B1149" s="54" t="s">
        <v>463</v>
      </c>
      <c r="C1149" s="54" t="s">
        <v>797</v>
      </c>
      <c r="D1149" s="198" t="s">
        <v>22</v>
      </c>
      <c r="E1149" s="205" t="s">
        <v>798</v>
      </c>
      <c r="F1149" s="158">
        <v>0.0</v>
      </c>
      <c r="G1149" s="57">
        <v>23.0</v>
      </c>
      <c r="H1149" s="57">
        <f t="shared" si="28"/>
        <v>0</v>
      </c>
      <c r="I1149" s="57"/>
      <c r="J1149" s="58"/>
      <c r="K1149" s="54"/>
      <c r="L1149" s="54"/>
      <c r="M1149" s="54"/>
      <c r="N1149" s="54"/>
      <c r="O1149" s="54"/>
      <c r="P1149" s="54"/>
      <c r="Q1149" s="1"/>
      <c r="R1149" s="1"/>
      <c r="S1149" s="1"/>
      <c r="T1149" s="1"/>
      <c r="U1149" s="1"/>
      <c r="V1149" s="1"/>
    </row>
    <row r="1150" ht="15.75" hidden="1" customHeight="1">
      <c r="A1150" s="206"/>
      <c r="B1150" s="54" t="s">
        <v>463</v>
      </c>
      <c r="C1150" s="54" t="s">
        <v>799</v>
      </c>
      <c r="D1150" s="198" t="s">
        <v>22</v>
      </c>
      <c r="E1150" s="205" t="s">
        <v>800</v>
      </c>
      <c r="F1150" s="158">
        <v>0.0</v>
      </c>
      <c r="G1150" s="57">
        <v>23.0</v>
      </c>
      <c r="H1150" s="57">
        <f t="shared" si="28"/>
        <v>0</v>
      </c>
      <c r="I1150" s="57"/>
      <c r="J1150" s="58"/>
      <c r="K1150" s="54"/>
      <c r="L1150" s="54"/>
      <c r="M1150" s="54"/>
      <c r="N1150" s="54"/>
      <c r="O1150" s="54"/>
      <c r="P1150" s="54"/>
      <c r="Q1150" s="1"/>
      <c r="R1150" s="1"/>
      <c r="S1150" s="1"/>
      <c r="T1150" s="1"/>
      <c r="U1150" s="1"/>
      <c r="V1150" s="1"/>
    </row>
    <row r="1151" ht="15.75" hidden="1" customHeight="1">
      <c r="A1151" s="206"/>
      <c r="B1151" s="54" t="s">
        <v>463</v>
      </c>
      <c r="C1151" s="54" t="s">
        <v>801</v>
      </c>
      <c r="D1151" s="198" t="s">
        <v>22</v>
      </c>
      <c r="E1151" s="205" t="s">
        <v>802</v>
      </c>
      <c r="F1151" s="158">
        <v>0.0</v>
      </c>
      <c r="G1151" s="57">
        <v>23.0</v>
      </c>
      <c r="H1151" s="57">
        <f t="shared" si="28"/>
        <v>0</v>
      </c>
      <c r="I1151" s="57"/>
      <c r="J1151" s="58"/>
      <c r="K1151" s="54"/>
      <c r="L1151" s="54"/>
      <c r="M1151" s="54"/>
      <c r="N1151" s="54"/>
      <c r="O1151" s="54"/>
      <c r="P1151" s="54"/>
      <c r="Q1151" s="1"/>
      <c r="R1151" s="1"/>
      <c r="S1151" s="1"/>
      <c r="T1151" s="1"/>
      <c r="U1151" s="1"/>
      <c r="V1151" s="1"/>
    </row>
    <row r="1152" ht="15.75" hidden="1" customHeight="1">
      <c r="A1152" s="206"/>
      <c r="B1152" s="54" t="s">
        <v>803</v>
      </c>
      <c r="C1152" s="54" t="s">
        <v>804</v>
      </c>
      <c r="D1152" s="198" t="s">
        <v>22</v>
      </c>
      <c r="E1152" s="205" t="s">
        <v>805</v>
      </c>
      <c r="F1152" s="158">
        <v>0.0</v>
      </c>
      <c r="G1152" s="57">
        <v>35.0</v>
      </c>
      <c r="H1152" s="57">
        <f t="shared" si="28"/>
        <v>0</v>
      </c>
      <c r="I1152" s="57"/>
      <c r="J1152" s="58"/>
      <c r="K1152" s="54"/>
      <c r="L1152" s="54"/>
      <c r="M1152" s="54"/>
      <c r="N1152" s="54"/>
      <c r="O1152" s="54"/>
      <c r="P1152" s="54"/>
      <c r="Q1152" s="1"/>
      <c r="R1152" s="1"/>
      <c r="S1152" s="1"/>
      <c r="T1152" s="1"/>
      <c r="U1152" s="1"/>
      <c r="V1152" s="1"/>
    </row>
    <row r="1153" ht="15.75" hidden="1" customHeight="1">
      <c r="A1153" s="206"/>
      <c r="B1153" s="54" t="s">
        <v>803</v>
      </c>
      <c r="C1153" s="54" t="s">
        <v>806</v>
      </c>
      <c r="D1153" s="198" t="s">
        <v>22</v>
      </c>
      <c r="E1153" s="201" t="s">
        <v>807</v>
      </c>
      <c r="F1153" s="158">
        <v>0.0</v>
      </c>
      <c r="G1153" s="57">
        <v>35.0</v>
      </c>
      <c r="H1153" s="57">
        <f t="shared" si="28"/>
        <v>0</v>
      </c>
      <c r="I1153" s="57"/>
      <c r="J1153" s="58"/>
      <c r="K1153" s="54"/>
      <c r="L1153" s="54"/>
      <c r="M1153" s="54"/>
      <c r="N1153" s="54"/>
      <c r="O1153" s="54"/>
      <c r="P1153" s="54"/>
      <c r="Q1153" s="1"/>
      <c r="R1153" s="1"/>
      <c r="S1153" s="1"/>
      <c r="T1153" s="1"/>
      <c r="U1153" s="1"/>
      <c r="V1153" s="1"/>
    </row>
    <row r="1154" ht="15.75" hidden="1" customHeight="1">
      <c r="A1154" s="206"/>
      <c r="B1154" s="54" t="s">
        <v>808</v>
      </c>
      <c r="C1154" s="54" t="s">
        <v>809</v>
      </c>
      <c r="D1154" s="198" t="s">
        <v>22</v>
      </c>
      <c r="E1154" s="201" t="s">
        <v>810</v>
      </c>
      <c r="F1154" s="158">
        <v>0.0</v>
      </c>
      <c r="G1154" s="57">
        <v>20.0</v>
      </c>
      <c r="H1154" s="57">
        <f t="shared" si="28"/>
        <v>0</v>
      </c>
      <c r="I1154" s="57"/>
      <c r="J1154" s="58"/>
      <c r="K1154" s="54"/>
      <c r="L1154" s="54"/>
      <c r="M1154" s="54"/>
      <c r="N1154" s="54"/>
      <c r="O1154" s="54"/>
      <c r="P1154" s="54"/>
      <c r="Q1154" s="1"/>
      <c r="R1154" s="1"/>
      <c r="S1154" s="1"/>
      <c r="T1154" s="1"/>
      <c r="U1154" s="1"/>
      <c r="V1154" s="1"/>
    </row>
    <row r="1155" ht="15.75" hidden="1" customHeight="1">
      <c r="A1155" s="206"/>
      <c r="B1155" s="54" t="s">
        <v>18</v>
      </c>
      <c r="C1155" s="54" t="s">
        <v>811</v>
      </c>
      <c r="D1155" s="198" t="s">
        <v>22</v>
      </c>
      <c r="E1155" s="205" t="s">
        <v>812</v>
      </c>
      <c r="F1155" s="158">
        <v>0.0</v>
      </c>
      <c r="G1155" s="57">
        <v>16.0</v>
      </c>
      <c r="H1155" s="57">
        <f t="shared" si="28"/>
        <v>0</v>
      </c>
      <c r="I1155" s="57"/>
      <c r="J1155" s="58"/>
      <c r="K1155" s="54"/>
      <c r="L1155" s="54"/>
      <c r="M1155" s="54"/>
      <c r="N1155" s="54"/>
      <c r="O1155" s="54"/>
      <c r="P1155" s="54"/>
      <c r="Q1155" s="1"/>
      <c r="R1155" s="1"/>
      <c r="S1155" s="1"/>
      <c r="T1155" s="1"/>
      <c r="U1155" s="1"/>
      <c r="V1155" s="1"/>
    </row>
    <row r="1156" ht="15.75" hidden="1" customHeight="1">
      <c r="A1156" s="206"/>
      <c r="B1156" s="54" t="s">
        <v>18</v>
      </c>
      <c r="C1156" s="54" t="s">
        <v>813</v>
      </c>
      <c r="D1156" s="198" t="s">
        <v>22</v>
      </c>
      <c r="E1156" s="201" t="s">
        <v>814</v>
      </c>
      <c r="F1156" s="158">
        <v>0.0</v>
      </c>
      <c r="G1156" s="57">
        <v>12.0</v>
      </c>
      <c r="H1156" s="57">
        <f t="shared" si="28"/>
        <v>0</v>
      </c>
      <c r="I1156" s="57"/>
      <c r="J1156" s="58"/>
      <c r="K1156" s="54"/>
      <c r="L1156" s="54"/>
      <c r="M1156" s="54"/>
      <c r="N1156" s="54"/>
      <c r="O1156" s="54"/>
      <c r="P1156" s="54"/>
      <c r="Q1156" s="1"/>
      <c r="R1156" s="1"/>
      <c r="S1156" s="1"/>
      <c r="T1156" s="1"/>
      <c r="U1156" s="1"/>
      <c r="V1156" s="1"/>
    </row>
    <row r="1157" ht="15.75" hidden="1" customHeight="1">
      <c r="A1157" s="206"/>
      <c r="B1157" s="54" t="s">
        <v>18</v>
      </c>
      <c r="C1157" s="54" t="s">
        <v>815</v>
      </c>
      <c r="D1157" s="198" t="s">
        <v>22</v>
      </c>
      <c r="E1157" s="205" t="s">
        <v>816</v>
      </c>
      <c r="F1157" s="158">
        <v>0.0</v>
      </c>
      <c r="G1157" s="57">
        <v>18.0</v>
      </c>
      <c r="H1157" s="57">
        <f t="shared" si="28"/>
        <v>0</v>
      </c>
      <c r="I1157" s="57"/>
      <c r="J1157" s="58"/>
      <c r="K1157" s="54"/>
      <c r="L1157" s="54"/>
      <c r="M1157" s="54"/>
      <c r="N1157" s="54"/>
      <c r="O1157" s="54"/>
      <c r="P1157" s="54"/>
      <c r="Q1157" s="1"/>
      <c r="R1157" s="1"/>
      <c r="S1157" s="1"/>
      <c r="T1157" s="1"/>
      <c r="U1157" s="1"/>
      <c r="V1157" s="1"/>
    </row>
    <row r="1158" ht="15.75" hidden="1" customHeight="1">
      <c r="A1158" s="206"/>
      <c r="B1158" s="54" t="s">
        <v>817</v>
      </c>
      <c r="C1158" s="54" t="s">
        <v>818</v>
      </c>
      <c r="D1158" s="55" t="s">
        <v>20</v>
      </c>
      <c r="E1158" s="54"/>
      <c r="F1158" s="158">
        <v>0.0</v>
      </c>
      <c r="G1158" s="57">
        <v>5000.0</v>
      </c>
      <c r="H1158" s="57">
        <f t="shared" si="28"/>
        <v>0</v>
      </c>
      <c r="I1158" s="58"/>
      <c r="J1158" s="58"/>
      <c r="K1158" s="54"/>
      <c r="L1158" s="271"/>
      <c r="M1158" s="271"/>
      <c r="N1158" s="271"/>
      <c r="O1158" s="271"/>
      <c r="P1158" s="271"/>
      <c r="Q1158" s="1"/>
      <c r="R1158" s="1"/>
      <c r="S1158" s="1"/>
      <c r="T1158" s="1"/>
      <c r="U1158" s="1"/>
      <c r="V1158" s="1"/>
    </row>
    <row r="1159" ht="15.75" hidden="1" customHeight="1">
      <c r="A1159" s="206"/>
      <c r="B1159" s="54"/>
      <c r="C1159" s="54" t="s">
        <v>819</v>
      </c>
      <c r="D1159" s="55" t="s">
        <v>20</v>
      </c>
      <c r="E1159" s="54"/>
      <c r="F1159" s="56">
        <v>0.0</v>
      </c>
      <c r="G1159" s="57">
        <v>300.0</v>
      </c>
      <c r="H1159" s="57">
        <f t="shared" si="28"/>
        <v>0</v>
      </c>
      <c r="I1159" s="58"/>
      <c r="J1159" s="58"/>
      <c r="K1159" s="54"/>
      <c r="L1159" s="271"/>
      <c r="M1159" s="271"/>
      <c r="N1159" s="271"/>
      <c r="O1159" s="271"/>
      <c r="P1159" s="271"/>
      <c r="Q1159" s="1"/>
      <c r="R1159" s="1"/>
      <c r="S1159" s="1"/>
      <c r="T1159" s="1"/>
      <c r="U1159" s="1"/>
      <c r="V1159" s="1"/>
    </row>
    <row r="1160" ht="15.75" hidden="1" customHeight="1">
      <c r="A1160" s="206"/>
      <c r="B1160" s="54" t="s">
        <v>18</v>
      </c>
      <c r="C1160" s="54" t="s">
        <v>283</v>
      </c>
      <c r="D1160" s="55" t="s">
        <v>20</v>
      </c>
      <c r="E1160" s="54" t="s">
        <v>284</v>
      </c>
      <c r="F1160" s="56">
        <v>0.0</v>
      </c>
      <c r="G1160" s="57">
        <v>12.0</v>
      </c>
      <c r="H1160" s="57">
        <f t="shared" si="28"/>
        <v>0</v>
      </c>
      <c r="I1160" s="58"/>
      <c r="J1160" s="57"/>
      <c r="K1160" s="54"/>
      <c r="L1160" s="271"/>
      <c r="M1160" s="271"/>
      <c r="N1160" s="271"/>
      <c r="O1160" s="271"/>
      <c r="P1160" s="271"/>
      <c r="Q1160" s="1"/>
      <c r="R1160" s="1"/>
      <c r="S1160" s="1"/>
      <c r="T1160" s="1"/>
      <c r="U1160" s="1"/>
      <c r="V1160" s="1"/>
    </row>
    <row r="1161" ht="15.75" hidden="1" customHeight="1">
      <c r="A1161" s="206"/>
      <c r="B1161" s="54" t="s">
        <v>18</v>
      </c>
      <c r="C1161" s="54" t="s">
        <v>820</v>
      </c>
      <c r="D1161" s="55" t="s">
        <v>20</v>
      </c>
      <c r="E1161" s="54"/>
      <c r="F1161" s="56">
        <v>0.0</v>
      </c>
      <c r="G1161" s="57">
        <v>956.0</v>
      </c>
      <c r="H1161" s="57">
        <f t="shared" si="28"/>
        <v>0</v>
      </c>
      <c r="I1161" s="58"/>
      <c r="J1161" s="57"/>
      <c r="K1161" s="54"/>
      <c r="L1161" s="271"/>
      <c r="M1161" s="271"/>
      <c r="N1161" s="271"/>
      <c r="O1161" s="271"/>
      <c r="P1161" s="271"/>
      <c r="Q1161" s="1"/>
      <c r="R1161" s="1"/>
      <c r="S1161" s="1"/>
      <c r="T1161" s="1"/>
      <c r="U1161" s="1"/>
      <c r="V1161" s="1"/>
    </row>
    <row r="1162" ht="15.75" hidden="1" customHeight="1">
      <c r="A1162" s="206"/>
      <c r="B1162" s="54"/>
      <c r="C1162" s="54" t="s">
        <v>821</v>
      </c>
      <c r="D1162" s="314" t="s">
        <v>26</v>
      </c>
      <c r="E1162" s="54"/>
      <c r="F1162" s="56">
        <v>0.0</v>
      </c>
      <c r="G1162" s="57">
        <v>900.0</v>
      </c>
      <c r="H1162" s="57">
        <f t="shared" si="28"/>
        <v>0</v>
      </c>
      <c r="I1162" s="58"/>
      <c r="J1162" s="57"/>
      <c r="K1162" s="54"/>
      <c r="L1162" s="271"/>
      <c r="M1162" s="271"/>
      <c r="N1162" s="271"/>
      <c r="O1162" s="271"/>
      <c r="P1162" s="271"/>
      <c r="Q1162" s="1"/>
      <c r="R1162" s="1"/>
      <c r="S1162" s="1"/>
      <c r="T1162" s="1"/>
      <c r="U1162" s="1"/>
      <c r="V1162" s="1"/>
    </row>
    <row r="1163" ht="15.75" hidden="1" customHeight="1">
      <c r="A1163" s="206"/>
      <c r="B1163" s="54" t="s">
        <v>18</v>
      </c>
      <c r="C1163" s="54" t="s">
        <v>822</v>
      </c>
      <c r="D1163" s="55" t="s">
        <v>20</v>
      </c>
      <c r="E1163" s="205" t="s">
        <v>823</v>
      </c>
      <c r="F1163" s="158">
        <v>0.0</v>
      </c>
      <c r="G1163" s="57">
        <v>150.0</v>
      </c>
      <c r="H1163" s="57">
        <f t="shared" si="28"/>
        <v>0</v>
      </c>
      <c r="I1163" s="58"/>
      <c r="J1163" s="57"/>
      <c r="K1163" s="315"/>
      <c r="L1163" s="271"/>
      <c r="M1163" s="271"/>
      <c r="N1163" s="271"/>
      <c r="O1163" s="271"/>
      <c r="P1163" s="271"/>
      <c r="Q1163" s="1"/>
      <c r="R1163" s="1"/>
      <c r="S1163" s="1"/>
      <c r="T1163" s="1"/>
      <c r="U1163" s="1"/>
      <c r="V1163" s="1"/>
    </row>
    <row r="1164" ht="15.75" hidden="1" customHeight="1">
      <c r="A1164" s="206"/>
      <c r="B1164" s="54" t="s">
        <v>18</v>
      </c>
      <c r="C1164" s="54" t="s">
        <v>824</v>
      </c>
      <c r="D1164" s="55" t="s">
        <v>20</v>
      </c>
      <c r="E1164" s="54"/>
      <c r="F1164" s="158">
        <v>0.0</v>
      </c>
      <c r="G1164" s="57">
        <v>150.0</v>
      </c>
      <c r="H1164" s="57">
        <f t="shared" si="28"/>
        <v>0</v>
      </c>
      <c r="I1164" s="58"/>
      <c r="J1164" s="57"/>
      <c r="K1164" s="54"/>
      <c r="L1164" s="271"/>
      <c r="M1164" s="271"/>
      <c r="N1164" s="271"/>
      <c r="O1164" s="271"/>
      <c r="P1164" s="271"/>
      <c r="Q1164" s="1"/>
      <c r="R1164" s="1"/>
      <c r="S1164" s="1"/>
      <c r="T1164" s="1"/>
      <c r="U1164" s="1"/>
      <c r="V1164" s="1"/>
    </row>
    <row r="1165" ht="15.75" hidden="1" customHeight="1">
      <c r="A1165" s="206"/>
      <c r="B1165" s="54" t="s">
        <v>18</v>
      </c>
      <c r="C1165" s="54" t="s">
        <v>825</v>
      </c>
      <c r="D1165" s="55" t="s">
        <v>20</v>
      </c>
      <c r="E1165" s="54"/>
      <c r="F1165" s="56">
        <v>0.0</v>
      </c>
      <c r="G1165" s="57">
        <v>27.99</v>
      </c>
      <c r="H1165" s="57">
        <f t="shared" si="28"/>
        <v>0</v>
      </c>
      <c r="I1165" s="58"/>
      <c r="J1165" s="58"/>
      <c r="K1165" s="54"/>
      <c r="L1165" s="252"/>
      <c r="M1165" s="252"/>
      <c r="N1165" s="252"/>
      <c r="O1165" s="252"/>
      <c r="P1165" s="252"/>
      <c r="Q1165" s="1"/>
      <c r="R1165" s="1"/>
      <c r="S1165" s="1"/>
      <c r="T1165" s="1"/>
      <c r="U1165" s="1"/>
      <c r="V1165" s="1"/>
    </row>
    <row r="1166" ht="15.75" hidden="1" customHeight="1">
      <c r="A1166" s="206"/>
      <c r="B1166" s="54" t="s">
        <v>18</v>
      </c>
      <c r="C1166" s="54" t="s">
        <v>309</v>
      </c>
      <c r="D1166" s="55" t="s">
        <v>20</v>
      </c>
      <c r="E1166" s="54"/>
      <c r="F1166" s="56">
        <v>0.0</v>
      </c>
      <c r="G1166" s="57">
        <v>20.0</v>
      </c>
      <c r="H1166" s="57">
        <f t="shared" si="28"/>
        <v>0</v>
      </c>
      <c r="I1166" s="58"/>
      <c r="J1166" s="58"/>
      <c r="K1166" s="54"/>
      <c r="L1166" s="54"/>
      <c r="M1166" s="54"/>
      <c r="N1166" s="54"/>
      <c r="O1166" s="54"/>
      <c r="P1166" s="54"/>
      <c r="Q1166" s="1"/>
      <c r="R1166" s="1"/>
      <c r="S1166" s="1"/>
      <c r="T1166" s="1"/>
      <c r="U1166" s="1"/>
      <c r="V1166" s="1"/>
    </row>
    <row r="1167" ht="15.75" hidden="1" customHeight="1">
      <c r="A1167" s="206"/>
      <c r="B1167" s="54" t="s">
        <v>18</v>
      </c>
      <c r="C1167" s="54" t="s">
        <v>826</v>
      </c>
      <c r="D1167" s="55" t="s">
        <v>20</v>
      </c>
      <c r="E1167" s="208" t="s">
        <v>827</v>
      </c>
      <c r="F1167" s="56">
        <v>0.0</v>
      </c>
      <c r="G1167" s="57">
        <v>71.5</v>
      </c>
      <c r="H1167" s="57">
        <f t="shared" si="28"/>
        <v>0</v>
      </c>
      <c r="I1167" s="58"/>
      <c r="J1167" s="58"/>
      <c r="K1167" s="54"/>
      <c r="L1167" s="54"/>
      <c r="M1167" s="54"/>
      <c r="N1167" s="54"/>
      <c r="O1167" s="54"/>
      <c r="P1167" s="54"/>
      <c r="Q1167" s="1"/>
      <c r="R1167" s="1"/>
      <c r="S1167" s="1"/>
      <c r="T1167" s="1"/>
      <c r="U1167" s="1"/>
      <c r="V1167" s="1"/>
    </row>
    <row r="1168" ht="15.75" hidden="1" customHeight="1">
      <c r="A1168" s="206"/>
      <c r="B1168" s="54" t="s">
        <v>18</v>
      </c>
      <c r="C1168" s="54" t="s">
        <v>828</v>
      </c>
      <c r="D1168" s="55" t="s">
        <v>20</v>
      </c>
      <c r="E1168" s="54" t="s">
        <v>475</v>
      </c>
      <c r="F1168" s="56">
        <v>0.0</v>
      </c>
      <c r="G1168" s="57">
        <v>25.0</v>
      </c>
      <c r="H1168" s="57">
        <f t="shared" si="28"/>
        <v>0</v>
      </c>
      <c r="I1168" s="58"/>
      <c r="J1168" s="58"/>
      <c r="K1168" s="54"/>
      <c r="L1168" s="54"/>
      <c r="M1168" s="54"/>
      <c r="N1168" s="54"/>
      <c r="O1168" s="54"/>
      <c r="P1168" s="54"/>
      <c r="Q1168" s="1"/>
      <c r="R1168" s="1"/>
      <c r="S1168" s="1"/>
      <c r="T1168" s="1"/>
      <c r="U1168" s="1"/>
      <c r="V1168" s="1"/>
    </row>
    <row r="1169" ht="15.75" hidden="1" customHeight="1">
      <c r="A1169" s="206"/>
      <c r="B1169" s="54" t="s">
        <v>18</v>
      </c>
      <c r="C1169" s="54" t="s">
        <v>500</v>
      </c>
      <c r="D1169" s="55" t="s">
        <v>20</v>
      </c>
      <c r="E1169" s="54" t="s">
        <v>829</v>
      </c>
      <c r="F1169" s="56">
        <v>0.0</v>
      </c>
      <c r="G1169" s="57">
        <v>6.0</v>
      </c>
      <c r="H1169" s="57">
        <f t="shared" si="28"/>
        <v>0</v>
      </c>
      <c r="I1169" s="58"/>
      <c r="J1169" s="58"/>
      <c r="K1169" s="54"/>
      <c r="L1169" s="252"/>
      <c r="M1169" s="252"/>
      <c r="N1169" s="252"/>
      <c r="O1169" s="252"/>
      <c r="P1169" s="252"/>
      <c r="Q1169" s="1"/>
      <c r="R1169" s="1"/>
      <c r="S1169" s="1"/>
      <c r="T1169" s="1"/>
      <c r="U1169" s="1"/>
      <c r="V1169" s="1"/>
    </row>
    <row r="1170" ht="15.75" customHeight="1">
      <c r="A1170" s="206"/>
      <c r="B1170" s="54" t="s">
        <v>18</v>
      </c>
      <c r="C1170" s="54" t="s">
        <v>280</v>
      </c>
      <c r="D1170" s="55" t="s">
        <v>20</v>
      </c>
      <c r="E1170" s="15" t="s">
        <v>830</v>
      </c>
      <c r="F1170" s="56">
        <v>1.0</v>
      </c>
      <c r="G1170" s="34">
        <v>20.0</v>
      </c>
      <c r="H1170" s="57">
        <f t="shared" si="28"/>
        <v>20</v>
      </c>
      <c r="I1170" s="58"/>
      <c r="J1170" s="54"/>
      <c r="K1170" s="54"/>
      <c r="L1170" s="271"/>
      <c r="M1170" s="271"/>
      <c r="N1170" s="271"/>
      <c r="O1170" s="271"/>
      <c r="P1170" s="271"/>
      <c r="Q1170" s="1"/>
      <c r="R1170" s="1"/>
      <c r="S1170" s="1"/>
      <c r="T1170" s="1"/>
      <c r="U1170" s="1"/>
      <c r="V1170" s="1"/>
    </row>
    <row r="1171" ht="15.75" customHeight="1">
      <c r="A1171" s="206"/>
      <c r="B1171" s="54" t="s">
        <v>637</v>
      </c>
      <c r="C1171" s="54" t="s">
        <v>988</v>
      </c>
      <c r="D1171" s="314" t="s">
        <v>26</v>
      </c>
      <c r="E1171" s="54"/>
      <c r="F1171" s="56">
        <v>1.0</v>
      </c>
      <c r="G1171" s="57">
        <v>12000.0</v>
      </c>
      <c r="H1171" s="57">
        <f t="shared" si="28"/>
        <v>12000</v>
      </c>
      <c r="I1171" s="58"/>
      <c r="J1171" s="58"/>
      <c r="K1171" s="13"/>
      <c r="L1171" s="271"/>
      <c r="M1171" s="271"/>
      <c r="N1171" s="271"/>
      <c r="O1171" s="271"/>
      <c r="P1171" s="271"/>
      <c r="Q1171" s="1"/>
      <c r="R1171" s="1"/>
      <c r="S1171" s="1"/>
      <c r="T1171" s="1"/>
      <c r="U1171" s="1"/>
      <c r="V1171" s="1"/>
    </row>
    <row r="1172" ht="15.75" customHeight="1">
      <c r="A1172" s="206"/>
      <c r="B1172" s="54" t="s">
        <v>18</v>
      </c>
      <c r="C1172" s="54" t="s">
        <v>847</v>
      </c>
      <c r="D1172" s="55" t="s">
        <v>20</v>
      </c>
      <c r="E1172" s="54"/>
      <c r="F1172" s="56">
        <v>1.0</v>
      </c>
      <c r="G1172" s="57">
        <v>5000.0</v>
      </c>
      <c r="H1172" s="57">
        <f t="shared" si="28"/>
        <v>5000</v>
      </c>
      <c r="I1172" s="58"/>
      <c r="J1172" s="58"/>
      <c r="K1172" s="54"/>
      <c r="L1172" s="271"/>
      <c r="M1172" s="271"/>
      <c r="N1172" s="271"/>
      <c r="O1172" s="271"/>
      <c r="P1172" s="271"/>
      <c r="Q1172" s="1"/>
      <c r="R1172" s="1"/>
      <c r="S1172" s="1"/>
      <c r="T1172" s="1"/>
      <c r="U1172" s="1"/>
      <c r="V1172" s="1"/>
    </row>
    <row r="1173" ht="15.75" hidden="1" customHeight="1">
      <c r="A1173" s="206"/>
      <c r="B1173" s="54"/>
      <c r="C1173" s="13" t="s">
        <v>848</v>
      </c>
      <c r="D1173" s="318" t="s">
        <v>26</v>
      </c>
      <c r="E1173" s="52"/>
      <c r="F1173" s="48">
        <v>0.0</v>
      </c>
      <c r="G1173" s="50">
        <v>11000.0</v>
      </c>
      <c r="H1173" s="50">
        <f t="shared" si="28"/>
        <v>0</v>
      </c>
      <c r="I1173" s="58"/>
      <c r="J1173" s="58"/>
      <c r="K1173" s="54"/>
      <c r="L1173" s="271"/>
      <c r="M1173" s="271"/>
      <c r="N1173" s="271"/>
      <c r="O1173" s="271"/>
      <c r="P1173" s="271"/>
      <c r="Q1173" s="1"/>
      <c r="R1173" s="1"/>
      <c r="S1173" s="1"/>
      <c r="T1173" s="1"/>
      <c r="U1173" s="1"/>
      <c r="V1173" s="1"/>
    </row>
    <row r="1174" ht="15.75" hidden="1" customHeight="1">
      <c r="A1174" s="206"/>
      <c r="B1174" s="54"/>
      <c r="C1174" s="206" t="s">
        <v>849</v>
      </c>
      <c r="D1174" s="55" t="s">
        <v>20</v>
      </c>
      <c r="E1174" s="54"/>
      <c r="F1174" s="56">
        <v>0.0</v>
      </c>
      <c r="G1174" s="57">
        <v>6000.0</v>
      </c>
      <c r="H1174" s="57">
        <f t="shared" si="28"/>
        <v>0</v>
      </c>
      <c r="I1174" s="58"/>
      <c r="J1174" s="58"/>
      <c r="K1174" s="54"/>
      <c r="L1174" s="271"/>
      <c r="M1174" s="271"/>
      <c r="N1174" s="271"/>
      <c r="O1174" s="271"/>
      <c r="P1174" s="271"/>
      <c r="Q1174" s="1"/>
      <c r="R1174" s="1"/>
      <c r="S1174" s="1"/>
      <c r="T1174" s="1"/>
      <c r="U1174" s="1"/>
      <c r="V1174" s="1"/>
    </row>
    <row r="1175" ht="15.75" hidden="1" customHeight="1">
      <c r="A1175" s="206"/>
      <c r="B1175" s="54" t="s">
        <v>18</v>
      </c>
      <c r="C1175" s="54" t="s">
        <v>850</v>
      </c>
      <c r="D1175" s="55" t="s">
        <v>20</v>
      </c>
      <c r="E1175" s="54" t="s">
        <v>851</v>
      </c>
      <c r="F1175" s="56">
        <v>0.0</v>
      </c>
      <c r="G1175" s="57">
        <v>36.49</v>
      </c>
      <c r="H1175" s="57">
        <f t="shared" si="28"/>
        <v>0</v>
      </c>
      <c r="I1175" s="58"/>
      <c r="J1175" s="58"/>
      <c r="K1175" s="54"/>
      <c r="L1175" s="54"/>
      <c r="M1175" s="54"/>
      <c r="N1175" s="54"/>
      <c r="O1175" s="54"/>
      <c r="P1175" s="54"/>
      <c r="Q1175" s="1"/>
      <c r="R1175" s="1"/>
      <c r="S1175" s="1"/>
      <c r="T1175" s="1"/>
      <c r="U1175" s="1"/>
      <c r="V1175" s="1"/>
    </row>
    <row r="1176" ht="15.75" hidden="1" customHeight="1">
      <c r="A1176" s="206"/>
      <c r="B1176" s="54" t="s">
        <v>18</v>
      </c>
      <c r="C1176" s="54" t="s">
        <v>852</v>
      </c>
      <c r="D1176" s="55" t="s">
        <v>20</v>
      </c>
      <c r="E1176" s="54" t="s">
        <v>853</v>
      </c>
      <c r="F1176" s="56">
        <v>0.0</v>
      </c>
      <c r="G1176" s="57">
        <v>55.99</v>
      </c>
      <c r="H1176" s="57">
        <f t="shared" si="28"/>
        <v>0</v>
      </c>
      <c r="I1176" s="58"/>
      <c r="J1176" s="58"/>
      <c r="K1176" s="54"/>
      <c r="L1176" s="252"/>
      <c r="M1176" s="252"/>
      <c r="N1176" s="252"/>
      <c r="O1176" s="252"/>
      <c r="P1176" s="252"/>
      <c r="Q1176" s="1"/>
      <c r="R1176" s="1"/>
      <c r="S1176" s="1"/>
      <c r="T1176" s="1"/>
      <c r="U1176" s="1"/>
      <c r="V1176" s="1"/>
    </row>
    <row r="1177" ht="15.75" hidden="1" customHeight="1">
      <c r="A1177" s="206"/>
      <c r="B1177" s="54" t="s">
        <v>18</v>
      </c>
      <c r="C1177" s="54" t="s">
        <v>854</v>
      </c>
      <c r="D1177" s="55" t="s">
        <v>20</v>
      </c>
      <c r="E1177" s="54" t="s">
        <v>855</v>
      </c>
      <c r="F1177" s="56">
        <v>0.0</v>
      </c>
      <c r="G1177" s="57">
        <v>98.16</v>
      </c>
      <c r="H1177" s="57">
        <f t="shared" si="28"/>
        <v>0</v>
      </c>
      <c r="I1177" s="58"/>
      <c r="J1177" s="58"/>
      <c r="K1177" s="54"/>
      <c r="L1177" s="252"/>
      <c r="M1177" s="252"/>
      <c r="N1177" s="252"/>
      <c r="O1177" s="252"/>
      <c r="P1177" s="252"/>
      <c r="Q1177" s="1"/>
      <c r="R1177" s="1"/>
      <c r="S1177" s="1"/>
      <c r="T1177" s="1"/>
      <c r="U1177" s="1"/>
      <c r="V1177" s="1"/>
    </row>
    <row r="1178" ht="15.75" hidden="1" customHeight="1">
      <c r="A1178" s="206"/>
      <c r="B1178" s="54" t="s">
        <v>18</v>
      </c>
      <c r="C1178" s="54" t="s">
        <v>856</v>
      </c>
      <c r="D1178" s="55" t="s">
        <v>20</v>
      </c>
      <c r="E1178" s="54" t="s">
        <v>857</v>
      </c>
      <c r="F1178" s="56">
        <v>0.0</v>
      </c>
      <c r="G1178" s="57">
        <v>36.99</v>
      </c>
      <c r="H1178" s="57">
        <f t="shared" si="28"/>
        <v>0</v>
      </c>
      <c r="I1178" s="58"/>
      <c r="J1178" s="58"/>
      <c r="K1178" s="54"/>
      <c r="L1178" s="252"/>
      <c r="M1178" s="252"/>
      <c r="N1178" s="252"/>
      <c r="O1178" s="252"/>
      <c r="P1178" s="252"/>
      <c r="Q1178" s="1"/>
      <c r="R1178" s="1"/>
      <c r="S1178" s="1"/>
      <c r="T1178" s="1"/>
      <c r="U1178" s="1"/>
      <c r="V1178" s="1"/>
    </row>
    <row r="1179" ht="15.75" hidden="1" customHeight="1">
      <c r="A1179" s="206"/>
      <c r="B1179" s="54" t="s">
        <v>574</v>
      </c>
      <c r="C1179" s="54" t="s">
        <v>736</v>
      </c>
      <c r="D1179" s="55" t="s">
        <v>20</v>
      </c>
      <c r="E1179" s="54"/>
      <c r="F1179" s="56">
        <v>0.0</v>
      </c>
      <c r="G1179" s="57">
        <v>0.0</v>
      </c>
      <c r="H1179" s="57">
        <f t="shared" si="28"/>
        <v>0</v>
      </c>
      <c r="I1179" s="58"/>
      <c r="J1179" s="58"/>
      <c r="K1179" s="54"/>
      <c r="L1179" s="252"/>
      <c r="M1179" s="252"/>
      <c r="N1179" s="252"/>
      <c r="O1179" s="252"/>
      <c r="P1179" s="252"/>
      <c r="Q1179" s="1"/>
      <c r="R1179" s="1"/>
      <c r="S1179" s="1"/>
      <c r="T1179" s="1"/>
      <c r="U1179" s="1"/>
      <c r="V1179" s="1"/>
    </row>
    <row r="1180" ht="15.75" hidden="1" customHeight="1">
      <c r="A1180" s="206"/>
      <c r="B1180" s="54"/>
      <c r="C1180" s="54" t="s">
        <v>858</v>
      </c>
      <c r="D1180" s="55" t="s">
        <v>20</v>
      </c>
      <c r="E1180" s="54"/>
      <c r="F1180" s="56">
        <v>0.0</v>
      </c>
      <c r="G1180" s="57">
        <v>1000.0</v>
      </c>
      <c r="H1180" s="57">
        <f t="shared" si="28"/>
        <v>0</v>
      </c>
      <c r="I1180" s="58"/>
      <c r="J1180" s="58"/>
      <c r="K1180" s="54"/>
      <c r="L1180" s="252"/>
      <c r="M1180" s="252"/>
      <c r="N1180" s="252"/>
      <c r="O1180" s="252"/>
      <c r="P1180" s="252"/>
      <c r="Q1180" s="1"/>
      <c r="R1180" s="1"/>
      <c r="S1180" s="1"/>
      <c r="T1180" s="1"/>
      <c r="U1180" s="1"/>
      <c r="V1180" s="1"/>
    </row>
    <row r="1181" ht="15.75" hidden="1" customHeight="1">
      <c r="A1181" s="206"/>
      <c r="B1181" s="54" t="s">
        <v>18</v>
      </c>
      <c r="C1181" s="54" t="s">
        <v>781</v>
      </c>
      <c r="D1181" s="55" t="s">
        <v>20</v>
      </c>
      <c r="E1181" s="54" t="s">
        <v>859</v>
      </c>
      <c r="F1181" s="56">
        <v>0.0</v>
      </c>
      <c r="G1181" s="57">
        <v>240.0</v>
      </c>
      <c r="H1181" s="57">
        <f t="shared" si="28"/>
        <v>0</v>
      </c>
      <c r="I1181" s="58"/>
      <c r="J1181" s="58"/>
      <c r="K1181" s="54"/>
      <c r="L1181" s="252"/>
      <c r="M1181" s="252"/>
      <c r="N1181" s="252"/>
      <c r="O1181" s="252"/>
      <c r="P1181" s="252"/>
      <c r="Q1181" s="1"/>
      <c r="R1181" s="1"/>
      <c r="S1181" s="1"/>
      <c r="T1181" s="1"/>
      <c r="U1181" s="1"/>
      <c r="V1181" s="1"/>
    </row>
    <row r="1182" ht="15.75" hidden="1" customHeight="1">
      <c r="A1182" s="206"/>
      <c r="B1182" s="54" t="s">
        <v>18</v>
      </c>
      <c r="C1182" s="54" t="s">
        <v>860</v>
      </c>
      <c r="D1182" s="55" t="s">
        <v>20</v>
      </c>
      <c r="E1182" s="54" t="s">
        <v>861</v>
      </c>
      <c r="F1182" s="56">
        <v>0.0</v>
      </c>
      <c r="G1182" s="57">
        <v>59.39</v>
      </c>
      <c r="H1182" s="57">
        <f t="shared" si="28"/>
        <v>0</v>
      </c>
      <c r="I1182" s="58"/>
      <c r="J1182" s="58"/>
      <c r="K1182" s="54"/>
      <c r="L1182" s="252"/>
      <c r="M1182" s="252"/>
      <c r="N1182" s="252"/>
      <c r="O1182" s="252"/>
      <c r="P1182" s="252"/>
      <c r="Q1182" s="1"/>
      <c r="R1182" s="1"/>
      <c r="S1182" s="1"/>
      <c r="T1182" s="1"/>
      <c r="U1182" s="1"/>
      <c r="V1182" s="1"/>
    </row>
    <row r="1183" ht="15.75" hidden="1" customHeight="1">
      <c r="A1183" s="206"/>
      <c r="B1183" s="54" t="s">
        <v>18</v>
      </c>
      <c r="C1183" s="54" t="s">
        <v>862</v>
      </c>
      <c r="D1183" s="55" t="s">
        <v>20</v>
      </c>
      <c r="E1183" s="54" t="s">
        <v>863</v>
      </c>
      <c r="F1183" s="56">
        <v>0.0</v>
      </c>
      <c r="G1183" s="57">
        <v>19.99</v>
      </c>
      <c r="H1183" s="57">
        <f t="shared" si="28"/>
        <v>0</v>
      </c>
      <c r="I1183" s="58"/>
      <c r="J1183" s="58"/>
      <c r="K1183" s="54"/>
      <c r="L1183" s="54"/>
      <c r="M1183" s="54"/>
      <c r="N1183" s="54"/>
      <c r="O1183" s="54"/>
      <c r="P1183" s="54"/>
      <c r="Q1183" s="1"/>
      <c r="R1183" s="1"/>
      <c r="S1183" s="1"/>
      <c r="T1183" s="1"/>
      <c r="U1183" s="1"/>
      <c r="V1183" s="1"/>
    </row>
    <row r="1184" ht="15.75" hidden="1" customHeight="1">
      <c r="A1184" s="206"/>
      <c r="B1184" s="54"/>
      <c r="C1184" s="54" t="s">
        <v>864</v>
      </c>
      <c r="D1184" s="216" t="s">
        <v>24</v>
      </c>
      <c r="E1184" s="54"/>
      <c r="F1184" s="56">
        <v>0.0</v>
      </c>
      <c r="G1184" s="57">
        <v>1500.0</v>
      </c>
      <c r="H1184" s="57">
        <f t="shared" si="28"/>
        <v>0</v>
      </c>
      <c r="I1184" s="58"/>
      <c r="J1184" s="58"/>
      <c r="K1184" s="54"/>
      <c r="L1184" s="54"/>
      <c r="M1184" s="54"/>
      <c r="N1184" s="54"/>
      <c r="O1184" s="54"/>
      <c r="P1184" s="54"/>
      <c r="Q1184" s="1"/>
      <c r="R1184" s="1"/>
      <c r="S1184" s="1"/>
      <c r="T1184" s="1"/>
      <c r="U1184" s="1"/>
      <c r="V1184" s="1"/>
    </row>
    <row r="1185" ht="15.75" hidden="1" customHeight="1">
      <c r="A1185" s="206"/>
      <c r="B1185" s="54"/>
      <c r="C1185" s="54" t="s">
        <v>865</v>
      </c>
      <c r="D1185" s="55" t="s">
        <v>20</v>
      </c>
      <c r="E1185" s="54"/>
      <c r="F1185" s="56">
        <v>0.0</v>
      </c>
      <c r="G1185" s="57">
        <v>0.0</v>
      </c>
      <c r="H1185" s="57">
        <v>0.0</v>
      </c>
      <c r="I1185" s="58"/>
      <c r="J1185" s="58"/>
      <c r="K1185" s="54"/>
      <c r="L1185" s="54"/>
      <c r="M1185" s="54"/>
      <c r="N1185" s="54"/>
      <c r="O1185" s="54"/>
      <c r="P1185" s="54"/>
      <c r="Q1185" s="1"/>
      <c r="R1185" s="1"/>
      <c r="S1185" s="1"/>
      <c r="T1185" s="1"/>
      <c r="U1185" s="1"/>
      <c r="V1185" s="1"/>
    </row>
    <row r="1186" ht="15.75" hidden="1" customHeight="1">
      <c r="A1186" s="206"/>
      <c r="B1186" s="54"/>
      <c r="C1186" s="54" t="s">
        <v>866</v>
      </c>
      <c r="D1186" s="216" t="s">
        <v>24</v>
      </c>
      <c r="E1186" s="54"/>
      <c r="F1186" s="56">
        <v>0.0</v>
      </c>
      <c r="G1186" s="57">
        <v>0.0</v>
      </c>
      <c r="H1186" s="57">
        <v>0.0</v>
      </c>
      <c r="I1186" s="58"/>
      <c r="J1186" s="58"/>
      <c r="K1186" s="54"/>
      <c r="L1186" s="54"/>
      <c r="M1186" s="54"/>
      <c r="N1186" s="54"/>
      <c r="O1186" s="54"/>
      <c r="P1186" s="54"/>
      <c r="Q1186" s="1"/>
      <c r="R1186" s="1"/>
      <c r="S1186" s="1"/>
      <c r="T1186" s="1"/>
      <c r="U1186" s="1"/>
      <c r="V1186" s="1"/>
    </row>
    <row r="1187" ht="15.75" hidden="1" customHeight="1">
      <c r="A1187" s="206"/>
      <c r="B1187" s="54"/>
      <c r="C1187" s="54" t="s">
        <v>867</v>
      </c>
      <c r="D1187" s="216" t="s">
        <v>24</v>
      </c>
      <c r="E1187" s="54"/>
      <c r="F1187" s="56">
        <v>0.0</v>
      </c>
      <c r="G1187" s="57">
        <v>0.0</v>
      </c>
      <c r="H1187" s="57">
        <v>0.0</v>
      </c>
      <c r="I1187" s="58"/>
      <c r="J1187" s="58"/>
      <c r="K1187" s="54"/>
      <c r="L1187" s="271"/>
      <c r="M1187" s="271"/>
      <c r="N1187" s="271"/>
      <c r="O1187" s="271"/>
      <c r="P1187" s="271"/>
      <c r="Q1187" s="1"/>
      <c r="R1187" s="1"/>
      <c r="S1187" s="1"/>
      <c r="T1187" s="1"/>
      <c r="U1187" s="1"/>
      <c r="V1187" s="1"/>
    </row>
    <row r="1188" ht="15.75" hidden="1" customHeight="1">
      <c r="A1188" s="206"/>
      <c r="B1188" s="54"/>
      <c r="C1188" s="54" t="s">
        <v>868</v>
      </c>
      <c r="D1188" s="55" t="s">
        <v>20</v>
      </c>
      <c r="E1188" s="54"/>
      <c r="F1188" s="56">
        <v>0.0</v>
      </c>
      <c r="G1188" s="57">
        <v>0.0</v>
      </c>
      <c r="H1188" s="57">
        <v>0.0</v>
      </c>
      <c r="I1188" s="58"/>
      <c r="J1188" s="58"/>
      <c r="K1188" s="54"/>
      <c r="L1188" s="252"/>
      <c r="M1188" s="252"/>
      <c r="N1188" s="252"/>
      <c r="O1188" s="252"/>
      <c r="P1188" s="252"/>
      <c r="Q1188" s="1"/>
      <c r="R1188" s="1"/>
      <c r="S1188" s="1"/>
      <c r="T1188" s="1"/>
      <c r="U1188" s="1"/>
      <c r="V1188" s="1"/>
    </row>
    <row r="1189" ht="15.75" hidden="1" customHeight="1">
      <c r="A1189" s="206"/>
      <c r="B1189" s="54" t="s">
        <v>18</v>
      </c>
      <c r="C1189" s="13" t="s">
        <v>869</v>
      </c>
      <c r="D1189" s="46" t="s">
        <v>20</v>
      </c>
      <c r="E1189" s="207" t="s">
        <v>870</v>
      </c>
      <c r="F1189" s="48">
        <v>0.0</v>
      </c>
      <c r="G1189" s="50">
        <v>51.0</v>
      </c>
      <c r="H1189" s="50">
        <f>SUM(F1189*G1189)</f>
        <v>0</v>
      </c>
      <c r="I1189" s="58"/>
      <c r="J1189" s="58"/>
      <c r="K1189" s="54"/>
      <c r="L1189" s="252"/>
      <c r="M1189" s="252"/>
      <c r="N1189" s="252"/>
      <c r="O1189" s="252"/>
      <c r="P1189" s="252"/>
      <c r="Q1189" s="1"/>
      <c r="R1189" s="1"/>
      <c r="S1189" s="1"/>
      <c r="T1189" s="1"/>
      <c r="U1189" s="1"/>
      <c r="V1189" s="1"/>
    </row>
    <row r="1190" ht="32.25" customHeight="1">
      <c r="A1190" s="83"/>
      <c r="B1190" s="309" t="s">
        <v>871</v>
      </c>
      <c r="C1190" s="255">
        <f>SUM(H1191:H1278)</f>
        <v>27806.1</v>
      </c>
      <c r="D1190" s="256"/>
      <c r="E1190" s="256"/>
      <c r="F1190" s="256"/>
      <c r="G1190" s="257"/>
      <c r="H1190" s="257"/>
      <c r="I1190" s="257"/>
      <c r="J1190" s="257"/>
      <c r="K1190" s="256"/>
      <c r="L1190" s="256"/>
      <c r="M1190" s="256"/>
      <c r="N1190" s="256"/>
      <c r="O1190" s="256"/>
      <c r="P1190" s="256"/>
      <c r="Q1190" s="1"/>
      <c r="R1190" s="1"/>
      <c r="S1190" s="1"/>
      <c r="T1190" s="1"/>
      <c r="U1190" s="1"/>
      <c r="V1190" s="1"/>
    </row>
    <row r="1191" ht="15.75" hidden="1" customHeight="1">
      <c r="A1191" s="206"/>
      <c r="B1191" s="54" t="s">
        <v>320</v>
      </c>
      <c r="C1191" s="54" t="s">
        <v>729</v>
      </c>
      <c r="D1191" s="198" t="s">
        <v>22</v>
      </c>
      <c r="E1191" s="54"/>
      <c r="F1191" s="56">
        <v>0.0</v>
      </c>
      <c r="G1191" s="57">
        <v>50.0</v>
      </c>
      <c r="H1191" s="57">
        <f t="shared" ref="H1191:H1274" si="29">SUM(F1191*G1191)</f>
        <v>0</v>
      </c>
      <c r="I1191" s="58"/>
      <c r="J1191" s="58"/>
      <c r="K1191" s="54"/>
      <c r="L1191" s="54"/>
      <c r="M1191" s="54"/>
      <c r="N1191" s="54"/>
      <c r="O1191" s="54"/>
      <c r="P1191" s="54"/>
      <c r="Q1191" s="1"/>
      <c r="R1191" s="1"/>
      <c r="S1191" s="1"/>
      <c r="T1191" s="1"/>
      <c r="U1191" s="1"/>
      <c r="V1191" s="1"/>
    </row>
    <row r="1192" ht="15.75" customHeight="1">
      <c r="A1192" s="206"/>
      <c r="B1192" s="258" t="s">
        <v>18</v>
      </c>
      <c r="C1192" s="258" t="s">
        <v>872</v>
      </c>
      <c r="D1192" s="198" t="s">
        <v>22</v>
      </c>
      <c r="E1192" s="319" t="s">
        <v>873</v>
      </c>
      <c r="F1192" s="320">
        <v>1.0</v>
      </c>
      <c r="G1192" s="321">
        <v>252.0</v>
      </c>
      <c r="H1192" s="322">
        <f t="shared" si="29"/>
        <v>252</v>
      </c>
      <c r="I1192" s="58"/>
      <c r="J1192" s="58"/>
      <c r="K1192" s="54"/>
      <c r="L1192" s="54"/>
      <c r="M1192" s="54"/>
      <c r="N1192" s="54"/>
      <c r="O1192" s="54"/>
      <c r="P1192" s="54"/>
      <c r="Q1192" s="1"/>
      <c r="R1192" s="1"/>
      <c r="S1192" s="1"/>
      <c r="T1192" s="1"/>
      <c r="U1192" s="1"/>
      <c r="V1192" s="1"/>
    </row>
    <row r="1193" ht="15.75" customHeight="1">
      <c r="A1193" s="206"/>
      <c r="B1193" s="258" t="s">
        <v>228</v>
      </c>
      <c r="C1193" s="258" t="s">
        <v>875</v>
      </c>
      <c r="D1193" s="198" t="s">
        <v>22</v>
      </c>
      <c r="E1193" s="160"/>
      <c r="F1193" s="158">
        <v>1.0</v>
      </c>
      <c r="G1193" s="159">
        <v>50.0</v>
      </c>
      <c r="H1193" s="57">
        <f t="shared" si="29"/>
        <v>50</v>
      </c>
      <c r="I1193" s="58"/>
      <c r="J1193" s="58"/>
      <c r="K1193" s="54"/>
      <c r="L1193" s="54"/>
      <c r="M1193" s="54"/>
      <c r="N1193" s="54"/>
      <c r="O1193" s="54"/>
      <c r="P1193" s="54"/>
      <c r="Q1193" s="1"/>
      <c r="R1193" s="1"/>
      <c r="S1193" s="1"/>
      <c r="T1193" s="1"/>
      <c r="U1193" s="1"/>
      <c r="V1193" s="1"/>
    </row>
    <row r="1194" ht="15.75" hidden="1" customHeight="1">
      <c r="A1194" s="206"/>
      <c r="B1194" s="54" t="s">
        <v>876</v>
      </c>
      <c r="C1194" s="54" t="s">
        <v>877</v>
      </c>
      <c r="D1194" s="198" t="s">
        <v>22</v>
      </c>
      <c r="E1194" s="201" t="s">
        <v>878</v>
      </c>
      <c r="F1194" s="56">
        <v>0.0</v>
      </c>
      <c r="G1194" s="57">
        <v>50.0</v>
      </c>
      <c r="H1194" s="57">
        <f t="shared" si="29"/>
        <v>0</v>
      </c>
      <c r="I1194" s="57"/>
      <c r="J1194" s="58"/>
      <c r="K1194" s="54"/>
      <c r="L1194" s="54"/>
      <c r="M1194" s="54"/>
      <c r="N1194" s="54"/>
      <c r="O1194" s="54"/>
      <c r="P1194" s="54"/>
      <c r="Q1194" s="1"/>
      <c r="R1194" s="1"/>
      <c r="S1194" s="1"/>
      <c r="T1194" s="1"/>
      <c r="U1194" s="1"/>
      <c r="V1194" s="1"/>
    </row>
    <row r="1195" ht="15.75" customHeight="1">
      <c r="A1195" s="206"/>
      <c r="B1195" s="258" t="s">
        <v>234</v>
      </c>
      <c r="C1195" s="258" t="s">
        <v>879</v>
      </c>
      <c r="D1195" s="101" t="s">
        <v>32</v>
      </c>
      <c r="E1195" s="258" t="s">
        <v>989</v>
      </c>
      <c r="F1195" s="158">
        <v>5.0</v>
      </c>
      <c r="G1195" s="159">
        <v>164.7</v>
      </c>
      <c r="H1195" s="57">
        <f t="shared" si="29"/>
        <v>823.5</v>
      </c>
      <c r="I1195" s="57"/>
      <c r="J1195" s="58"/>
      <c r="K1195" s="54"/>
      <c r="L1195" s="54"/>
      <c r="M1195" s="54"/>
      <c r="N1195" s="54"/>
      <c r="O1195" s="54"/>
      <c r="P1195" s="54"/>
      <c r="Q1195" s="1"/>
      <c r="R1195" s="1"/>
      <c r="S1195" s="1"/>
      <c r="T1195" s="1"/>
      <c r="U1195" s="1"/>
      <c r="V1195" s="1"/>
    </row>
    <row r="1196" ht="15.75" hidden="1" customHeight="1">
      <c r="A1196" s="206"/>
      <c r="B1196" s="54" t="s">
        <v>18</v>
      </c>
      <c r="C1196" s="54" t="s">
        <v>736</v>
      </c>
      <c r="D1196" s="198" t="s">
        <v>22</v>
      </c>
      <c r="E1196" s="205" t="s">
        <v>737</v>
      </c>
      <c r="F1196" s="158">
        <v>0.0</v>
      </c>
      <c r="G1196" s="57">
        <v>70.0</v>
      </c>
      <c r="H1196" s="57">
        <f t="shared" si="29"/>
        <v>0</v>
      </c>
      <c r="I1196" s="57"/>
      <c r="J1196" s="58"/>
      <c r="K1196" s="54"/>
      <c r="L1196" s="54"/>
      <c r="M1196" s="54"/>
      <c r="N1196" s="54"/>
      <c r="O1196" s="54"/>
      <c r="P1196" s="54"/>
      <c r="Q1196" s="1"/>
      <c r="R1196" s="1"/>
      <c r="S1196" s="1"/>
      <c r="T1196" s="1"/>
      <c r="U1196" s="1"/>
      <c r="V1196" s="1"/>
    </row>
    <row r="1197" ht="15.75" hidden="1" customHeight="1">
      <c r="A1197" s="206"/>
      <c r="B1197" s="13" t="s">
        <v>18</v>
      </c>
      <c r="C1197" s="52" t="s">
        <v>738</v>
      </c>
      <c r="D1197" s="150" t="s">
        <v>22</v>
      </c>
      <c r="E1197" s="310" t="s">
        <v>739</v>
      </c>
      <c r="F1197" s="215">
        <v>0.0</v>
      </c>
      <c r="G1197" s="50">
        <v>130.0</v>
      </c>
      <c r="H1197" s="57">
        <f t="shared" si="29"/>
        <v>0</v>
      </c>
      <c r="I1197" s="57"/>
      <c r="J1197" s="58"/>
      <c r="K1197" s="54"/>
      <c r="L1197" s="54"/>
      <c r="M1197" s="54"/>
      <c r="N1197" s="54"/>
      <c r="O1197" s="54"/>
      <c r="P1197" s="54"/>
      <c r="Q1197" s="1"/>
      <c r="R1197" s="1"/>
      <c r="S1197" s="1"/>
      <c r="T1197" s="1"/>
      <c r="U1197" s="1"/>
      <c r="V1197" s="1"/>
    </row>
    <row r="1198" ht="15.75" hidden="1" customHeight="1">
      <c r="A1198" s="206"/>
      <c r="B1198" s="206" t="s">
        <v>18</v>
      </c>
      <c r="C1198" s="258" t="s">
        <v>542</v>
      </c>
      <c r="D1198" s="150" t="s">
        <v>22</v>
      </c>
      <c r="E1198" s="260" t="s">
        <v>543</v>
      </c>
      <c r="F1198" s="215">
        <v>0.0</v>
      </c>
      <c r="G1198" s="49">
        <v>156.0</v>
      </c>
      <c r="H1198" s="50">
        <f t="shared" si="29"/>
        <v>0</v>
      </c>
      <c r="I1198" s="57"/>
      <c r="J1198" s="58"/>
      <c r="K1198" s="54"/>
      <c r="L1198" s="54"/>
      <c r="M1198" s="54"/>
      <c r="N1198" s="54"/>
      <c r="O1198" s="54"/>
      <c r="P1198" s="54"/>
      <c r="Q1198" s="1"/>
      <c r="R1198" s="1"/>
      <c r="S1198" s="1"/>
      <c r="T1198" s="1"/>
      <c r="U1198" s="1"/>
      <c r="V1198" s="1"/>
    </row>
    <row r="1199" ht="15.75" hidden="1" customHeight="1">
      <c r="A1199" s="206"/>
      <c r="B1199" s="156" t="s">
        <v>88</v>
      </c>
      <c r="C1199" s="258" t="s">
        <v>546</v>
      </c>
      <c r="D1199" s="198" t="s">
        <v>22</v>
      </c>
      <c r="E1199" s="261" t="s">
        <v>547</v>
      </c>
      <c r="F1199" s="158">
        <v>0.0</v>
      </c>
      <c r="G1199" s="159">
        <v>258.0</v>
      </c>
      <c r="H1199" s="57">
        <f t="shared" si="29"/>
        <v>0</v>
      </c>
      <c r="I1199" s="57"/>
      <c r="J1199" s="58"/>
      <c r="K1199" s="54"/>
      <c r="L1199" s="54"/>
      <c r="M1199" s="54"/>
      <c r="N1199" s="54"/>
      <c r="O1199" s="54"/>
      <c r="P1199" s="54"/>
      <c r="Q1199" s="1"/>
      <c r="R1199" s="1"/>
      <c r="S1199" s="1"/>
      <c r="T1199" s="1"/>
      <c r="U1199" s="1"/>
      <c r="V1199" s="1"/>
    </row>
    <row r="1200" ht="15.75" hidden="1" customHeight="1">
      <c r="A1200" s="206"/>
      <c r="B1200" s="206" t="s">
        <v>18</v>
      </c>
      <c r="C1200" s="54" t="s">
        <v>742</v>
      </c>
      <c r="D1200" s="198" t="s">
        <v>22</v>
      </c>
      <c r="E1200" s="155" t="s">
        <v>636</v>
      </c>
      <c r="F1200" s="158">
        <v>0.0</v>
      </c>
      <c r="G1200" s="57">
        <v>16.0</v>
      </c>
      <c r="H1200" s="57">
        <f t="shared" si="29"/>
        <v>0</v>
      </c>
      <c r="I1200" s="57"/>
      <c r="J1200" s="58"/>
      <c r="K1200" s="54"/>
      <c r="L1200" s="54"/>
      <c r="M1200" s="54"/>
      <c r="N1200" s="54"/>
      <c r="O1200" s="54"/>
      <c r="P1200" s="54"/>
      <c r="Q1200" s="1"/>
      <c r="R1200" s="1"/>
      <c r="S1200" s="1"/>
      <c r="T1200" s="1"/>
      <c r="U1200" s="1"/>
      <c r="V1200" s="1"/>
    </row>
    <row r="1201" ht="15.75" hidden="1" customHeight="1">
      <c r="A1201" s="206"/>
      <c r="B1201" s="54" t="s">
        <v>18</v>
      </c>
      <c r="C1201" s="54" t="s">
        <v>881</v>
      </c>
      <c r="D1201" s="198" t="s">
        <v>22</v>
      </c>
      <c r="E1201" s="291" t="s">
        <v>882</v>
      </c>
      <c r="F1201" s="158">
        <v>0.0</v>
      </c>
      <c r="G1201" s="57">
        <v>14.0</v>
      </c>
      <c r="H1201" s="57">
        <f t="shared" si="29"/>
        <v>0</v>
      </c>
      <c r="I1201" s="57"/>
      <c r="J1201" s="58"/>
      <c r="K1201" s="54"/>
      <c r="L1201" s="54"/>
      <c r="M1201" s="54"/>
      <c r="N1201" s="54"/>
      <c r="O1201" s="54"/>
      <c r="P1201" s="54"/>
      <c r="Q1201" s="1"/>
      <c r="R1201" s="1"/>
      <c r="S1201" s="1"/>
      <c r="T1201" s="1"/>
      <c r="U1201" s="1"/>
      <c r="V1201" s="1"/>
    </row>
    <row r="1202" ht="15.75" hidden="1" customHeight="1">
      <c r="A1202" s="206"/>
      <c r="B1202" s="54" t="s">
        <v>539</v>
      </c>
      <c r="C1202" s="54" t="s">
        <v>749</v>
      </c>
      <c r="D1202" s="198" t="s">
        <v>22</v>
      </c>
      <c r="E1202" s="208" t="s">
        <v>778</v>
      </c>
      <c r="F1202" s="158">
        <v>0.0</v>
      </c>
      <c r="G1202" s="57">
        <v>0.0</v>
      </c>
      <c r="H1202" s="57">
        <f t="shared" si="29"/>
        <v>0</v>
      </c>
      <c r="I1202" s="57"/>
      <c r="J1202" s="58"/>
      <c r="K1202" s="54"/>
      <c r="L1202" s="54"/>
      <c r="M1202" s="54"/>
      <c r="N1202" s="54"/>
      <c r="O1202" s="54"/>
      <c r="P1202" s="54"/>
      <c r="Q1202" s="1"/>
      <c r="R1202" s="1"/>
      <c r="S1202" s="1"/>
      <c r="T1202" s="1"/>
      <c r="U1202" s="1"/>
      <c r="V1202" s="1"/>
    </row>
    <row r="1203" ht="15.75" hidden="1" customHeight="1">
      <c r="A1203" s="206"/>
      <c r="B1203" s="54" t="s">
        <v>751</v>
      </c>
      <c r="C1203" s="54" t="s">
        <v>752</v>
      </c>
      <c r="D1203" s="198" t="s">
        <v>22</v>
      </c>
      <c r="E1203" s="291" t="s">
        <v>753</v>
      </c>
      <c r="F1203" s="158">
        <v>0.0</v>
      </c>
      <c r="G1203" s="57">
        <v>750.0</v>
      </c>
      <c r="H1203" s="57">
        <f t="shared" si="29"/>
        <v>0</v>
      </c>
      <c r="I1203" s="57"/>
      <c r="J1203" s="58"/>
      <c r="K1203" s="54"/>
      <c r="L1203" s="54"/>
      <c r="M1203" s="54"/>
      <c r="N1203" s="54"/>
      <c r="O1203" s="54"/>
      <c r="P1203" s="54"/>
      <c r="Q1203" s="1"/>
      <c r="R1203" s="1"/>
      <c r="S1203" s="1"/>
      <c r="T1203" s="1"/>
      <c r="U1203" s="1"/>
      <c r="V1203" s="1"/>
    </row>
    <row r="1204" ht="15.75" customHeight="1">
      <c r="A1204" s="206"/>
      <c r="B1204" s="54"/>
      <c r="C1204" s="54" t="s">
        <v>258</v>
      </c>
      <c r="D1204" s="198" t="s">
        <v>22</v>
      </c>
      <c r="E1204" s="208"/>
      <c r="F1204" s="158">
        <v>2.0</v>
      </c>
      <c r="G1204" s="159">
        <v>500.0</v>
      </c>
      <c r="H1204" s="57">
        <f t="shared" si="29"/>
        <v>1000</v>
      </c>
      <c r="I1204" s="57"/>
      <c r="J1204" s="58"/>
      <c r="K1204" s="54"/>
      <c r="L1204" s="54"/>
      <c r="M1204" s="54"/>
      <c r="N1204" s="54"/>
      <c r="O1204" s="54"/>
      <c r="P1204" s="54"/>
      <c r="Q1204" s="1"/>
      <c r="R1204" s="1"/>
      <c r="S1204" s="1"/>
      <c r="T1204" s="1"/>
      <c r="U1204" s="1"/>
      <c r="V1204" s="1"/>
    </row>
    <row r="1205" ht="15.75" hidden="1" customHeight="1">
      <c r="A1205" s="206"/>
      <c r="B1205" s="54" t="s">
        <v>754</v>
      </c>
      <c r="C1205" s="54" t="s">
        <v>542</v>
      </c>
      <c r="D1205" s="198" t="s">
        <v>22</v>
      </c>
      <c r="E1205" s="201" t="s">
        <v>755</v>
      </c>
      <c r="F1205" s="56">
        <v>0.0</v>
      </c>
      <c r="G1205" s="57">
        <v>700.0</v>
      </c>
      <c r="H1205" s="57">
        <f t="shared" si="29"/>
        <v>0</v>
      </c>
      <c r="I1205" s="57"/>
      <c r="J1205" s="58"/>
      <c r="K1205" s="54"/>
      <c r="L1205" s="54"/>
      <c r="M1205" s="54"/>
      <c r="N1205" s="54"/>
      <c r="O1205" s="54"/>
      <c r="P1205" s="54"/>
      <c r="Q1205" s="1"/>
      <c r="R1205" s="1"/>
      <c r="S1205" s="1"/>
      <c r="T1205" s="1"/>
      <c r="U1205" s="1"/>
      <c r="V1205" s="1"/>
    </row>
    <row r="1206" ht="15.75" hidden="1" customHeight="1">
      <c r="A1206" s="206"/>
      <c r="B1206" s="54" t="s">
        <v>18</v>
      </c>
      <c r="C1206" s="258" t="s">
        <v>896</v>
      </c>
      <c r="D1206" s="198" t="s">
        <v>22</v>
      </c>
      <c r="E1206" s="157" t="s">
        <v>897</v>
      </c>
      <c r="F1206" s="158">
        <v>0.0</v>
      </c>
      <c r="G1206" s="159">
        <v>1228.8</v>
      </c>
      <c r="H1206" s="57">
        <f t="shared" si="29"/>
        <v>0</v>
      </c>
      <c r="I1206" s="57"/>
      <c r="J1206" s="58"/>
      <c r="K1206" s="54"/>
      <c r="L1206" s="54"/>
      <c r="M1206" s="54"/>
      <c r="N1206" s="54"/>
      <c r="O1206" s="54"/>
      <c r="P1206" s="54"/>
      <c r="Q1206" s="1"/>
      <c r="R1206" s="1"/>
      <c r="S1206" s="1"/>
      <c r="T1206" s="1"/>
      <c r="U1206" s="1"/>
      <c r="V1206" s="1"/>
    </row>
    <row r="1207" ht="15.75" customHeight="1">
      <c r="A1207" s="206"/>
      <c r="B1207" s="258" t="s">
        <v>18</v>
      </c>
      <c r="C1207" s="258" t="s">
        <v>758</v>
      </c>
      <c r="D1207" s="198" t="s">
        <v>22</v>
      </c>
      <c r="E1207" s="157" t="s">
        <v>759</v>
      </c>
      <c r="F1207" s="158">
        <v>1.0</v>
      </c>
      <c r="G1207" s="159">
        <v>630.0</v>
      </c>
      <c r="H1207" s="57">
        <f t="shared" si="29"/>
        <v>630</v>
      </c>
      <c r="I1207" s="57"/>
      <c r="J1207" s="58"/>
      <c r="K1207" s="54"/>
      <c r="L1207" s="54"/>
      <c r="M1207" s="54"/>
      <c r="N1207" s="54"/>
      <c r="O1207" s="54"/>
      <c r="P1207" s="54"/>
      <c r="Q1207" s="1"/>
      <c r="R1207" s="1"/>
      <c r="S1207" s="1"/>
      <c r="T1207" s="1"/>
      <c r="U1207" s="1"/>
      <c r="V1207" s="1"/>
    </row>
    <row r="1208" ht="15.75" customHeight="1">
      <c r="A1208" s="206"/>
      <c r="B1208" s="258"/>
      <c r="C1208" s="258" t="s">
        <v>760</v>
      </c>
      <c r="D1208" s="198" t="s">
        <v>22</v>
      </c>
      <c r="E1208" s="160"/>
      <c r="F1208" s="158">
        <v>1.0</v>
      </c>
      <c r="G1208" s="159">
        <v>200.0</v>
      </c>
      <c r="H1208" s="57">
        <f t="shared" si="29"/>
        <v>200</v>
      </c>
      <c r="I1208" s="57"/>
      <c r="J1208" s="58"/>
      <c r="K1208" s="54"/>
      <c r="L1208" s="54"/>
      <c r="M1208" s="54"/>
      <c r="N1208" s="54"/>
      <c r="O1208" s="54"/>
      <c r="P1208" s="54"/>
      <c r="Q1208" s="1"/>
      <c r="R1208" s="1"/>
      <c r="S1208" s="1"/>
      <c r="T1208" s="1"/>
      <c r="U1208" s="1"/>
      <c r="V1208" s="1"/>
    </row>
    <row r="1209" ht="15.75" hidden="1" customHeight="1">
      <c r="A1209" s="206"/>
      <c r="B1209" s="54" t="s">
        <v>18</v>
      </c>
      <c r="C1209" s="54" t="s">
        <v>767</v>
      </c>
      <c r="D1209" s="198" t="s">
        <v>22</v>
      </c>
      <c r="E1209" s="54" t="s">
        <v>898</v>
      </c>
      <c r="F1209" s="56">
        <v>0.0</v>
      </c>
      <c r="G1209" s="57">
        <v>500.0</v>
      </c>
      <c r="H1209" s="57">
        <f t="shared" si="29"/>
        <v>0</v>
      </c>
      <c r="I1209" s="57"/>
      <c r="J1209" s="58"/>
      <c r="K1209" s="324">
        <v>44928.0</v>
      </c>
      <c r="L1209" s="54"/>
      <c r="M1209" s="54"/>
      <c r="N1209" s="54"/>
      <c r="O1209" s="54"/>
      <c r="P1209" s="54"/>
      <c r="Q1209" s="1"/>
      <c r="R1209" s="1"/>
      <c r="S1209" s="1"/>
      <c r="T1209" s="1"/>
      <c r="U1209" s="1"/>
      <c r="V1209" s="1"/>
    </row>
    <row r="1210" ht="15.75" hidden="1" customHeight="1">
      <c r="A1210" s="206"/>
      <c r="B1210" s="54" t="s">
        <v>18</v>
      </c>
      <c r="C1210" s="54" t="s">
        <v>765</v>
      </c>
      <c r="D1210" s="198" t="s">
        <v>22</v>
      </c>
      <c r="E1210" s="201" t="s">
        <v>766</v>
      </c>
      <c r="F1210" s="158">
        <v>0.0</v>
      </c>
      <c r="G1210" s="57">
        <v>635.0</v>
      </c>
      <c r="H1210" s="57">
        <f t="shared" si="29"/>
        <v>0</v>
      </c>
      <c r="I1210" s="57"/>
      <c r="J1210" s="58"/>
      <c r="K1210" s="54"/>
      <c r="L1210" s="54"/>
      <c r="M1210" s="54"/>
      <c r="N1210" s="54"/>
      <c r="O1210" s="54"/>
      <c r="P1210" s="54"/>
      <c r="Q1210" s="1"/>
      <c r="R1210" s="1"/>
      <c r="S1210" s="1"/>
      <c r="T1210" s="1"/>
      <c r="U1210" s="1"/>
      <c r="V1210" s="1"/>
    </row>
    <row r="1211" ht="15.75" hidden="1" customHeight="1">
      <c r="A1211" s="206"/>
      <c r="B1211" s="54" t="s">
        <v>18</v>
      </c>
      <c r="C1211" s="54" t="s">
        <v>767</v>
      </c>
      <c r="D1211" s="198" t="s">
        <v>22</v>
      </c>
      <c r="E1211" s="201" t="s">
        <v>768</v>
      </c>
      <c r="F1211" s="158">
        <v>0.0</v>
      </c>
      <c r="G1211" s="57">
        <v>410.0</v>
      </c>
      <c r="H1211" s="57">
        <f t="shared" si="29"/>
        <v>0</v>
      </c>
      <c r="I1211" s="57"/>
      <c r="J1211" s="58"/>
      <c r="K1211" s="54"/>
      <c r="L1211" s="54"/>
      <c r="M1211" s="54"/>
      <c r="N1211" s="54"/>
      <c r="O1211" s="54"/>
      <c r="P1211" s="54"/>
      <c r="Q1211" s="1"/>
      <c r="R1211" s="1"/>
      <c r="S1211" s="1"/>
      <c r="T1211" s="1"/>
      <c r="U1211" s="1"/>
      <c r="V1211" s="1"/>
    </row>
    <row r="1212" ht="15.75" hidden="1" customHeight="1">
      <c r="A1212" s="206"/>
      <c r="B1212" s="54"/>
      <c r="C1212" s="54" t="s">
        <v>769</v>
      </c>
      <c r="D1212" s="198" t="s">
        <v>22</v>
      </c>
      <c r="E1212" s="201"/>
      <c r="F1212" s="56">
        <v>0.0</v>
      </c>
      <c r="G1212" s="57">
        <v>687.5</v>
      </c>
      <c r="H1212" s="57">
        <f t="shared" si="29"/>
        <v>0</v>
      </c>
      <c r="I1212" s="57"/>
      <c r="J1212" s="58"/>
      <c r="K1212" s="54"/>
      <c r="L1212" s="54"/>
      <c r="M1212" s="54"/>
      <c r="N1212" s="54"/>
      <c r="O1212" s="54"/>
      <c r="P1212" s="54"/>
      <c r="Q1212" s="1"/>
      <c r="R1212" s="1"/>
      <c r="S1212" s="1"/>
      <c r="T1212" s="1"/>
      <c r="U1212" s="1"/>
      <c r="V1212" s="1"/>
    </row>
    <row r="1213" ht="15.75" hidden="1" customHeight="1">
      <c r="A1213" s="206"/>
      <c r="B1213" s="54" t="s">
        <v>264</v>
      </c>
      <c r="C1213" s="54" t="s">
        <v>770</v>
      </c>
      <c r="D1213" s="198" t="s">
        <v>22</v>
      </c>
      <c r="E1213" s="201">
        <v>603191.0</v>
      </c>
      <c r="F1213" s="158">
        <v>0.0</v>
      </c>
      <c r="G1213" s="57">
        <v>522.0</v>
      </c>
      <c r="H1213" s="57">
        <f t="shared" si="29"/>
        <v>0</v>
      </c>
      <c r="I1213" s="57"/>
      <c r="J1213" s="58"/>
      <c r="K1213" s="54"/>
      <c r="L1213" s="54"/>
      <c r="M1213" s="54"/>
      <c r="N1213" s="54"/>
      <c r="O1213" s="54"/>
      <c r="P1213" s="54"/>
      <c r="Q1213" s="1"/>
      <c r="R1213" s="1"/>
      <c r="S1213" s="1"/>
      <c r="T1213" s="1"/>
      <c r="U1213" s="1"/>
      <c r="V1213" s="1"/>
    </row>
    <row r="1214" ht="15.75" hidden="1" customHeight="1">
      <c r="A1214" s="206"/>
      <c r="B1214" s="54" t="s">
        <v>18</v>
      </c>
      <c r="C1214" s="54" t="s">
        <v>444</v>
      </c>
      <c r="D1214" s="198" t="s">
        <v>22</v>
      </c>
      <c r="E1214" s="205" t="s">
        <v>771</v>
      </c>
      <c r="F1214" s="158">
        <v>0.0</v>
      </c>
      <c r="G1214" s="57">
        <v>500.0</v>
      </c>
      <c r="H1214" s="57">
        <f t="shared" si="29"/>
        <v>0</v>
      </c>
      <c r="I1214" s="57"/>
      <c r="J1214" s="58"/>
      <c r="K1214" s="54"/>
      <c r="L1214" s="54"/>
      <c r="M1214" s="54"/>
      <c r="N1214" s="54"/>
      <c r="O1214" s="54"/>
      <c r="P1214" s="54"/>
      <c r="Q1214" s="1"/>
      <c r="R1214" s="1"/>
      <c r="S1214" s="1"/>
      <c r="T1214" s="1"/>
      <c r="U1214" s="1"/>
      <c r="V1214" s="1"/>
    </row>
    <row r="1215" ht="15.75" hidden="1" customHeight="1">
      <c r="A1215" s="206"/>
      <c r="B1215" s="54" t="s">
        <v>18</v>
      </c>
      <c r="C1215" s="54" t="s">
        <v>772</v>
      </c>
      <c r="D1215" s="198" t="s">
        <v>22</v>
      </c>
      <c r="E1215" s="205" t="s">
        <v>773</v>
      </c>
      <c r="F1215" s="158">
        <v>0.0</v>
      </c>
      <c r="G1215" s="57">
        <v>40.0</v>
      </c>
      <c r="H1215" s="57">
        <f t="shared" si="29"/>
        <v>0</v>
      </c>
      <c r="I1215" s="57"/>
      <c r="J1215" s="58"/>
      <c r="K1215" s="313"/>
      <c r="L1215" s="54"/>
      <c r="M1215" s="54"/>
      <c r="N1215" s="54"/>
      <c r="O1215" s="54"/>
      <c r="P1215" s="54"/>
      <c r="Q1215" s="1"/>
      <c r="R1215" s="1"/>
      <c r="S1215" s="1"/>
      <c r="T1215" s="1"/>
      <c r="U1215" s="1"/>
      <c r="V1215" s="1"/>
    </row>
    <row r="1216" ht="15.75" hidden="1" customHeight="1">
      <c r="A1216" s="206"/>
      <c r="B1216" s="54" t="s">
        <v>320</v>
      </c>
      <c r="C1216" s="54" t="s">
        <v>774</v>
      </c>
      <c r="D1216" s="198" t="s">
        <v>22</v>
      </c>
      <c r="E1216" s="54"/>
      <c r="F1216" s="56">
        <v>0.0</v>
      </c>
      <c r="G1216" s="57">
        <v>320.0</v>
      </c>
      <c r="H1216" s="57">
        <f t="shared" si="29"/>
        <v>0</v>
      </c>
      <c r="I1216" s="57"/>
      <c r="J1216" s="58"/>
      <c r="K1216" s="54"/>
      <c r="L1216" s="54"/>
      <c r="M1216" s="54"/>
      <c r="N1216" s="54"/>
      <c r="O1216" s="54"/>
      <c r="P1216" s="54"/>
      <c r="Q1216" s="1"/>
      <c r="R1216" s="1"/>
      <c r="S1216" s="1"/>
      <c r="T1216" s="1"/>
      <c r="U1216" s="1"/>
      <c r="V1216" s="1"/>
    </row>
    <row r="1217" ht="15.75" hidden="1" customHeight="1">
      <c r="A1217" s="206"/>
      <c r="B1217" s="54" t="s">
        <v>277</v>
      </c>
      <c r="C1217" s="54" t="s">
        <v>775</v>
      </c>
      <c r="D1217" s="198" t="s">
        <v>22</v>
      </c>
      <c r="E1217" s="54"/>
      <c r="F1217" s="158">
        <v>0.0</v>
      </c>
      <c r="G1217" s="57">
        <v>560.0</v>
      </c>
      <c r="H1217" s="57">
        <f t="shared" si="29"/>
        <v>0</v>
      </c>
      <c r="I1217" s="58"/>
      <c r="J1217" s="58"/>
      <c r="K1217" s="54"/>
      <c r="L1217" s="54"/>
      <c r="M1217" s="54"/>
      <c r="N1217" s="54"/>
      <c r="O1217" s="54"/>
      <c r="P1217" s="54"/>
      <c r="Q1217" s="1"/>
      <c r="R1217" s="1"/>
      <c r="S1217" s="1"/>
      <c r="T1217" s="1"/>
      <c r="U1217" s="1"/>
      <c r="V1217" s="1"/>
    </row>
    <row r="1218" ht="15.75" hidden="1" customHeight="1">
      <c r="A1218" s="206"/>
      <c r="B1218" s="43" t="s">
        <v>88</v>
      </c>
      <c r="C1218" s="54" t="s">
        <v>411</v>
      </c>
      <c r="D1218" s="55" t="s">
        <v>20</v>
      </c>
      <c r="E1218" s="171" t="s">
        <v>412</v>
      </c>
      <c r="F1218" s="158">
        <v>0.0</v>
      </c>
      <c r="G1218" s="34">
        <v>334.0</v>
      </c>
      <c r="H1218" s="57">
        <f t="shared" si="29"/>
        <v>0</v>
      </c>
      <c r="I1218" s="57"/>
      <c r="J1218" s="58"/>
      <c r="K1218" s="54"/>
      <c r="L1218" s="54"/>
      <c r="M1218" s="54"/>
      <c r="N1218" s="54"/>
      <c r="O1218" s="54"/>
      <c r="P1218" s="54"/>
      <c r="Q1218" s="1"/>
      <c r="R1218" s="1"/>
      <c r="S1218" s="1"/>
      <c r="T1218" s="1"/>
      <c r="U1218" s="1"/>
      <c r="V1218" s="1"/>
    </row>
    <row r="1219" ht="15.75" hidden="1" customHeight="1">
      <c r="A1219" s="206"/>
      <c r="B1219" s="54" t="s">
        <v>277</v>
      </c>
      <c r="C1219" s="258" t="s">
        <v>899</v>
      </c>
      <c r="D1219" s="55" t="s">
        <v>20</v>
      </c>
      <c r="E1219" s="54"/>
      <c r="F1219" s="158">
        <v>0.0</v>
      </c>
      <c r="G1219" s="159">
        <v>1000.0</v>
      </c>
      <c r="H1219" s="57">
        <f t="shared" si="29"/>
        <v>0</v>
      </c>
      <c r="I1219" s="57"/>
      <c r="J1219" s="58"/>
      <c r="K1219" s="54"/>
      <c r="L1219" s="54"/>
      <c r="M1219" s="54"/>
      <c r="N1219" s="54"/>
      <c r="O1219" s="54"/>
      <c r="P1219" s="54"/>
      <c r="Q1219" s="1"/>
      <c r="R1219" s="1"/>
      <c r="S1219" s="1"/>
      <c r="T1219" s="1"/>
      <c r="U1219" s="1"/>
      <c r="V1219" s="1"/>
    </row>
    <row r="1220" ht="15.75" customHeight="1">
      <c r="A1220" s="206"/>
      <c r="B1220" s="43" t="s">
        <v>88</v>
      </c>
      <c r="C1220" s="54" t="s">
        <v>411</v>
      </c>
      <c r="D1220" s="55" t="s">
        <v>20</v>
      </c>
      <c r="E1220" s="171" t="s">
        <v>412</v>
      </c>
      <c r="F1220" s="158">
        <v>3.0</v>
      </c>
      <c r="G1220" s="34">
        <v>334.0</v>
      </c>
      <c r="H1220" s="57">
        <f t="shared" si="29"/>
        <v>1002</v>
      </c>
      <c r="I1220" s="57"/>
      <c r="J1220" s="58"/>
      <c r="K1220" s="54"/>
      <c r="L1220" s="54"/>
      <c r="M1220" s="54"/>
      <c r="N1220" s="54"/>
      <c r="O1220" s="54"/>
      <c r="P1220" s="54"/>
      <c r="Q1220" s="1"/>
      <c r="R1220" s="1"/>
      <c r="S1220" s="1"/>
      <c r="T1220" s="1"/>
      <c r="U1220" s="1"/>
      <c r="V1220" s="1"/>
    </row>
    <row r="1221" ht="15.75" hidden="1" customHeight="1">
      <c r="A1221" s="206"/>
      <c r="B1221" s="54" t="s">
        <v>539</v>
      </c>
      <c r="C1221" s="54" t="s">
        <v>777</v>
      </c>
      <c r="D1221" s="55" t="s">
        <v>20</v>
      </c>
      <c r="E1221" s="54" t="s">
        <v>778</v>
      </c>
      <c r="F1221" s="158">
        <v>0.0</v>
      </c>
      <c r="G1221" s="57">
        <v>0.0</v>
      </c>
      <c r="H1221" s="57">
        <f t="shared" si="29"/>
        <v>0</v>
      </c>
      <c r="I1221" s="57"/>
      <c r="J1221" s="58"/>
      <c r="K1221" s="54"/>
      <c r="L1221" s="54"/>
      <c r="M1221" s="54"/>
      <c r="N1221" s="54"/>
      <c r="O1221" s="54"/>
      <c r="P1221" s="54"/>
      <c r="Q1221" s="1"/>
      <c r="R1221" s="1"/>
      <c r="S1221" s="1"/>
      <c r="T1221" s="1"/>
      <c r="U1221" s="1"/>
      <c r="V1221" s="1"/>
    </row>
    <row r="1222" ht="15.75" hidden="1" customHeight="1">
      <c r="A1222" s="206"/>
      <c r="B1222" s="54" t="s">
        <v>18</v>
      </c>
      <c r="C1222" s="54" t="s">
        <v>779</v>
      </c>
      <c r="D1222" s="55" t="s">
        <v>20</v>
      </c>
      <c r="E1222" s="205" t="s">
        <v>780</v>
      </c>
      <c r="F1222" s="158">
        <v>0.0</v>
      </c>
      <c r="G1222" s="57">
        <v>150.0</v>
      </c>
      <c r="H1222" s="57">
        <f t="shared" si="29"/>
        <v>0</v>
      </c>
      <c r="I1222" s="57"/>
      <c r="J1222" s="58"/>
      <c r="K1222" s="54"/>
      <c r="L1222" s="54"/>
      <c r="M1222" s="54"/>
      <c r="N1222" s="54"/>
      <c r="O1222" s="54"/>
      <c r="P1222" s="54"/>
      <c r="Q1222" s="1"/>
      <c r="R1222" s="1"/>
      <c r="S1222" s="1"/>
      <c r="T1222" s="1"/>
      <c r="U1222" s="1"/>
      <c r="V1222" s="1"/>
    </row>
    <row r="1223" ht="15.75" hidden="1" customHeight="1">
      <c r="A1223" s="206"/>
      <c r="B1223" s="54" t="s">
        <v>18</v>
      </c>
      <c r="C1223" s="54" t="s">
        <v>781</v>
      </c>
      <c r="D1223" s="55" t="s">
        <v>20</v>
      </c>
      <c r="E1223" s="205" t="s">
        <v>901</v>
      </c>
      <c r="F1223" s="158">
        <v>0.0</v>
      </c>
      <c r="G1223" s="57">
        <v>230.0</v>
      </c>
      <c r="H1223" s="57">
        <f t="shared" si="29"/>
        <v>0</v>
      </c>
      <c r="I1223" s="57"/>
      <c r="J1223" s="58"/>
      <c r="K1223" s="54"/>
      <c r="L1223" s="54"/>
      <c r="M1223" s="54"/>
      <c r="N1223" s="54"/>
      <c r="O1223" s="54"/>
      <c r="P1223" s="54"/>
      <c r="Q1223" s="1"/>
      <c r="R1223" s="1"/>
      <c r="S1223" s="1"/>
      <c r="T1223" s="1"/>
      <c r="U1223" s="1"/>
      <c r="V1223" s="1"/>
    </row>
    <row r="1224" ht="15.75" hidden="1" customHeight="1">
      <c r="A1224" s="206"/>
      <c r="B1224" s="54" t="s">
        <v>228</v>
      </c>
      <c r="C1224" s="54" t="s">
        <v>783</v>
      </c>
      <c r="D1224" s="55" t="s">
        <v>20</v>
      </c>
      <c r="E1224" s="54"/>
      <c r="F1224" s="158">
        <v>0.0</v>
      </c>
      <c r="G1224" s="57">
        <v>10.0</v>
      </c>
      <c r="H1224" s="57">
        <f t="shared" si="29"/>
        <v>0</v>
      </c>
      <c r="I1224" s="57"/>
      <c r="J1224" s="58"/>
      <c r="K1224" s="54"/>
      <c r="L1224" s="54"/>
      <c r="M1224" s="54"/>
      <c r="N1224" s="54"/>
      <c r="O1224" s="54"/>
      <c r="P1224" s="54"/>
      <c r="Q1224" s="1"/>
      <c r="R1224" s="1"/>
      <c r="S1224" s="1"/>
      <c r="T1224" s="1"/>
      <c r="U1224" s="1"/>
      <c r="V1224" s="1"/>
    </row>
    <row r="1225" ht="15.75" hidden="1" customHeight="1">
      <c r="A1225" s="206"/>
      <c r="B1225" s="54" t="s">
        <v>18</v>
      </c>
      <c r="C1225" s="54" t="s">
        <v>784</v>
      </c>
      <c r="D1225" s="55" t="s">
        <v>20</v>
      </c>
      <c r="E1225" s="201" t="s">
        <v>785</v>
      </c>
      <c r="F1225" s="158">
        <v>0.0</v>
      </c>
      <c r="G1225" s="57">
        <v>9.0</v>
      </c>
      <c r="H1225" s="57">
        <f t="shared" si="29"/>
        <v>0</v>
      </c>
      <c r="I1225" s="57"/>
      <c r="J1225" s="58"/>
      <c r="K1225" s="54"/>
      <c r="L1225" s="54"/>
      <c r="M1225" s="54"/>
      <c r="N1225" s="54"/>
      <c r="O1225" s="54"/>
      <c r="P1225" s="54"/>
      <c r="Q1225" s="1"/>
      <c r="R1225" s="1"/>
      <c r="S1225" s="1"/>
      <c r="T1225" s="1"/>
      <c r="U1225" s="1"/>
      <c r="V1225" s="1"/>
    </row>
    <row r="1226" ht="15.75" hidden="1" customHeight="1">
      <c r="A1226" s="206"/>
      <c r="B1226" s="54" t="s">
        <v>277</v>
      </c>
      <c r="C1226" s="54" t="s">
        <v>786</v>
      </c>
      <c r="D1226" s="198" t="s">
        <v>22</v>
      </c>
      <c r="E1226" s="54"/>
      <c r="F1226" s="158">
        <v>0.0</v>
      </c>
      <c r="G1226" s="57">
        <v>69.99</v>
      </c>
      <c r="H1226" s="57">
        <f t="shared" si="29"/>
        <v>0</v>
      </c>
      <c r="I1226" s="57"/>
      <c r="J1226" s="58"/>
      <c r="K1226" s="54"/>
      <c r="L1226" s="54"/>
      <c r="M1226" s="54"/>
      <c r="N1226" s="54"/>
      <c r="O1226" s="54"/>
      <c r="P1226" s="54"/>
      <c r="Q1226" s="1"/>
      <c r="R1226" s="1"/>
      <c r="S1226" s="1"/>
      <c r="T1226" s="1"/>
      <c r="U1226" s="1"/>
      <c r="V1226" s="1"/>
    </row>
    <row r="1227" ht="15.75" hidden="1" customHeight="1">
      <c r="A1227" s="206"/>
      <c r="B1227" s="54" t="s">
        <v>18</v>
      </c>
      <c r="C1227" s="54" t="s">
        <v>787</v>
      </c>
      <c r="D1227" s="198" t="s">
        <v>22</v>
      </c>
      <c r="E1227" s="205" t="s">
        <v>902</v>
      </c>
      <c r="F1227" s="56">
        <v>0.0</v>
      </c>
      <c r="G1227" s="57">
        <v>255.0</v>
      </c>
      <c r="H1227" s="57">
        <f t="shared" si="29"/>
        <v>0</v>
      </c>
      <c r="I1227" s="57"/>
      <c r="J1227" s="58"/>
      <c r="K1227" s="54"/>
      <c r="L1227" s="54"/>
      <c r="M1227" s="54"/>
      <c r="N1227" s="54"/>
      <c r="O1227" s="54"/>
      <c r="P1227" s="54"/>
      <c r="Q1227" s="1"/>
      <c r="R1227" s="1"/>
      <c r="S1227" s="1"/>
      <c r="T1227" s="1"/>
      <c r="U1227" s="1"/>
      <c r="V1227" s="1"/>
    </row>
    <row r="1228" ht="15.75" hidden="1" customHeight="1">
      <c r="A1228" s="206"/>
      <c r="B1228" s="54" t="s">
        <v>18</v>
      </c>
      <c r="C1228" s="54" t="s">
        <v>285</v>
      </c>
      <c r="D1228" s="55" t="s">
        <v>20</v>
      </c>
      <c r="E1228" s="54" t="s">
        <v>286</v>
      </c>
      <c r="F1228" s="158">
        <v>0.0</v>
      </c>
      <c r="G1228" s="57">
        <v>3.0</v>
      </c>
      <c r="H1228" s="57">
        <f t="shared" si="29"/>
        <v>0</v>
      </c>
      <c r="I1228" s="57"/>
      <c r="J1228" s="58"/>
      <c r="K1228" s="13"/>
      <c r="L1228" s="54"/>
      <c r="M1228" s="54"/>
      <c r="N1228" s="54"/>
      <c r="O1228" s="54"/>
      <c r="P1228" s="54"/>
      <c r="Q1228" s="1"/>
      <c r="R1228" s="1"/>
      <c r="S1228" s="1"/>
      <c r="T1228" s="1"/>
      <c r="U1228" s="1"/>
      <c r="V1228" s="1"/>
    </row>
    <row r="1229" ht="15.75" hidden="1" customHeight="1">
      <c r="A1229" s="206"/>
      <c r="B1229" s="54" t="s">
        <v>18</v>
      </c>
      <c r="C1229" s="54" t="s">
        <v>789</v>
      </c>
      <c r="D1229" s="55" t="s">
        <v>20</v>
      </c>
      <c r="E1229" s="54" t="s">
        <v>790</v>
      </c>
      <c r="F1229" s="56">
        <v>0.0</v>
      </c>
      <c r="G1229" s="57">
        <v>14.0</v>
      </c>
      <c r="H1229" s="57">
        <f t="shared" si="29"/>
        <v>0</v>
      </c>
      <c r="I1229" s="57"/>
      <c r="J1229" s="58"/>
      <c r="K1229" s="54"/>
      <c r="L1229" s="54"/>
      <c r="M1229" s="54"/>
      <c r="N1229" s="54"/>
      <c r="O1229" s="54"/>
      <c r="P1229" s="54"/>
      <c r="Q1229" s="1"/>
      <c r="R1229" s="1"/>
      <c r="S1229" s="1"/>
      <c r="T1229" s="1"/>
      <c r="U1229" s="1"/>
      <c r="V1229" s="1"/>
    </row>
    <row r="1230" ht="15.75" hidden="1" customHeight="1">
      <c r="A1230" s="206"/>
      <c r="B1230" s="54" t="s">
        <v>463</v>
      </c>
      <c r="C1230" s="54" t="s">
        <v>791</v>
      </c>
      <c r="D1230" s="198" t="s">
        <v>22</v>
      </c>
      <c r="E1230" s="201" t="s">
        <v>792</v>
      </c>
      <c r="F1230" s="158">
        <v>0.0</v>
      </c>
      <c r="G1230" s="57">
        <v>23.0</v>
      </c>
      <c r="H1230" s="57">
        <f t="shared" si="29"/>
        <v>0</v>
      </c>
      <c r="I1230" s="57"/>
      <c r="J1230" s="58"/>
      <c r="K1230" s="54"/>
      <c r="L1230" s="54"/>
      <c r="M1230" s="54"/>
      <c r="N1230" s="54"/>
      <c r="O1230" s="54"/>
      <c r="P1230" s="54"/>
      <c r="Q1230" s="1"/>
      <c r="R1230" s="1"/>
      <c r="S1230" s="1"/>
      <c r="T1230" s="1"/>
      <c r="U1230" s="1"/>
      <c r="V1230" s="1"/>
    </row>
    <row r="1231" ht="15.75" hidden="1" customHeight="1">
      <c r="A1231" s="206"/>
      <c r="B1231" s="54" t="s">
        <v>463</v>
      </c>
      <c r="C1231" s="54" t="s">
        <v>793</v>
      </c>
      <c r="D1231" s="198" t="s">
        <v>22</v>
      </c>
      <c r="E1231" s="201" t="s">
        <v>794</v>
      </c>
      <c r="F1231" s="158">
        <v>0.0</v>
      </c>
      <c r="G1231" s="57">
        <v>23.0</v>
      </c>
      <c r="H1231" s="57">
        <f t="shared" si="29"/>
        <v>0</v>
      </c>
      <c r="I1231" s="57"/>
      <c r="J1231" s="58"/>
      <c r="K1231" s="54"/>
      <c r="L1231" s="54"/>
      <c r="M1231" s="54"/>
      <c r="N1231" s="54"/>
      <c r="O1231" s="54"/>
      <c r="P1231" s="54"/>
      <c r="Q1231" s="1"/>
      <c r="R1231" s="1"/>
      <c r="S1231" s="1"/>
      <c r="T1231" s="1"/>
      <c r="U1231" s="1"/>
      <c r="V1231" s="1"/>
    </row>
    <row r="1232" ht="15.75" hidden="1" customHeight="1">
      <c r="A1232" s="206"/>
      <c r="B1232" s="54" t="s">
        <v>463</v>
      </c>
      <c r="C1232" s="54" t="s">
        <v>795</v>
      </c>
      <c r="D1232" s="198" t="s">
        <v>22</v>
      </c>
      <c r="E1232" s="205" t="s">
        <v>796</v>
      </c>
      <c r="F1232" s="158">
        <v>0.0</v>
      </c>
      <c r="G1232" s="57">
        <v>23.0</v>
      </c>
      <c r="H1232" s="57">
        <f t="shared" si="29"/>
        <v>0</v>
      </c>
      <c r="I1232" s="57"/>
      <c r="J1232" s="58"/>
      <c r="K1232" s="54"/>
      <c r="L1232" s="54"/>
      <c r="M1232" s="54"/>
      <c r="N1232" s="54"/>
      <c r="O1232" s="54"/>
      <c r="P1232" s="54"/>
      <c r="Q1232" s="1"/>
      <c r="R1232" s="1"/>
      <c r="S1232" s="1"/>
      <c r="T1232" s="1"/>
      <c r="U1232" s="1"/>
      <c r="V1232" s="1"/>
    </row>
    <row r="1233" ht="15.75" hidden="1" customHeight="1">
      <c r="A1233" s="206"/>
      <c r="B1233" s="54" t="s">
        <v>463</v>
      </c>
      <c r="C1233" s="54" t="s">
        <v>797</v>
      </c>
      <c r="D1233" s="198" t="s">
        <v>22</v>
      </c>
      <c r="E1233" s="205" t="s">
        <v>798</v>
      </c>
      <c r="F1233" s="158">
        <v>0.0</v>
      </c>
      <c r="G1233" s="57">
        <v>23.0</v>
      </c>
      <c r="H1233" s="57">
        <f t="shared" si="29"/>
        <v>0</v>
      </c>
      <c r="I1233" s="57"/>
      <c r="J1233" s="58"/>
      <c r="K1233" s="54"/>
      <c r="L1233" s="54"/>
      <c r="M1233" s="54"/>
      <c r="N1233" s="54"/>
      <c r="O1233" s="54"/>
      <c r="P1233" s="54"/>
      <c r="Q1233" s="1"/>
      <c r="R1233" s="1"/>
      <c r="S1233" s="1"/>
      <c r="T1233" s="1"/>
      <c r="U1233" s="1"/>
      <c r="V1233" s="1"/>
    </row>
    <row r="1234" ht="15.75" hidden="1" customHeight="1">
      <c r="A1234" s="206"/>
      <c r="B1234" s="54" t="s">
        <v>463</v>
      </c>
      <c r="C1234" s="54" t="s">
        <v>799</v>
      </c>
      <c r="D1234" s="198" t="s">
        <v>22</v>
      </c>
      <c r="E1234" s="205" t="s">
        <v>800</v>
      </c>
      <c r="F1234" s="158">
        <v>0.0</v>
      </c>
      <c r="G1234" s="57">
        <v>23.0</v>
      </c>
      <c r="H1234" s="57">
        <f t="shared" si="29"/>
        <v>0</v>
      </c>
      <c r="I1234" s="57"/>
      <c r="J1234" s="58"/>
      <c r="K1234" s="54"/>
      <c r="L1234" s="54"/>
      <c r="M1234" s="54"/>
      <c r="N1234" s="54"/>
      <c r="O1234" s="54"/>
      <c r="P1234" s="54"/>
      <c r="Q1234" s="1"/>
      <c r="R1234" s="1"/>
      <c r="S1234" s="1"/>
      <c r="T1234" s="1"/>
      <c r="U1234" s="1"/>
      <c r="V1234" s="1"/>
    </row>
    <row r="1235" ht="15.75" hidden="1" customHeight="1">
      <c r="A1235" s="206"/>
      <c r="B1235" s="54" t="s">
        <v>463</v>
      </c>
      <c r="C1235" s="54" t="s">
        <v>801</v>
      </c>
      <c r="D1235" s="198" t="s">
        <v>22</v>
      </c>
      <c r="E1235" s="205" t="s">
        <v>802</v>
      </c>
      <c r="F1235" s="158">
        <v>0.0</v>
      </c>
      <c r="G1235" s="57">
        <v>23.0</v>
      </c>
      <c r="H1235" s="57">
        <f t="shared" si="29"/>
        <v>0</v>
      </c>
      <c r="I1235" s="57"/>
      <c r="J1235" s="58"/>
      <c r="K1235" s="54"/>
      <c r="L1235" s="54"/>
      <c r="M1235" s="54"/>
      <c r="N1235" s="54"/>
      <c r="O1235" s="54"/>
      <c r="P1235" s="54"/>
      <c r="Q1235" s="1"/>
      <c r="R1235" s="1"/>
      <c r="S1235" s="1"/>
      <c r="T1235" s="1"/>
      <c r="U1235" s="1"/>
      <c r="V1235" s="1"/>
    </row>
    <row r="1236" ht="15.75" hidden="1" customHeight="1">
      <c r="A1236" s="206"/>
      <c r="B1236" s="54" t="s">
        <v>803</v>
      </c>
      <c r="C1236" s="54" t="s">
        <v>804</v>
      </c>
      <c r="D1236" s="198" t="s">
        <v>22</v>
      </c>
      <c r="E1236" s="205" t="s">
        <v>805</v>
      </c>
      <c r="F1236" s="158">
        <v>0.0</v>
      </c>
      <c r="G1236" s="57">
        <v>35.0</v>
      </c>
      <c r="H1236" s="57">
        <f t="shared" si="29"/>
        <v>0</v>
      </c>
      <c r="I1236" s="57"/>
      <c r="J1236" s="58"/>
      <c r="K1236" s="54"/>
      <c r="L1236" s="54"/>
      <c r="M1236" s="54"/>
      <c r="N1236" s="54"/>
      <c r="O1236" s="54"/>
      <c r="P1236" s="54"/>
      <c r="Q1236" s="1"/>
      <c r="R1236" s="1"/>
      <c r="S1236" s="1"/>
      <c r="T1236" s="1"/>
      <c r="U1236" s="1"/>
      <c r="V1236" s="1"/>
    </row>
    <row r="1237" ht="15.75" hidden="1" customHeight="1">
      <c r="A1237" s="206"/>
      <c r="B1237" s="54" t="s">
        <v>803</v>
      </c>
      <c r="C1237" s="54" t="s">
        <v>806</v>
      </c>
      <c r="D1237" s="198" t="s">
        <v>22</v>
      </c>
      <c r="E1237" s="201" t="s">
        <v>807</v>
      </c>
      <c r="F1237" s="158">
        <v>0.0</v>
      </c>
      <c r="G1237" s="57">
        <v>35.0</v>
      </c>
      <c r="H1237" s="57">
        <f t="shared" si="29"/>
        <v>0</v>
      </c>
      <c r="I1237" s="57"/>
      <c r="J1237" s="58"/>
      <c r="K1237" s="54"/>
      <c r="L1237" s="54"/>
      <c r="M1237" s="54"/>
      <c r="N1237" s="54"/>
      <c r="O1237" s="54"/>
      <c r="P1237" s="54"/>
      <c r="Q1237" s="1"/>
      <c r="R1237" s="1"/>
      <c r="S1237" s="1"/>
      <c r="T1237" s="1"/>
      <c r="U1237" s="1"/>
      <c r="V1237" s="1"/>
    </row>
    <row r="1238" ht="15.75" hidden="1" customHeight="1">
      <c r="A1238" s="206"/>
      <c r="B1238" s="54" t="s">
        <v>808</v>
      </c>
      <c r="C1238" s="54" t="s">
        <v>809</v>
      </c>
      <c r="D1238" s="198" t="s">
        <v>22</v>
      </c>
      <c r="E1238" s="201" t="s">
        <v>810</v>
      </c>
      <c r="F1238" s="158">
        <v>0.0</v>
      </c>
      <c r="G1238" s="57">
        <v>20.0</v>
      </c>
      <c r="H1238" s="57">
        <f t="shared" si="29"/>
        <v>0</v>
      </c>
      <c r="I1238" s="57"/>
      <c r="J1238" s="58"/>
      <c r="K1238" s="54"/>
      <c r="L1238" s="54"/>
      <c r="M1238" s="54"/>
      <c r="N1238" s="54"/>
      <c r="O1238" s="54"/>
      <c r="P1238" s="54"/>
      <c r="Q1238" s="1"/>
      <c r="R1238" s="1"/>
      <c r="S1238" s="1"/>
      <c r="T1238" s="1"/>
      <c r="U1238" s="1"/>
      <c r="V1238" s="1"/>
    </row>
    <row r="1239" ht="15.75" hidden="1" customHeight="1">
      <c r="A1239" s="206"/>
      <c r="B1239" s="54" t="s">
        <v>18</v>
      </c>
      <c r="C1239" s="54" t="s">
        <v>811</v>
      </c>
      <c r="D1239" s="198" t="s">
        <v>22</v>
      </c>
      <c r="E1239" s="205" t="s">
        <v>812</v>
      </c>
      <c r="F1239" s="158">
        <v>0.0</v>
      </c>
      <c r="G1239" s="57">
        <v>16.0</v>
      </c>
      <c r="H1239" s="57">
        <f t="shared" si="29"/>
        <v>0</v>
      </c>
      <c r="I1239" s="57"/>
      <c r="J1239" s="58"/>
      <c r="K1239" s="54"/>
      <c r="L1239" s="54"/>
      <c r="M1239" s="54"/>
      <c r="N1239" s="54"/>
      <c r="O1239" s="54"/>
      <c r="P1239" s="54"/>
      <c r="Q1239" s="1"/>
      <c r="R1239" s="1"/>
      <c r="S1239" s="1"/>
      <c r="T1239" s="1"/>
      <c r="U1239" s="1"/>
      <c r="V1239" s="1"/>
    </row>
    <row r="1240" ht="15.75" hidden="1" customHeight="1">
      <c r="A1240" s="206"/>
      <c r="B1240" s="54" t="s">
        <v>18</v>
      </c>
      <c r="C1240" s="54" t="s">
        <v>813</v>
      </c>
      <c r="D1240" s="198" t="s">
        <v>22</v>
      </c>
      <c r="E1240" s="201" t="s">
        <v>814</v>
      </c>
      <c r="F1240" s="158">
        <v>0.0</v>
      </c>
      <c r="G1240" s="57">
        <v>12.0</v>
      </c>
      <c r="H1240" s="57">
        <f t="shared" si="29"/>
        <v>0</v>
      </c>
      <c r="I1240" s="57"/>
      <c r="J1240" s="58"/>
      <c r="K1240" s="54"/>
      <c r="L1240" s="54"/>
      <c r="M1240" s="54"/>
      <c r="N1240" s="54"/>
      <c r="O1240" s="54"/>
      <c r="P1240" s="54"/>
      <c r="Q1240" s="1"/>
      <c r="R1240" s="1"/>
      <c r="S1240" s="1"/>
      <c r="T1240" s="1"/>
      <c r="U1240" s="1"/>
      <c r="V1240" s="1"/>
    </row>
    <row r="1241" ht="15.75" hidden="1" customHeight="1">
      <c r="A1241" s="206"/>
      <c r="B1241" s="54" t="s">
        <v>18</v>
      </c>
      <c r="C1241" s="54" t="s">
        <v>815</v>
      </c>
      <c r="D1241" s="198" t="s">
        <v>22</v>
      </c>
      <c r="E1241" s="205" t="s">
        <v>816</v>
      </c>
      <c r="F1241" s="158">
        <v>0.0</v>
      </c>
      <c r="G1241" s="57">
        <v>18.0</v>
      </c>
      <c r="H1241" s="57">
        <f t="shared" si="29"/>
        <v>0</v>
      </c>
      <c r="I1241" s="57"/>
      <c r="J1241" s="58"/>
      <c r="K1241" s="54"/>
      <c r="L1241" s="54"/>
      <c r="M1241" s="54"/>
      <c r="N1241" s="54"/>
      <c r="O1241" s="54"/>
      <c r="P1241" s="54"/>
      <c r="Q1241" s="1"/>
      <c r="R1241" s="1"/>
      <c r="S1241" s="1"/>
      <c r="T1241" s="1"/>
      <c r="U1241" s="1"/>
      <c r="V1241" s="1"/>
    </row>
    <row r="1242" ht="15.75" hidden="1" customHeight="1">
      <c r="A1242" s="206"/>
      <c r="B1242" s="54" t="s">
        <v>817</v>
      </c>
      <c r="C1242" s="54" t="s">
        <v>818</v>
      </c>
      <c r="D1242" s="55" t="s">
        <v>20</v>
      </c>
      <c r="E1242" s="54"/>
      <c r="F1242" s="158">
        <v>0.0</v>
      </c>
      <c r="G1242" s="57">
        <v>5000.0</v>
      </c>
      <c r="H1242" s="57">
        <f t="shared" si="29"/>
        <v>0</v>
      </c>
      <c r="I1242" s="58"/>
      <c r="J1242" s="58"/>
      <c r="K1242" s="54"/>
      <c r="L1242" s="271"/>
      <c r="M1242" s="271"/>
      <c r="N1242" s="271"/>
      <c r="O1242" s="271"/>
      <c r="P1242" s="271"/>
      <c r="Q1242" s="1"/>
      <c r="R1242" s="1"/>
      <c r="S1242" s="1"/>
      <c r="T1242" s="1"/>
      <c r="U1242" s="1"/>
      <c r="V1242" s="1"/>
    </row>
    <row r="1243" ht="15.75" hidden="1" customHeight="1">
      <c r="A1243" s="206"/>
      <c r="B1243" s="54"/>
      <c r="C1243" s="54" t="s">
        <v>819</v>
      </c>
      <c r="D1243" s="55" t="s">
        <v>20</v>
      </c>
      <c r="E1243" s="54"/>
      <c r="F1243" s="158">
        <v>0.0</v>
      </c>
      <c r="G1243" s="159">
        <v>300.0</v>
      </c>
      <c r="H1243" s="57">
        <f t="shared" si="29"/>
        <v>0</v>
      </c>
      <c r="I1243" s="58"/>
      <c r="J1243" s="58"/>
      <c r="K1243" s="54"/>
      <c r="L1243" s="271"/>
      <c r="M1243" s="271"/>
      <c r="N1243" s="271"/>
      <c r="O1243" s="271"/>
      <c r="P1243" s="271"/>
      <c r="Q1243" s="1"/>
      <c r="R1243" s="1"/>
      <c r="S1243" s="1"/>
      <c r="T1243" s="1"/>
      <c r="U1243" s="1"/>
      <c r="V1243" s="1"/>
    </row>
    <row r="1244" ht="15.75" customHeight="1">
      <c r="A1244" s="206"/>
      <c r="B1244" s="54" t="s">
        <v>18</v>
      </c>
      <c r="C1244" s="54" t="s">
        <v>283</v>
      </c>
      <c r="D1244" s="55" t="s">
        <v>20</v>
      </c>
      <c r="E1244" s="54" t="s">
        <v>284</v>
      </c>
      <c r="F1244" s="158">
        <v>1.0</v>
      </c>
      <c r="G1244" s="159">
        <v>20.0</v>
      </c>
      <c r="H1244" s="57">
        <f t="shared" si="29"/>
        <v>20</v>
      </c>
      <c r="I1244" s="58"/>
      <c r="J1244" s="57"/>
      <c r="K1244" s="54"/>
      <c r="L1244" s="271"/>
      <c r="M1244" s="271"/>
      <c r="N1244" s="271"/>
      <c r="O1244" s="271"/>
      <c r="P1244" s="271"/>
      <c r="Q1244" s="1"/>
      <c r="R1244" s="1"/>
      <c r="S1244" s="1"/>
      <c r="T1244" s="1"/>
      <c r="U1244" s="1"/>
      <c r="V1244" s="1"/>
    </row>
    <row r="1245" ht="15.75" customHeight="1">
      <c r="A1245" s="206"/>
      <c r="B1245" s="54" t="s">
        <v>18</v>
      </c>
      <c r="C1245" s="54" t="s">
        <v>820</v>
      </c>
      <c r="D1245" s="55" t="s">
        <v>20</v>
      </c>
      <c r="E1245" s="54"/>
      <c r="F1245" s="158">
        <v>1.0</v>
      </c>
      <c r="G1245" s="57">
        <v>956.0</v>
      </c>
      <c r="H1245" s="57">
        <f t="shared" si="29"/>
        <v>956</v>
      </c>
      <c r="I1245" s="58"/>
      <c r="J1245" s="57"/>
      <c r="K1245" s="54"/>
      <c r="L1245" s="271"/>
      <c r="M1245" s="271"/>
      <c r="N1245" s="271"/>
      <c r="O1245" s="271"/>
      <c r="P1245" s="271"/>
      <c r="Q1245" s="1"/>
      <c r="R1245" s="1"/>
      <c r="S1245" s="1"/>
      <c r="T1245" s="1"/>
      <c r="U1245" s="1"/>
      <c r="V1245" s="1"/>
    </row>
    <row r="1246" ht="15.75" customHeight="1">
      <c r="A1246" s="206"/>
      <c r="B1246" s="54"/>
      <c r="C1246" s="54" t="s">
        <v>821</v>
      </c>
      <c r="D1246" s="314" t="s">
        <v>26</v>
      </c>
      <c r="E1246" s="54"/>
      <c r="F1246" s="158">
        <v>1.0</v>
      </c>
      <c r="G1246" s="57">
        <v>900.0</v>
      </c>
      <c r="H1246" s="57">
        <f t="shared" si="29"/>
        <v>900</v>
      </c>
      <c r="I1246" s="58"/>
      <c r="J1246" s="57"/>
      <c r="K1246" s="54"/>
      <c r="L1246" s="271"/>
      <c r="M1246" s="271"/>
      <c r="N1246" s="271"/>
      <c r="O1246" s="271"/>
      <c r="P1246" s="271"/>
      <c r="Q1246" s="1"/>
      <c r="R1246" s="1"/>
      <c r="S1246" s="1"/>
      <c r="T1246" s="1"/>
      <c r="U1246" s="1"/>
      <c r="V1246" s="1"/>
    </row>
    <row r="1247" ht="15.75" hidden="1" customHeight="1">
      <c r="A1247" s="206"/>
      <c r="B1247" s="54" t="s">
        <v>18</v>
      </c>
      <c r="C1247" s="258" t="s">
        <v>903</v>
      </c>
      <c r="D1247" s="55" t="s">
        <v>20</v>
      </c>
      <c r="E1247" s="54"/>
      <c r="F1247" s="158">
        <v>0.0</v>
      </c>
      <c r="G1247" s="159">
        <v>200.0</v>
      </c>
      <c r="H1247" s="57">
        <f t="shared" si="29"/>
        <v>0</v>
      </c>
      <c r="I1247" s="58"/>
      <c r="J1247" s="57"/>
      <c r="K1247" s="315"/>
      <c r="L1247" s="271"/>
      <c r="M1247" s="271"/>
      <c r="N1247" s="271"/>
      <c r="O1247" s="271"/>
      <c r="P1247" s="271"/>
      <c r="Q1247" s="1"/>
      <c r="R1247" s="1"/>
      <c r="S1247" s="1"/>
      <c r="T1247" s="1"/>
      <c r="U1247" s="1"/>
      <c r="V1247" s="1"/>
    </row>
    <row r="1248" ht="15.75" hidden="1" customHeight="1">
      <c r="A1248" s="206"/>
      <c r="B1248" s="54" t="s">
        <v>18</v>
      </c>
      <c r="C1248" s="54" t="s">
        <v>824</v>
      </c>
      <c r="D1248" s="55" t="s">
        <v>20</v>
      </c>
      <c r="E1248" s="54"/>
      <c r="F1248" s="158">
        <v>0.0</v>
      </c>
      <c r="G1248" s="57">
        <v>150.0</v>
      </c>
      <c r="H1248" s="57">
        <f t="shared" si="29"/>
        <v>0</v>
      </c>
      <c r="I1248" s="58"/>
      <c r="J1248" s="57"/>
      <c r="K1248" s="54"/>
      <c r="L1248" s="271"/>
      <c r="M1248" s="271"/>
      <c r="N1248" s="271"/>
      <c r="O1248" s="271"/>
      <c r="P1248" s="271"/>
      <c r="Q1248" s="1"/>
      <c r="R1248" s="1"/>
      <c r="S1248" s="1"/>
      <c r="T1248" s="1"/>
      <c r="U1248" s="1"/>
      <c r="V1248" s="1"/>
    </row>
    <row r="1249" ht="15.75" hidden="1" customHeight="1">
      <c r="A1249" s="206"/>
      <c r="B1249" s="54" t="s">
        <v>18</v>
      </c>
      <c r="C1249" s="54" t="s">
        <v>825</v>
      </c>
      <c r="D1249" s="55" t="s">
        <v>20</v>
      </c>
      <c r="E1249" s="54"/>
      <c r="F1249" s="56">
        <v>0.0</v>
      </c>
      <c r="G1249" s="57">
        <v>27.99</v>
      </c>
      <c r="H1249" s="57">
        <f t="shared" si="29"/>
        <v>0</v>
      </c>
      <c r="I1249" s="58"/>
      <c r="J1249" s="58"/>
      <c r="K1249" s="54"/>
      <c r="L1249" s="252"/>
      <c r="M1249" s="252"/>
      <c r="N1249" s="252"/>
      <c r="O1249" s="252"/>
      <c r="P1249" s="252"/>
      <c r="Q1249" s="1"/>
      <c r="R1249" s="1"/>
      <c r="S1249" s="1"/>
      <c r="T1249" s="1"/>
      <c r="U1249" s="1"/>
      <c r="V1249" s="1"/>
    </row>
    <row r="1250" ht="15.75" hidden="1" customHeight="1">
      <c r="A1250" s="206"/>
      <c r="B1250" s="54" t="s">
        <v>18</v>
      </c>
      <c r="C1250" s="54" t="s">
        <v>309</v>
      </c>
      <c r="D1250" s="55" t="s">
        <v>20</v>
      </c>
      <c r="E1250" s="54"/>
      <c r="F1250" s="56">
        <v>0.0</v>
      </c>
      <c r="G1250" s="57">
        <v>20.0</v>
      </c>
      <c r="H1250" s="57">
        <f t="shared" si="29"/>
        <v>0</v>
      </c>
      <c r="I1250" s="58"/>
      <c r="J1250" s="58"/>
      <c r="K1250" s="54"/>
      <c r="L1250" s="54"/>
      <c r="M1250" s="54"/>
      <c r="N1250" s="54"/>
      <c r="O1250" s="54"/>
      <c r="P1250" s="54"/>
      <c r="Q1250" s="1"/>
      <c r="R1250" s="1"/>
      <c r="S1250" s="1"/>
      <c r="T1250" s="1"/>
      <c r="U1250" s="1"/>
      <c r="V1250" s="1"/>
    </row>
    <row r="1251" ht="15.75" hidden="1" customHeight="1">
      <c r="A1251" s="206"/>
      <c r="B1251" s="54" t="s">
        <v>18</v>
      </c>
      <c r="C1251" s="54" t="s">
        <v>826</v>
      </c>
      <c r="D1251" s="55" t="s">
        <v>20</v>
      </c>
      <c r="E1251" s="208" t="s">
        <v>827</v>
      </c>
      <c r="F1251" s="56">
        <v>0.0</v>
      </c>
      <c r="G1251" s="57">
        <v>71.5</v>
      </c>
      <c r="H1251" s="57">
        <f t="shared" si="29"/>
        <v>0</v>
      </c>
      <c r="I1251" s="58"/>
      <c r="J1251" s="58"/>
      <c r="K1251" s="54"/>
      <c r="L1251" s="54"/>
      <c r="M1251" s="54"/>
      <c r="N1251" s="54"/>
      <c r="O1251" s="54"/>
      <c r="P1251" s="54"/>
      <c r="Q1251" s="1"/>
      <c r="R1251" s="1"/>
      <c r="S1251" s="1"/>
      <c r="T1251" s="1"/>
      <c r="U1251" s="1"/>
      <c r="V1251" s="1"/>
    </row>
    <row r="1252" ht="15.75" hidden="1" customHeight="1">
      <c r="A1252" s="206"/>
      <c r="B1252" s="54" t="s">
        <v>18</v>
      </c>
      <c r="C1252" s="54" t="s">
        <v>828</v>
      </c>
      <c r="D1252" s="55" t="s">
        <v>20</v>
      </c>
      <c r="E1252" s="54" t="s">
        <v>475</v>
      </c>
      <c r="F1252" s="56">
        <v>0.0</v>
      </c>
      <c r="G1252" s="57">
        <v>25.0</v>
      </c>
      <c r="H1252" s="57">
        <f t="shared" si="29"/>
        <v>0</v>
      </c>
      <c r="I1252" s="58"/>
      <c r="J1252" s="58"/>
      <c r="K1252" s="54"/>
      <c r="L1252" s="54"/>
      <c r="M1252" s="54"/>
      <c r="N1252" s="54"/>
      <c r="O1252" s="54"/>
      <c r="P1252" s="54"/>
      <c r="Q1252" s="1"/>
      <c r="R1252" s="1"/>
      <c r="S1252" s="1"/>
      <c r="T1252" s="1"/>
      <c r="U1252" s="1"/>
      <c r="V1252" s="1"/>
    </row>
    <row r="1253" ht="15.75" hidden="1" customHeight="1">
      <c r="A1253" s="206"/>
      <c r="B1253" s="54" t="s">
        <v>18</v>
      </c>
      <c r="C1253" s="54" t="s">
        <v>500</v>
      </c>
      <c r="D1253" s="55" t="s">
        <v>20</v>
      </c>
      <c r="E1253" s="54" t="s">
        <v>829</v>
      </c>
      <c r="F1253" s="56">
        <v>0.0</v>
      </c>
      <c r="G1253" s="57">
        <v>6.0</v>
      </c>
      <c r="H1253" s="57">
        <f t="shared" si="29"/>
        <v>0</v>
      </c>
      <c r="I1253" s="58"/>
      <c r="J1253" s="58"/>
      <c r="K1253" s="54"/>
      <c r="L1253" s="252"/>
      <c r="M1253" s="252"/>
      <c r="N1253" s="252"/>
      <c r="O1253" s="252"/>
      <c r="P1253" s="252"/>
      <c r="Q1253" s="1"/>
      <c r="R1253" s="1"/>
      <c r="S1253" s="1"/>
      <c r="T1253" s="1"/>
      <c r="U1253" s="1"/>
      <c r="V1253" s="1"/>
    </row>
    <row r="1254" ht="15.75" hidden="1" customHeight="1">
      <c r="A1254" s="206"/>
      <c r="B1254" s="54" t="s">
        <v>18</v>
      </c>
      <c r="C1254" s="54" t="s">
        <v>280</v>
      </c>
      <c r="D1254" s="55" t="s">
        <v>20</v>
      </c>
      <c r="E1254" s="15" t="s">
        <v>830</v>
      </c>
      <c r="F1254" s="158">
        <v>0.0</v>
      </c>
      <c r="G1254" s="34">
        <v>20.0</v>
      </c>
      <c r="H1254" s="57">
        <f t="shared" si="29"/>
        <v>0</v>
      </c>
      <c r="I1254" s="58"/>
      <c r="J1254" s="54"/>
      <c r="K1254" s="54"/>
      <c r="L1254" s="271"/>
      <c r="M1254" s="271"/>
      <c r="N1254" s="271"/>
      <c r="O1254" s="271"/>
      <c r="P1254" s="271"/>
      <c r="Q1254" s="1"/>
      <c r="R1254" s="1"/>
      <c r="S1254" s="1"/>
      <c r="T1254" s="1"/>
      <c r="U1254" s="1"/>
      <c r="V1254" s="1"/>
    </row>
    <row r="1255" ht="15.75" customHeight="1">
      <c r="A1255" s="206"/>
      <c r="B1255" s="54" t="s">
        <v>637</v>
      </c>
      <c r="C1255" s="54" t="s">
        <v>988</v>
      </c>
      <c r="D1255" s="314" t="s">
        <v>26</v>
      </c>
      <c r="E1255" s="54"/>
      <c r="F1255" s="56">
        <v>1.0</v>
      </c>
      <c r="G1255" s="159">
        <v>10000.0</v>
      </c>
      <c r="H1255" s="57">
        <f t="shared" si="29"/>
        <v>10000</v>
      </c>
      <c r="I1255" s="58"/>
      <c r="J1255" s="58"/>
      <c r="K1255" s="13"/>
      <c r="L1255" s="271"/>
      <c r="M1255" s="271"/>
      <c r="N1255" s="271"/>
      <c r="O1255" s="271"/>
      <c r="P1255" s="271"/>
      <c r="Q1255" s="1"/>
      <c r="R1255" s="1"/>
      <c r="S1255" s="1"/>
      <c r="T1255" s="1"/>
      <c r="U1255" s="1"/>
      <c r="V1255" s="1"/>
    </row>
    <row r="1256" ht="15.75" customHeight="1">
      <c r="A1256" s="206"/>
      <c r="B1256" s="54" t="s">
        <v>18</v>
      </c>
      <c r="C1256" s="258" t="s">
        <v>905</v>
      </c>
      <c r="D1256" s="55" t="s">
        <v>20</v>
      </c>
      <c r="E1256" s="54"/>
      <c r="F1256" s="56">
        <v>1.0</v>
      </c>
      <c r="G1256" s="159">
        <v>4000.0</v>
      </c>
      <c r="H1256" s="57">
        <f t="shared" si="29"/>
        <v>4000</v>
      </c>
      <c r="I1256" s="58"/>
      <c r="J1256" s="58"/>
      <c r="K1256" s="54"/>
      <c r="L1256" s="271"/>
      <c r="M1256" s="271"/>
      <c r="N1256" s="271"/>
      <c r="O1256" s="271"/>
      <c r="P1256" s="271"/>
      <c r="Q1256" s="1"/>
      <c r="R1256" s="1"/>
      <c r="S1256" s="1"/>
      <c r="T1256" s="1"/>
      <c r="U1256" s="1"/>
      <c r="V1256" s="1"/>
    </row>
    <row r="1257" ht="15.75" hidden="1" customHeight="1">
      <c r="A1257" s="206"/>
      <c r="B1257" s="54"/>
      <c r="C1257" s="13" t="s">
        <v>848</v>
      </c>
      <c r="D1257" s="318" t="s">
        <v>26</v>
      </c>
      <c r="E1257" s="52"/>
      <c r="F1257" s="48">
        <v>0.0</v>
      </c>
      <c r="G1257" s="50">
        <v>11000.0</v>
      </c>
      <c r="H1257" s="50">
        <f t="shared" si="29"/>
        <v>0</v>
      </c>
      <c r="I1257" s="58"/>
      <c r="J1257" s="58"/>
      <c r="K1257" s="54"/>
      <c r="L1257" s="271"/>
      <c r="M1257" s="271"/>
      <c r="N1257" s="271"/>
      <c r="O1257" s="271"/>
      <c r="P1257" s="271"/>
      <c r="Q1257" s="1"/>
      <c r="R1257" s="1"/>
      <c r="S1257" s="1"/>
      <c r="T1257" s="1"/>
      <c r="U1257" s="1"/>
      <c r="V1257" s="1"/>
    </row>
    <row r="1258" ht="15.75" hidden="1" customHeight="1">
      <c r="A1258" s="206"/>
      <c r="B1258" s="54"/>
      <c r="C1258" s="206" t="s">
        <v>849</v>
      </c>
      <c r="D1258" s="55" t="s">
        <v>20</v>
      </c>
      <c r="E1258" s="54"/>
      <c r="F1258" s="56">
        <v>0.0</v>
      </c>
      <c r="G1258" s="57">
        <v>6000.0</v>
      </c>
      <c r="H1258" s="57">
        <f t="shared" si="29"/>
        <v>0</v>
      </c>
      <c r="I1258" s="58"/>
      <c r="J1258" s="58"/>
      <c r="K1258" s="54"/>
      <c r="L1258" s="271"/>
      <c r="M1258" s="271"/>
      <c r="N1258" s="271"/>
      <c r="O1258" s="271"/>
      <c r="P1258" s="271"/>
      <c r="Q1258" s="1"/>
      <c r="R1258" s="1"/>
      <c r="S1258" s="1"/>
      <c r="T1258" s="1"/>
      <c r="U1258" s="1"/>
      <c r="V1258" s="1"/>
    </row>
    <row r="1259" ht="15.75" hidden="1" customHeight="1">
      <c r="A1259" s="206"/>
      <c r="B1259" s="54" t="s">
        <v>18</v>
      </c>
      <c r="C1259" s="54" t="s">
        <v>850</v>
      </c>
      <c r="D1259" s="55" t="s">
        <v>20</v>
      </c>
      <c r="E1259" s="54" t="s">
        <v>851</v>
      </c>
      <c r="F1259" s="56">
        <v>0.0</v>
      </c>
      <c r="G1259" s="57">
        <v>36.49</v>
      </c>
      <c r="H1259" s="57">
        <f t="shared" si="29"/>
        <v>0</v>
      </c>
      <c r="I1259" s="58"/>
      <c r="J1259" s="58"/>
      <c r="K1259" s="54"/>
      <c r="L1259" s="54"/>
      <c r="M1259" s="54"/>
      <c r="N1259" s="54"/>
      <c r="O1259" s="54"/>
      <c r="P1259" s="54"/>
      <c r="Q1259" s="1"/>
      <c r="R1259" s="1"/>
      <c r="S1259" s="1"/>
      <c r="T1259" s="1"/>
      <c r="U1259" s="1"/>
      <c r="V1259" s="1"/>
    </row>
    <row r="1260" ht="15.75" customHeight="1">
      <c r="A1260" s="206"/>
      <c r="B1260" s="54" t="s">
        <v>18</v>
      </c>
      <c r="C1260" s="54" t="s">
        <v>852</v>
      </c>
      <c r="D1260" s="55" t="s">
        <v>20</v>
      </c>
      <c r="E1260" s="230" t="s">
        <v>990</v>
      </c>
      <c r="F1260" s="158">
        <v>1.0</v>
      </c>
      <c r="G1260" s="159">
        <v>240.0</v>
      </c>
      <c r="H1260" s="57">
        <f t="shared" si="29"/>
        <v>240</v>
      </c>
      <c r="I1260" s="58"/>
      <c r="J1260" s="58"/>
      <c r="K1260" s="54"/>
      <c r="L1260" s="252"/>
      <c r="M1260" s="252"/>
      <c r="N1260" s="252"/>
      <c r="O1260" s="252"/>
      <c r="P1260" s="252"/>
      <c r="Q1260" s="1"/>
      <c r="R1260" s="1"/>
      <c r="S1260" s="1"/>
      <c r="T1260" s="1"/>
      <c r="U1260" s="1"/>
      <c r="V1260" s="1"/>
    </row>
    <row r="1261" ht="15.75" hidden="1" customHeight="1">
      <c r="A1261" s="206"/>
      <c r="B1261" s="54" t="s">
        <v>18</v>
      </c>
      <c r="C1261" s="54" t="s">
        <v>854</v>
      </c>
      <c r="D1261" s="55" t="s">
        <v>20</v>
      </c>
      <c r="E1261" s="54" t="s">
        <v>855</v>
      </c>
      <c r="F1261" s="56">
        <v>0.0</v>
      </c>
      <c r="G1261" s="57">
        <v>98.16</v>
      </c>
      <c r="H1261" s="57">
        <f t="shared" si="29"/>
        <v>0</v>
      </c>
      <c r="I1261" s="58"/>
      <c r="J1261" s="58"/>
      <c r="K1261" s="54"/>
      <c r="L1261" s="252"/>
      <c r="M1261" s="252"/>
      <c r="N1261" s="252"/>
      <c r="O1261" s="252"/>
      <c r="P1261" s="252"/>
      <c r="Q1261" s="1"/>
      <c r="R1261" s="1"/>
      <c r="S1261" s="1"/>
      <c r="T1261" s="1"/>
      <c r="U1261" s="1"/>
      <c r="V1261" s="1"/>
    </row>
    <row r="1262" ht="15.75" hidden="1" customHeight="1">
      <c r="A1262" s="206"/>
      <c r="B1262" s="54" t="s">
        <v>18</v>
      </c>
      <c r="C1262" s="54" t="s">
        <v>856</v>
      </c>
      <c r="D1262" s="55" t="s">
        <v>20</v>
      </c>
      <c r="E1262" s="54" t="s">
        <v>857</v>
      </c>
      <c r="F1262" s="56">
        <v>0.0</v>
      </c>
      <c r="G1262" s="57">
        <v>36.99</v>
      </c>
      <c r="H1262" s="57">
        <f t="shared" si="29"/>
        <v>0</v>
      </c>
      <c r="I1262" s="58"/>
      <c r="J1262" s="58"/>
      <c r="K1262" s="54"/>
      <c r="L1262" s="252"/>
      <c r="M1262" s="252"/>
      <c r="N1262" s="252"/>
      <c r="O1262" s="252"/>
      <c r="P1262" s="252"/>
      <c r="Q1262" s="1"/>
      <c r="R1262" s="1"/>
      <c r="S1262" s="1"/>
      <c r="T1262" s="1"/>
      <c r="U1262" s="1"/>
      <c r="V1262" s="1"/>
    </row>
    <row r="1263" ht="15.75" hidden="1" customHeight="1">
      <c r="A1263" s="206"/>
      <c r="B1263" s="54" t="s">
        <v>574</v>
      </c>
      <c r="C1263" s="54" t="s">
        <v>736</v>
      </c>
      <c r="D1263" s="55" t="s">
        <v>20</v>
      </c>
      <c r="E1263" s="54"/>
      <c r="F1263" s="56">
        <v>0.0</v>
      </c>
      <c r="G1263" s="57">
        <v>0.0</v>
      </c>
      <c r="H1263" s="57">
        <f t="shared" si="29"/>
        <v>0</v>
      </c>
      <c r="I1263" s="58"/>
      <c r="J1263" s="58"/>
      <c r="K1263" s="54"/>
      <c r="L1263" s="252"/>
      <c r="M1263" s="252"/>
      <c r="N1263" s="252"/>
      <c r="O1263" s="252"/>
      <c r="P1263" s="252"/>
      <c r="Q1263" s="1"/>
      <c r="R1263" s="1"/>
      <c r="S1263" s="1"/>
      <c r="T1263" s="1"/>
      <c r="U1263" s="1"/>
      <c r="V1263" s="1"/>
    </row>
    <row r="1264" ht="15.75" hidden="1" customHeight="1">
      <c r="A1264" s="206"/>
      <c r="B1264" s="54"/>
      <c r="C1264" s="54" t="s">
        <v>858</v>
      </c>
      <c r="D1264" s="55" t="s">
        <v>20</v>
      </c>
      <c r="E1264" s="54"/>
      <c r="F1264" s="56">
        <v>0.0</v>
      </c>
      <c r="G1264" s="57">
        <v>1000.0</v>
      </c>
      <c r="H1264" s="57">
        <f t="shared" si="29"/>
        <v>0</v>
      </c>
      <c r="I1264" s="58"/>
      <c r="J1264" s="58"/>
      <c r="K1264" s="54"/>
      <c r="L1264" s="252"/>
      <c r="M1264" s="252"/>
      <c r="N1264" s="252"/>
      <c r="O1264" s="252"/>
      <c r="P1264" s="252"/>
      <c r="Q1264" s="1"/>
      <c r="R1264" s="1"/>
      <c r="S1264" s="1"/>
      <c r="T1264" s="1"/>
      <c r="U1264" s="1"/>
      <c r="V1264" s="1"/>
    </row>
    <row r="1265" ht="15.75" hidden="1" customHeight="1">
      <c r="A1265" s="206"/>
      <c r="B1265" s="54" t="s">
        <v>18</v>
      </c>
      <c r="C1265" s="54" t="s">
        <v>781</v>
      </c>
      <c r="D1265" s="55" t="s">
        <v>20</v>
      </c>
      <c r="E1265" s="54" t="s">
        <v>859</v>
      </c>
      <c r="F1265" s="56">
        <v>0.0</v>
      </c>
      <c r="G1265" s="57">
        <v>240.0</v>
      </c>
      <c r="H1265" s="57">
        <f t="shared" si="29"/>
        <v>0</v>
      </c>
      <c r="I1265" s="58"/>
      <c r="J1265" s="58"/>
      <c r="K1265" s="54"/>
      <c r="L1265" s="252"/>
      <c r="M1265" s="252"/>
      <c r="N1265" s="252"/>
      <c r="O1265" s="252"/>
      <c r="P1265" s="252"/>
      <c r="Q1265" s="1"/>
      <c r="R1265" s="1"/>
      <c r="S1265" s="1"/>
      <c r="T1265" s="1"/>
      <c r="U1265" s="1"/>
      <c r="V1265" s="1"/>
    </row>
    <row r="1266" ht="15.75" customHeight="1">
      <c r="A1266" s="206"/>
      <c r="B1266" s="54" t="s">
        <v>18</v>
      </c>
      <c r="C1266" s="54" t="s">
        <v>860</v>
      </c>
      <c r="D1266" s="55" t="s">
        <v>20</v>
      </c>
      <c r="E1266" s="157" t="s">
        <v>907</v>
      </c>
      <c r="F1266" s="158">
        <v>1.0</v>
      </c>
      <c r="G1266" s="159">
        <v>63.6</v>
      </c>
      <c r="H1266" s="57">
        <f t="shared" si="29"/>
        <v>63.6</v>
      </c>
      <c r="I1266" s="58"/>
      <c r="J1266" s="58"/>
      <c r="K1266" s="54"/>
      <c r="L1266" s="252"/>
      <c r="M1266" s="252"/>
      <c r="N1266" s="252"/>
      <c r="O1266" s="252"/>
      <c r="P1266" s="252"/>
      <c r="Q1266" s="1"/>
      <c r="R1266" s="1"/>
      <c r="S1266" s="1"/>
      <c r="T1266" s="1"/>
      <c r="U1266" s="1"/>
      <c r="V1266" s="1"/>
    </row>
    <row r="1267" ht="15.75" customHeight="1">
      <c r="A1267" s="206"/>
      <c r="B1267" s="54"/>
      <c r="C1267" s="258" t="s">
        <v>908</v>
      </c>
      <c r="D1267" s="55" t="s">
        <v>20</v>
      </c>
      <c r="E1267" s="157" t="s">
        <v>909</v>
      </c>
      <c r="F1267" s="158">
        <v>1.0</v>
      </c>
      <c r="G1267" s="159">
        <v>84.0</v>
      </c>
      <c r="H1267" s="57">
        <f t="shared" si="29"/>
        <v>84</v>
      </c>
      <c r="I1267" s="58"/>
      <c r="J1267" s="58"/>
      <c r="K1267" s="54"/>
      <c r="L1267" s="326"/>
      <c r="M1267" s="326"/>
      <c r="N1267" s="326"/>
      <c r="O1267" s="326"/>
      <c r="P1267" s="326"/>
      <c r="Q1267" s="1"/>
      <c r="R1267" s="1"/>
      <c r="S1267" s="1"/>
      <c r="T1267" s="1"/>
      <c r="U1267" s="1"/>
      <c r="V1267" s="1"/>
    </row>
    <row r="1268" ht="15.75" customHeight="1">
      <c r="A1268" s="206"/>
      <c r="B1268" s="258" t="s">
        <v>18</v>
      </c>
      <c r="C1268" s="258" t="s">
        <v>910</v>
      </c>
      <c r="D1268" s="55" t="s">
        <v>20</v>
      </c>
      <c r="E1268" s="157" t="s">
        <v>911</v>
      </c>
      <c r="F1268" s="158">
        <v>1.0</v>
      </c>
      <c r="G1268" s="159">
        <v>25.0</v>
      </c>
      <c r="H1268" s="57">
        <f t="shared" si="29"/>
        <v>25</v>
      </c>
      <c r="I1268" s="58"/>
      <c r="J1268" s="58"/>
      <c r="K1268" s="54"/>
      <c r="L1268" s="326"/>
      <c r="M1268" s="326"/>
      <c r="N1268" s="326"/>
      <c r="O1268" s="326"/>
      <c r="P1268" s="326"/>
      <c r="Q1268" s="1"/>
      <c r="R1268" s="1"/>
      <c r="S1268" s="1"/>
      <c r="T1268" s="1"/>
      <c r="U1268" s="1"/>
      <c r="V1268" s="1"/>
    </row>
    <row r="1269" ht="15.75" customHeight="1">
      <c r="A1269" s="206"/>
      <c r="B1269" s="258" t="s">
        <v>383</v>
      </c>
      <c r="C1269" s="258" t="s">
        <v>912</v>
      </c>
      <c r="D1269" s="327" t="s">
        <v>24</v>
      </c>
      <c r="E1269" s="160"/>
      <c r="F1269" s="158">
        <v>1.0</v>
      </c>
      <c r="G1269" s="159">
        <v>3200.0</v>
      </c>
      <c r="H1269" s="57">
        <f t="shared" si="29"/>
        <v>3200</v>
      </c>
      <c r="I1269" s="58"/>
      <c r="J1269" s="58"/>
      <c r="K1269" s="258" t="s">
        <v>913</v>
      </c>
      <c r="L1269" s="326"/>
      <c r="M1269" s="326"/>
      <c r="N1269" s="326"/>
      <c r="O1269" s="326"/>
      <c r="P1269" s="326"/>
      <c r="Q1269" s="1"/>
      <c r="R1269" s="1"/>
      <c r="S1269" s="1"/>
      <c r="T1269" s="1"/>
      <c r="U1269" s="1"/>
      <c r="V1269" s="1"/>
    </row>
    <row r="1270" ht="15.75" customHeight="1">
      <c r="A1270" s="206"/>
      <c r="B1270" s="258"/>
      <c r="C1270" s="258" t="s">
        <v>914</v>
      </c>
      <c r="D1270" s="55" t="s">
        <v>20</v>
      </c>
      <c r="E1270" s="160"/>
      <c r="F1270" s="158">
        <v>1.0</v>
      </c>
      <c r="G1270" s="159">
        <v>2300.0</v>
      </c>
      <c r="H1270" s="57">
        <f t="shared" si="29"/>
        <v>2300</v>
      </c>
      <c r="I1270" s="58"/>
      <c r="J1270" s="58"/>
      <c r="K1270" s="258" t="s">
        <v>915</v>
      </c>
      <c r="L1270" s="326"/>
      <c r="M1270" s="326"/>
      <c r="N1270" s="326"/>
      <c r="O1270" s="326"/>
      <c r="P1270" s="326"/>
      <c r="Q1270" s="1"/>
      <c r="R1270" s="1"/>
      <c r="S1270" s="1"/>
      <c r="T1270" s="1"/>
      <c r="U1270" s="1"/>
      <c r="V1270" s="1"/>
    </row>
    <row r="1271" ht="15.75" customHeight="1">
      <c r="A1271" s="206"/>
      <c r="B1271" s="258" t="s">
        <v>18</v>
      </c>
      <c r="C1271" s="258" t="s">
        <v>916</v>
      </c>
      <c r="D1271" s="55" t="s">
        <v>20</v>
      </c>
      <c r="E1271" s="157" t="s">
        <v>917</v>
      </c>
      <c r="F1271" s="158">
        <v>1.0</v>
      </c>
      <c r="G1271" s="159">
        <v>1360.0</v>
      </c>
      <c r="H1271" s="57">
        <f t="shared" si="29"/>
        <v>1360</v>
      </c>
      <c r="I1271" s="58"/>
      <c r="J1271" s="58"/>
      <c r="K1271" s="258"/>
      <c r="L1271" s="326"/>
      <c r="M1271" s="326"/>
      <c r="N1271" s="326"/>
      <c r="O1271" s="326"/>
      <c r="P1271" s="326"/>
      <c r="Q1271" s="1"/>
      <c r="R1271" s="1"/>
      <c r="S1271" s="1"/>
      <c r="T1271" s="1"/>
      <c r="U1271" s="1"/>
      <c r="V1271" s="1"/>
    </row>
    <row r="1272" ht="15.75" customHeight="1">
      <c r="A1272" s="206"/>
      <c r="B1272" s="258"/>
      <c r="C1272" s="258" t="s">
        <v>918</v>
      </c>
      <c r="D1272" s="327" t="s">
        <v>24</v>
      </c>
      <c r="E1272" s="160"/>
      <c r="F1272" s="158">
        <v>1.0</v>
      </c>
      <c r="G1272" s="159">
        <v>700.0</v>
      </c>
      <c r="H1272" s="57">
        <f t="shared" si="29"/>
        <v>700</v>
      </c>
      <c r="I1272" s="58"/>
      <c r="J1272" s="58"/>
      <c r="K1272" s="258" t="s">
        <v>919</v>
      </c>
      <c r="L1272" s="326"/>
      <c r="M1272" s="326"/>
      <c r="N1272" s="326"/>
      <c r="O1272" s="326"/>
      <c r="P1272" s="326"/>
      <c r="Q1272" s="1"/>
      <c r="R1272" s="1"/>
      <c r="S1272" s="1"/>
      <c r="T1272" s="1"/>
      <c r="U1272" s="1"/>
      <c r="V1272" s="1"/>
    </row>
    <row r="1273" ht="15.75" hidden="1" customHeight="1">
      <c r="A1273" s="206"/>
      <c r="B1273" s="54" t="s">
        <v>18</v>
      </c>
      <c r="C1273" s="54" t="s">
        <v>862</v>
      </c>
      <c r="D1273" s="55" t="s">
        <v>20</v>
      </c>
      <c r="E1273" s="54" t="s">
        <v>863</v>
      </c>
      <c r="F1273" s="56">
        <v>0.0</v>
      </c>
      <c r="G1273" s="57">
        <v>19.99</v>
      </c>
      <c r="H1273" s="57">
        <f t="shared" si="29"/>
        <v>0</v>
      </c>
      <c r="I1273" s="58"/>
      <c r="J1273" s="58"/>
      <c r="K1273" s="54"/>
      <c r="L1273" s="54"/>
      <c r="M1273" s="54"/>
      <c r="N1273" s="54"/>
      <c r="O1273" s="54"/>
      <c r="P1273" s="54"/>
      <c r="Q1273" s="1"/>
      <c r="R1273" s="1"/>
      <c r="S1273" s="1"/>
      <c r="T1273" s="1"/>
      <c r="U1273" s="1"/>
      <c r="V1273" s="1"/>
    </row>
    <row r="1274" ht="15.75" hidden="1" customHeight="1">
      <c r="A1274" s="206"/>
      <c r="B1274" s="54"/>
      <c r="C1274" s="54" t="s">
        <v>864</v>
      </c>
      <c r="D1274" s="216" t="s">
        <v>24</v>
      </c>
      <c r="E1274" s="54"/>
      <c r="F1274" s="56">
        <v>0.0</v>
      </c>
      <c r="G1274" s="57">
        <v>1500.0</v>
      </c>
      <c r="H1274" s="57">
        <f t="shared" si="29"/>
        <v>0</v>
      </c>
      <c r="I1274" s="58"/>
      <c r="J1274" s="58"/>
      <c r="K1274" s="54"/>
      <c r="L1274" s="54"/>
      <c r="M1274" s="54"/>
      <c r="N1274" s="54"/>
      <c r="O1274" s="54"/>
      <c r="P1274" s="54"/>
      <c r="Q1274" s="1"/>
      <c r="R1274" s="1"/>
      <c r="S1274" s="1"/>
      <c r="T1274" s="1"/>
      <c r="U1274" s="1"/>
      <c r="V1274" s="1"/>
    </row>
    <row r="1275" ht="15.75" hidden="1" customHeight="1">
      <c r="A1275" s="206"/>
      <c r="B1275" s="54"/>
      <c r="C1275" s="54" t="s">
        <v>865</v>
      </c>
      <c r="D1275" s="55" t="s">
        <v>20</v>
      </c>
      <c r="E1275" s="54"/>
      <c r="F1275" s="56">
        <v>0.0</v>
      </c>
      <c r="G1275" s="57">
        <v>0.0</v>
      </c>
      <c r="H1275" s="57">
        <v>0.0</v>
      </c>
      <c r="I1275" s="58"/>
      <c r="J1275" s="58"/>
      <c r="K1275" s="54"/>
      <c r="L1275" s="54"/>
      <c r="M1275" s="54"/>
      <c r="N1275" s="54"/>
      <c r="O1275" s="54"/>
      <c r="P1275" s="54"/>
      <c r="Q1275" s="1"/>
      <c r="R1275" s="1"/>
      <c r="S1275" s="1"/>
      <c r="T1275" s="1"/>
      <c r="U1275" s="1"/>
      <c r="V1275" s="1"/>
    </row>
    <row r="1276" ht="15.75" hidden="1" customHeight="1">
      <c r="A1276" s="206"/>
      <c r="B1276" s="54"/>
      <c r="C1276" s="54" t="s">
        <v>866</v>
      </c>
      <c r="D1276" s="216" t="s">
        <v>24</v>
      </c>
      <c r="E1276" s="54"/>
      <c r="F1276" s="56">
        <v>0.0</v>
      </c>
      <c r="G1276" s="57">
        <v>0.0</v>
      </c>
      <c r="H1276" s="57">
        <v>0.0</v>
      </c>
      <c r="I1276" s="58"/>
      <c r="J1276" s="58"/>
      <c r="K1276" s="54"/>
      <c r="L1276" s="54"/>
      <c r="M1276" s="54"/>
      <c r="N1276" s="54"/>
      <c r="O1276" s="54"/>
      <c r="P1276" s="54"/>
      <c r="Q1276" s="1"/>
      <c r="R1276" s="1"/>
      <c r="S1276" s="1"/>
      <c r="T1276" s="1"/>
      <c r="U1276" s="1"/>
      <c r="V1276" s="1"/>
    </row>
    <row r="1277" ht="15.75" hidden="1" customHeight="1">
      <c r="A1277" s="206"/>
      <c r="B1277" s="54"/>
      <c r="C1277" s="54" t="s">
        <v>867</v>
      </c>
      <c r="D1277" s="216" t="s">
        <v>24</v>
      </c>
      <c r="E1277" s="54"/>
      <c r="F1277" s="56">
        <v>0.0</v>
      </c>
      <c r="G1277" s="57">
        <v>0.0</v>
      </c>
      <c r="H1277" s="57">
        <v>0.0</v>
      </c>
      <c r="I1277" s="58"/>
      <c r="J1277" s="58"/>
      <c r="K1277" s="54"/>
      <c r="L1277" s="271"/>
      <c r="M1277" s="271"/>
      <c r="N1277" s="271"/>
      <c r="O1277" s="271"/>
      <c r="P1277" s="271"/>
      <c r="Q1277" s="1"/>
      <c r="R1277" s="1"/>
      <c r="S1277" s="1"/>
      <c r="T1277" s="1"/>
      <c r="U1277" s="1"/>
      <c r="V1277" s="1"/>
    </row>
    <row r="1278" ht="15.75" hidden="1" customHeight="1">
      <c r="A1278" s="206"/>
      <c r="B1278" s="54"/>
      <c r="C1278" s="54" t="s">
        <v>868</v>
      </c>
      <c r="D1278" s="55" t="s">
        <v>20</v>
      </c>
      <c r="E1278" s="54"/>
      <c r="F1278" s="56">
        <v>0.0</v>
      </c>
      <c r="G1278" s="57">
        <v>0.0</v>
      </c>
      <c r="H1278" s="57">
        <v>0.0</v>
      </c>
      <c r="I1278" s="58"/>
      <c r="J1278" s="58"/>
      <c r="K1278" s="54"/>
      <c r="L1278" s="252"/>
      <c r="M1278" s="252"/>
      <c r="N1278" s="252"/>
      <c r="O1278" s="252"/>
      <c r="P1278" s="252"/>
      <c r="Q1278" s="1"/>
      <c r="R1278" s="1"/>
      <c r="S1278" s="1"/>
      <c r="T1278" s="1"/>
      <c r="U1278" s="1"/>
      <c r="V1278" s="1"/>
    </row>
    <row r="1279" ht="15.75" hidden="1" customHeight="1">
      <c r="A1279" s="206"/>
      <c r="B1279" s="54" t="s">
        <v>18</v>
      </c>
      <c r="C1279" s="13" t="s">
        <v>869</v>
      </c>
      <c r="D1279" s="46" t="s">
        <v>20</v>
      </c>
      <c r="E1279" s="207" t="s">
        <v>870</v>
      </c>
      <c r="F1279" s="48">
        <v>0.0</v>
      </c>
      <c r="G1279" s="50">
        <v>51.0</v>
      </c>
      <c r="H1279" s="50">
        <f>SUM(F1279*G1279)</f>
        <v>0</v>
      </c>
      <c r="I1279" s="58"/>
      <c r="J1279" s="58"/>
      <c r="K1279" s="54"/>
      <c r="L1279" s="252"/>
      <c r="M1279" s="252"/>
      <c r="N1279" s="252"/>
      <c r="O1279" s="252"/>
      <c r="P1279" s="252"/>
      <c r="Q1279" s="1"/>
      <c r="R1279" s="1"/>
      <c r="S1279" s="1"/>
      <c r="T1279" s="1"/>
      <c r="U1279" s="1"/>
      <c r="V1279" s="1"/>
    </row>
    <row r="1280" ht="26.25" customHeight="1">
      <c r="A1280" s="6"/>
      <c r="B1280" s="6" t="s">
        <v>30</v>
      </c>
      <c r="C1280" s="7">
        <f>SUM(H1281:H1307)</f>
        <v>35839.28</v>
      </c>
      <c r="D1280" s="148"/>
      <c r="E1280" s="148"/>
      <c r="F1280" s="81"/>
      <c r="G1280" s="82"/>
      <c r="H1280" s="328"/>
      <c r="I1280" s="329"/>
      <c r="J1280" s="82"/>
      <c r="K1280" s="81"/>
      <c r="L1280" s="83"/>
      <c r="M1280" s="83"/>
      <c r="N1280" s="83"/>
      <c r="O1280" s="83"/>
      <c r="P1280" s="83"/>
      <c r="Q1280" s="35"/>
      <c r="R1280" s="35"/>
      <c r="S1280" s="35"/>
      <c r="T1280" s="1"/>
      <c r="U1280" s="1"/>
      <c r="V1280" s="1"/>
    </row>
    <row r="1281" ht="15.75" customHeight="1">
      <c r="A1281" s="15"/>
      <c r="B1281" s="52" t="s">
        <v>18</v>
      </c>
      <c r="C1281" s="196" t="s">
        <v>920</v>
      </c>
      <c r="D1281" s="46" t="s">
        <v>20</v>
      </c>
      <c r="E1281" s="52" t="s">
        <v>921</v>
      </c>
      <c r="F1281" s="48">
        <v>1.0</v>
      </c>
      <c r="G1281" s="49">
        <v>45.6</v>
      </c>
      <c r="H1281" s="50">
        <f t="shared" ref="H1281:H1306" si="30">SUM(F1281*G1281)</f>
        <v>45.6</v>
      </c>
      <c r="I1281" s="51"/>
      <c r="J1281" s="51"/>
      <c r="K1281" s="52"/>
      <c r="L1281" s="52"/>
      <c r="M1281" s="52"/>
      <c r="N1281" s="52"/>
      <c r="O1281" s="52"/>
      <c r="P1281" s="52"/>
      <c r="Q1281" s="1"/>
      <c r="R1281" s="1"/>
      <c r="S1281" s="1"/>
      <c r="T1281" s="1"/>
      <c r="U1281" s="1"/>
      <c r="V1281" s="1"/>
    </row>
    <row r="1282" ht="15.75" hidden="1" customHeight="1">
      <c r="A1282" s="15"/>
      <c r="B1282" s="52"/>
      <c r="C1282" s="196" t="s">
        <v>922</v>
      </c>
      <c r="D1282" s="46" t="s">
        <v>20</v>
      </c>
      <c r="E1282" s="52"/>
      <c r="F1282" s="48">
        <v>0.0</v>
      </c>
      <c r="G1282" s="50">
        <v>5000.0</v>
      </c>
      <c r="H1282" s="50">
        <f t="shared" si="30"/>
        <v>0</v>
      </c>
      <c r="I1282" s="51"/>
      <c r="J1282" s="51"/>
      <c r="K1282" s="52"/>
      <c r="L1282" s="52"/>
      <c r="M1282" s="52"/>
      <c r="N1282" s="52"/>
      <c r="O1282" s="52"/>
      <c r="P1282" s="52"/>
      <c r="Q1282" s="1"/>
      <c r="R1282" s="1"/>
      <c r="S1282" s="1"/>
      <c r="T1282" s="1"/>
      <c r="U1282" s="1"/>
      <c r="V1282" s="1"/>
    </row>
    <row r="1283" ht="15.75" customHeight="1">
      <c r="A1283" s="183"/>
      <c r="B1283" s="330" t="s">
        <v>58</v>
      </c>
      <c r="C1283" s="43" t="s">
        <v>59</v>
      </c>
      <c r="D1283" s="327" t="s">
        <v>24</v>
      </c>
      <c r="E1283" s="331"/>
      <c r="F1283" s="332">
        <v>1.0</v>
      </c>
      <c r="G1283" s="333">
        <v>19137.18</v>
      </c>
      <c r="H1283" s="50">
        <f t="shared" si="30"/>
        <v>19137.18</v>
      </c>
      <c r="I1283" s="334"/>
      <c r="J1283" s="334"/>
      <c r="K1283" s="331"/>
      <c r="L1283" s="331"/>
      <c r="M1283" s="331"/>
      <c r="N1283" s="331"/>
      <c r="O1283" s="331"/>
      <c r="P1283" s="331"/>
      <c r="Q1283" s="182"/>
      <c r="R1283" s="182"/>
      <c r="S1283" s="182"/>
      <c r="T1283" s="182"/>
      <c r="U1283" s="182"/>
      <c r="V1283" s="182"/>
    </row>
    <row r="1284" ht="15.75" customHeight="1">
      <c r="A1284" s="183"/>
      <c r="B1284" s="330" t="s">
        <v>923</v>
      </c>
      <c r="C1284" s="231" t="s">
        <v>924</v>
      </c>
      <c r="D1284" s="327" t="s">
        <v>24</v>
      </c>
      <c r="E1284" s="331"/>
      <c r="F1284" s="335">
        <v>1.0</v>
      </c>
      <c r="G1284" s="333">
        <v>7026.5</v>
      </c>
      <c r="H1284" s="50">
        <f t="shared" si="30"/>
        <v>7026.5</v>
      </c>
      <c r="I1284" s="334"/>
      <c r="J1284" s="334"/>
      <c r="K1284" s="331"/>
      <c r="L1284" s="331"/>
      <c r="M1284" s="331"/>
      <c r="N1284" s="331"/>
      <c r="O1284" s="331"/>
      <c r="P1284" s="331"/>
      <c r="Q1284" s="182"/>
      <c r="R1284" s="182"/>
      <c r="S1284" s="182"/>
      <c r="T1284" s="182"/>
      <c r="U1284" s="182"/>
      <c r="V1284" s="182"/>
    </row>
    <row r="1285" ht="15.75" customHeight="1">
      <c r="A1285" s="183"/>
      <c r="B1285" s="130"/>
      <c r="C1285" s="231" t="s">
        <v>925</v>
      </c>
      <c r="D1285" s="185" t="s">
        <v>24</v>
      </c>
      <c r="E1285" s="130"/>
      <c r="F1285" s="184">
        <v>4.0</v>
      </c>
      <c r="G1285" s="179">
        <v>600.0</v>
      </c>
      <c r="H1285" s="50">
        <f t="shared" si="30"/>
        <v>2400</v>
      </c>
      <c r="I1285" s="175"/>
      <c r="J1285" s="175"/>
      <c r="K1285" s="130"/>
      <c r="L1285" s="130"/>
      <c r="M1285" s="130"/>
      <c r="N1285" s="130"/>
      <c r="O1285" s="130"/>
      <c r="P1285" s="130"/>
      <c r="Q1285" s="182"/>
      <c r="R1285" s="182"/>
      <c r="S1285" s="182"/>
      <c r="T1285" s="182"/>
      <c r="U1285" s="182"/>
      <c r="V1285" s="182"/>
    </row>
    <row r="1286" ht="15.75" customHeight="1">
      <c r="A1286" s="183"/>
      <c r="B1286" s="231" t="s">
        <v>239</v>
      </c>
      <c r="C1286" s="231" t="s">
        <v>926</v>
      </c>
      <c r="D1286" s="185" t="s">
        <v>24</v>
      </c>
      <c r="E1286" s="130"/>
      <c r="F1286" s="184">
        <v>1.0</v>
      </c>
      <c r="G1286" s="336">
        <v>400.0</v>
      </c>
      <c r="H1286" s="50">
        <f t="shared" si="30"/>
        <v>400</v>
      </c>
      <c r="I1286" s="175"/>
      <c r="J1286" s="175"/>
      <c r="K1286" s="130"/>
      <c r="L1286" s="130"/>
      <c r="M1286" s="130"/>
      <c r="N1286" s="130"/>
      <c r="O1286" s="130"/>
      <c r="P1286" s="130"/>
      <c r="Q1286" s="182"/>
      <c r="R1286" s="182"/>
      <c r="S1286" s="182"/>
      <c r="T1286" s="182"/>
      <c r="U1286" s="182"/>
      <c r="V1286" s="182"/>
    </row>
    <row r="1287" ht="15.75" hidden="1" customHeight="1">
      <c r="A1287" s="13"/>
      <c r="B1287" s="13"/>
      <c r="C1287" s="169" t="s">
        <v>927</v>
      </c>
      <c r="D1287" s="14" t="s">
        <v>20</v>
      </c>
      <c r="E1287" s="15"/>
      <c r="F1287" s="16">
        <v>0.0</v>
      </c>
      <c r="G1287" s="17">
        <v>6000.0</v>
      </c>
      <c r="H1287" s="50">
        <f t="shared" si="30"/>
        <v>0</v>
      </c>
      <c r="I1287" s="18"/>
      <c r="J1287" s="18"/>
      <c r="K1287" s="13"/>
      <c r="L1287" s="13"/>
      <c r="M1287" s="13"/>
      <c r="N1287" s="13"/>
      <c r="O1287" s="13"/>
      <c r="P1287" s="13"/>
      <c r="Q1287" s="35"/>
      <c r="R1287" s="35"/>
      <c r="S1287" s="35"/>
      <c r="T1287" s="1"/>
      <c r="U1287" s="1"/>
      <c r="V1287" s="1"/>
    </row>
    <row r="1288" ht="15.75" hidden="1" customHeight="1">
      <c r="A1288" s="13"/>
      <c r="B1288" s="13"/>
      <c r="C1288" s="169" t="s">
        <v>928</v>
      </c>
      <c r="D1288" s="14" t="s">
        <v>20</v>
      </c>
      <c r="E1288" s="15"/>
      <c r="F1288" s="16">
        <v>0.0</v>
      </c>
      <c r="G1288" s="17">
        <v>400.0</v>
      </c>
      <c r="H1288" s="50">
        <f t="shared" si="30"/>
        <v>0</v>
      </c>
      <c r="I1288" s="18"/>
      <c r="J1288" s="18"/>
      <c r="K1288" s="13"/>
      <c r="L1288" s="13"/>
      <c r="M1288" s="13"/>
      <c r="N1288" s="13"/>
      <c r="O1288" s="13"/>
      <c r="P1288" s="13"/>
      <c r="Q1288" s="35"/>
      <c r="R1288" s="35"/>
      <c r="S1288" s="35"/>
      <c r="T1288" s="1"/>
      <c r="U1288" s="1"/>
      <c r="V1288" s="1"/>
    </row>
    <row r="1289" ht="15.75" hidden="1" customHeight="1">
      <c r="A1289" s="13"/>
      <c r="B1289" s="13" t="s">
        <v>320</v>
      </c>
      <c r="C1289" s="169" t="s">
        <v>929</v>
      </c>
      <c r="D1289" s="337" t="s">
        <v>30</v>
      </c>
      <c r="E1289" s="15"/>
      <c r="F1289" s="16">
        <v>0.0</v>
      </c>
      <c r="G1289" s="17">
        <v>50.0</v>
      </c>
      <c r="H1289" s="50">
        <f t="shared" si="30"/>
        <v>0</v>
      </c>
      <c r="I1289" s="18"/>
      <c r="J1289" s="18"/>
      <c r="K1289" s="13"/>
      <c r="L1289" s="13"/>
      <c r="M1289" s="13"/>
      <c r="N1289" s="13"/>
      <c r="O1289" s="13"/>
      <c r="P1289" s="13"/>
      <c r="Q1289" s="35"/>
      <c r="R1289" s="35"/>
      <c r="S1289" s="35"/>
      <c r="T1289" s="1"/>
      <c r="U1289" s="1"/>
      <c r="V1289" s="1"/>
    </row>
    <row r="1290" ht="15.75" customHeight="1">
      <c r="A1290" s="13"/>
      <c r="B1290" s="258" t="s">
        <v>930</v>
      </c>
      <c r="C1290" s="13" t="s">
        <v>931</v>
      </c>
      <c r="D1290" s="337" t="s">
        <v>30</v>
      </c>
      <c r="E1290" s="15"/>
      <c r="F1290" s="16">
        <v>1.0</v>
      </c>
      <c r="G1290" s="34">
        <v>100.0</v>
      </c>
      <c r="H1290" s="50">
        <f t="shared" si="30"/>
        <v>100</v>
      </c>
      <c r="I1290" s="18"/>
      <c r="J1290" s="18"/>
      <c r="K1290" s="13"/>
      <c r="L1290" s="13"/>
      <c r="M1290" s="13"/>
      <c r="N1290" s="13"/>
      <c r="O1290" s="13"/>
      <c r="P1290" s="13"/>
      <c r="Q1290" s="35"/>
      <c r="R1290" s="35"/>
      <c r="S1290" s="35"/>
      <c r="T1290" s="1"/>
      <c r="U1290" s="1"/>
      <c r="V1290" s="1"/>
    </row>
    <row r="1291" ht="15.75" customHeight="1">
      <c r="A1291" s="13"/>
      <c r="B1291" s="258" t="s">
        <v>932</v>
      </c>
      <c r="C1291" s="43" t="s">
        <v>931</v>
      </c>
      <c r="D1291" s="337" t="s">
        <v>30</v>
      </c>
      <c r="E1291" s="15"/>
      <c r="F1291" s="40">
        <v>1.0</v>
      </c>
      <c r="G1291" s="34">
        <v>150.0</v>
      </c>
      <c r="H1291" s="50">
        <f t="shared" si="30"/>
        <v>150</v>
      </c>
      <c r="I1291" s="18"/>
      <c r="J1291" s="18"/>
      <c r="K1291" s="13"/>
      <c r="L1291" s="13"/>
      <c r="M1291" s="13"/>
      <c r="N1291" s="13"/>
      <c r="O1291" s="13"/>
      <c r="P1291" s="13"/>
      <c r="Q1291" s="35"/>
      <c r="R1291" s="35"/>
      <c r="S1291" s="35"/>
      <c r="T1291" s="1"/>
      <c r="U1291" s="1"/>
      <c r="V1291" s="1"/>
    </row>
    <row r="1292" ht="15.75" hidden="1" customHeight="1">
      <c r="A1292" s="13"/>
      <c r="B1292" s="54"/>
      <c r="C1292" s="13" t="s">
        <v>933</v>
      </c>
      <c r="D1292" s="14" t="s">
        <v>20</v>
      </c>
      <c r="E1292" s="15"/>
      <c r="F1292" s="40">
        <v>0.0</v>
      </c>
      <c r="G1292" s="17">
        <v>80.0</v>
      </c>
      <c r="H1292" s="50">
        <f t="shared" si="30"/>
        <v>0</v>
      </c>
      <c r="I1292" s="18"/>
      <c r="J1292" s="18"/>
      <c r="K1292" s="13"/>
      <c r="L1292" s="13"/>
      <c r="M1292" s="13"/>
      <c r="N1292" s="13"/>
      <c r="O1292" s="13"/>
      <c r="P1292" s="13"/>
      <c r="Q1292" s="35"/>
      <c r="R1292" s="35"/>
      <c r="S1292" s="35"/>
      <c r="T1292" s="1"/>
      <c r="U1292" s="1"/>
      <c r="V1292" s="1"/>
    </row>
    <row r="1293" ht="15.75" customHeight="1">
      <c r="A1293" s="13"/>
      <c r="B1293" s="54"/>
      <c r="C1293" s="13" t="s">
        <v>934</v>
      </c>
      <c r="D1293" s="14" t="s">
        <v>20</v>
      </c>
      <c r="E1293" s="15"/>
      <c r="F1293" s="16">
        <v>1.0</v>
      </c>
      <c r="G1293" s="34">
        <v>3000.0</v>
      </c>
      <c r="H1293" s="50">
        <f t="shared" si="30"/>
        <v>3000</v>
      </c>
      <c r="I1293" s="18"/>
      <c r="J1293" s="18"/>
      <c r="K1293" s="13"/>
      <c r="L1293" s="13"/>
      <c r="M1293" s="13"/>
      <c r="N1293" s="13"/>
      <c r="O1293" s="13"/>
      <c r="P1293" s="13"/>
      <c r="Q1293" s="35"/>
      <c r="R1293" s="35"/>
      <c r="S1293" s="35"/>
      <c r="T1293" s="1"/>
      <c r="U1293" s="1"/>
      <c r="V1293" s="1"/>
    </row>
    <row r="1294" ht="15.75" hidden="1" customHeight="1">
      <c r="A1294" s="13"/>
      <c r="B1294" s="54"/>
      <c r="C1294" s="13" t="s">
        <v>935</v>
      </c>
      <c r="D1294" s="14" t="s">
        <v>20</v>
      </c>
      <c r="E1294" s="15"/>
      <c r="F1294" s="40">
        <v>0.0</v>
      </c>
      <c r="G1294" s="17">
        <v>50.0</v>
      </c>
      <c r="H1294" s="50">
        <f t="shared" si="30"/>
        <v>0</v>
      </c>
      <c r="I1294" s="18"/>
      <c r="J1294" s="18"/>
      <c r="K1294" s="13"/>
      <c r="L1294" s="13"/>
      <c r="M1294" s="13"/>
      <c r="N1294" s="13"/>
      <c r="O1294" s="13"/>
      <c r="P1294" s="13"/>
      <c r="Q1294" s="35"/>
      <c r="R1294" s="35"/>
      <c r="S1294" s="35"/>
      <c r="T1294" s="1"/>
      <c r="U1294" s="1"/>
      <c r="V1294" s="1"/>
    </row>
    <row r="1295" ht="15.75" customHeight="1">
      <c r="A1295" s="13"/>
      <c r="B1295" s="54"/>
      <c r="C1295" s="13" t="s">
        <v>936</v>
      </c>
      <c r="D1295" s="70" t="s">
        <v>24</v>
      </c>
      <c r="E1295" s="15"/>
      <c r="F1295" s="16">
        <v>1.0</v>
      </c>
      <c r="G1295" s="17">
        <v>250.0</v>
      </c>
      <c r="H1295" s="50">
        <f t="shared" si="30"/>
        <v>250</v>
      </c>
      <c r="I1295" s="18"/>
      <c r="J1295" s="18"/>
      <c r="K1295" s="13"/>
      <c r="L1295" s="13"/>
      <c r="M1295" s="13"/>
      <c r="N1295" s="13"/>
      <c r="O1295" s="13"/>
      <c r="P1295" s="13"/>
      <c r="Q1295" s="35"/>
      <c r="R1295" s="35"/>
      <c r="S1295" s="35"/>
      <c r="T1295" s="1"/>
      <c r="U1295" s="1"/>
      <c r="V1295" s="1"/>
    </row>
    <row r="1296" ht="15.75" hidden="1" customHeight="1">
      <c r="A1296" s="13"/>
      <c r="B1296" s="13"/>
      <c r="C1296" s="13" t="s">
        <v>937</v>
      </c>
      <c r="D1296" s="70" t="s">
        <v>24</v>
      </c>
      <c r="E1296" s="15"/>
      <c r="F1296" s="16">
        <v>0.0</v>
      </c>
      <c r="G1296" s="17">
        <v>600.0</v>
      </c>
      <c r="H1296" s="50">
        <f t="shared" si="30"/>
        <v>0</v>
      </c>
      <c r="I1296" s="18"/>
      <c r="J1296" s="18"/>
      <c r="K1296" s="13"/>
      <c r="L1296" s="13"/>
      <c r="M1296" s="13"/>
      <c r="N1296" s="13"/>
      <c r="O1296" s="13"/>
      <c r="P1296" s="13"/>
      <c r="Q1296" s="35"/>
      <c r="R1296" s="35"/>
      <c r="S1296" s="35"/>
      <c r="T1296" s="1"/>
      <c r="U1296" s="1"/>
      <c r="V1296" s="1"/>
    </row>
    <row r="1297" ht="15.75" customHeight="1">
      <c r="A1297" s="13"/>
      <c r="B1297" s="13" t="s">
        <v>938</v>
      </c>
      <c r="C1297" s="13" t="s">
        <v>939</v>
      </c>
      <c r="D1297" s="337" t="s">
        <v>30</v>
      </c>
      <c r="E1297" s="15"/>
      <c r="F1297" s="16">
        <v>1.0</v>
      </c>
      <c r="G1297" s="34">
        <v>350.0</v>
      </c>
      <c r="H1297" s="17">
        <f t="shared" si="30"/>
        <v>350</v>
      </c>
      <c r="I1297" s="18"/>
      <c r="J1297" s="18"/>
      <c r="K1297" s="13"/>
      <c r="L1297" s="13"/>
      <c r="M1297" s="13"/>
      <c r="N1297" s="13"/>
      <c r="O1297" s="13"/>
      <c r="P1297" s="13"/>
      <c r="Q1297" s="35"/>
      <c r="R1297" s="35"/>
      <c r="S1297" s="35"/>
      <c r="T1297" s="1"/>
      <c r="U1297" s="1"/>
      <c r="V1297" s="1"/>
    </row>
    <row r="1298" ht="15.75" hidden="1" customHeight="1">
      <c r="A1298" s="15"/>
      <c r="B1298" s="13" t="s">
        <v>940</v>
      </c>
      <c r="C1298" s="52" t="s">
        <v>941</v>
      </c>
      <c r="D1298" s="338" t="s">
        <v>30</v>
      </c>
      <c r="E1298" s="52"/>
      <c r="F1298" s="48">
        <v>0.0</v>
      </c>
      <c r="G1298" s="50">
        <v>390.0</v>
      </c>
      <c r="H1298" s="50">
        <f t="shared" si="30"/>
        <v>0</v>
      </c>
      <c r="I1298" s="51"/>
      <c r="J1298" s="51"/>
      <c r="K1298" s="52"/>
      <c r="L1298" s="52"/>
      <c r="M1298" s="52"/>
      <c r="N1298" s="52"/>
      <c r="O1298" s="52"/>
      <c r="P1298" s="52"/>
      <c r="Q1298" s="1"/>
      <c r="R1298" s="1"/>
      <c r="S1298" s="1"/>
      <c r="T1298" s="1"/>
      <c r="U1298" s="1"/>
      <c r="V1298" s="1"/>
    </row>
    <row r="1299" ht="15.75" customHeight="1">
      <c r="A1299" s="13"/>
      <c r="B1299" s="13" t="s">
        <v>940</v>
      </c>
      <c r="C1299" s="166" t="s">
        <v>942</v>
      </c>
      <c r="D1299" s="339" t="s">
        <v>30</v>
      </c>
      <c r="E1299" s="219"/>
      <c r="F1299" s="190">
        <v>2.0</v>
      </c>
      <c r="G1299" s="192">
        <v>500.0</v>
      </c>
      <c r="H1299" s="17">
        <f t="shared" si="30"/>
        <v>1000</v>
      </c>
      <c r="I1299" s="193"/>
      <c r="J1299" s="18"/>
      <c r="K1299" s="13"/>
      <c r="L1299" s="13"/>
      <c r="M1299" s="13"/>
      <c r="N1299" s="13"/>
      <c r="O1299" s="13"/>
      <c r="P1299" s="13"/>
      <c r="Q1299" s="35"/>
      <c r="R1299" s="35"/>
      <c r="S1299" s="35"/>
      <c r="T1299" s="1"/>
      <c r="U1299" s="1"/>
      <c r="V1299" s="1"/>
    </row>
    <row r="1300" ht="15.75" hidden="1" customHeight="1">
      <c r="A1300" s="13"/>
      <c r="B1300" s="13" t="s">
        <v>940</v>
      </c>
      <c r="C1300" s="166" t="s">
        <v>943</v>
      </c>
      <c r="D1300" s="339" t="s">
        <v>30</v>
      </c>
      <c r="E1300" s="219"/>
      <c r="F1300" s="190">
        <v>0.0</v>
      </c>
      <c r="G1300" s="192">
        <v>550.0</v>
      </c>
      <c r="H1300" s="17">
        <f t="shared" si="30"/>
        <v>0</v>
      </c>
      <c r="I1300" s="193"/>
      <c r="J1300" s="18"/>
      <c r="K1300" s="13"/>
      <c r="L1300" s="13"/>
      <c r="M1300" s="13"/>
      <c r="N1300" s="13"/>
      <c r="O1300" s="13"/>
      <c r="P1300" s="13"/>
      <c r="Q1300" s="35"/>
      <c r="R1300" s="35"/>
      <c r="S1300" s="35"/>
      <c r="T1300" s="1"/>
      <c r="U1300" s="1"/>
      <c r="V1300" s="1"/>
    </row>
    <row r="1301" ht="15.75" hidden="1" customHeight="1">
      <c r="A1301" s="13"/>
      <c r="B1301" s="13" t="s">
        <v>940</v>
      </c>
      <c r="C1301" s="166" t="s">
        <v>944</v>
      </c>
      <c r="D1301" s="339" t="s">
        <v>30</v>
      </c>
      <c r="E1301" s="219"/>
      <c r="F1301" s="190">
        <v>0.0</v>
      </c>
      <c r="G1301" s="192">
        <v>610.0</v>
      </c>
      <c r="H1301" s="17">
        <f t="shared" si="30"/>
        <v>0</v>
      </c>
      <c r="I1301" s="193"/>
      <c r="J1301" s="18"/>
      <c r="K1301" s="13"/>
      <c r="L1301" s="13"/>
      <c r="M1301" s="13"/>
      <c r="N1301" s="13"/>
      <c r="O1301" s="13"/>
      <c r="P1301" s="13"/>
      <c r="Q1301" s="35"/>
      <c r="R1301" s="35"/>
      <c r="S1301" s="35"/>
      <c r="T1301" s="1"/>
      <c r="U1301" s="1"/>
      <c r="V1301" s="1"/>
    </row>
    <row r="1302" ht="15.75" hidden="1" customHeight="1">
      <c r="A1302" s="15"/>
      <c r="B1302" s="52"/>
      <c r="C1302" s="52" t="s">
        <v>945</v>
      </c>
      <c r="D1302" s="338" t="s">
        <v>30</v>
      </c>
      <c r="E1302" s="52"/>
      <c r="F1302" s="48">
        <v>0.0</v>
      </c>
      <c r="G1302" s="50">
        <v>1440.0</v>
      </c>
      <c r="H1302" s="50">
        <f t="shared" si="30"/>
        <v>0</v>
      </c>
      <c r="I1302" s="51"/>
      <c r="J1302" s="51"/>
      <c r="K1302" s="52"/>
      <c r="L1302" s="52"/>
      <c r="M1302" s="52"/>
      <c r="N1302" s="52"/>
      <c r="O1302" s="52"/>
      <c r="P1302" s="52"/>
      <c r="Q1302" s="1"/>
      <c r="R1302" s="1"/>
      <c r="S1302" s="1"/>
      <c r="T1302" s="1"/>
      <c r="U1302" s="1"/>
      <c r="V1302" s="1"/>
    </row>
    <row r="1303" ht="15.75" customHeight="1">
      <c r="A1303" s="13"/>
      <c r="B1303" s="13"/>
      <c r="C1303" s="166" t="s">
        <v>946</v>
      </c>
      <c r="D1303" s="339" t="s">
        <v>30</v>
      </c>
      <c r="E1303" s="219"/>
      <c r="F1303" s="190">
        <v>1.0</v>
      </c>
      <c r="G1303" s="192">
        <v>1380.0</v>
      </c>
      <c r="H1303" s="17">
        <f t="shared" si="30"/>
        <v>1380</v>
      </c>
      <c r="I1303" s="193"/>
      <c r="J1303" s="18"/>
      <c r="K1303" s="13"/>
      <c r="L1303" s="13"/>
      <c r="M1303" s="13"/>
      <c r="N1303" s="13"/>
      <c r="O1303" s="13"/>
      <c r="P1303" s="13"/>
      <c r="Q1303" s="35"/>
      <c r="R1303" s="35"/>
      <c r="S1303" s="35"/>
      <c r="T1303" s="1"/>
      <c r="U1303" s="1"/>
      <c r="V1303" s="1"/>
    </row>
    <row r="1304" ht="15.75" hidden="1" customHeight="1">
      <c r="A1304" s="13"/>
      <c r="B1304" s="13"/>
      <c r="C1304" s="166" t="s">
        <v>947</v>
      </c>
      <c r="D1304" s="339" t="s">
        <v>30</v>
      </c>
      <c r="E1304" s="219"/>
      <c r="F1304" s="190">
        <v>0.0</v>
      </c>
      <c r="G1304" s="192">
        <v>1740.0</v>
      </c>
      <c r="H1304" s="17">
        <f t="shared" si="30"/>
        <v>0</v>
      </c>
      <c r="I1304" s="193"/>
      <c r="J1304" s="18"/>
      <c r="K1304" s="13"/>
      <c r="L1304" s="13"/>
      <c r="M1304" s="13"/>
      <c r="N1304" s="13"/>
      <c r="O1304" s="13"/>
      <c r="P1304" s="13"/>
      <c r="Q1304" s="35"/>
      <c r="R1304" s="35"/>
      <c r="S1304" s="35"/>
      <c r="T1304" s="1"/>
      <c r="U1304" s="1"/>
      <c r="V1304" s="1"/>
    </row>
    <row r="1305" ht="15.75" hidden="1" customHeight="1">
      <c r="A1305" s="13"/>
      <c r="B1305" s="13"/>
      <c r="C1305" s="166" t="s">
        <v>948</v>
      </c>
      <c r="D1305" s="339" t="s">
        <v>30</v>
      </c>
      <c r="E1305" s="219"/>
      <c r="F1305" s="190">
        <v>0.0</v>
      </c>
      <c r="G1305" s="192">
        <v>2100.0</v>
      </c>
      <c r="H1305" s="17">
        <f t="shared" si="30"/>
        <v>0</v>
      </c>
      <c r="I1305" s="193"/>
      <c r="J1305" s="18"/>
      <c r="K1305" s="13"/>
      <c r="L1305" s="13"/>
      <c r="M1305" s="13"/>
      <c r="N1305" s="13"/>
      <c r="O1305" s="13"/>
      <c r="P1305" s="13"/>
      <c r="Q1305" s="35"/>
      <c r="R1305" s="35"/>
      <c r="S1305" s="35"/>
      <c r="T1305" s="1"/>
      <c r="U1305" s="1"/>
      <c r="V1305" s="1"/>
    </row>
    <row r="1306" ht="15.75" customHeight="1">
      <c r="A1306" s="13"/>
      <c r="B1306" s="13"/>
      <c r="C1306" s="166" t="s">
        <v>949</v>
      </c>
      <c r="D1306" s="339" t="s">
        <v>30</v>
      </c>
      <c r="E1306" s="219"/>
      <c r="F1306" s="222">
        <v>3.0</v>
      </c>
      <c r="G1306" s="191">
        <v>200.0</v>
      </c>
      <c r="H1306" s="17">
        <f t="shared" si="30"/>
        <v>600</v>
      </c>
      <c r="I1306" s="193"/>
      <c r="J1306" s="18"/>
      <c r="K1306" s="13"/>
      <c r="L1306" s="340"/>
      <c r="M1306" s="340"/>
      <c r="N1306" s="340"/>
      <c r="O1306" s="340"/>
      <c r="P1306" s="340"/>
      <c r="Q1306" s="35"/>
      <c r="R1306" s="35"/>
      <c r="S1306" s="35"/>
      <c r="T1306" s="1"/>
      <c r="U1306" s="1"/>
      <c r="V1306" s="1"/>
    </row>
    <row r="1307" ht="15.75" customHeight="1">
      <c r="A1307" s="13"/>
      <c r="B1307" s="13"/>
      <c r="C1307" s="166" t="s">
        <v>950</v>
      </c>
      <c r="D1307" s="338" t="s">
        <v>30</v>
      </c>
      <c r="E1307" s="341" t="s">
        <v>951</v>
      </c>
      <c r="F1307" s="342">
        <v>1.0</v>
      </c>
      <c r="G1307" s="343">
        <v>0.0</v>
      </c>
      <c r="H1307" s="343">
        <v>0.0</v>
      </c>
      <c r="I1307" s="193"/>
      <c r="J1307" s="18"/>
      <c r="K1307" s="13"/>
      <c r="L1307" s="340"/>
      <c r="M1307" s="340"/>
      <c r="N1307" s="340"/>
      <c r="O1307" s="340"/>
      <c r="P1307" s="340"/>
      <c r="Q1307" s="35"/>
      <c r="R1307" s="35"/>
      <c r="S1307" s="35"/>
      <c r="T1307" s="1"/>
      <c r="U1307" s="1"/>
      <c r="V1307" s="1"/>
    </row>
    <row r="1308" ht="15.75" customHeight="1">
      <c r="A1308" s="340"/>
      <c r="B1308" s="340"/>
      <c r="C1308" s="340"/>
      <c r="D1308" s="344"/>
      <c r="E1308" s="344"/>
      <c r="F1308" s="340"/>
      <c r="G1308" s="340"/>
      <c r="H1308" s="340"/>
      <c r="I1308" s="340"/>
      <c r="J1308" s="340"/>
      <c r="K1308" s="340"/>
      <c r="L1308" s="340"/>
      <c r="M1308" s="340"/>
      <c r="N1308" s="340"/>
      <c r="O1308" s="340"/>
      <c r="P1308" s="340"/>
      <c r="Q1308" s="35"/>
      <c r="R1308" s="35"/>
      <c r="S1308" s="35"/>
      <c r="T1308" s="1"/>
      <c r="U1308" s="1"/>
      <c r="V1308" s="1"/>
    </row>
    <row r="1309" ht="15.75" customHeight="1">
      <c r="A1309" s="340"/>
      <c r="B1309" s="340"/>
      <c r="C1309" s="340"/>
      <c r="D1309" s="344"/>
      <c r="E1309" s="344"/>
      <c r="F1309" s="340"/>
      <c r="G1309" s="340"/>
      <c r="H1309" s="340"/>
      <c r="I1309" s="340"/>
      <c r="J1309" s="340"/>
      <c r="K1309" s="340"/>
      <c r="L1309" s="340"/>
      <c r="M1309" s="340"/>
      <c r="N1309" s="340"/>
      <c r="O1309" s="340"/>
      <c r="P1309" s="340"/>
      <c r="Q1309" s="35"/>
      <c r="R1309" s="35"/>
      <c r="S1309" s="35"/>
      <c r="T1309" s="1"/>
      <c r="U1309" s="1"/>
      <c r="V1309" s="1"/>
    </row>
    <row r="1310" ht="15.75" customHeight="1">
      <c r="A1310" s="340"/>
      <c r="B1310" s="340"/>
      <c r="C1310" s="340"/>
      <c r="D1310" s="344"/>
      <c r="E1310" s="344"/>
      <c r="F1310" s="340"/>
      <c r="G1310" s="340"/>
      <c r="H1310" s="340"/>
      <c r="I1310" s="340"/>
      <c r="J1310" s="340"/>
      <c r="K1310" s="340"/>
      <c r="L1310" s="340"/>
      <c r="M1310" s="340"/>
      <c r="N1310" s="340"/>
      <c r="O1310" s="340"/>
      <c r="P1310" s="340"/>
      <c r="Q1310" s="35"/>
      <c r="R1310" s="35"/>
      <c r="S1310" s="35"/>
      <c r="T1310" s="1"/>
      <c r="U1310" s="1"/>
      <c r="V1310" s="1"/>
    </row>
    <row r="1311" ht="15.75" customHeight="1">
      <c r="A1311" s="340"/>
      <c r="B1311" s="340"/>
      <c r="C1311" s="340"/>
      <c r="D1311" s="344"/>
      <c r="E1311" s="344"/>
      <c r="F1311" s="340"/>
      <c r="G1311" s="340"/>
      <c r="H1311" s="340"/>
      <c r="I1311" s="340"/>
      <c r="J1311" s="340"/>
      <c r="K1311" s="340"/>
      <c r="L1311" s="340"/>
      <c r="M1311" s="340"/>
      <c r="N1311" s="340"/>
      <c r="O1311" s="340"/>
      <c r="P1311" s="340"/>
      <c r="Q1311" s="35"/>
      <c r="R1311" s="35"/>
      <c r="S1311" s="35"/>
      <c r="T1311" s="1"/>
      <c r="U1311" s="1"/>
      <c r="V1311" s="1"/>
    </row>
    <row r="1312" ht="15.75" customHeight="1">
      <c r="A1312" s="340"/>
      <c r="B1312" s="340"/>
      <c r="C1312" s="340"/>
      <c r="D1312" s="344"/>
      <c r="E1312" s="344"/>
      <c r="F1312" s="340"/>
      <c r="G1312" s="340"/>
      <c r="H1312" s="340"/>
      <c r="I1312" s="340"/>
      <c r="J1312" s="340"/>
      <c r="K1312" s="340"/>
      <c r="L1312" s="340"/>
      <c r="M1312" s="340"/>
      <c r="N1312" s="340"/>
      <c r="O1312" s="340"/>
      <c r="P1312" s="340"/>
      <c r="Q1312" s="35"/>
      <c r="R1312" s="35"/>
      <c r="S1312" s="35"/>
      <c r="T1312" s="1"/>
      <c r="U1312" s="1"/>
      <c r="V1312" s="1"/>
    </row>
    <row r="1313" ht="15.75" customHeight="1">
      <c r="A1313" s="340"/>
      <c r="B1313" s="340"/>
      <c r="C1313" s="340"/>
      <c r="D1313" s="344"/>
      <c r="E1313" s="344"/>
      <c r="F1313" s="340"/>
      <c r="G1313" s="340"/>
      <c r="H1313" s="340"/>
      <c r="I1313" s="340"/>
      <c r="J1313" s="340"/>
      <c r="K1313" s="340"/>
      <c r="L1313" s="340"/>
      <c r="M1313" s="340"/>
      <c r="N1313" s="340"/>
      <c r="O1313" s="340"/>
      <c r="P1313" s="340"/>
      <c r="Q1313" s="35"/>
      <c r="R1313" s="35"/>
      <c r="S1313" s="35"/>
      <c r="T1313" s="1"/>
      <c r="U1313" s="1"/>
      <c r="V1313" s="1"/>
    </row>
    <row r="1314" ht="15.75" customHeight="1">
      <c r="A1314" s="340"/>
      <c r="B1314" s="340"/>
      <c r="C1314" s="340"/>
      <c r="D1314" s="344"/>
      <c r="E1314" s="344"/>
      <c r="F1314" s="340"/>
      <c r="G1314" s="340"/>
      <c r="H1314" s="340"/>
      <c r="I1314" s="340"/>
      <c r="J1314" s="340"/>
      <c r="K1314" s="340"/>
      <c r="L1314" s="340"/>
      <c r="M1314" s="340"/>
      <c r="N1314" s="340"/>
      <c r="O1314" s="340"/>
      <c r="P1314" s="340"/>
      <c r="Q1314" s="35"/>
      <c r="R1314" s="35"/>
      <c r="S1314" s="35"/>
      <c r="T1314" s="1"/>
      <c r="U1314" s="1"/>
      <c r="V1314" s="1"/>
    </row>
    <row r="1315" ht="15.75" customHeight="1">
      <c r="A1315" s="340"/>
      <c r="B1315" s="340"/>
      <c r="C1315" s="340"/>
      <c r="D1315" s="344"/>
      <c r="E1315" s="344"/>
      <c r="F1315" s="340"/>
      <c r="G1315" s="340"/>
      <c r="H1315" s="340"/>
      <c r="I1315" s="340"/>
      <c r="J1315" s="340"/>
      <c r="K1315" s="340"/>
      <c r="L1315" s="340"/>
      <c r="M1315" s="340"/>
      <c r="N1315" s="340"/>
      <c r="O1315" s="340"/>
      <c r="P1315" s="340"/>
      <c r="Q1315" s="35"/>
      <c r="R1315" s="35"/>
      <c r="S1315" s="35"/>
      <c r="T1315" s="1"/>
      <c r="U1315" s="1"/>
      <c r="V1315" s="1"/>
    </row>
    <row r="1316" ht="15.75" customHeight="1">
      <c r="A1316" s="340"/>
      <c r="B1316" s="340"/>
      <c r="C1316" s="340"/>
      <c r="D1316" s="344"/>
      <c r="E1316" s="344"/>
      <c r="F1316" s="340"/>
      <c r="G1316" s="340"/>
      <c r="H1316" s="340"/>
      <c r="I1316" s="340"/>
      <c r="J1316" s="340"/>
      <c r="K1316" s="340"/>
      <c r="L1316" s="340"/>
      <c r="M1316" s="340"/>
      <c r="N1316" s="340"/>
      <c r="O1316" s="340"/>
      <c r="P1316" s="340"/>
      <c r="Q1316" s="35"/>
      <c r="R1316" s="35"/>
      <c r="S1316" s="35"/>
      <c r="T1316" s="1"/>
      <c r="U1316" s="1"/>
      <c r="V1316" s="1"/>
    </row>
    <row r="1317" ht="15.75" customHeight="1">
      <c r="A1317" s="340"/>
      <c r="B1317" s="340"/>
      <c r="C1317" s="340"/>
      <c r="D1317" s="344"/>
      <c r="E1317" s="344"/>
      <c r="F1317" s="340"/>
      <c r="G1317" s="340"/>
      <c r="H1317" s="340"/>
      <c r="I1317" s="340"/>
      <c r="J1317" s="340"/>
      <c r="K1317" s="340"/>
      <c r="L1317" s="340"/>
      <c r="M1317" s="340"/>
      <c r="N1317" s="340"/>
      <c r="O1317" s="340"/>
      <c r="P1317" s="340"/>
      <c r="Q1317" s="35"/>
      <c r="R1317" s="35"/>
      <c r="S1317" s="35"/>
      <c r="T1317" s="1"/>
      <c r="U1317" s="1"/>
      <c r="V1317" s="1"/>
    </row>
    <row r="1318" ht="15.75" customHeight="1">
      <c r="A1318" s="340"/>
      <c r="B1318" s="340"/>
      <c r="C1318" s="340"/>
      <c r="D1318" s="344"/>
      <c r="E1318" s="344"/>
      <c r="F1318" s="340"/>
      <c r="G1318" s="340"/>
      <c r="H1318" s="340"/>
      <c r="I1318" s="340"/>
      <c r="J1318" s="340"/>
      <c r="K1318" s="340"/>
      <c r="L1318" s="340"/>
      <c r="M1318" s="340"/>
      <c r="N1318" s="340"/>
      <c r="O1318" s="340"/>
      <c r="P1318" s="340"/>
      <c r="Q1318" s="35"/>
      <c r="R1318" s="35"/>
      <c r="S1318" s="35"/>
      <c r="T1318" s="1"/>
      <c r="U1318" s="1"/>
      <c r="V1318" s="1"/>
    </row>
    <row r="1319" ht="15.75" customHeight="1">
      <c r="A1319" s="340"/>
      <c r="B1319" s="340"/>
      <c r="C1319" s="340"/>
      <c r="D1319" s="344"/>
      <c r="E1319" s="344"/>
      <c r="F1319" s="340"/>
      <c r="G1319" s="340"/>
      <c r="H1319" s="340"/>
      <c r="I1319" s="340"/>
      <c r="J1319" s="340"/>
      <c r="K1319" s="340"/>
      <c r="L1319" s="340"/>
      <c r="M1319" s="340"/>
      <c r="N1319" s="340"/>
      <c r="O1319" s="340"/>
      <c r="P1319" s="340"/>
      <c r="Q1319" s="35"/>
      <c r="R1319" s="35"/>
      <c r="S1319" s="35"/>
      <c r="T1319" s="1"/>
      <c r="U1319" s="1"/>
      <c r="V1319" s="1"/>
    </row>
    <row r="1320" ht="15.75" customHeight="1">
      <c r="A1320" s="340"/>
      <c r="B1320" s="340"/>
      <c r="C1320" s="340"/>
      <c r="D1320" s="344"/>
      <c r="E1320" s="344"/>
      <c r="F1320" s="340"/>
      <c r="G1320" s="340"/>
      <c r="H1320" s="340"/>
      <c r="I1320" s="340"/>
      <c r="J1320" s="340"/>
      <c r="K1320" s="340"/>
      <c r="L1320" s="340"/>
      <c r="M1320" s="340"/>
      <c r="N1320" s="340"/>
      <c r="O1320" s="340"/>
      <c r="P1320" s="340"/>
      <c r="Q1320" s="35"/>
      <c r="R1320" s="35"/>
      <c r="S1320" s="35"/>
      <c r="T1320" s="1"/>
      <c r="U1320" s="1"/>
      <c r="V1320" s="1"/>
    </row>
    <row r="1321" ht="15.75" customHeight="1">
      <c r="A1321" s="340"/>
      <c r="B1321" s="340"/>
      <c r="C1321" s="340"/>
      <c r="D1321" s="344"/>
      <c r="E1321" s="344"/>
      <c r="F1321" s="340"/>
      <c r="G1321" s="340"/>
      <c r="H1321" s="340"/>
      <c r="I1321" s="340"/>
      <c r="J1321" s="340"/>
      <c r="K1321" s="340"/>
      <c r="L1321" s="340"/>
      <c r="M1321" s="340"/>
      <c r="N1321" s="340"/>
      <c r="O1321" s="340"/>
      <c r="P1321" s="340"/>
      <c r="Q1321" s="35"/>
      <c r="R1321" s="35"/>
      <c r="S1321" s="35"/>
      <c r="T1321" s="1"/>
      <c r="U1321" s="1"/>
      <c r="V1321" s="1"/>
    </row>
    <row r="1322" ht="15.75" customHeight="1">
      <c r="A1322" s="340"/>
      <c r="B1322" s="340"/>
      <c r="C1322" s="340"/>
      <c r="D1322" s="344"/>
      <c r="E1322" s="344"/>
      <c r="F1322" s="340"/>
      <c r="G1322" s="340"/>
      <c r="H1322" s="340"/>
      <c r="I1322" s="340"/>
      <c r="J1322" s="340"/>
      <c r="K1322" s="340"/>
      <c r="L1322" s="340"/>
      <c r="M1322" s="340"/>
      <c r="N1322" s="340"/>
      <c r="O1322" s="340"/>
      <c r="P1322" s="340"/>
      <c r="Q1322" s="35"/>
      <c r="R1322" s="35"/>
      <c r="S1322" s="35"/>
      <c r="T1322" s="1"/>
      <c r="U1322" s="1"/>
      <c r="V1322" s="1"/>
    </row>
    <row r="1323" ht="15.75" customHeight="1">
      <c r="A1323" s="340"/>
      <c r="B1323" s="340"/>
      <c r="C1323" s="340"/>
      <c r="D1323" s="344"/>
      <c r="E1323" s="344"/>
      <c r="F1323" s="340"/>
      <c r="G1323" s="340"/>
      <c r="H1323" s="340"/>
      <c r="I1323" s="340"/>
      <c r="J1323" s="340"/>
      <c r="K1323" s="340"/>
      <c r="L1323" s="340"/>
      <c r="M1323" s="340"/>
      <c r="N1323" s="340"/>
      <c r="O1323" s="340"/>
      <c r="P1323" s="340"/>
      <c r="Q1323" s="35"/>
      <c r="R1323" s="35"/>
      <c r="S1323" s="35"/>
      <c r="T1323" s="1"/>
      <c r="U1323" s="1"/>
      <c r="V1323" s="1"/>
    </row>
    <row r="1324" ht="15.75" customHeight="1">
      <c r="A1324" s="340"/>
      <c r="B1324" s="340"/>
      <c r="C1324" s="340"/>
      <c r="D1324" s="344"/>
      <c r="E1324" s="344"/>
      <c r="F1324" s="340"/>
      <c r="G1324" s="340"/>
      <c r="H1324" s="340"/>
      <c r="I1324" s="340"/>
      <c r="J1324" s="340"/>
      <c r="K1324" s="340"/>
      <c r="L1324" s="340"/>
      <c r="M1324" s="340"/>
      <c r="N1324" s="340"/>
      <c r="O1324" s="340"/>
      <c r="P1324" s="340"/>
      <c r="Q1324" s="35"/>
      <c r="R1324" s="35"/>
      <c r="S1324" s="35"/>
      <c r="T1324" s="1"/>
      <c r="U1324" s="1"/>
      <c r="V1324" s="1"/>
    </row>
    <row r="1325" ht="15.75" customHeight="1">
      <c r="A1325" s="340"/>
      <c r="B1325" s="340"/>
      <c r="C1325" s="340"/>
      <c r="D1325" s="344"/>
      <c r="E1325" s="344"/>
      <c r="F1325" s="340"/>
      <c r="G1325" s="340"/>
      <c r="H1325" s="340"/>
      <c r="I1325" s="340"/>
      <c r="J1325" s="340"/>
      <c r="K1325" s="340"/>
      <c r="L1325" s="340"/>
      <c r="M1325" s="340"/>
      <c r="N1325" s="340"/>
      <c r="O1325" s="340"/>
      <c r="P1325" s="340"/>
      <c r="Q1325" s="35"/>
      <c r="R1325" s="35"/>
      <c r="S1325" s="35"/>
      <c r="T1325" s="1"/>
      <c r="U1325" s="1"/>
      <c r="V1325" s="1"/>
    </row>
    <row r="1326" ht="15.75" customHeight="1">
      <c r="A1326" s="340"/>
      <c r="B1326" s="340"/>
      <c r="C1326" s="340"/>
      <c r="D1326" s="344"/>
      <c r="E1326" s="344"/>
      <c r="F1326" s="340"/>
      <c r="G1326" s="340"/>
      <c r="H1326" s="340"/>
      <c r="I1326" s="340"/>
      <c r="J1326" s="340"/>
      <c r="K1326" s="340"/>
      <c r="L1326" s="340"/>
      <c r="M1326" s="340"/>
      <c r="N1326" s="340"/>
      <c r="O1326" s="340"/>
      <c r="P1326" s="340"/>
      <c r="Q1326" s="35"/>
      <c r="R1326" s="35"/>
      <c r="S1326" s="35"/>
      <c r="T1326" s="1"/>
      <c r="U1326" s="1"/>
      <c r="V1326" s="1"/>
    </row>
    <row r="1327" ht="15.75" customHeight="1">
      <c r="A1327" s="340"/>
      <c r="B1327" s="340"/>
      <c r="C1327" s="340"/>
      <c r="D1327" s="344"/>
      <c r="E1327" s="344"/>
      <c r="F1327" s="340"/>
      <c r="G1327" s="340"/>
      <c r="H1327" s="340"/>
      <c r="I1327" s="340"/>
      <c r="J1327" s="340"/>
      <c r="K1327" s="340"/>
      <c r="L1327" s="340"/>
      <c r="M1327" s="340"/>
      <c r="N1327" s="340"/>
      <c r="O1327" s="340"/>
      <c r="P1327" s="340"/>
      <c r="Q1327" s="35"/>
      <c r="R1327" s="35"/>
      <c r="S1327" s="35"/>
      <c r="T1327" s="1"/>
      <c r="U1327" s="1"/>
      <c r="V1327" s="1"/>
    </row>
    <row r="1328" ht="15.75" customHeight="1">
      <c r="A1328" s="340"/>
      <c r="B1328" s="340"/>
      <c r="C1328" s="340"/>
      <c r="D1328" s="344"/>
      <c r="E1328" s="344"/>
      <c r="F1328" s="340"/>
      <c r="G1328" s="340"/>
      <c r="H1328" s="340"/>
      <c r="I1328" s="340"/>
      <c r="J1328" s="340"/>
      <c r="K1328" s="340"/>
      <c r="L1328" s="340"/>
      <c r="M1328" s="340"/>
      <c r="N1328" s="340"/>
      <c r="O1328" s="340"/>
      <c r="P1328" s="340"/>
      <c r="Q1328" s="35"/>
      <c r="R1328" s="35"/>
      <c r="S1328" s="35"/>
      <c r="T1328" s="1"/>
      <c r="U1328" s="1"/>
      <c r="V1328" s="1"/>
    </row>
    <row r="1329" ht="15.75" customHeight="1">
      <c r="A1329" s="340"/>
      <c r="B1329" s="340"/>
      <c r="C1329" s="340"/>
      <c r="D1329" s="344"/>
      <c r="E1329" s="344"/>
      <c r="F1329" s="340"/>
      <c r="G1329" s="340"/>
      <c r="H1329" s="340"/>
      <c r="I1329" s="340"/>
      <c r="J1329" s="340"/>
      <c r="K1329" s="340"/>
      <c r="L1329" s="340"/>
      <c r="M1329" s="340"/>
      <c r="N1329" s="340"/>
      <c r="O1329" s="340"/>
      <c r="P1329" s="340"/>
      <c r="Q1329" s="35"/>
      <c r="R1329" s="35"/>
      <c r="S1329" s="35"/>
      <c r="T1329" s="1"/>
      <c r="U1329" s="1"/>
      <c r="V1329" s="1"/>
    </row>
    <row r="1330" ht="15.75" customHeight="1">
      <c r="A1330" s="340"/>
      <c r="B1330" s="340"/>
      <c r="C1330" s="340"/>
      <c r="D1330" s="344"/>
      <c r="E1330" s="344"/>
      <c r="F1330" s="340"/>
      <c r="G1330" s="340"/>
      <c r="H1330" s="340"/>
      <c r="I1330" s="340"/>
      <c r="J1330" s="340"/>
      <c r="K1330" s="340"/>
      <c r="L1330" s="340"/>
      <c r="M1330" s="340"/>
      <c r="N1330" s="340"/>
      <c r="O1330" s="340"/>
      <c r="P1330" s="340"/>
      <c r="Q1330" s="35"/>
      <c r="R1330" s="35"/>
      <c r="S1330" s="35"/>
      <c r="T1330" s="1"/>
      <c r="U1330" s="1"/>
      <c r="V1330" s="1"/>
    </row>
    <row r="1331" ht="15.75" customHeight="1">
      <c r="A1331" s="340"/>
      <c r="B1331" s="340"/>
      <c r="C1331" s="340"/>
      <c r="D1331" s="344"/>
      <c r="E1331" s="344"/>
      <c r="F1331" s="340"/>
      <c r="G1331" s="340"/>
      <c r="H1331" s="340"/>
      <c r="I1331" s="340"/>
      <c r="J1331" s="340"/>
      <c r="K1331" s="340"/>
      <c r="L1331" s="340"/>
      <c r="M1331" s="340"/>
      <c r="N1331" s="340"/>
      <c r="O1331" s="340"/>
      <c r="P1331" s="340"/>
      <c r="Q1331" s="35"/>
      <c r="R1331" s="35"/>
      <c r="S1331" s="35"/>
      <c r="T1331" s="1"/>
      <c r="U1331" s="1"/>
      <c r="V1331" s="1"/>
    </row>
    <row r="1332" ht="15.75" customHeight="1">
      <c r="A1332" s="340"/>
      <c r="B1332" s="340"/>
      <c r="C1332" s="340"/>
      <c r="D1332" s="344"/>
      <c r="E1332" s="344"/>
      <c r="F1332" s="340"/>
      <c r="G1332" s="340"/>
      <c r="H1332" s="340"/>
      <c r="I1332" s="340"/>
      <c r="J1332" s="340"/>
      <c r="K1332" s="340"/>
      <c r="L1332" s="340"/>
      <c r="M1332" s="340"/>
      <c r="N1332" s="340"/>
      <c r="O1332" s="340"/>
      <c r="P1332" s="340"/>
      <c r="Q1332" s="35"/>
      <c r="R1332" s="35"/>
      <c r="S1332" s="35"/>
      <c r="T1332" s="1"/>
      <c r="U1332" s="1"/>
      <c r="V1332" s="1"/>
    </row>
    <row r="1333" ht="15.75" customHeight="1">
      <c r="A1333" s="340"/>
      <c r="B1333" s="340"/>
      <c r="C1333" s="340"/>
      <c r="D1333" s="344"/>
      <c r="E1333" s="344"/>
      <c r="F1333" s="340"/>
      <c r="G1333" s="340"/>
      <c r="H1333" s="340"/>
      <c r="I1333" s="340"/>
      <c r="J1333" s="340"/>
      <c r="K1333" s="340"/>
      <c r="L1333" s="340"/>
      <c r="M1333" s="340"/>
      <c r="N1333" s="340"/>
      <c r="O1333" s="340"/>
      <c r="P1333" s="340"/>
      <c r="Q1333" s="35"/>
      <c r="R1333" s="35"/>
      <c r="S1333" s="35"/>
      <c r="T1333" s="1"/>
      <c r="U1333" s="1"/>
      <c r="V1333" s="1"/>
    </row>
    <row r="1334" ht="15.75" customHeight="1">
      <c r="A1334" s="340"/>
      <c r="B1334" s="340"/>
      <c r="C1334" s="340"/>
      <c r="D1334" s="344"/>
      <c r="E1334" s="344"/>
      <c r="F1334" s="340"/>
      <c r="G1334" s="340"/>
      <c r="H1334" s="340"/>
      <c r="I1334" s="340"/>
      <c r="J1334" s="340"/>
      <c r="K1334" s="340"/>
      <c r="L1334" s="340"/>
      <c r="M1334" s="340"/>
      <c r="N1334" s="340"/>
      <c r="O1334" s="340"/>
      <c r="P1334" s="340"/>
      <c r="Q1334" s="35"/>
      <c r="R1334" s="35"/>
      <c r="S1334" s="35"/>
      <c r="T1334" s="1"/>
      <c r="U1334" s="1"/>
      <c r="V1334" s="1"/>
    </row>
    <row r="1335" ht="15.75" customHeight="1">
      <c r="A1335" s="340"/>
      <c r="B1335" s="340"/>
      <c r="C1335" s="340"/>
      <c r="D1335" s="344"/>
      <c r="E1335" s="344"/>
      <c r="F1335" s="340"/>
      <c r="G1335" s="340"/>
      <c r="H1335" s="340"/>
      <c r="I1335" s="340"/>
      <c r="J1335" s="340"/>
      <c r="K1335" s="340"/>
      <c r="L1335" s="340"/>
      <c r="M1335" s="340"/>
      <c r="N1335" s="340"/>
      <c r="O1335" s="340"/>
      <c r="P1335" s="340"/>
      <c r="Q1335" s="35"/>
      <c r="R1335" s="35"/>
      <c r="S1335" s="35"/>
      <c r="T1335" s="1"/>
      <c r="U1335" s="1"/>
      <c r="V1335" s="1"/>
    </row>
    <row r="1336" ht="15.75" customHeight="1">
      <c r="A1336" s="340"/>
      <c r="B1336" s="340"/>
      <c r="C1336" s="340"/>
      <c r="D1336" s="344"/>
      <c r="E1336" s="344"/>
      <c r="F1336" s="340"/>
      <c r="G1336" s="340"/>
      <c r="H1336" s="340"/>
      <c r="I1336" s="340"/>
      <c r="J1336" s="340"/>
      <c r="K1336" s="340"/>
      <c r="L1336" s="340"/>
      <c r="M1336" s="340"/>
      <c r="N1336" s="340"/>
      <c r="O1336" s="340"/>
      <c r="P1336" s="340"/>
      <c r="Q1336" s="35"/>
      <c r="R1336" s="35"/>
      <c r="S1336" s="35"/>
      <c r="T1336" s="1"/>
      <c r="U1336" s="1"/>
      <c r="V1336" s="1"/>
    </row>
    <row r="1337" ht="15.75" customHeight="1">
      <c r="A1337" s="340"/>
      <c r="B1337" s="340"/>
      <c r="C1337" s="340"/>
      <c r="D1337" s="344"/>
      <c r="E1337" s="344"/>
      <c r="F1337" s="340"/>
      <c r="G1337" s="340"/>
      <c r="H1337" s="340"/>
      <c r="I1337" s="340"/>
      <c r="J1337" s="340"/>
      <c r="K1337" s="340"/>
      <c r="L1337" s="340"/>
      <c r="M1337" s="340"/>
      <c r="N1337" s="340"/>
      <c r="O1337" s="340"/>
      <c r="P1337" s="340"/>
      <c r="Q1337" s="35"/>
      <c r="R1337" s="35"/>
      <c r="S1337" s="35"/>
      <c r="T1337" s="1"/>
      <c r="U1337" s="1"/>
      <c r="V1337" s="1"/>
    </row>
    <row r="1338" ht="15.75" customHeight="1">
      <c r="A1338" s="340"/>
      <c r="B1338" s="340"/>
      <c r="C1338" s="340"/>
      <c r="D1338" s="344"/>
      <c r="E1338" s="344"/>
      <c r="F1338" s="340"/>
      <c r="G1338" s="340"/>
      <c r="H1338" s="340"/>
      <c r="I1338" s="340"/>
      <c r="J1338" s="340"/>
      <c r="K1338" s="340"/>
      <c r="L1338" s="340"/>
      <c r="M1338" s="340"/>
      <c r="N1338" s="340"/>
      <c r="O1338" s="340"/>
      <c r="P1338" s="340"/>
      <c r="Q1338" s="35"/>
      <c r="R1338" s="35"/>
      <c r="S1338" s="35"/>
      <c r="T1338" s="1"/>
      <c r="U1338" s="1"/>
      <c r="V1338" s="1"/>
    </row>
    <row r="1339" ht="15.75" customHeight="1">
      <c r="A1339" s="340"/>
      <c r="B1339" s="340"/>
      <c r="C1339" s="340"/>
      <c r="D1339" s="344"/>
      <c r="E1339" s="344"/>
      <c r="F1339" s="340"/>
      <c r="G1339" s="340"/>
      <c r="H1339" s="340"/>
      <c r="I1339" s="340"/>
      <c r="J1339" s="340"/>
      <c r="K1339" s="340"/>
      <c r="L1339" s="340"/>
      <c r="M1339" s="340"/>
      <c r="N1339" s="340"/>
      <c r="O1339" s="340"/>
      <c r="P1339" s="340"/>
      <c r="Q1339" s="35"/>
      <c r="R1339" s="35"/>
      <c r="S1339" s="35"/>
      <c r="T1339" s="1"/>
      <c r="U1339" s="1"/>
      <c r="V1339" s="1"/>
    </row>
    <row r="1340" ht="15.75" customHeight="1">
      <c r="A1340" s="340"/>
      <c r="B1340" s="340"/>
      <c r="C1340" s="340"/>
      <c r="D1340" s="344"/>
      <c r="E1340" s="344"/>
      <c r="F1340" s="340"/>
      <c r="G1340" s="340"/>
      <c r="H1340" s="340"/>
      <c r="I1340" s="340"/>
      <c r="J1340" s="340"/>
      <c r="K1340" s="340"/>
      <c r="L1340" s="340"/>
      <c r="M1340" s="340"/>
      <c r="N1340" s="340"/>
      <c r="O1340" s="340"/>
      <c r="P1340" s="340"/>
      <c r="Q1340" s="35"/>
      <c r="R1340" s="35"/>
      <c r="S1340" s="35"/>
      <c r="T1340" s="1"/>
      <c r="U1340" s="1"/>
      <c r="V1340" s="1"/>
    </row>
    <row r="1341" ht="15.75" customHeight="1">
      <c r="A1341" s="340"/>
      <c r="B1341" s="340"/>
      <c r="C1341" s="340"/>
      <c r="D1341" s="344"/>
      <c r="E1341" s="344"/>
      <c r="F1341" s="340"/>
      <c r="G1341" s="340"/>
      <c r="H1341" s="340"/>
      <c r="I1341" s="340"/>
      <c r="J1341" s="340"/>
      <c r="K1341" s="340"/>
      <c r="L1341" s="340"/>
      <c r="M1341" s="340"/>
      <c r="N1341" s="340"/>
      <c r="O1341" s="340"/>
      <c r="P1341" s="340"/>
      <c r="Q1341" s="35"/>
      <c r="R1341" s="35"/>
      <c r="S1341" s="35"/>
      <c r="T1341" s="1"/>
      <c r="U1341" s="1"/>
      <c r="V1341" s="1"/>
    </row>
    <row r="1342" ht="15.75" customHeight="1">
      <c r="A1342" s="340"/>
      <c r="B1342" s="340"/>
      <c r="C1342" s="340"/>
      <c r="D1342" s="344"/>
      <c r="E1342" s="344"/>
      <c r="F1342" s="340"/>
      <c r="G1342" s="340"/>
      <c r="H1342" s="340"/>
      <c r="I1342" s="340"/>
      <c r="J1342" s="340"/>
      <c r="K1342" s="340"/>
      <c r="L1342" s="340"/>
      <c r="M1342" s="340"/>
      <c r="N1342" s="340"/>
      <c r="O1342" s="340"/>
      <c r="P1342" s="340"/>
      <c r="Q1342" s="35"/>
      <c r="R1342" s="35"/>
      <c r="S1342" s="35"/>
      <c r="T1342" s="1"/>
      <c r="U1342" s="1"/>
      <c r="V1342" s="1"/>
    </row>
    <row r="1343" ht="15.75" customHeight="1">
      <c r="A1343" s="340"/>
      <c r="B1343" s="340"/>
      <c r="C1343" s="340"/>
      <c r="D1343" s="344"/>
      <c r="E1343" s="344"/>
      <c r="F1343" s="340"/>
      <c r="G1343" s="340"/>
      <c r="H1343" s="340"/>
      <c r="I1343" s="340"/>
      <c r="J1343" s="340"/>
      <c r="K1343" s="340"/>
      <c r="L1343" s="340"/>
      <c r="M1343" s="340"/>
      <c r="N1343" s="340"/>
      <c r="O1343" s="340"/>
      <c r="P1343" s="340"/>
      <c r="Q1343" s="35"/>
      <c r="R1343" s="35"/>
      <c r="S1343" s="35"/>
      <c r="T1343" s="1"/>
      <c r="U1343" s="1"/>
      <c r="V1343" s="1"/>
    </row>
    <row r="1344" ht="15.75" customHeight="1">
      <c r="A1344" s="340"/>
      <c r="B1344" s="340"/>
      <c r="C1344" s="340"/>
      <c r="D1344" s="344"/>
      <c r="E1344" s="344"/>
      <c r="F1344" s="340"/>
      <c r="G1344" s="340"/>
      <c r="H1344" s="340"/>
      <c r="I1344" s="340"/>
      <c r="J1344" s="340"/>
      <c r="K1344" s="340"/>
      <c r="L1344" s="340"/>
      <c r="M1344" s="340"/>
      <c r="N1344" s="340"/>
      <c r="O1344" s="340"/>
      <c r="P1344" s="340"/>
      <c r="Q1344" s="35"/>
      <c r="R1344" s="35"/>
      <c r="S1344" s="35"/>
      <c r="T1344" s="1"/>
      <c r="U1344" s="1"/>
      <c r="V1344" s="1"/>
    </row>
    <row r="1345" ht="15.75" customHeight="1">
      <c r="A1345" s="340"/>
      <c r="B1345" s="340"/>
      <c r="C1345" s="340"/>
      <c r="D1345" s="344"/>
      <c r="E1345" s="344"/>
      <c r="F1345" s="340"/>
      <c r="G1345" s="340"/>
      <c r="H1345" s="340"/>
      <c r="I1345" s="340"/>
      <c r="J1345" s="340"/>
      <c r="K1345" s="340"/>
      <c r="L1345" s="340"/>
      <c r="M1345" s="340"/>
      <c r="N1345" s="340"/>
      <c r="O1345" s="340"/>
      <c r="P1345" s="340"/>
      <c r="Q1345" s="35"/>
      <c r="R1345" s="35"/>
      <c r="S1345" s="35"/>
      <c r="T1345" s="1"/>
      <c r="U1345" s="1"/>
      <c r="V1345" s="1"/>
    </row>
    <row r="1346" ht="15.75" customHeight="1">
      <c r="A1346" s="340"/>
      <c r="B1346" s="340"/>
      <c r="C1346" s="340"/>
      <c r="D1346" s="344"/>
      <c r="E1346" s="344"/>
      <c r="F1346" s="340"/>
      <c r="G1346" s="340"/>
      <c r="H1346" s="340"/>
      <c r="I1346" s="340"/>
      <c r="J1346" s="340"/>
      <c r="K1346" s="340"/>
      <c r="L1346" s="340"/>
      <c r="M1346" s="340"/>
      <c r="N1346" s="340"/>
      <c r="O1346" s="340"/>
      <c r="P1346" s="340"/>
      <c r="Q1346" s="35"/>
      <c r="R1346" s="35"/>
      <c r="S1346" s="35"/>
      <c r="T1346" s="1"/>
      <c r="U1346" s="1"/>
      <c r="V1346" s="1"/>
    </row>
    <row r="1347" ht="15.75" customHeight="1">
      <c r="A1347" s="340"/>
      <c r="B1347" s="340"/>
      <c r="C1347" s="340"/>
      <c r="D1347" s="344"/>
      <c r="E1347" s="344"/>
      <c r="F1347" s="340"/>
      <c r="G1347" s="340"/>
      <c r="H1347" s="340"/>
      <c r="I1347" s="340"/>
      <c r="J1347" s="340"/>
      <c r="K1347" s="340"/>
      <c r="L1347" s="340"/>
      <c r="M1347" s="340"/>
      <c r="N1347" s="340"/>
      <c r="O1347" s="340"/>
      <c r="P1347" s="340"/>
      <c r="Q1347" s="35"/>
      <c r="R1347" s="35"/>
      <c r="S1347" s="35"/>
      <c r="T1347" s="1"/>
      <c r="U1347" s="1"/>
      <c r="V1347" s="1"/>
    </row>
    <row r="1348" ht="15.75" customHeight="1">
      <c r="A1348" s="340"/>
      <c r="B1348" s="340"/>
      <c r="C1348" s="340"/>
      <c r="D1348" s="344"/>
      <c r="E1348" s="344"/>
      <c r="F1348" s="340"/>
      <c r="G1348" s="340"/>
      <c r="H1348" s="340"/>
      <c r="I1348" s="340"/>
      <c r="J1348" s="340"/>
      <c r="K1348" s="340"/>
      <c r="L1348" s="340"/>
      <c r="M1348" s="340"/>
      <c r="N1348" s="340"/>
      <c r="O1348" s="340"/>
      <c r="P1348" s="340"/>
      <c r="Q1348" s="35"/>
      <c r="R1348" s="35"/>
      <c r="S1348" s="35"/>
      <c r="T1348" s="1"/>
      <c r="U1348" s="1"/>
      <c r="V1348" s="1"/>
    </row>
    <row r="1349" ht="15.75" customHeight="1">
      <c r="A1349" s="340"/>
      <c r="B1349" s="340"/>
      <c r="C1349" s="340"/>
      <c r="D1349" s="344"/>
      <c r="E1349" s="344"/>
      <c r="F1349" s="340"/>
      <c r="G1349" s="340"/>
      <c r="H1349" s="340"/>
      <c r="I1349" s="340"/>
      <c r="J1349" s="340"/>
      <c r="K1349" s="340"/>
      <c r="L1349" s="340"/>
      <c r="M1349" s="340"/>
      <c r="N1349" s="340"/>
      <c r="O1349" s="340"/>
      <c r="P1349" s="340"/>
      <c r="Q1349" s="35"/>
      <c r="R1349" s="35"/>
      <c r="S1349" s="35"/>
      <c r="T1349" s="1"/>
      <c r="U1349" s="1"/>
      <c r="V1349" s="1"/>
    </row>
    <row r="1350" ht="15.75" customHeight="1">
      <c r="A1350" s="340"/>
      <c r="B1350" s="340"/>
      <c r="C1350" s="340"/>
      <c r="D1350" s="344"/>
      <c r="E1350" s="344"/>
      <c r="F1350" s="340"/>
      <c r="G1350" s="340"/>
      <c r="H1350" s="340"/>
      <c r="I1350" s="340"/>
      <c r="J1350" s="340"/>
      <c r="K1350" s="340"/>
      <c r="L1350" s="340"/>
      <c r="M1350" s="340"/>
      <c r="N1350" s="340"/>
      <c r="O1350" s="340"/>
      <c r="P1350" s="340"/>
      <c r="Q1350" s="35"/>
      <c r="R1350" s="35"/>
      <c r="S1350" s="35"/>
      <c r="T1350" s="1"/>
      <c r="U1350" s="1"/>
      <c r="V1350" s="1"/>
    </row>
    <row r="1351" ht="15.75" customHeight="1">
      <c r="A1351" s="340"/>
      <c r="B1351" s="340"/>
      <c r="C1351" s="340"/>
      <c r="D1351" s="344"/>
      <c r="E1351" s="344"/>
      <c r="F1351" s="340"/>
      <c r="G1351" s="340"/>
      <c r="H1351" s="340"/>
      <c r="I1351" s="340"/>
      <c r="J1351" s="340"/>
      <c r="K1351" s="340"/>
      <c r="L1351" s="340"/>
      <c r="M1351" s="340"/>
      <c r="N1351" s="340"/>
      <c r="O1351" s="340"/>
      <c r="P1351" s="340"/>
      <c r="Q1351" s="35"/>
      <c r="R1351" s="35"/>
      <c r="S1351" s="35"/>
      <c r="T1351" s="1"/>
      <c r="U1351" s="1"/>
      <c r="V1351" s="1"/>
    </row>
    <row r="1352" ht="15.75" customHeight="1">
      <c r="A1352" s="340"/>
      <c r="B1352" s="340"/>
      <c r="C1352" s="340"/>
      <c r="D1352" s="344"/>
      <c r="E1352" s="344"/>
      <c r="F1352" s="340"/>
      <c r="G1352" s="340"/>
      <c r="H1352" s="340"/>
      <c r="I1352" s="340"/>
      <c r="J1352" s="340"/>
      <c r="K1352" s="340"/>
      <c r="L1352" s="340"/>
      <c r="M1352" s="340"/>
      <c r="N1352" s="340"/>
      <c r="O1352" s="340"/>
      <c r="P1352" s="340"/>
      <c r="Q1352" s="35"/>
      <c r="R1352" s="35"/>
      <c r="S1352" s="35"/>
      <c r="T1352" s="1"/>
      <c r="U1352" s="1"/>
      <c r="V1352" s="1"/>
    </row>
    <row r="1353" ht="15.75" customHeight="1">
      <c r="A1353" s="340"/>
      <c r="B1353" s="340"/>
      <c r="C1353" s="340"/>
      <c r="D1353" s="344"/>
      <c r="E1353" s="344"/>
      <c r="F1353" s="340"/>
      <c r="G1353" s="340"/>
      <c r="H1353" s="340"/>
      <c r="I1353" s="340"/>
      <c r="J1353" s="340"/>
      <c r="K1353" s="340"/>
      <c r="L1353" s="340"/>
      <c r="M1353" s="340"/>
      <c r="N1353" s="340"/>
      <c r="O1353" s="340"/>
      <c r="P1353" s="340"/>
      <c r="Q1353" s="35"/>
      <c r="R1353" s="35"/>
      <c r="S1353" s="35"/>
      <c r="T1353" s="1"/>
      <c r="U1353" s="1"/>
      <c r="V1353" s="1"/>
    </row>
    <row r="1354" ht="15.75" customHeight="1">
      <c r="A1354" s="340"/>
      <c r="B1354" s="340"/>
      <c r="C1354" s="340"/>
      <c r="D1354" s="344"/>
      <c r="E1354" s="344"/>
      <c r="F1354" s="340"/>
      <c r="G1354" s="340"/>
      <c r="H1354" s="340"/>
      <c r="I1354" s="340"/>
      <c r="J1354" s="340"/>
      <c r="K1354" s="340"/>
      <c r="L1354" s="340"/>
      <c r="M1354" s="340"/>
      <c r="N1354" s="340"/>
      <c r="O1354" s="340"/>
      <c r="P1354" s="340"/>
      <c r="Q1354" s="35"/>
      <c r="R1354" s="35"/>
      <c r="S1354" s="35"/>
      <c r="T1354" s="1"/>
      <c r="U1354" s="1"/>
      <c r="V1354" s="1"/>
    </row>
    <row r="1355" ht="15.75" customHeight="1">
      <c r="A1355" s="340"/>
      <c r="B1355" s="340"/>
      <c r="C1355" s="340"/>
      <c r="D1355" s="344"/>
      <c r="E1355" s="344"/>
      <c r="F1355" s="340"/>
      <c r="G1355" s="340"/>
      <c r="H1355" s="340"/>
      <c r="I1355" s="340"/>
      <c r="J1355" s="340"/>
      <c r="K1355" s="340"/>
      <c r="L1355" s="340"/>
      <c r="M1355" s="340"/>
      <c r="N1355" s="340"/>
      <c r="O1355" s="340"/>
      <c r="P1355" s="340"/>
      <c r="Q1355" s="35"/>
      <c r="R1355" s="35"/>
      <c r="S1355" s="35"/>
      <c r="T1355" s="1"/>
      <c r="U1355" s="1"/>
      <c r="V1355" s="1"/>
    </row>
    <row r="1356" ht="15.75" customHeight="1">
      <c r="A1356" s="340"/>
      <c r="B1356" s="340"/>
      <c r="C1356" s="340"/>
      <c r="D1356" s="344"/>
      <c r="E1356" s="344"/>
      <c r="F1356" s="340"/>
      <c r="G1356" s="340"/>
      <c r="H1356" s="340"/>
      <c r="I1356" s="340"/>
      <c r="J1356" s="340"/>
      <c r="K1356" s="340"/>
      <c r="L1356" s="340"/>
      <c r="M1356" s="340"/>
      <c r="N1356" s="340"/>
      <c r="O1356" s="340"/>
      <c r="P1356" s="340"/>
      <c r="Q1356" s="35"/>
      <c r="R1356" s="35"/>
      <c r="S1356" s="35"/>
      <c r="T1356" s="1"/>
      <c r="U1356" s="1"/>
      <c r="V1356" s="1"/>
    </row>
    <row r="1357" ht="15.75" customHeight="1">
      <c r="A1357" s="340"/>
      <c r="B1357" s="340"/>
      <c r="C1357" s="340"/>
      <c r="D1357" s="344"/>
      <c r="E1357" s="344"/>
      <c r="F1357" s="340"/>
      <c r="G1357" s="340"/>
      <c r="H1357" s="340"/>
      <c r="I1357" s="340"/>
      <c r="J1357" s="340"/>
      <c r="K1357" s="340"/>
      <c r="L1357" s="340"/>
      <c r="M1357" s="340"/>
      <c r="N1357" s="340"/>
      <c r="O1357" s="340"/>
      <c r="P1357" s="340"/>
      <c r="Q1357" s="35"/>
      <c r="R1357" s="35"/>
      <c r="S1357" s="35"/>
      <c r="T1357" s="1"/>
      <c r="U1357" s="1"/>
      <c r="V1357" s="1"/>
    </row>
    <row r="1358" ht="15.75" customHeight="1">
      <c r="A1358" s="340"/>
      <c r="B1358" s="340"/>
      <c r="C1358" s="340"/>
      <c r="D1358" s="344"/>
      <c r="E1358" s="344"/>
      <c r="F1358" s="340"/>
      <c r="G1358" s="340"/>
      <c r="H1358" s="340"/>
      <c r="I1358" s="340"/>
      <c r="J1358" s="340"/>
      <c r="K1358" s="340"/>
      <c r="L1358" s="340"/>
      <c r="M1358" s="340"/>
      <c r="N1358" s="340"/>
      <c r="O1358" s="340"/>
      <c r="P1358" s="340"/>
      <c r="Q1358" s="35"/>
      <c r="R1358" s="35"/>
      <c r="S1358" s="35"/>
      <c r="T1358" s="1"/>
      <c r="U1358" s="1"/>
      <c r="V1358" s="1"/>
    </row>
    <row r="1359" ht="15.75" customHeight="1">
      <c r="A1359" s="340"/>
      <c r="B1359" s="340"/>
      <c r="C1359" s="340"/>
      <c r="D1359" s="344"/>
      <c r="E1359" s="344"/>
      <c r="F1359" s="340"/>
      <c r="G1359" s="340"/>
      <c r="H1359" s="340"/>
      <c r="I1359" s="340"/>
      <c r="J1359" s="340"/>
      <c r="K1359" s="340"/>
      <c r="L1359" s="340"/>
      <c r="M1359" s="340"/>
      <c r="N1359" s="340"/>
      <c r="O1359" s="340"/>
      <c r="P1359" s="340"/>
      <c r="Q1359" s="35"/>
      <c r="R1359" s="35"/>
      <c r="S1359" s="35"/>
      <c r="T1359" s="1"/>
      <c r="U1359" s="1"/>
      <c r="V1359" s="1"/>
    </row>
    <row r="1360" ht="15.75" customHeight="1">
      <c r="A1360" s="340"/>
      <c r="B1360" s="340"/>
      <c r="C1360" s="340"/>
      <c r="D1360" s="344"/>
      <c r="E1360" s="344"/>
      <c r="F1360" s="340"/>
      <c r="G1360" s="340"/>
      <c r="H1360" s="340"/>
      <c r="I1360" s="340"/>
      <c r="J1360" s="340"/>
      <c r="K1360" s="340"/>
      <c r="L1360" s="340"/>
      <c r="M1360" s="340"/>
      <c r="N1360" s="340"/>
      <c r="O1360" s="340"/>
      <c r="P1360" s="340"/>
      <c r="Q1360" s="35"/>
      <c r="R1360" s="35"/>
      <c r="S1360" s="35"/>
      <c r="T1360" s="1"/>
      <c r="U1360" s="1"/>
      <c r="V1360" s="1"/>
    </row>
    <row r="1361" ht="15.75" customHeight="1">
      <c r="A1361" s="340"/>
      <c r="B1361" s="340"/>
      <c r="C1361" s="340"/>
      <c r="D1361" s="344"/>
      <c r="E1361" s="344"/>
      <c r="F1361" s="340"/>
      <c r="G1361" s="340"/>
      <c r="H1361" s="340"/>
      <c r="I1361" s="340"/>
      <c r="J1361" s="340"/>
      <c r="K1361" s="340"/>
      <c r="L1361" s="340"/>
      <c r="M1361" s="340"/>
      <c r="N1361" s="340"/>
      <c r="O1361" s="340"/>
      <c r="P1361" s="340"/>
      <c r="Q1361" s="35"/>
      <c r="R1361" s="35"/>
      <c r="S1361" s="35"/>
      <c r="T1361" s="1"/>
      <c r="U1361" s="1"/>
      <c r="V1361" s="1"/>
    </row>
    <row r="1362" ht="15.75" customHeight="1">
      <c r="A1362" s="340"/>
      <c r="B1362" s="340"/>
      <c r="C1362" s="340"/>
      <c r="D1362" s="344"/>
      <c r="E1362" s="344"/>
      <c r="F1362" s="340"/>
      <c r="G1362" s="340"/>
      <c r="H1362" s="340"/>
      <c r="I1362" s="340"/>
      <c r="J1362" s="340"/>
      <c r="K1362" s="340"/>
      <c r="L1362" s="340"/>
      <c r="M1362" s="340"/>
      <c r="N1362" s="340"/>
      <c r="O1362" s="340"/>
      <c r="P1362" s="340"/>
      <c r="Q1362" s="35"/>
      <c r="R1362" s="35"/>
      <c r="S1362" s="35"/>
      <c r="T1362" s="1"/>
      <c r="U1362" s="1"/>
      <c r="V1362" s="1"/>
    </row>
    <row r="1363" ht="15.75" customHeight="1">
      <c r="A1363" s="340"/>
      <c r="B1363" s="340"/>
      <c r="C1363" s="340"/>
      <c r="D1363" s="344"/>
      <c r="E1363" s="344"/>
      <c r="F1363" s="340"/>
      <c r="G1363" s="340"/>
      <c r="H1363" s="340"/>
      <c r="I1363" s="340"/>
      <c r="J1363" s="340"/>
      <c r="K1363" s="340"/>
      <c r="L1363" s="340"/>
      <c r="M1363" s="340"/>
      <c r="N1363" s="340"/>
      <c r="O1363" s="340"/>
      <c r="P1363" s="340"/>
      <c r="Q1363" s="35"/>
      <c r="R1363" s="35"/>
      <c r="S1363" s="35"/>
      <c r="T1363" s="1"/>
      <c r="U1363" s="1"/>
      <c r="V1363" s="1"/>
    </row>
    <row r="1364" ht="15.75" customHeight="1">
      <c r="A1364" s="340"/>
      <c r="B1364" s="340"/>
      <c r="C1364" s="340"/>
      <c r="D1364" s="344"/>
      <c r="E1364" s="344"/>
      <c r="F1364" s="340"/>
      <c r="G1364" s="340"/>
      <c r="H1364" s="340"/>
      <c r="I1364" s="340"/>
      <c r="J1364" s="340"/>
      <c r="K1364" s="340"/>
      <c r="L1364" s="340"/>
      <c r="M1364" s="340"/>
      <c r="N1364" s="340"/>
      <c r="O1364" s="340"/>
      <c r="P1364" s="340"/>
      <c r="Q1364" s="35"/>
      <c r="R1364" s="35"/>
      <c r="S1364" s="35"/>
      <c r="T1364" s="1"/>
      <c r="U1364" s="1"/>
      <c r="V1364" s="1"/>
    </row>
    <row r="1365" ht="15.75" customHeight="1">
      <c r="A1365" s="340"/>
      <c r="B1365" s="340"/>
      <c r="C1365" s="340"/>
      <c r="D1365" s="344"/>
      <c r="E1365" s="344"/>
      <c r="F1365" s="340"/>
      <c r="G1365" s="340"/>
      <c r="H1365" s="340"/>
      <c r="I1365" s="340"/>
      <c r="J1365" s="340"/>
      <c r="K1365" s="340"/>
      <c r="L1365" s="340"/>
      <c r="M1365" s="340"/>
      <c r="N1365" s="340"/>
      <c r="O1365" s="340"/>
      <c r="P1365" s="340"/>
      <c r="Q1365" s="35"/>
      <c r="R1365" s="35"/>
      <c r="S1365" s="35"/>
      <c r="T1365" s="1"/>
      <c r="U1365" s="1"/>
      <c r="V1365" s="1"/>
    </row>
    <row r="1366" ht="15.75" customHeight="1">
      <c r="A1366" s="340"/>
      <c r="B1366" s="340"/>
      <c r="C1366" s="340"/>
      <c r="D1366" s="344"/>
      <c r="E1366" s="344"/>
      <c r="F1366" s="340"/>
      <c r="G1366" s="340"/>
      <c r="H1366" s="340"/>
      <c r="I1366" s="340"/>
      <c r="J1366" s="340"/>
      <c r="K1366" s="340"/>
      <c r="L1366" s="340"/>
      <c r="M1366" s="340"/>
      <c r="N1366" s="340"/>
      <c r="O1366" s="340"/>
      <c r="P1366" s="340"/>
      <c r="Q1366" s="35"/>
      <c r="R1366" s="35"/>
      <c r="S1366" s="35"/>
      <c r="T1366" s="1"/>
      <c r="U1366" s="1"/>
      <c r="V1366" s="1"/>
    </row>
    <row r="1367" ht="15.75" customHeight="1">
      <c r="A1367" s="340"/>
      <c r="B1367" s="340"/>
      <c r="C1367" s="340"/>
      <c r="D1367" s="344"/>
      <c r="E1367" s="344"/>
      <c r="F1367" s="340"/>
      <c r="G1367" s="340"/>
      <c r="H1367" s="340"/>
      <c r="I1367" s="340"/>
      <c r="J1367" s="340"/>
      <c r="K1367" s="340"/>
      <c r="L1367" s="340"/>
      <c r="M1367" s="340"/>
      <c r="N1367" s="340"/>
      <c r="O1367" s="340"/>
      <c r="P1367" s="340"/>
      <c r="Q1367" s="35"/>
      <c r="R1367" s="35"/>
      <c r="S1367" s="35"/>
      <c r="T1367" s="1"/>
      <c r="U1367" s="1"/>
      <c r="V1367" s="1"/>
    </row>
    <row r="1368" ht="15.75" customHeight="1">
      <c r="A1368" s="340"/>
      <c r="B1368" s="340"/>
      <c r="C1368" s="340"/>
      <c r="D1368" s="344"/>
      <c r="E1368" s="344"/>
      <c r="F1368" s="340"/>
      <c r="G1368" s="340"/>
      <c r="H1368" s="340"/>
      <c r="I1368" s="340"/>
      <c r="J1368" s="340"/>
      <c r="K1368" s="340"/>
      <c r="L1368" s="340"/>
      <c r="M1368" s="340"/>
      <c r="N1368" s="340"/>
      <c r="O1368" s="340"/>
      <c r="P1368" s="340"/>
      <c r="Q1368" s="35"/>
      <c r="R1368" s="35"/>
      <c r="S1368" s="35"/>
      <c r="T1368" s="1"/>
      <c r="U1368" s="1"/>
      <c r="V1368" s="1"/>
    </row>
    <row r="1369" ht="15.75" customHeight="1">
      <c r="A1369" s="340"/>
      <c r="B1369" s="340"/>
      <c r="C1369" s="340"/>
      <c r="D1369" s="344"/>
      <c r="E1369" s="344"/>
      <c r="F1369" s="340"/>
      <c r="G1369" s="340"/>
      <c r="H1369" s="340"/>
      <c r="I1369" s="340"/>
      <c r="J1369" s="340"/>
      <c r="K1369" s="340"/>
      <c r="L1369" s="340"/>
      <c r="M1369" s="340"/>
      <c r="N1369" s="340"/>
      <c r="O1369" s="340"/>
      <c r="P1369" s="340"/>
      <c r="Q1369" s="35"/>
      <c r="R1369" s="35"/>
      <c r="S1369" s="35"/>
      <c r="T1369" s="1"/>
      <c r="U1369" s="1"/>
      <c r="V1369" s="1"/>
    </row>
    <row r="1370" ht="15.75" customHeight="1">
      <c r="A1370" s="340"/>
      <c r="B1370" s="340"/>
      <c r="C1370" s="340"/>
      <c r="D1370" s="344"/>
      <c r="E1370" s="344"/>
      <c r="F1370" s="340"/>
      <c r="G1370" s="340"/>
      <c r="H1370" s="340"/>
      <c r="I1370" s="340"/>
      <c r="J1370" s="340"/>
      <c r="K1370" s="340"/>
      <c r="L1370" s="340"/>
      <c r="M1370" s="340"/>
      <c r="N1370" s="340"/>
      <c r="O1370" s="340"/>
      <c r="P1370" s="340"/>
      <c r="Q1370" s="35"/>
      <c r="R1370" s="35"/>
      <c r="S1370" s="35"/>
      <c r="T1370" s="1"/>
      <c r="U1370" s="1"/>
      <c r="V1370" s="1"/>
    </row>
    <row r="1371" ht="15.75" customHeight="1">
      <c r="A1371" s="340"/>
      <c r="B1371" s="340"/>
      <c r="C1371" s="340"/>
      <c r="D1371" s="344"/>
      <c r="E1371" s="344"/>
      <c r="F1371" s="340"/>
      <c r="G1371" s="340"/>
      <c r="H1371" s="340"/>
      <c r="I1371" s="340"/>
      <c r="J1371" s="340"/>
      <c r="K1371" s="340"/>
      <c r="L1371" s="340"/>
      <c r="M1371" s="340"/>
      <c r="N1371" s="340"/>
      <c r="O1371" s="340"/>
      <c r="P1371" s="340"/>
      <c r="Q1371" s="35"/>
      <c r="R1371" s="35"/>
      <c r="S1371" s="35"/>
      <c r="T1371" s="1"/>
      <c r="U1371" s="1"/>
      <c r="V1371" s="1"/>
    </row>
    <row r="1372" ht="15.75" customHeight="1">
      <c r="A1372" s="340"/>
      <c r="B1372" s="340"/>
      <c r="C1372" s="340"/>
      <c r="D1372" s="344"/>
      <c r="E1372" s="344"/>
      <c r="F1372" s="340"/>
      <c r="G1372" s="340"/>
      <c r="H1372" s="340"/>
      <c r="I1372" s="340"/>
      <c r="J1372" s="340"/>
      <c r="K1372" s="340"/>
      <c r="L1372" s="340"/>
      <c r="M1372" s="340"/>
      <c r="N1372" s="340"/>
      <c r="O1372" s="340"/>
      <c r="P1372" s="340"/>
      <c r="Q1372" s="35"/>
      <c r="R1372" s="35"/>
      <c r="S1372" s="35"/>
      <c r="T1372" s="1"/>
      <c r="U1372" s="1"/>
      <c r="V1372" s="1"/>
    </row>
    <row r="1373" ht="15.75" customHeight="1">
      <c r="A1373" s="340"/>
      <c r="B1373" s="340"/>
      <c r="C1373" s="340"/>
      <c r="D1373" s="344"/>
      <c r="E1373" s="344"/>
      <c r="F1373" s="340"/>
      <c r="G1373" s="340"/>
      <c r="H1373" s="340"/>
      <c r="I1373" s="340"/>
      <c r="J1373" s="340"/>
      <c r="K1373" s="340"/>
      <c r="L1373" s="340"/>
      <c r="M1373" s="340"/>
      <c r="N1373" s="340"/>
      <c r="O1373" s="340"/>
      <c r="P1373" s="340"/>
      <c r="Q1373" s="35"/>
      <c r="R1373" s="35"/>
      <c r="S1373" s="35"/>
      <c r="T1373" s="1"/>
      <c r="U1373" s="1"/>
      <c r="V1373" s="1"/>
    </row>
    <row r="1374" ht="15.75" customHeight="1">
      <c r="A1374" s="340"/>
      <c r="B1374" s="340"/>
      <c r="C1374" s="340"/>
      <c r="D1374" s="344"/>
      <c r="E1374" s="344"/>
      <c r="F1374" s="340"/>
      <c r="G1374" s="340"/>
      <c r="H1374" s="340"/>
      <c r="I1374" s="340"/>
      <c r="J1374" s="340"/>
      <c r="K1374" s="340"/>
      <c r="L1374" s="340"/>
      <c r="M1374" s="340"/>
      <c r="N1374" s="340"/>
      <c r="O1374" s="340"/>
      <c r="P1374" s="340"/>
      <c r="Q1374" s="35"/>
      <c r="R1374" s="35"/>
      <c r="S1374" s="35"/>
      <c r="T1374" s="1"/>
      <c r="U1374" s="1"/>
      <c r="V1374" s="1"/>
    </row>
    <row r="1375" ht="15.75" customHeight="1">
      <c r="A1375" s="340"/>
      <c r="B1375" s="340"/>
      <c r="C1375" s="340"/>
      <c r="D1375" s="344"/>
      <c r="E1375" s="344"/>
      <c r="F1375" s="340"/>
      <c r="G1375" s="340"/>
      <c r="H1375" s="340"/>
      <c r="I1375" s="340"/>
      <c r="J1375" s="340"/>
      <c r="K1375" s="340"/>
      <c r="L1375" s="340"/>
      <c r="M1375" s="340"/>
      <c r="N1375" s="340"/>
      <c r="O1375" s="340"/>
      <c r="P1375" s="340"/>
      <c r="Q1375" s="35"/>
      <c r="R1375" s="35"/>
      <c r="S1375" s="35"/>
      <c r="T1375" s="1"/>
      <c r="U1375" s="1"/>
      <c r="V1375" s="1"/>
    </row>
    <row r="1376" ht="15.75" customHeight="1">
      <c r="A1376" s="340"/>
      <c r="B1376" s="340"/>
      <c r="C1376" s="340"/>
      <c r="D1376" s="344"/>
      <c r="E1376" s="344"/>
      <c r="F1376" s="340"/>
      <c r="G1376" s="340"/>
      <c r="H1376" s="340"/>
      <c r="I1376" s="340"/>
      <c r="J1376" s="340"/>
      <c r="K1376" s="340"/>
      <c r="L1376" s="340"/>
      <c r="M1376" s="340"/>
      <c r="N1376" s="340"/>
      <c r="O1376" s="340"/>
      <c r="P1376" s="340"/>
      <c r="Q1376" s="35"/>
      <c r="R1376" s="35"/>
      <c r="S1376" s="35"/>
      <c r="T1376" s="1"/>
      <c r="U1376" s="1"/>
      <c r="V1376" s="1"/>
    </row>
    <row r="1377" ht="15.75" customHeight="1">
      <c r="A1377" s="340"/>
      <c r="B1377" s="340"/>
      <c r="C1377" s="340"/>
      <c r="D1377" s="344"/>
      <c r="E1377" s="344"/>
      <c r="F1377" s="340"/>
      <c r="G1377" s="340"/>
      <c r="H1377" s="340"/>
      <c r="I1377" s="340"/>
      <c r="J1377" s="340"/>
      <c r="K1377" s="340"/>
      <c r="L1377" s="340"/>
      <c r="M1377" s="340"/>
      <c r="N1377" s="340"/>
      <c r="O1377" s="340"/>
      <c r="P1377" s="340"/>
      <c r="Q1377" s="35"/>
      <c r="R1377" s="35"/>
      <c r="S1377" s="35"/>
      <c r="T1377" s="1"/>
      <c r="U1377" s="1"/>
      <c r="V1377" s="1"/>
    </row>
    <row r="1378" ht="15.75" customHeight="1">
      <c r="A1378" s="340"/>
      <c r="B1378" s="340"/>
      <c r="C1378" s="340"/>
      <c r="D1378" s="344"/>
      <c r="E1378" s="344"/>
      <c r="F1378" s="340"/>
      <c r="G1378" s="340"/>
      <c r="H1378" s="340"/>
      <c r="I1378" s="340"/>
      <c r="J1378" s="340"/>
      <c r="K1378" s="340"/>
      <c r="L1378" s="340"/>
      <c r="M1378" s="340"/>
      <c r="N1378" s="340"/>
      <c r="O1378" s="340"/>
      <c r="P1378" s="340"/>
      <c r="Q1378" s="35"/>
      <c r="R1378" s="35"/>
      <c r="S1378" s="35"/>
      <c r="T1378" s="1"/>
      <c r="U1378" s="1"/>
      <c r="V1378" s="1"/>
    </row>
    <row r="1379" ht="15.75" customHeight="1">
      <c r="A1379" s="340"/>
      <c r="B1379" s="340"/>
      <c r="C1379" s="340"/>
      <c r="D1379" s="344"/>
      <c r="E1379" s="344"/>
      <c r="F1379" s="340"/>
      <c r="G1379" s="340"/>
      <c r="H1379" s="340"/>
      <c r="I1379" s="340"/>
      <c r="J1379" s="340"/>
      <c r="K1379" s="340"/>
      <c r="L1379" s="340"/>
      <c r="M1379" s="340"/>
      <c r="N1379" s="340"/>
      <c r="O1379" s="340"/>
      <c r="P1379" s="340"/>
      <c r="Q1379" s="35"/>
      <c r="R1379" s="35"/>
      <c r="S1379" s="35"/>
      <c r="T1379" s="1"/>
      <c r="U1379" s="1"/>
      <c r="V1379" s="1"/>
    </row>
    <row r="1380" ht="15.75" customHeight="1">
      <c r="A1380" s="340"/>
      <c r="B1380" s="340"/>
      <c r="C1380" s="340"/>
      <c r="D1380" s="344"/>
      <c r="E1380" s="344"/>
      <c r="F1380" s="340"/>
      <c r="G1380" s="340"/>
      <c r="H1380" s="340"/>
      <c r="I1380" s="340"/>
      <c r="J1380" s="340"/>
      <c r="K1380" s="340"/>
      <c r="L1380" s="340"/>
      <c r="M1380" s="340"/>
      <c r="N1380" s="340"/>
      <c r="O1380" s="340"/>
      <c r="P1380" s="340"/>
      <c r="Q1380" s="35"/>
      <c r="R1380" s="35"/>
      <c r="S1380" s="35"/>
      <c r="T1380" s="1"/>
      <c r="U1380" s="1"/>
      <c r="V1380" s="1"/>
    </row>
    <row r="1381" ht="15.75" customHeight="1">
      <c r="A1381" s="340"/>
      <c r="B1381" s="340"/>
      <c r="C1381" s="340"/>
      <c r="D1381" s="344"/>
      <c r="E1381" s="344"/>
      <c r="F1381" s="340"/>
      <c r="G1381" s="340"/>
      <c r="H1381" s="340"/>
      <c r="I1381" s="340"/>
      <c r="J1381" s="340"/>
      <c r="K1381" s="340"/>
      <c r="L1381" s="340"/>
      <c r="M1381" s="340"/>
      <c r="N1381" s="340"/>
      <c r="O1381" s="340"/>
      <c r="P1381" s="340"/>
      <c r="Q1381" s="35"/>
      <c r="R1381" s="35"/>
      <c r="S1381" s="35"/>
      <c r="T1381" s="1"/>
      <c r="U1381" s="1"/>
      <c r="V1381" s="1"/>
    </row>
    <row r="1382" ht="15.75" customHeight="1">
      <c r="A1382" s="340"/>
      <c r="B1382" s="340"/>
      <c r="C1382" s="340"/>
      <c r="D1382" s="344"/>
      <c r="E1382" s="344"/>
      <c r="F1382" s="340"/>
      <c r="G1382" s="340"/>
      <c r="H1382" s="340"/>
      <c r="I1382" s="340"/>
      <c r="J1382" s="340"/>
      <c r="K1382" s="340"/>
      <c r="L1382" s="340"/>
      <c r="M1382" s="340"/>
      <c r="N1382" s="340"/>
      <c r="O1382" s="340"/>
      <c r="P1382" s="340"/>
      <c r="Q1382" s="35"/>
      <c r="R1382" s="35"/>
      <c r="S1382" s="35"/>
      <c r="T1382" s="1"/>
      <c r="U1382" s="1"/>
      <c r="V1382" s="1"/>
    </row>
    <row r="1383" ht="15.75" customHeight="1">
      <c r="A1383" s="340"/>
      <c r="B1383" s="340"/>
      <c r="C1383" s="340"/>
      <c r="D1383" s="344"/>
      <c r="E1383" s="344"/>
      <c r="F1383" s="340"/>
      <c r="G1383" s="340"/>
      <c r="H1383" s="340"/>
      <c r="I1383" s="340"/>
      <c r="J1383" s="340"/>
      <c r="K1383" s="340"/>
      <c r="L1383" s="340"/>
      <c r="M1383" s="340"/>
      <c r="N1383" s="340"/>
      <c r="O1383" s="340"/>
      <c r="P1383" s="340"/>
      <c r="Q1383" s="35"/>
      <c r="R1383" s="35"/>
      <c r="S1383" s="35"/>
      <c r="T1383" s="1"/>
      <c r="U1383" s="1"/>
      <c r="V1383" s="1"/>
    </row>
    <row r="1384" ht="15.75" customHeight="1">
      <c r="A1384" s="340"/>
      <c r="B1384" s="340"/>
      <c r="C1384" s="340"/>
      <c r="D1384" s="344"/>
      <c r="E1384" s="344"/>
      <c r="F1384" s="340"/>
      <c r="G1384" s="340"/>
      <c r="H1384" s="340"/>
      <c r="I1384" s="340"/>
      <c r="J1384" s="340"/>
      <c r="K1384" s="340"/>
      <c r="L1384" s="340"/>
      <c r="M1384" s="340"/>
      <c r="N1384" s="340"/>
      <c r="O1384" s="340"/>
      <c r="P1384" s="340"/>
      <c r="Q1384" s="35"/>
      <c r="R1384" s="35"/>
      <c r="S1384" s="35"/>
      <c r="T1384" s="1"/>
      <c r="U1384" s="1"/>
      <c r="V1384" s="1"/>
    </row>
    <row r="1385" ht="15.75" customHeight="1">
      <c r="A1385" s="340"/>
      <c r="B1385" s="340"/>
      <c r="C1385" s="340"/>
      <c r="D1385" s="344"/>
      <c r="E1385" s="344"/>
      <c r="F1385" s="340"/>
      <c r="G1385" s="340"/>
      <c r="H1385" s="340"/>
      <c r="I1385" s="340"/>
      <c r="J1385" s="340"/>
      <c r="K1385" s="340"/>
      <c r="L1385" s="340"/>
      <c r="M1385" s="340"/>
      <c r="N1385" s="340"/>
      <c r="O1385" s="340"/>
      <c r="P1385" s="340"/>
      <c r="Q1385" s="35"/>
      <c r="R1385" s="35"/>
      <c r="S1385" s="35"/>
      <c r="T1385" s="1"/>
      <c r="U1385" s="1"/>
      <c r="V1385" s="1"/>
    </row>
    <row r="1386" ht="15.75" customHeight="1">
      <c r="A1386" s="340"/>
      <c r="B1386" s="340"/>
      <c r="C1386" s="340"/>
      <c r="D1386" s="344"/>
      <c r="E1386" s="344"/>
      <c r="F1386" s="340"/>
      <c r="G1386" s="340"/>
      <c r="H1386" s="340"/>
      <c r="I1386" s="340"/>
      <c r="J1386" s="340"/>
      <c r="K1386" s="340"/>
      <c r="L1386" s="340"/>
      <c r="M1386" s="340"/>
      <c r="N1386" s="340"/>
      <c r="O1386" s="340"/>
      <c r="P1386" s="340"/>
      <c r="Q1386" s="35"/>
      <c r="R1386" s="35"/>
      <c r="S1386" s="35"/>
      <c r="T1386" s="1"/>
      <c r="U1386" s="1"/>
      <c r="V1386" s="1"/>
    </row>
    <row r="1387" ht="15.75" customHeight="1">
      <c r="A1387" s="340"/>
      <c r="B1387" s="340"/>
      <c r="C1387" s="340"/>
      <c r="D1387" s="344"/>
      <c r="E1387" s="344"/>
      <c r="F1387" s="340"/>
      <c r="G1387" s="340"/>
      <c r="H1387" s="340"/>
      <c r="I1387" s="340"/>
      <c r="J1387" s="340"/>
      <c r="K1387" s="340"/>
      <c r="L1387" s="340"/>
      <c r="M1387" s="340"/>
      <c r="N1387" s="340"/>
      <c r="O1387" s="340"/>
      <c r="P1387" s="340"/>
      <c r="Q1387" s="35"/>
      <c r="R1387" s="35"/>
      <c r="S1387" s="35"/>
      <c r="T1387" s="1"/>
      <c r="U1387" s="1"/>
      <c r="V1387" s="1"/>
    </row>
    <row r="1388" ht="15.75" customHeight="1">
      <c r="A1388" s="340"/>
      <c r="B1388" s="340"/>
      <c r="C1388" s="340"/>
      <c r="D1388" s="344"/>
      <c r="E1388" s="344"/>
      <c r="F1388" s="340"/>
      <c r="G1388" s="340"/>
      <c r="H1388" s="340"/>
      <c r="I1388" s="340"/>
      <c r="J1388" s="340"/>
      <c r="K1388" s="340"/>
      <c r="L1388" s="340"/>
      <c r="M1388" s="340"/>
      <c r="N1388" s="340"/>
      <c r="O1388" s="340"/>
      <c r="P1388" s="340"/>
      <c r="Q1388" s="35"/>
      <c r="R1388" s="35"/>
      <c r="S1388" s="35"/>
      <c r="T1388" s="1"/>
      <c r="U1388" s="1"/>
      <c r="V1388" s="1"/>
    </row>
    <row r="1389" ht="15.75" customHeight="1">
      <c r="A1389" s="340"/>
      <c r="B1389" s="340"/>
      <c r="C1389" s="340"/>
      <c r="D1389" s="344"/>
      <c r="E1389" s="344"/>
      <c r="F1389" s="340"/>
      <c r="G1389" s="340"/>
      <c r="H1389" s="340"/>
      <c r="I1389" s="340"/>
      <c r="J1389" s="340"/>
      <c r="K1389" s="340"/>
      <c r="L1389" s="340"/>
      <c r="M1389" s="340"/>
      <c r="N1389" s="340"/>
      <c r="O1389" s="340"/>
      <c r="P1389" s="340"/>
      <c r="Q1389" s="35"/>
      <c r="R1389" s="35"/>
      <c r="S1389" s="35"/>
      <c r="T1389" s="1"/>
      <c r="U1389" s="1"/>
      <c r="V1389" s="1"/>
    </row>
    <row r="1390" ht="15.75" customHeight="1">
      <c r="A1390" s="340"/>
      <c r="B1390" s="340"/>
      <c r="C1390" s="340"/>
      <c r="D1390" s="344"/>
      <c r="E1390" s="344"/>
      <c r="F1390" s="340"/>
      <c r="G1390" s="340"/>
      <c r="H1390" s="340"/>
      <c r="I1390" s="340"/>
      <c r="J1390" s="340"/>
      <c r="K1390" s="340"/>
      <c r="L1390" s="340"/>
      <c r="M1390" s="340"/>
      <c r="N1390" s="340"/>
      <c r="O1390" s="340"/>
      <c r="P1390" s="340"/>
      <c r="Q1390" s="35"/>
      <c r="R1390" s="35"/>
      <c r="S1390" s="35"/>
      <c r="T1390" s="1"/>
      <c r="U1390" s="1"/>
      <c r="V1390" s="1"/>
    </row>
    <row r="1391" ht="15.75" customHeight="1">
      <c r="A1391" s="340"/>
      <c r="B1391" s="340"/>
      <c r="C1391" s="340"/>
      <c r="D1391" s="344"/>
      <c r="E1391" s="344"/>
      <c r="F1391" s="340"/>
      <c r="G1391" s="340"/>
      <c r="H1391" s="340"/>
      <c r="I1391" s="340"/>
      <c r="J1391" s="340"/>
      <c r="K1391" s="340"/>
      <c r="L1391" s="340"/>
      <c r="M1391" s="340"/>
      <c r="N1391" s="340"/>
      <c r="O1391" s="340"/>
      <c r="P1391" s="340"/>
      <c r="Q1391" s="35"/>
      <c r="R1391" s="35"/>
      <c r="S1391" s="35"/>
      <c r="T1391" s="1"/>
      <c r="U1391" s="1"/>
      <c r="V1391" s="1"/>
    </row>
    <row r="1392" ht="15.75" customHeight="1">
      <c r="A1392" s="340"/>
      <c r="B1392" s="340"/>
      <c r="C1392" s="340"/>
      <c r="D1392" s="344"/>
      <c r="E1392" s="344"/>
      <c r="F1392" s="340"/>
      <c r="G1392" s="340"/>
      <c r="H1392" s="340"/>
      <c r="I1392" s="340"/>
      <c r="J1392" s="340"/>
      <c r="K1392" s="340"/>
      <c r="L1392" s="340"/>
      <c r="M1392" s="340"/>
      <c r="N1392" s="340"/>
      <c r="O1392" s="340"/>
      <c r="P1392" s="340"/>
      <c r="Q1392" s="35"/>
      <c r="R1392" s="35"/>
      <c r="S1392" s="35"/>
      <c r="T1392" s="1"/>
      <c r="U1392" s="1"/>
      <c r="V1392" s="1"/>
    </row>
    <row r="1393" ht="15.75" customHeight="1">
      <c r="A1393" s="340"/>
      <c r="B1393" s="340"/>
      <c r="C1393" s="340"/>
      <c r="D1393" s="344"/>
      <c r="E1393" s="344"/>
      <c r="F1393" s="340"/>
      <c r="G1393" s="340"/>
      <c r="H1393" s="340"/>
      <c r="I1393" s="340"/>
      <c r="J1393" s="340"/>
      <c r="K1393" s="340"/>
      <c r="L1393" s="340"/>
      <c r="M1393" s="340"/>
      <c r="N1393" s="340"/>
      <c r="O1393" s="340"/>
      <c r="P1393" s="340"/>
      <c r="Q1393" s="35"/>
      <c r="R1393" s="35"/>
      <c r="S1393" s="35"/>
      <c r="T1393" s="1"/>
      <c r="U1393" s="1"/>
      <c r="V1393" s="1"/>
    </row>
    <row r="1394" ht="15.75" customHeight="1">
      <c r="A1394" s="340"/>
      <c r="B1394" s="340"/>
      <c r="C1394" s="340"/>
      <c r="D1394" s="344"/>
      <c r="E1394" s="344"/>
      <c r="F1394" s="340"/>
      <c r="G1394" s="340"/>
      <c r="H1394" s="340"/>
      <c r="I1394" s="340"/>
      <c r="J1394" s="340"/>
      <c r="K1394" s="340"/>
      <c r="L1394" s="340"/>
      <c r="M1394" s="340"/>
      <c r="N1394" s="340"/>
      <c r="O1394" s="340"/>
      <c r="P1394" s="340"/>
      <c r="Q1394" s="35"/>
      <c r="R1394" s="35"/>
      <c r="S1394" s="35"/>
      <c r="T1394" s="1"/>
      <c r="U1394" s="1"/>
      <c r="V1394" s="1"/>
    </row>
    <row r="1395" ht="15.75" customHeight="1">
      <c r="A1395" s="340"/>
      <c r="B1395" s="340"/>
      <c r="C1395" s="340"/>
      <c r="D1395" s="344"/>
      <c r="E1395" s="344"/>
      <c r="F1395" s="340"/>
      <c r="G1395" s="340"/>
      <c r="H1395" s="340"/>
      <c r="I1395" s="340"/>
      <c r="J1395" s="340"/>
      <c r="K1395" s="340"/>
      <c r="L1395" s="340"/>
      <c r="M1395" s="340"/>
      <c r="N1395" s="340"/>
      <c r="O1395" s="340"/>
      <c r="P1395" s="340"/>
      <c r="Q1395" s="35"/>
      <c r="R1395" s="35"/>
      <c r="S1395" s="35"/>
      <c r="T1395" s="1"/>
      <c r="U1395" s="1"/>
      <c r="V1395" s="1"/>
    </row>
    <row r="1396" ht="15.75" customHeight="1">
      <c r="A1396" s="340"/>
      <c r="B1396" s="340"/>
      <c r="C1396" s="340"/>
      <c r="D1396" s="344"/>
      <c r="E1396" s="344"/>
      <c r="F1396" s="340"/>
      <c r="G1396" s="340"/>
      <c r="H1396" s="340"/>
      <c r="I1396" s="340"/>
      <c r="J1396" s="340"/>
      <c r="K1396" s="340"/>
      <c r="L1396" s="340"/>
      <c r="M1396" s="340"/>
      <c r="N1396" s="340"/>
      <c r="O1396" s="340"/>
      <c r="P1396" s="340"/>
      <c r="Q1396" s="35"/>
      <c r="R1396" s="35"/>
      <c r="S1396" s="35"/>
      <c r="T1396" s="1"/>
      <c r="U1396" s="1"/>
      <c r="V1396" s="1"/>
    </row>
    <row r="1397" ht="15.75" customHeight="1">
      <c r="A1397" s="340"/>
      <c r="B1397" s="340"/>
      <c r="C1397" s="340"/>
      <c r="D1397" s="344"/>
      <c r="E1397" s="344"/>
      <c r="F1397" s="340"/>
      <c r="G1397" s="340"/>
      <c r="H1397" s="340"/>
      <c r="I1397" s="340"/>
      <c r="J1397" s="340"/>
      <c r="K1397" s="340"/>
      <c r="L1397" s="340"/>
      <c r="M1397" s="340"/>
      <c r="N1397" s="340"/>
      <c r="O1397" s="340"/>
      <c r="P1397" s="340"/>
      <c r="Q1397" s="35"/>
      <c r="R1397" s="35"/>
      <c r="S1397" s="35"/>
      <c r="T1397" s="1"/>
      <c r="U1397" s="1"/>
      <c r="V1397" s="1"/>
    </row>
    <row r="1398" ht="15.75" customHeight="1">
      <c r="A1398" s="340"/>
      <c r="B1398" s="340"/>
      <c r="C1398" s="340"/>
      <c r="D1398" s="344"/>
      <c r="E1398" s="344"/>
      <c r="F1398" s="340"/>
      <c r="G1398" s="340"/>
      <c r="H1398" s="340"/>
      <c r="I1398" s="340"/>
      <c r="J1398" s="340"/>
      <c r="K1398" s="340"/>
      <c r="L1398" s="340"/>
      <c r="M1398" s="340"/>
      <c r="N1398" s="340"/>
      <c r="O1398" s="340"/>
      <c r="P1398" s="340"/>
      <c r="Q1398" s="35"/>
      <c r="R1398" s="35"/>
      <c r="S1398" s="35"/>
      <c r="T1398" s="1"/>
      <c r="U1398" s="1"/>
      <c r="V1398" s="1"/>
    </row>
    <row r="1399" ht="15.75" customHeight="1">
      <c r="A1399" s="340"/>
      <c r="B1399" s="340"/>
      <c r="C1399" s="340"/>
      <c r="D1399" s="344"/>
      <c r="E1399" s="344"/>
      <c r="F1399" s="340"/>
      <c r="G1399" s="340"/>
      <c r="H1399" s="340"/>
      <c r="I1399" s="340"/>
      <c r="J1399" s="340"/>
      <c r="K1399" s="340"/>
      <c r="L1399" s="340"/>
      <c r="M1399" s="340"/>
      <c r="N1399" s="340"/>
      <c r="O1399" s="340"/>
      <c r="P1399" s="340"/>
      <c r="Q1399" s="35"/>
      <c r="R1399" s="35"/>
      <c r="S1399" s="35"/>
      <c r="T1399" s="1"/>
      <c r="U1399" s="1"/>
      <c r="V1399" s="1"/>
    </row>
    <row r="1400" ht="15.75" customHeight="1">
      <c r="A1400" s="340"/>
      <c r="B1400" s="340"/>
      <c r="C1400" s="340"/>
      <c r="D1400" s="344"/>
      <c r="E1400" s="344"/>
      <c r="F1400" s="340"/>
      <c r="G1400" s="340"/>
      <c r="H1400" s="340"/>
      <c r="I1400" s="340"/>
      <c r="J1400" s="340"/>
      <c r="K1400" s="340"/>
      <c r="L1400" s="340"/>
      <c r="M1400" s="340"/>
      <c r="N1400" s="340"/>
      <c r="O1400" s="340"/>
      <c r="P1400" s="340"/>
      <c r="Q1400" s="35"/>
      <c r="R1400" s="35"/>
      <c r="S1400" s="35"/>
      <c r="T1400" s="1"/>
      <c r="U1400" s="1"/>
      <c r="V1400" s="1"/>
    </row>
    <row r="1401" ht="15.75" customHeight="1">
      <c r="A1401" s="340"/>
      <c r="B1401" s="340"/>
      <c r="C1401" s="340"/>
      <c r="D1401" s="344"/>
      <c r="E1401" s="344"/>
      <c r="F1401" s="340"/>
      <c r="G1401" s="340"/>
      <c r="H1401" s="340"/>
      <c r="I1401" s="340"/>
      <c r="J1401" s="340"/>
      <c r="K1401" s="340"/>
      <c r="L1401" s="340"/>
      <c r="M1401" s="340"/>
      <c r="N1401" s="340"/>
      <c r="O1401" s="340"/>
      <c r="P1401" s="340"/>
      <c r="Q1401" s="35"/>
      <c r="R1401" s="35"/>
      <c r="S1401" s="35"/>
      <c r="T1401" s="1"/>
      <c r="U1401" s="1"/>
      <c r="V1401" s="1"/>
    </row>
    <row r="1402" ht="15.75" customHeight="1">
      <c r="A1402" s="340"/>
      <c r="B1402" s="340"/>
      <c r="C1402" s="340"/>
      <c r="D1402" s="344"/>
      <c r="E1402" s="344"/>
      <c r="F1402" s="340"/>
      <c r="G1402" s="340"/>
      <c r="H1402" s="340"/>
      <c r="I1402" s="340"/>
      <c r="J1402" s="340"/>
      <c r="K1402" s="340"/>
      <c r="L1402" s="340"/>
      <c r="M1402" s="340"/>
      <c r="N1402" s="340"/>
      <c r="O1402" s="340"/>
      <c r="P1402" s="340"/>
      <c r="Q1402" s="35"/>
      <c r="R1402" s="35"/>
      <c r="S1402" s="35"/>
      <c r="T1402" s="1"/>
      <c r="U1402" s="1"/>
      <c r="V1402" s="1"/>
    </row>
    <row r="1403" ht="15.75" customHeight="1">
      <c r="A1403" s="340"/>
      <c r="B1403" s="340"/>
      <c r="C1403" s="340"/>
      <c r="D1403" s="344"/>
      <c r="E1403" s="344"/>
      <c r="F1403" s="340"/>
      <c r="G1403" s="340"/>
      <c r="H1403" s="340"/>
      <c r="I1403" s="340"/>
      <c r="J1403" s="340"/>
      <c r="K1403" s="340"/>
      <c r="L1403" s="340"/>
      <c r="M1403" s="340"/>
      <c r="N1403" s="340"/>
      <c r="O1403" s="340"/>
      <c r="P1403" s="340"/>
      <c r="Q1403" s="35"/>
      <c r="R1403" s="35"/>
      <c r="S1403" s="35"/>
      <c r="T1403" s="1"/>
      <c r="U1403" s="1"/>
      <c r="V1403" s="1"/>
    </row>
    <row r="1404" ht="15.75" customHeight="1">
      <c r="A1404" s="340"/>
      <c r="B1404" s="340"/>
      <c r="C1404" s="340"/>
      <c r="D1404" s="344"/>
      <c r="E1404" s="344"/>
      <c r="F1404" s="340"/>
      <c r="G1404" s="340"/>
      <c r="H1404" s="340"/>
      <c r="I1404" s="340"/>
      <c r="J1404" s="340"/>
      <c r="K1404" s="340"/>
      <c r="L1404" s="340"/>
      <c r="M1404" s="340"/>
      <c r="N1404" s="340"/>
      <c r="O1404" s="340"/>
      <c r="P1404" s="340"/>
      <c r="Q1404" s="35"/>
      <c r="R1404" s="35"/>
      <c r="S1404" s="35"/>
      <c r="T1404" s="1"/>
      <c r="U1404" s="1"/>
      <c r="V1404" s="1"/>
    </row>
    <row r="1405" ht="15.75" customHeight="1">
      <c r="A1405" s="340"/>
      <c r="B1405" s="340"/>
      <c r="C1405" s="340"/>
      <c r="D1405" s="344"/>
      <c r="E1405" s="344"/>
      <c r="F1405" s="340"/>
      <c r="G1405" s="340"/>
      <c r="H1405" s="340"/>
      <c r="I1405" s="340"/>
      <c r="J1405" s="340"/>
      <c r="K1405" s="340"/>
      <c r="L1405" s="340"/>
      <c r="M1405" s="340"/>
      <c r="N1405" s="340"/>
      <c r="O1405" s="340"/>
      <c r="P1405" s="340"/>
      <c r="Q1405" s="35"/>
      <c r="R1405" s="35"/>
      <c r="S1405" s="35"/>
      <c r="T1405" s="1"/>
      <c r="U1405" s="1"/>
      <c r="V1405" s="1"/>
    </row>
    <row r="1406" ht="15.75" customHeight="1">
      <c r="A1406" s="340"/>
      <c r="B1406" s="340"/>
      <c r="C1406" s="340"/>
      <c r="D1406" s="344"/>
      <c r="E1406" s="344"/>
      <c r="F1406" s="340"/>
      <c r="G1406" s="340"/>
      <c r="H1406" s="340"/>
      <c r="I1406" s="340"/>
      <c r="J1406" s="340"/>
      <c r="K1406" s="340"/>
      <c r="L1406" s="340"/>
      <c r="M1406" s="340"/>
      <c r="N1406" s="340"/>
      <c r="O1406" s="340"/>
      <c r="P1406" s="340"/>
      <c r="Q1406" s="35"/>
      <c r="R1406" s="35"/>
      <c r="S1406" s="35"/>
      <c r="T1406" s="1"/>
      <c r="U1406" s="1"/>
      <c r="V1406" s="1"/>
    </row>
    <row r="1407" ht="15.75" customHeight="1">
      <c r="A1407" s="340"/>
      <c r="B1407" s="340"/>
      <c r="C1407" s="340"/>
      <c r="D1407" s="344"/>
      <c r="E1407" s="344"/>
      <c r="F1407" s="340"/>
      <c r="G1407" s="340"/>
      <c r="H1407" s="340"/>
      <c r="I1407" s="340"/>
      <c r="J1407" s="340"/>
      <c r="K1407" s="340"/>
      <c r="L1407" s="340"/>
      <c r="M1407" s="340"/>
      <c r="N1407" s="340"/>
      <c r="O1407" s="340"/>
      <c r="P1407" s="340"/>
      <c r="Q1407" s="35"/>
      <c r="R1407" s="35"/>
      <c r="S1407" s="35"/>
      <c r="T1407" s="1"/>
      <c r="U1407" s="1"/>
      <c r="V1407" s="1"/>
    </row>
    <row r="1408" ht="15.75" customHeight="1">
      <c r="A1408" s="340"/>
      <c r="B1408" s="340"/>
      <c r="C1408" s="340"/>
      <c r="D1408" s="344"/>
      <c r="E1408" s="344"/>
      <c r="F1408" s="340"/>
      <c r="G1408" s="340"/>
      <c r="H1408" s="340"/>
      <c r="I1408" s="340"/>
      <c r="J1408" s="340"/>
      <c r="K1408" s="340"/>
      <c r="L1408" s="340"/>
      <c r="M1408" s="340"/>
      <c r="N1408" s="340"/>
      <c r="O1408" s="340"/>
      <c r="P1408" s="340"/>
      <c r="Q1408" s="35"/>
      <c r="R1408" s="35"/>
      <c r="S1408" s="35"/>
      <c r="T1408" s="1"/>
      <c r="U1408" s="1"/>
      <c r="V1408" s="1"/>
    </row>
    <row r="1409" ht="15.75" customHeight="1">
      <c r="A1409" s="340"/>
      <c r="B1409" s="340"/>
      <c r="C1409" s="340"/>
      <c r="D1409" s="344"/>
      <c r="E1409" s="344"/>
      <c r="F1409" s="340"/>
      <c r="G1409" s="340"/>
      <c r="H1409" s="340"/>
      <c r="I1409" s="340"/>
      <c r="J1409" s="340"/>
      <c r="K1409" s="340"/>
      <c r="L1409" s="340"/>
      <c r="M1409" s="340"/>
      <c r="N1409" s="340"/>
      <c r="O1409" s="340"/>
      <c r="P1409" s="340"/>
      <c r="Q1409" s="35"/>
      <c r="R1409" s="35"/>
      <c r="S1409" s="35"/>
      <c r="T1409" s="1"/>
      <c r="U1409" s="1"/>
      <c r="V1409" s="1"/>
    </row>
    <row r="1410" ht="15.75" customHeight="1">
      <c r="A1410" s="340"/>
      <c r="B1410" s="340"/>
      <c r="C1410" s="340"/>
      <c r="D1410" s="344"/>
      <c r="E1410" s="344"/>
      <c r="F1410" s="340"/>
      <c r="G1410" s="340"/>
      <c r="H1410" s="340"/>
      <c r="I1410" s="340"/>
      <c r="J1410" s="340"/>
      <c r="K1410" s="340"/>
      <c r="L1410" s="340"/>
      <c r="M1410" s="340"/>
      <c r="N1410" s="340"/>
      <c r="O1410" s="340"/>
      <c r="P1410" s="340"/>
      <c r="Q1410" s="35"/>
      <c r="R1410" s="35"/>
      <c r="S1410" s="35"/>
      <c r="T1410" s="1"/>
      <c r="U1410" s="1"/>
      <c r="V1410" s="1"/>
    </row>
    <row r="1411" ht="15.75" customHeight="1">
      <c r="A1411" s="340"/>
      <c r="B1411" s="340"/>
      <c r="C1411" s="340"/>
      <c r="D1411" s="344"/>
      <c r="E1411" s="344"/>
      <c r="F1411" s="340"/>
      <c r="G1411" s="340"/>
      <c r="H1411" s="340"/>
      <c r="I1411" s="340"/>
      <c r="J1411" s="340"/>
      <c r="K1411" s="340"/>
      <c r="L1411" s="340"/>
      <c r="M1411" s="340"/>
      <c r="N1411" s="340"/>
      <c r="O1411" s="340"/>
      <c r="P1411" s="340"/>
      <c r="Q1411" s="35"/>
      <c r="R1411" s="35"/>
      <c r="S1411" s="35"/>
      <c r="T1411" s="1"/>
      <c r="U1411" s="1"/>
      <c r="V1411" s="1"/>
    </row>
    <row r="1412" ht="15.75" customHeight="1">
      <c r="A1412" s="340"/>
      <c r="B1412" s="340"/>
      <c r="C1412" s="340"/>
      <c r="D1412" s="344"/>
      <c r="E1412" s="344"/>
      <c r="F1412" s="340"/>
      <c r="G1412" s="340"/>
      <c r="H1412" s="340"/>
      <c r="I1412" s="340"/>
      <c r="J1412" s="340"/>
      <c r="K1412" s="340"/>
      <c r="L1412" s="340"/>
      <c r="M1412" s="340"/>
      <c r="N1412" s="340"/>
      <c r="O1412" s="340"/>
      <c r="P1412" s="340"/>
      <c r="Q1412" s="35"/>
      <c r="R1412" s="35"/>
      <c r="S1412" s="35"/>
      <c r="T1412" s="1"/>
      <c r="U1412" s="1"/>
      <c r="V1412" s="1"/>
    </row>
    <row r="1413" ht="15.75" customHeight="1">
      <c r="A1413" s="340"/>
      <c r="B1413" s="340"/>
      <c r="C1413" s="340"/>
      <c r="D1413" s="344"/>
      <c r="E1413" s="344"/>
      <c r="F1413" s="340"/>
      <c r="G1413" s="340"/>
      <c r="H1413" s="340"/>
      <c r="I1413" s="340"/>
      <c r="J1413" s="340"/>
      <c r="K1413" s="340"/>
      <c r="L1413" s="340"/>
      <c r="M1413" s="340"/>
      <c r="N1413" s="340"/>
      <c r="O1413" s="340"/>
      <c r="P1413" s="340"/>
      <c r="Q1413" s="35"/>
      <c r="R1413" s="35"/>
      <c r="S1413" s="35"/>
      <c r="T1413" s="1"/>
      <c r="U1413" s="1"/>
      <c r="V1413" s="1"/>
    </row>
    <row r="1414" ht="15.75" customHeight="1">
      <c r="A1414" s="340"/>
      <c r="B1414" s="340"/>
      <c r="C1414" s="340"/>
      <c r="D1414" s="344"/>
      <c r="E1414" s="344"/>
      <c r="F1414" s="340"/>
      <c r="G1414" s="340"/>
      <c r="H1414" s="340"/>
      <c r="I1414" s="340"/>
      <c r="J1414" s="340"/>
      <c r="K1414" s="340"/>
      <c r="L1414" s="340"/>
      <c r="M1414" s="340"/>
      <c r="N1414" s="340"/>
      <c r="O1414" s="340"/>
      <c r="P1414" s="340"/>
      <c r="Q1414" s="35"/>
      <c r="R1414" s="35"/>
      <c r="S1414" s="35"/>
      <c r="T1414" s="1"/>
      <c r="U1414" s="1"/>
      <c r="V1414" s="1"/>
    </row>
    <row r="1415" ht="15.75" customHeight="1">
      <c r="A1415" s="340"/>
      <c r="B1415" s="340"/>
      <c r="C1415" s="340"/>
      <c r="D1415" s="344"/>
      <c r="E1415" s="344"/>
      <c r="F1415" s="340"/>
      <c r="G1415" s="340"/>
      <c r="H1415" s="340"/>
      <c r="I1415" s="340"/>
      <c r="J1415" s="340"/>
      <c r="K1415" s="340"/>
      <c r="L1415" s="340"/>
      <c r="M1415" s="340"/>
      <c r="N1415" s="340"/>
      <c r="O1415" s="340"/>
      <c r="P1415" s="340"/>
      <c r="Q1415" s="35"/>
      <c r="R1415" s="35"/>
      <c r="S1415" s="35"/>
      <c r="T1415" s="1"/>
      <c r="U1415" s="1"/>
      <c r="V1415" s="1"/>
    </row>
    <row r="1416" ht="15.75" customHeight="1">
      <c r="A1416" s="340"/>
      <c r="B1416" s="340"/>
      <c r="C1416" s="340"/>
      <c r="D1416" s="344"/>
      <c r="E1416" s="344"/>
      <c r="F1416" s="340"/>
      <c r="G1416" s="340"/>
      <c r="H1416" s="340"/>
      <c r="I1416" s="340"/>
      <c r="J1416" s="340"/>
      <c r="K1416" s="340"/>
      <c r="L1416" s="340"/>
      <c r="M1416" s="340"/>
      <c r="N1416" s="340"/>
      <c r="O1416" s="340"/>
      <c r="P1416" s="340"/>
      <c r="Q1416" s="35"/>
      <c r="R1416" s="35"/>
      <c r="S1416" s="35"/>
      <c r="T1416" s="1"/>
      <c r="U1416" s="1"/>
      <c r="V1416" s="1"/>
    </row>
    <row r="1417" ht="15.75" customHeight="1">
      <c r="A1417" s="340"/>
      <c r="B1417" s="340"/>
      <c r="C1417" s="340"/>
      <c r="D1417" s="344"/>
      <c r="E1417" s="344"/>
      <c r="F1417" s="340"/>
      <c r="G1417" s="340"/>
      <c r="H1417" s="340"/>
      <c r="I1417" s="340"/>
      <c r="J1417" s="340"/>
      <c r="K1417" s="340"/>
      <c r="L1417" s="340"/>
      <c r="M1417" s="340"/>
      <c r="N1417" s="340"/>
      <c r="O1417" s="340"/>
      <c r="P1417" s="340"/>
      <c r="Q1417" s="35"/>
      <c r="R1417" s="35"/>
      <c r="S1417" s="35"/>
      <c r="T1417" s="1"/>
      <c r="U1417" s="1"/>
      <c r="V1417" s="1"/>
    </row>
    <row r="1418" ht="15.75" customHeight="1">
      <c r="A1418" s="340"/>
      <c r="B1418" s="340"/>
      <c r="C1418" s="340"/>
      <c r="D1418" s="344"/>
      <c r="E1418" s="344"/>
      <c r="F1418" s="340"/>
      <c r="G1418" s="340"/>
      <c r="H1418" s="340"/>
      <c r="I1418" s="340"/>
      <c r="J1418" s="340"/>
      <c r="K1418" s="340"/>
      <c r="L1418" s="340"/>
      <c r="M1418" s="340"/>
      <c r="N1418" s="340"/>
      <c r="O1418" s="340"/>
      <c r="P1418" s="340"/>
      <c r="Q1418" s="35"/>
      <c r="R1418" s="35"/>
      <c r="S1418" s="35"/>
      <c r="T1418" s="1"/>
      <c r="U1418" s="1"/>
      <c r="V1418" s="1"/>
    </row>
    <row r="1419" ht="15.75" customHeight="1">
      <c r="A1419" s="340"/>
      <c r="B1419" s="340"/>
      <c r="C1419" s="340"/>
      <c r="D1419" s="344"/>
      <c r="E1419" s="344"/>
      <c r="F1419" s="340"/>
      <c r="G1419" s="340"/>
      <c r="H1419" s="340"/>
      <c r="I1419" s="340"/>
      <c r="J1419" s="340"/>
      <c r="K1419" s="340"/>
      <c r="L1419" s="340"/>
      <c r="M1419" s="340"/>
      <c r="N1419" s="340"/>
      <c r="O1419" s="340"/>
      <c r="P1419" s="340"/>
      <c r="Q1419" s="35"/>
      <c r="R1419" s="35"/>
      <c r="S1419" s="35"/>
      <c r="T1419" s="1"/>
      <c r="U1419" s="1"/>
      <c r="V1419" s="1"/>
    </row>
    <row r="1420" ht="15.75" customHeight="1">
      <c r="A1420" s="340"/>
      <c r="B1420" s="340"/>
      <c r="C1420" s="340"/>
      <c r="D1420" s="344"/>
      <c r="E1420" s="344"/>
      <c r="F1420" s="340"/>
      <c r="G1420" s="340"/>
      <c r="H1420" s="340"/>
      <c r="I1420" s="340"/>
      <c r="J1420" s="340"/>
      <c r="K1420" s="340"/>
      <c r="L1420" s="340"/>
      <c r="M1420" s="340"/>
      <c r="N1420" s="340"/>
      <c r="O1420" s="340"/>
      <c r="P1420" s="340"/>
      <c r="Q1420" s="35"/>
      <c r="R1420" s="35"/>
      <c r="S1420" s="35"/>
      <c r="T1420" s="1"/>
      <c r="U1420" s="1"/>
      <c r="V1420" s="1"/>
    </row>
    <row r="1421" ht="15.75" customHeight="1">
      <c r="A1421" s="340"/>
      <c r="B1421" s="340"/>
      <c r="C1421" s="340"/>
      <c r="D1421" s="344"/>
      <c r="E1421" s="344"/>
      <c r="F1421" s="340"/>
      <c r="G1421" s="340"/>
      <c r="H1421" s="340"/>
      <c r="I1421" s="340"/>
      <c r="J1421" s="340"/>
      <c r="K1421" s="340"/>
      <c r="L1421" s="340"/>
      <c r="M1421" s="340"/>
      <c r="N1421" s="340"/>
      <c r="O1421" s="340"/>
      <c r="P1421" s="340"/>
      <c r="Q1421" s="35"/>
      <c r="R1421" s="35"/>
      <c r="S1421" s="35"/>
      <c r="T1421" s="1"/>
      <c r="U1421" s="1"/>
      <c r="V1421" s="1"/>
    </row>
    <row r="1422" ht="15.75" customHeight="1">
      <c r="A1422" s="340"/>
      <c r="B1422" s="340"/>
      <c r="C1422" s="340"/>
      <c r="D1422" s="344"/>
      <c r="E1422" s="344"/>
      <c r="F1422" s="340"/>
      <c r="G1422" s="340"/>
      <c r="H1422" s="340"/>
      <c r="I1422" s="340"/>
      <c r="J1422" s="340"/>
      <c r="K1422" s="340"/>
      <c r="L1422" s="340"/>
      <c r="M1422" s="340"/>
      <c r="N1422" s="340"/>
      <c r="O1422" s="340"/>
      <c r="P1422" s="340"/>
      <c r="Q1422" s="35"/>
      <c r="R1422" s="35"/>
      <c r="S1422" s="35"/>
      <c r="T1422" s="1"/>
      <c r="U1422" s="1"/>
      <c r="V1422" s="1"/>
    </row>
    <row r="1423" ht="15.75" customHeight="1">
      <c r="A1423" s="340"/>
      <c r="B1423" s="340"/>
      <c r="C1423" s="340"/>
      <c r="D1423" s="344"/>
      <c r="E1423" s="344"/>
      <c r="F1423" s="340"/>
      <c r="G1423" s="340"/>
      <c r="H1423" s="340"/>
      <c r="I1423" s="340"/>
      <c r="J1423" s="340"/>
      <c r="K1423" s="340"/>
      <c r="L1423" s="340"/>
      <c r="M1423" s="340"/>
      <c r="N1423" s="340"/>
      <c r="O1423" s="340"/>
      <c r="P1423" s="340"/>
      <c r="Q1423" s="35"/>
      <c r="R1423" s="35"/>
      <c r="S1423" s="35"/>
      <c r="T1423" s="1"/>
      <c r="U1423" s="1"/>
      <c r="V1423" s="1"/>
    </row>
    <row r="1424" ht="15.75" customHeight="1">
      <c r="A1424" s="340"/>
      <c r="B1424" s="340"/>
      <c r="C1424" s="340"/>
      <c r="D1424" s="344"/>
      <c r="E1424" s="344"/>
      <c r="F1424" s="340"/>
      <c r="G1424" s="340"/>
      <c r="H1424" s="340"/>
      <c r="I1424" s="340"/>
      <c r="J1424" s="340"/>
      <c r="K1424" s="340"/>
      <c r="L1424" s="340"/>
      <c r="M1424" s="340"/>
      <c r="N1424" s="340"/>
      <c r="O1424" s="340"/>
      <c r="P1424" s="340"/>
      <c r="Q1424" s="35"/>
      <c r="R1424" s="35"/>
      <c r="S1424" s="35"/>
      <c r="T1424" s="1"/>
      <c r="U1424" s="1"/>
      <c r="V1424" s="1"/>
    </row>
    <row r="1425" ht="15.75" customHeight="1">
      <c r="A1425" s="340"/>
      <c r="B1425" s="340"/>
      <c r="C1425" s="340"/>
      <c r="D1425" s="344"/>
      <c r="E1425" s="344"/>
      <c r="F1425" s="340"/>
      <c r="G1425" s="340"/>
      <c r="H1425" s="340"/>
      <c r="I1425" s="340"/>
      <c r="J1425" s="340"/>
      <c r="K1425" s="340"/>
      <c r="L1425" s="340"/>
      <c r="M1425" s="340"/>
      <c r="N1425" s="340"/>
      <c r="O1425" s="340"/>
      <c r="P1425" s="340"/>
      <c r="Q1425" s="35"/>
      <c r="R1425" s="35"/>
      <c r="S1425" s="35"/>
      <c r="T1425" s="1"/>
      <c r="U1425" s="1"/>
      <c r="V1425" s="1"/>
    </row>
    <row r="1426" ht="15.75" customHeight="1">
      <c r="A1426" s="340"/>
      <c r="B1426" s="340"/>
      <c r="C1426" s="340"/>
      <c r="D1426" s="344"/>
      <c r="E1426" s="344"/>
      <c r="F1426" s="340"/>
      <c r="G1426" s="340"/>
      <c r="H1426" s="340"/>
      <c r="I1426" s="340"/>
      <c r="J1426" s="340"/>
      <c r="K1426" s="340"/>
      <c r="L1426" s="340"/>
      <c r="M1426" s="340"/>
      <c r="N1426" s="340"/>
      <c r="O1426" s="340"/>
      <c r="P1426" s="340"/>
      <c r="Q1426" s="35"/>
      <c r="R1426" s="35"/>
      <c r="S1426" s="35"/>
      <c r="T1426" s="1"/>
      <c r="U1426" s="1"/>
      <c r="V1426" s="1"/>
    </row>
    <row r="1427" ht="15.75" customHeight="1">
      <c r="A1427" s="340"/>
      <c r="B1427" s="340"/>
      <c r="C1427" s="340"/>
      <c r="D1427" s="344"/>
      <c r="E1427" s="344"/>
      <c r="F1427" s="340"/>
      <c r="G1427" s="340"/>
      <c r="H1427" s="340"/>
      <c r="I1427" s="340"/>
      <c r="J1427" s="340"/>
      <c r="K1427" s="340"/>
      <c r="L1427" s="340"/>
      <c r="M1427" s="340"/>
      <c r="N1427" s="340"/>
      <c r="O1427" s="340"/>
      <c r="P1427" s="340"/>
      <c r="Q1427" s="35"/>
      <c r="R1427" s="35"/>
      <c r="S1427" s="35"/>
      <c r="T1427" s="1"/>
      <c r="U1427" s="1"/>
      <c r="V1427" s="1"/>
    </row>
    <row r="1428" ht="15.75" customHeight="1">
      <c r="A1428" s="340"/>
      <c r="B1428" s="340"/>
      <c r="C1428" s="340"/>
      <c r="D1428" s="344"/>
      <c r="E1428" s="344"/>
      <c r="F1428" s="340"/>
      <c r="G1428" s="340"/>
      <c r="H1428" s="340"/>
      <c r="I1428" s="340"/>
      <c r="J1428" s="340"/>
      <c r="K1428" s="340"/>
      <c r="L1428" s="340"/>
      <c r="M1428" s="340"/>
      <c r="N1428" s="340"/>
      <c r="O1428" s="340"/>
      <c r="P1428" s="340"/>
      <c r="Q1428" s="35"/>
      <c r="R1428" s="35"/>
      <c r="S1428" s="35"/>
      <c r="T1428" s="1"/>
      <c r="U1428" s="1"/>
      <c r="V1428" s="1"/>
    </row>
    <row r="1429" ht="15.75" customHeight="1">
      <c r="A1429" s="340"/>
      <c r="B1429" s="340"/>
      <c r="C1429" s="340"/>
      <c r="D1429" s="344"/>
      <c r="E1429" s="344"/>
      <c r="F1429" s="340"/>
      <c r="G1429" s="340"/>
      <c r="H1429" s="340"/>
      <c r="I1429" s="340"/>
      <c r="J1429" s="340"/>
      <c r="K1429" s="340"/>
      <c r="L1429" s="340"/>
      <c r="M1429" s="340"/>
      <c r="N1429" s="340"/>
      <c r="O1429" s="340"/>
      <c r="P1429" s="340"/>
      <c r="Q1429" s="35"/>
      <c r="R1429" s="35"/>
      <c r="S1429" s="35"/>
      <c r="T1429" s="1"/>
      <c r="U1429" s="1"/>
      <c r="V1429" s="1"/>
    </row>
    <row r="1430" ht="15.75" customHeight="1">
      <c r="A1430" s="340"/>
      <c r="B1430" s="340"/>
      <c r="C1430" s="340"/>
      <c r="D1430" s="344"/>
      <c r="E1430" s="344"/>
      <c r="F1430" s="340"/>
      <c r="G1430" s="340"/>
      <c r="H1430" s="340"/>
      <c r="I1430" s="340"/>
      <c r="J1430" s="340"/>
      <c r="K1430" s="340"/>
      <c r="L1430" s="340"/>
      <c r="M1430" s="340"/>
      <c r="N1430" s="340"/>
      <c r="O1430" s="340"/>
      <c r="P1430" s="340"/>
      <c r="Q1430" s="35"/>
      <c r="R1430" s="35"/>
      <c r="S1430" s="35"/>
      <c r="T1430" s="1"/>
      <c r="U1430" s="1"/>
      <c r="V1430" s="1"/>
    </row>
    <row r="1431" ht="15.75" customHeight="1">
      <c r="A1431" s="340"/>
      <c r="B1431" s="340"/>
      <c r="C1431" s="340"/>
      <c r="D1431" s="344"/>
      <c r="E1431" s="344"/>
      <c r="F1431" s="340"/>
      <c r="G1431" s="340"/>
      <c r="H1431" s="340"/>
      <c r="I1431" s="340"/>
      <c r="J1431" s="340"/>
      <c r="K1431" s="340"/>
      <c r="L1431" s="340"/>
      <c r="M1431" s="340"/>
      <c r="N1431" s="340"/>
      <c r="O1431" s="340"/>
      <c r="P1431" s="340"/>
      <c r="Q1431" s="35"/>
      <c r="R1431" s="35"/>
      <c r="S1431" s="35"/>
      <c r="T1431" s="1"/>
      <c r="U1431" s="1"/>
      <c r="V1431" s="1"/>
    </row>
    <row r="1432" ht="15.75" customHeight="1">
      <c r="A1432" s="340"/>
      <c r="B1432" s="340"/>
      <c r="C1432" s="340"/>
      <c r="D1432" s="344"/>
      <c r="E1432" s="344"/>
      <c r="F1432" s="340"/>
      <c r="G1432" s="340"/>
      <c r="H1432" s="340"/>
      <c r="I1432" s="340"/>
      <c r="J1432" s="340"/>
      <c r="K1432" s="340"/>
      <c r="L1432" s="340"/>
      <c r="M1432" s="340"/>
      <c r="N1432" s="340"/>
      <c r="O1432" s="340"/>
      <c r="P1432" s="340"/>
      <c r="Q1432" s="35"/>
      <c r="R1432" s="35"/>
      <c r="S1432" s="35"/>
      <c r="T1432" s="1"/>
      <c r="U1432" s="1"/>
      <c r="V1432" s="1"/>
    </row>
    <row r="1433" ht="15.75" customHeight="1">
      <c r="A1433" s="340"/>
      <c r="B1433" s="340"/>
      <c r="C1433" s="340"/>
      <c r="D1433" s="344"/>
      <c r="E1433" s="344"/>
      <c r="F1433" s="340"/>
      <c r="G1433" s="340"/>
      <c r="H1433" s="340"/>
      <c r="I1433" s="340"/>
      <c r="J1433" s="340"/>
      <c r="K1433" s="340"/>
      <c r="L1433" s="340"/>
      <c r="M1433" s="340"/>
      <c r="N1433" s="340"/>
      <c r="O1433" s="340"/>
      <c r="P1433" s="340"/>
      <c r="Q1433" s="35"/>
      <c r="R1433" s="35"/>
      <c r="S1433" s="35"/>
      <c r="T1433" s="1"/>
      <c r="U1433" s="1"/>
      <c r="V1433" s="1"/>
    </row>
    <row r="1434" ht="15.75" customHeight="1">
      <c r="A1434" s="340"/>
      <c r="B1434" s="340"/>
      <c r="C1434" s="340"/>
      <c r="D1434" s="344"/>
      <c r="E1434" s="344"/>
      <c r="F1434" s="340"/>
      <c r="G1434" s="340"/>
      <c r="H1434" s="340"/>
      <c r="I1434" s="340"/>
      <c r="J1434" s="340"/>
      <c r="K1434" s="340"/>
      <c r="L1434" s="340"/>
      <c r="M1434" s="340"/>
      <c r="N1434" s="340"/>
      <c r="O1434" s="340"/>
      <c r="P1434" s="340"/>
      <c r="Q1434" s="35"/>
      <c r="R1434" s="35"/>
      <c r="S1434" s="35"/>
      <c r="T1434" s="1"/>
      <c r="U1434" s="1"/>
      <c r="V1434" s="1"/>
    </row>
    <row r="1435" ht="15.75" customHeight="1">
      <c r="A1435" s="340"/>
      <c r="B1435" s="340"/>
      <c r="C1435" s="340"/>
      <c r="D1435" s="344"/>
      <c r="E1435" s="344"/>
      <c r="F1435" s="340"/>
      <c r="G1435" s="340"/>
      <c r="H1435" s="340"/>
      <c r="I1435" s="340"/>
      <c r="J1435" s="340"/>
      <c r="K1435" s="340"/>
      <c r="L1435" s="340"/>
      <c r="M1435" s="340"/>
      <c r="N1435" s="340"/>
      <c r="O1435" s="340"/>
      <c r="P1435" s="340"/>
      <c r="Q1435" s="35"/>
      <c r="R1435" s="35"/>
      <c r="S1435" s="35"/>
      <c r="T1435" s="1"/>
      <c r="U1435" s="1"/>
      <c r="V1435" s="1"/>
    </row>
    <row r="1436" ht="15.75" customHeight="1">
      <c r="A1436" s="340"/>
      <c r="B1436" s="340"/>
      <c r="C1436" s="340"/>
      <c r="D1436" s="344"/>
      <c r="E1436" s="344"/>
      <c r="F1436" s="340"/>
      <c r="G1436" s="340"/>
      <c r="H1436" s="340"/>
      <c r="I1436" s="340"/>
      <c r="J1436" s="340"/>
      <c r="K1436" s="340"/>
      <c r="L1436" s="340"/>
      <c r="M1436" s="340"/>
      <c r="N1436" s="340"/>
      <c r="O1436" s="340"/>
      <c r="P1436" s="340"/>
      <c r="Q1436" s="35"/>
      <c r="R1436" s="35"/>
      <c r="S1436" s="35"/>
      <c r="T1436" s="1"/>
      <c r="U1436" s="1"/>
      <c r="V1436" s="1"/>
    </row>
    <row r="1437" ht="15.75" customHeight="1">
      <c r="A1437" s="340"/>
      <c r="B1437" s="340"/>
      <c r="C1437" s="340"/>
      <c r="D1437" s="344"/>
      <c r="E1437" s="344"/>
      <c r="F1437" s="340"/>
      <c r="G1437" s="340"/>
      <c r="H1437" s="340"/>
      <c r="I1437" s="340"/>
      <c r="J1437" s="340"/>
      <c r="K1437" s="340"/>
      <c r="L1437" s="340"/>
      <c r="M1437" s="340"/>
      <c r="N1437" s="340"/>
      <c r="O1437" s="340"/>
      <c r="P1437" s="340"/>
      <c r="Q1437" s="35"/>
      <c r="R1437" s="35"/>
      <c r="S1437" s="35"/>
      <c r="T1437" s="1"/>
      <c r="U1437" s="1"/>
      <c r="V1437" s="1"/>
    </row>
    <row r="1438" ht="15.75" customHeight="1">
      <c r="A1438" s="340"/>
      <c r="B1438" s="340"/>
      <c r="C1438" s="340"/>
      <c r="D1438" s="344"/>
      <c r="E1438" s="344"/>
      <c r="F1438" s="340"/>
      <c r="G1438" s="340"/>
      <c r="H1438" s="340"/>
      <c r="I1438" s="340"/>
      <c r="J1438" s="340"/>
      <c r="K1438" s="340"/>
      <c r="L1438" s="340"/>
      <c r="M1438" s="340"/>
      <c r="N1438" s="340"/>
      <c r="O1438" s="340"/>
      <c r="P1438" s="340"/>
      <c r="Q1438" s="35"/>
      <c r="R1438" s="35"/>
      <c r="S1438" s="35"/>
      <c r="T1438" s="1"/>
      <c r="U1438" s="1"/>
      <c r="V1438" s="1"/>
    </row>
    <row r="1439" ht="15.75" customHeight="1">
      <c r="A1439" s="340"/>
      <c r="B1439" s="340"/>
      <c r="C1439" s="340"/>
      <c r="D1439" s="344"/>
      <c r="E1439" s="344"/>
      <c r="F1439" s="340"/>
      <c r="G1439" s="340"/>
      <c r="H1439" s="340"/>
      <c r="I1439" s="340"/>
      <c r="J1439" s="340"/>
      <c r="K1439" s="340"/>
      <c r="L1439" s="340"/>
      <c r="M1439" s="340"/>
      <c r="N1439" s="340"/>
      <c r="O1439" s="340"/>
      <c r="P1439" s="340"/>
      <c r="Q1439" s="35"/>
      <c r="R1439" s="35"/>
      <c r="S1439" s="35"/>
      <c r="T1439" s="1"/>
      <c r="U1439" s="1"/>
      <c r="V1439" s="1"/>
    </row>
    <row r="1440" ht="15.75" customHeight="1">
      <c r="A1440" s="340"/>
      <c r="B1440" s="340"/>
      <c r="C1440" s="340"/>
      <c r="D1440" s="344"/>
      <c r="E1440" s="344"/>
      <c r="F1440" s="340"/>
      <c r="G1440" s="340"/>
      <c r="H1440" s="340"/>
      <c r="I1440" s="340"/>
      <c r="J1440" s="340"/>
      <c r="K1440" s="340"/>
      <c r="L1440" s="340"/>
      <c r="M1440" s="340"/>
      <c r="N1440" s="340"/>
      <c r="O1440" s="340"/>
      <c r="P1440" s="340"/>
      <c r="Q1440" s="35"/>
      <c r="R1440" s="35"/>
      <c r="S1440" s="35"/>
      <c r="T1440" s="1"/>
      <c r="U1440" s="1"/>
      <c r="V1440" s="1"/>
    </row>
    <row r="1441" ht="15.75" customHeight="1">
      <c r="A1441" s="340"/>
      <c r="B1441" s="340"/>
      <c r="C1441" s="340"/>
      <c r="D1441" s="344"/>
      <c r="E1441" s="344"/>
      <c r="F1441" s="340"/>
      <c r="G1441" s="340"/>
      <c r="H1441" s="340"/>
      <c r="I1441" s="340"/>
      <c r="J1441" s="340"/>
      <c r="K1441" s="340"/>
      <c r="L1441" s="340"/>
      <c r="M1441" s="340"/>
      <c r="N1441" s="340"/>
      <c r="O1441" s="340"/>
      <c r="P1441" s="340"/>
      <c r="Q1441" s="35"/>
      <c r="R1441" s="35"/>
      <c r="S1441" s="35"/>
      <c r="T1441" s="1"/>
      <c r="U1441" s="1"/>
      <c r="V1441" s="1"/>
    </row>
    <row r="1442" ht="15.75" customHeight="1">
      <c r="A1442" s="340"/>
      <c r="B1442" s="340"/>
      <c r="C1442" s="340"/>
      <c r="D1442" s="344"/>
      <c r="E1442" s="344"/>
      <c r="F1442" s="340"/>
      <c r="G1442" s="340"/>
      <c r="H1442" s="340"/>
      <c r="I1442" s="340"/>
      <c r="J1442" s="340"/>
      <c r="K1442" s="340"/>
      <c r="L1442" s="340"/>
      <c r="M1442" s="340"/>
      <c r="N1442" s="340"/>
      <c r="O1442" s="340"/>
      <c r="P1442" s="340"/>
      <c r="Q1442" s="35"/>
      <c r="R1442" s="35"/>
      <c r="S1442" s="35"/>
      <c r="T1442" s="1"/>
      <c r="U1442" s="1"/>
      <c r="V1442" s="1"/>
    </row>
    <row r="1443" ht="15.75" customHeight="1">
      <c r="A1443" s="340"/>
      <c r="B1443" s="340"/>
      <c r="C1443" s="340"/>
      <c r="D1443" s="344"/>
      <c r="E1443" s="344"/>
      <c r="F1443" s="340"/>
      <c r="G1443" s="340"/>
      <c r="H1443" s="340"/>
      <c r="I1443" s="340"/>
      <c r="J1443" s="340"/>
      <c r="K1443" s="340"/>
      <c r="L1443" s="340"/>
      <c r="M1443" s="340"/>
      <c r="N1443" s="340"/>
      <c r="O1443" s="340"/>
      <c r="P1443" s="340"/>
      <c r="Q1443" s="35"/>
      <c r="R1443" s="35"/>
      <c r="S1443" s="35"/>
      <c r="T1443" s="1"/>
      <c r="U1443" s="1"/>
      <c r="V1443" s="1"/>
    </row>
    <row r="1444" ht="15.75" customHeight="1">
      <c r="A1444" s="340"/>
      <c r="B1444" s="340"/>
      <c r="C1444" s="340"/>
      <c r="D1444" s="344"/>
      <c r="E1444" s="344"/>
      <c r="F1444" s="340"/>
      <c r="G1444" s="340"/>
      <c r="H1444" s="340"/>
      <c r="I1444" s="340"/>
      <c r="J1444" s="340"/>
      <c r="K1444" s="340"/>
      <c r="L1444" s="340"/>
      <c r="M1444" s="340"/>
      <c r="N1444" s="340"/>
      <c r="O1444" s="340"/>
      <c r="P1444" s="340"/>
      <c r="Q1444" s="35"/>
      <c r="R1444" s="35"/>
      <c r="S1444" s="35"/>
      <c r="T1444" s="1"/>
      <c r="U1444" s="1"/>
      <c r="V1444" s="1"/>
    </row>
    <row r="1445" ht="15.75" customHeight="1">
      <c r="A1445" s="340"/>
      <c r="B1445" s="340"/>
      <c r="C1445" s="340"/>
      <c r="D1445" s="344"/>
      <c r="E1445" s="344"/>
      <c r="F1445" s="340"/>
      <c r="G1445" s="340"/>
      <c r="H1445" s="340"/>
      <c r="I1445" s="340"/>
      <c r="J1445" s="340"/>
      <c r="K1445" s="340"/>
      <c r="L1445" s="340"/>
      <c r="M1445" s="340"/>
      <c r="N1445" s="340"/>
      <c r="O1445" s="340"/>
      <c r="P1445" s="340"/>
      <c r="Q1445" s="35"/>
      <c r="R1445" s="35"/>
      <c r="S1445" s="35"/>
      <c r="T1445" s="1"/>
      <c r="U1445" s="1"/>
      <c r="V1445" s="1"/>
    </row>
    <row r="1446" ht="15.75" customHeight="1">
      <c r="A1446" s="340"/>
      <c r="B1446" s="340"/>
      <c r="C1446" s="340"/>
      <c r="D1446" s="344"/>
      <c r="E1446" s="344"/>
      <c r="F1446" s="340"/>
      <c r="G1446" s="340"/>
      <c r="H1446" s="340"/>
      <c r="I1446" s="340"/>
      <c r="J1446" s="340"/>
      <c r="K1446" s="340"/>
      <c r="L1446" s="340"/>
      <c r="M1446" s="340"/>
      <c r="N1446" s="340"/>
      <c r="O1446" s="340"/>
      <c r="P1446" s="340"/>
      <c r="Q1446" s="35"/>
      <c r="R1446" s="35"/>
      <c r="S1446" s="35"/>
      <c r="T1446" s="1"/>
      <c r="U1446" s="1"/>
      <c r="V1446" s="1"/>
    </row>
    <row r="1447" ht="15.75" customHeight="1">
      <c r="A1447" s="340"/>
      <c r="B1447" s="340"/>
      <c r="C1447" s="340"/>
      <c r="D1447" s="344"/>
      <c r="E1447" s="344"/>
      <c r="F1447" s="340"/>
      <c r="G1447" s="340"/>
      <c r="H1447" s="340"/>
      <c r="I1447" s="340"/>
      <c r="J1447" s="340"/>
      <c r="K1447" s="340"/>
      <c r="L1447" s="340"/>
      <c r="M1447" s="340"/>
      <c r="N1447" s="340"/>
      <c r="O1447" s="340"/>
      <c r="P1447" s="340"/>
      <c r="Q1447" s="35"/>
      <c r="R1447" s="35"/>
      <c r="S1447" s="35"/>
      <c r="T1447" s="1"/>
      <c r="U1447" s="1"/>
      <c r="V1447" s="1"/>
    </row>
    <row r="1448" ht="15.75" customHeight="1">
      <c r="A1448" s="340"/>
      <c r="B1448" s="340"/>
      <c r="C1448" s="340"/>
      <c r="D1448" s="344"/>
      <c r="E1448" s="344"/>
      <c r="F1448" s="340"/>
      <c r="G1448" s="340"/>
      <c r="H1448" s="340"/>
      <c r="I1448" s="340"/>
      <c r="J1448" s="340"/>
      <c r="K1448" s="340"/>
      <c r="L1448" s="340"/>
      <c r="M1448" s="340"/>
      <c r="N1448" s="340"/>
      <c r="O1448" s="340"/>
      <c r="P1448" s="340"/>
      <c r="Q1448" s="35"/>
      <c r="R1448" s="35"/>
      <c r="S1448" s="35"/>
      <c r="T1448" s="1"/>
      <c r="U1448" s="1"/>
      <c r="V1448" s="1"/>
    </row>
    <row r="1449" ht="15.75" customHeight="1">
      <c r="A1449" s="340"/>
      <c r="B1449" s="340"/>
      <c r="C1449" s="340"/>
      <c r="D1449" s="344"/>
      <c r="E1449" s="344"/>
      <c r="F1449" s="340"/>
      <c r="G1449" s="340"/>
      <c r="H1449" s="340"/>
      <c r="I1449" s="340"/>
      <c r="J1449" s="340"/>
      <c r="K1449" s="340"/>
      <c r="L1449" s="340"/>
      <c r="M1449" s="340"/>
      <c r="N1449" s="340"/>
      <c r="O1449" s="340"/>
      <c r="P1449" s="340"/>
      <c r="Q1449" s="35"/>
      <c r="R1449" s="35"/>
      <c r="S1449" s="35"/>
      <c r="T1449" s="1"/>
      <c r="U1449" s="1"/>
      <c r="V1449" s="1"/>
    </row>
    <row r="1450" ht="15.75" customHeight="1">
      <c r="A1450" s="340"/>
      <c r="B1450" s="340"/>
      <c r="C1450" s="340"/>
      <c r="D1450" s="344"/>
      <c r="E1450" s="344"/>
      <c r="F1450" s="340"/>
      <c r="G1450" s="340"/>
      <c r="H1450" s="340"/>
      <c r="I1450" s="340"/>
      <c r="J1450" s="340"/>
      <c r="K1450" s="340"/>
      <c r="L1450" s="340"/>
      <c r="M1450" s="340"/>
      <c r="N1450" s="340"/>
      <c r="O1450" s="340"/>
      <c r="P1450" s="340"/>
      <c r="Q1450" s="35"/>
      <c r="R1450" s="35"/>
      <c r="S1450" s="35"/>
      <c r="T1450" s="1"/>
      <c r="U1450" s="1"/>
      <c r="V1450" s="1"/>
    </row>
    <row r="1451" ht="15.75" customHeight="1">
      <c r="A1451" s="340"/>
      <c r="B1451" s="340"/>
      <c r="C1451" s="340"/>
      <c r="D1451" s="344"/>
      <c r="E1451" s="344"/>
      <c r="F1451" s="340"/>
      <c r="G1451" s="340"/>
      <c r="H1451" s="340"/>
      <c r="I1451" s="340"/>
      <c r="J1451" s="340"/>
      <c r="K1451" s="340"/>
      <c r="L1451" s="340"/>
      <c r="M1451" s="340"/>
      <c r="N1451" s="340"/>
      <c r="O1451" s="340"/>
      <c r="P1451" s="340"/>
      <c r="Q1451" s="35"/>
      <c r="R1451" s="35"/>
      <c r="S1451" s="35"/>
      <c r="T1451" s="1"/>
      <c r="U1451" s="1"/>
      <c r="V1451" s="1"/>
    </row>
    <row r="1452" ht="15.75" customHeight="1">
      <c r="A1452" s="340"/>
      <c r="B1452" s="340"/>
      <c r="C1452" s="340"/>
      <c r="D1452" s="344"/>
      <c r="E1452" s="344"/>
      <c r="F1452" s="340"/>
      <c r="G1452" s="340"/>
      <c r="H1452" s="340"/>
      <c r="I1452" s="340"/>
      <c r="J1452" s="340"/>
      <c r="K1452" s="340"/>
      <c r="L1452" s="340"/>
      <c r="M1452" s="340"/>
      <c r="N1452" s="340"/>
      <c r="O1452" s="340"/>
      <c r="P1452" s="340"/>
      <c r="Q1452" s="35"/>
      <c r="R1452" s="35"/>
      <c r="S1452" s="35"/>
      <c r="T1452" s="1"/>
      <c r="U1452" s="1"/>
      <c r="V1452" s="1"/>
    </row>
    <row r="1453" ht="15.75" customHeight="1">
      <c r="A1453" s="340"/>
      <c r="B1453" s="340"/>
      <c r="C1453" s="340"/>
      <c r="D1453" s="344"/>
      <c r="E1453" s="344"/>
      <c r="F1453" s="340"/>
      <c r="G1453" s="340"/>
      <c r="H1453" s="340"/>
      <c r="I1453" s="340"/>
      <c r="J1453" s="340"/>
      <c r="K1453" s="340"/>
      <c r="L1453" s="340"/>
      <c r="M1453" s="340"/>
      <c r="N1453" s="340"/>
      <c r="O1453" s="340"/>
      <c r="P1453" s="340"/>
      <c r="Q1453" s="35"/>
      <c r="R1453" s="35"/>
      <c r="S1453" s="35"/>
      <c r="T1453" s="1"/>
      <c r="U1453" s="1"/>
      <c r="V1453" s="1"/>
    </row>
    <row r="1454" ht="15.75" customHeight="1">
      <c r="A1454" s="340"/>
      <c r="B1454" s="340"/>
      <c r="C1454" s="340"/>
      <c r="D1454" s="344"/>
      <c r="E1454" s="344"/>
      <c r="F1454" s="340"/>
      <c r="G1454" s="340"/>
      <c r="H1454" s="340"/>
      <c r="I1454" s="340"/>
      <c r="J1454" s="340"/>
      <c r="K1454" s="340"/>
      <c r="L1454" s="340"/>
      <c r="M1454" s="340"/>
      <c r="N1454" s="340"/>
      <c r="O1454" s="340"/>
      <c r="P1454" s="340"/>
      <c r="Q1454" s="35"/>
      <c r="R1454" s="35"/>
      <c r="S1454" s="35"/>
      <c r="T1454" s="1"/>
      <c r="U1454" s="1"/>
      <c r="V1454" s="1"/>
    </row>
    <row r="1455" ht="15.75" customHeight="1">
      <c r="A1455" s="340"/>
      <c r="B1455" s="340"/>
      <c r="C1455" s="340"/>
      <c r="D1455" s="344"/>
      <c r="E1455" s="344"/>
      <c r="F1455" s="340"/>
      <c r="G1455" s="340"/>
      <c r="H1455" s="340"/>
      <c r="I1455" s="340"/>
      <c r="J1455" s="340"/>
      <c r="K1455" s="340"/>
      <c r="L1455" s="340"/>
      <c r="M1455" s="340"/>
      <c r="N1455" s="340"/>
      <c r="O1455" s="340"/>
      <c r="P1455" s="340"/>
      <c r="Q1455" s="35"/>
      <c r="R1455" s="35"/>
      <c r="S1455" s="35"/>
      <c r="T1455" s="1"/>
      <c r="U1455" s="1"/>
      <c r="V1455" s="1"/>
    </row>
    <row r="1456" ht="15.75" customHeight="1">
      <c r="A1456" s="340"/>
      <c r="B1456" s="340"/>
      <c r="C1456" s="340"/>
      <c r="D1456" s="344"/>
      <c r="E1456" s="344"/>
      <c r="F1456" s="340"/>
      <c r="G1456" s="340"/>
      <c r="H1456" s="340"/>
      <c r="I1456" s="340"/>
      <c r="J1456" s="340"/>
      <c r="K1456" s="340"/>
      <c r="L1456" s="340"/>
      <c r="M1456" s="340"/>
      <c r="N1456" s="340"/>
      <c r="O1456" s="340"/>
      <c r="P1456" s="340"/>
      <c r="Q1456" s="35"/>
      <c r="R1456" s="35"/>
      <c r="S1456" s="35"/>
      <c r="T1456" s="1"/>
      <c r="U1456" s="1"/>
      <c r="V1456" s="1"/>
    </row>
    <row r="1457" ht="15.75" customHeight="1">
      <c r="A1457" s="340"/>
      <c r="B1457" s="340"/>
      <c r="C1457" s="340"/>
      <c r="D1457" s="344"/>
      <c r="E1457" s="344"/>
      <c r="F1457" s="340"/>
      <c r="G1457" s="340"/>
      <c r="H1457" s="340"/>
      <c r="I1457" s="340"/>
      <c r="J1457" s="340"/>
      <c r="K1457" s="340"/>
      <c r="L1457" s="340"/>
      <c r="M1457" s="340"/>
      <c r="N1457" s="340"/>
      <c r="O1457" s="340"/>
      <c r="P1457" s="340"/>
      <c r="Q1457" s="35"/>
      <c r="R1457" s="35"/>
      <c r="S1457" s="35"/>
      <c r="T1457" s="1"/>
      <c r="U1457" s="1"/>
      <c r="V1457" s="1"/>
    </row>
    <row r="1458" ht="15.75" customHeight="1">
      <c r="A1458" s="340"/>
      <c r="B1458" s="340"/>
      <c r="C1458" s="340"/>
      <c r="D1458" s="344"/>
      <c r="E1458" s="344"/>
      <c r="F1458" s="340"/>
      <c r="G1458" s="340"/>
      <c r="H1458" s="340"/>
      <c r="I1458" s="340"/>
      <c r="J1458" s="340"/>
      <c r="K1458" s="340"/>
      <c r="L1458" s="340"/>
      <c r="M1458" s="340"/>
      <c r="N1458" s="340"/>
      <c r="O1458" s="340"/>
      <c r="P1458" s="340"/>
      <c r="Q1458" s="35"/>
      <c r="R1458" s="35"/>
      <c r="S1458" s="35"/>
      <c r="T1458" s="1"/>
      <c r="U1458" s="1"/>
      <c r="V1458" s="1"/>
    </row>
    <row r="1459" ht="15.75" customHeight="1">
      <c r="A1459" s="340"/>
      <c r="B1459" s="340"/>
      <c r="C1459" s="340"/>
      <c r="D1459" s="344"/>
      <c r="E1459" s="344"/>
      <c r="F1459" s="340"/>
      <c r="G1459" s="340"/>
      <c r="H1459" s="340"/>
      <c r="I1459" s="340"/>
      <c r="J1459" s="340"/>
      <c r="K1459" s="340"/>
      <c r="L1459" s="340"/>
      <c r="M1459" s="340"/>
      <c r="N1459" s="340"/>
      <c r="O1459" s="340"/>
      <c r="P1459" s="340"/>
      <c r="Q1459" s="35"/>
      <c r="R1459" s="35"/>
      <c r="S1459" s="35"/>
      <c r="T1459" s="1"/>
      <c r="U1459" s="1"/>
      <c r="V1459" s="1"/>
    </row>
    <row r="1460" ht="15.75" customHeight="1">
      <c r="A1460" s="340"/>
      <c r="B1460" s="340"/>
      <c r="C1460" s="340"/>
      <c r="D1460" s="344"/>
      <c r="E1460" s="344"/>
      <c r="F1460" s="340"/>
      <c r="G1460" s="340"/>
      <c r="H1460" s="340"/>
      <c r="I1460" s="340"/>
      <c r="J1460" s="340"/>
      <c r="K1460" s="340"/>
      <c r="L1460" s="340"/>
      <c r="M1460" s="340"/>
      <c r="N1460" s="340"/>
      <c r="O1460" s="340"/>
      <c r="P1460" s="340"/>
      <c r="Q1460" s="35"/>
      <c r="R1460" s="35"/>
      <c r="S1460" s="35"/>
      <c r="T1460" s="1"/>
      <c r="U1460" s="1"/>
      <c r="V1460" s="1"/>
    </row>
    <row r="1461" ht="15.75" customHeight="1">
      <c r="A1461" s="340"/>
      <c r="B1461" s="340"/>
      <c r="C1461" s="340"/>
      <c r="D1461" s="344"/>
      <c r="E1461" s="344"/>
      <c r="F1461" s="340"/>
      <c r="G1461" s="340"/>
      <c r="H1461" s="340"/>
      <c r="I1461" s="340"/>
      <c r="J1461" s="340"/>
      <c r="K1461" s="340"/>
      <c r="L1461" s="340"/>
      <c r="M1461" s="340"/>
      <c r="N1461" s="340"/>
      <c r="O1461" s="340"/>
      <c r="P1461" s="340"/>
      <c r="Q1461" s="35"/>
      <c r="R1461" s="35"/>
      <c r="S1461" s="35"/>
      <c r="T1461" s="1"/>
      <c r="U1461" s="1"/>
      <c r="V1461" s="1"/>
    </row>
    <row r="1462" ht="15.75" customHeight="1">
      <c r="A1462" s="340"/>
      <c r="B1462" s="340"/>
      <c r="C1462" s="340"/>
      <c r="D1462" s="344"/>
      <c r="E1462" s="344"/>
      <c r="F1462" s="340"/>
      <c r="G1462" s="340"/>
      <c r="H1462" s="340"/>
      <c r="I1462" s="340"/>
      <c r="J1462" s="340"/>
      <c r="K1462" s="340"/>
      <c r="L1462" s="340"/>
      <c r="M1462" s="340"/>
      <c r="N1462" s="340"/>
      <c r="O1462" s="340"/>
      <c r="P1462" s="340"/>
      <c r="Q1462" s="35"/>
      <c r="R1462" s="35"/>
      <c r="S1462" s="35"/>
      <c r="T1462" s="1"/>
      <c r="U1462" s="1"/>
      <c r="V1462" s="1"/>
    </row>
    <row r="1463" ht="15.75" customHeight="1">
      <c r="A1463" s="340"/>
      <c r="B1463" s="340"/>
      <c r="C1463" s="340"/>
      <c r="D1463" s="344"/>
      <c r="E1463" s="344"/>
      <c r="F1463" s="340"/>
      <c r="G1463" s="340"/>
      <c r="H1463" s="340"/>
      <c r="I1463" s="340"/>
      <c r="J1463" s="340"/>
      <c r="K1463" s="340"/>
      <c r="L1463" s="340"/>
      <c r="M1463" s="340"/>
      <c r="N1463" s="340"/>
      <c r="O1463" s="340"/>
      <c r="P1463" s="340"/>
      <c r="Q1463" s="35"/>
      <c r="R1463" s="35"/>
      <c r="S1463" s="35"/>
      <c r="T1463" s="1"/>
      <c r="U1463" s="1"/>
      <c r="V1463" s="1"/>
    </row>
    <row r="1464" ht="15.75" customHeight="1">
      <c r="A1464" s="340"/>
      <c r="B1464" s="340"/>
      <c r="C1464" s="340"/>
      <c r="D1464" s="344"/>
      <c r="E1464" s="344"/>
      <c r="F1464" s="340"/>
      <c r="G1464" s="340"/>
      <c r="H1464" s="340"/>
      <c r="I1464" s="340"/>
      <c r="J1464" s="340"/>
      <c r="K1464" s="340"/>
      <c r="L1464" s="340"/>
      <c r="M1464" s="340"/>
      <c r="N1464" s="340"/>
      <c r="O1464" s="340"/>
      <c r="P1464" s="340"/>
      <c r="Q1464" s="35"/>
      <c r="R1464" s="35"/>
      <c r="S1464" s="35"/>
      <c r="T1464" s="1"/>
      <c r="U1464" s="1"/>
      <c r="V1464" s="1"/>
    </row>
    <row r="1465" ht="15.75" customHeight="1">
      <c r="A1465" s="340"/>
      <c r="B1465" s="340"/>
      <c r="C1465" s="340"/>
      <c r="D1465" s="344"/>
      <c r="E1465" s="344"/>
      <c r="F1465" s="340"/>
      <c r="G1465" s="340"/>
      <c r="H1465" s="340"/>
      <c r="I1465" s="340"/>
      <c r="J1465" s="340"/>
      <c r="K1465" s="340"/>
      <c r="L1465" s="340"/>
      <c r="M1465" s="340"/>
      <c r="N1465" s="340"/>
      <c r="O1465" s="340"/>
      <c r="P1465" s="340"/>
      <c r="Q1465" s="35"/>
      <c r="R1465" s="35"/>
      <c r="S1465" s="35"/>
      <c r="T1465" s="1"/>
      <c r="U1465" s="1"/>
      <c r="V1465" s="1"/>
    </row>
    <row r="1466" ht="15.75" customHeight="1">
      <c r="A1466" s="340"/>
      <c r="B1466" s="340"/>
      <c r="C1466" s="340"/>
      <c r="D1466" s="344"/>
      <c r="E1466" s="344"/>
      <c r="F1466" s="340"/>
      <c r="G1466" s="340"/>
      <c r="H1466" s="340"/>
      <c r="I1466" s="340"/>
      <c r="J1466" s="340"/>
      <c r="K1466" s="340"/>
      <c r="L1466" s="340"/>
      <c r="M1466" s="340"/>
      <c r="N1466" s="340"/>
      <c r="O1466" s="340"/>
      <c r="P1466" s="340"/>
      <c r="Q1466" s="35"/>
      <c r="R1466" s="35"/>
      <c r="S1466" s="35"/>
      <c r="T1466" s="1"/>
      <c r="U1466" s="1"/>
      <c r="V1466" s="1"/>
    </row>
    <row r="1467" ht="15.75" customHeight="1">
      <c r="A1467" s="340"/>
      <c r="B1467" s="340"/>
      <c r="C1467" s="340"/>
      <c r="D1467" s="344"/>
      <c r="E1467" s="344"/>
      <c r="F1467" s="340"/>
      <c r="G1467" s="340"/>
      <c r="H1467" s="340"/>
      <c r="I1467" s="340"/>
      <c r="J1467" s="340"/>
      <c r="K1467" s="340"/>
      <c r="L1467" s="340"/>
      <c r="M1467" s="340"/>
      <c r="N1467" s="340"/>
      <c r="O1467" s="340"/>
      <c r="P1467" s="340"/>
      <c r="Q1467" s="35"/>
      <c r="R1467" s="35"/>
      <c r="S1467" s="35"/>
      <c r="T1467" s="1"/>
      <c r="U1467" s="1"/>
      <c r="V1467" s="1"/>
    </row>
    <row r="1468" ht="15.75" customHeight="1">
      <c r="A1468" s="340"/>
      <c r="B1468" s="340"/>
      <c r="C1468" s="340"/>
      <c r="D1468" s="344"/>
      <c r="E1468" s="344"/>
      <c r="F1468" s="340"/>
      <c r="G1468" s="340"/>
      <c r="H1468" s="340"/>
      <c r="I1468" s="340"/>
      <c r="J1468" s="340"/>
      <c r="K1468" s="340"/>
      <c r="L1468" s="340"/>
      <c r="M1468" s="340"/>
      <c r="N1468" s="340"/>
      <c r="O1468" s="340"/>
      <c r="P1468" s="340"/>
      <c r="Q1468" s="35"/>
      <c r="R1468" s="35"/>
      <c r="S1468" s="35"/>
      <c r="T1468" s="1"/>
      <c r="U1468" s="1"/>
      <c r="V1468" s="1"/>
    </row>
    <row r="1469" ht="15.75" customHeight="1">
      <c r="A1469" s="340"/>
      <c r="B1469" s="340"/>
      <c r="C1469" s="340"/>
      <c r="D1469" s="344"/>
      <c r="E1469" s="344"/>
      <c r="F1469" s="340"/>
      <c r="G1469" s="340"/>
      <c r="H1469" s="340"/>
      <c r="I1469" s="340"/>
      <c r="J1469" s="340"/>
      <c r="K1469" s="340"/>
      <c r="L1469" s="340"/>
      <c r="M1469" s="340"/>
      <c r="N1469" s="340"/>
      <c r="O1469" s="340"/>
      <c r="P1469" s="340"/>
      <c r="Q1469" s="35"/>
      <c r="R1469" s="35"/>
      <c r="S1469" s="35"/>
      <c r="T1469" s="1"/>
      <c r="U1469" s="1"/>
      <c r="V1469" s="1"/>
    </row>
    <row r="1470" ht="15.75" customHeight="1">
      <c r="A1470" s="340"/>
      <c r="B1470" s="340"/>
      <c r="C1470" s="340"/>
      <c r="D1470" s="344"/>
      <c r="E1470" s="344"/>
      <c r="F1470" s="340"/>
      <c r="G1470" s="340"/>
      <c r="H1470" s="340"/>
      <c r="I1470" s="340"/>
      <c r="J1470" s="340"/>
      <c r="K1470" s="340"/>
      <c r="L1470" s="340"/>
      <c r="M1470" s="340"/>
      <c r="N1470" s="340"/>
      <c r="O1470" s="340"/>
      <c r="P1470" s="340"/>
      <c r="Q1470" s="35"/>
      <c r="R1470" s="35"/>
      <c r="S1470" s="35"/>
      <c r="T1470" s="1"/>
      <c r="U1470" s="1"/>
      <c r="V1470" s="1"/>
    </row>
    <row r="1471" ht="15.75" customHeight="1">
      <c r="A1471" s="340"/>
      <c r="B1471" s="340"/>
      <c r="C1471" s="340"/>
      <c r="D1471" s="344"/>
      <c r="E1471" s="344"/>
      <c r="F1471" s="340"/>
      <c r="G1471" s="340"/>
      <c r="H1471" s="340"/>
      <c r="I1471" s="340"/>
      <c r="J1471" s="340"/>
      <c r="K1471" s="340"/>
      <c r="L1471" s="340"/>
      <c r="M1471" s="340"/>
      <c r="N1471" s="340"/>
      <c r="O1471" s="340"/>
      <c r="P1471" s="340"/>
      <c r="Q1471" s="35"/>
      <c r="R1471" s="35"/>
      <c r="S1471" s="35"/>
      <c r="T1471" s="1"/>
      <c r="U1471" s="1"/>
      <c r="V1471" s="1"/>
    </row>
    <row r="1472" ht="15.75" customHeight="1">
      <c r="A1472" s="340"/>
      <c r="B1472" s="340"/>
      <c r="C1472" s="340"/>
      <c r="D1472" s="344"/>
      <c r="E1472" s="344"/>
      <c r="F1472" s="340"/>
      <c r="G1472" s="340"/>
      <c r="H1472" s="340"/>
      <c r="I1472" s="340"/>
      <c r="J1472" s="340"/>
      <c r="K1472" s="340"/>
      <c r="L1472" s="340"/>
      <c r="M1472" s="340"/>
      <c r="N1472" s="340"/>
      <c r="O1472" s="340"/>
      <c r="P1472" s="340"/>
      <c r="Q1472" s="35"/>
      <c r="R1472" s="35"/>
      <c r="S1472" s="35"/>
      <c r="T1472" s="1"/>
      <c r="U1472" s="1"/>
      <c r="V1472" s="1"/>
    </row>
    <row r="1473" ht="15.75" customHeight="1">
      <c r="A1473" s="340"/>
      <c r="B1473" s="340"/>
      <c r="C1473" s="340"/>
      <c r="D1473" s="344"/>
      <c r="E1473" s="344"/>
      <c r="F1473" s="340"/>
      <c r="G1473" s="340"/>
      <c r="H1473" s="340"/>
      <c r="I1473" s="340"/>
      <c r="J1473" s="340"/>
      <c r="K1473" s="340"/>
      <c r="L1473" s="340"/>
      <c r="M1473" s="340"/>
      <c r="N1473" s="340"/>
      <c r="O1473" s="340"/>
      <c r="P1473" s="340"/>
      <c r="Q1473" s="35"/>
      <c r="R1473" s="35"/>
      <c r="S1473" s="35"/>
      <c r="T1473" s="1"/>
      <c r="U1473" s="1"/>
      <c r="V1473" s="1"/>
    </row>
    <row r="1474" ht="15.75" customHeight="1">
      <c r="A1474" s="340"/>
      <c r="B1474" s="340"/>
      <c r="C1474" s="340"/>
      <c r="D1474" s="344"/>
      <c r="E1474" s="344"/>
      <c r="F1474" s="340"/>
      <c r="G1474" s="340"/>
      <c r="H1474" s="340"/>
      <c r="I1474" s="340"/>
      <c r="J1474" s="340"/>
      <c r="K1474" s="340"/>
      <c r="L1474" s="340"/>
      <c r="M1474" s="340"/>
      <c r="N1474" s="340"/>
      <c r="O1474" s="340"/>
      <c r="P1474" s="340"/>
      <c r="Q1474" s="35"/>
      <c r="R1474" s="35"/>
      <c r="S1474" s="35"/>
      <c r="T1474" s="1"/>
      <c r="U1474" s="1"/>
      <c r="V1474" s="1"/>
    </row>
    <row r="1475" ht="15.75" customHeight="1">
      <c r="A1475" s="340"/>
      <c r="B1475" s="340"/>
      <c r="C1475" s="340"/>
      <c r="D1475" s="344"/>
      <c r="E1475" s="344"/>
      <c r="F1475" s="340"/>
      <c r="G1475" s="340"/>
      <c r="H1475" s="340"/>
      <c r="I1475" s="340"/>
      <c r="J1475" s="340"/>
      <c r="K1475" s="340"/>
      <c r="L1475" s="340"/>
      <c r="M1475" s="340"/>
      <c r="N1475" s="340"/>
      <c r="O1475" s="340"/>
      <c r="P1475" s="340"/>
      <c r="Q1475" s="35"/>
      <c r="R1475" s="35"/>
      <c r="S1475" s="35"/>
      <c r="T1475" s="1"/>
      <c r="U1475" s="1"/>
      <c r="V1475" s="1"/>
    </row>
    <row r="1476" ht="15.75" customHeight="1">
      <c r="A1476" s="340"/>
      <c r="B1476" s="340"/>
      <c r="C1476" s="340"/>
      <c r="D1476" s="344"/>
      <c r="E1476" s="344"/>
      <c r="F1476" s="340"/>
      <c r="G1476" s="340"/>
      <c r="H1476" s="340"/>
      <c r="I1476" s="340"/>
      <c r="J1476" s="340"/>
      <c r="K1476" s="340"/>
      <c r="L1476" s="340"/>
      <c r="M1476" s="340"/>
      <c r="N1476" s="340"/>
      <c r="O1476" s="340"/>
      <c r="P1476" s="340"/>
      <c r="Q1476" s="35"/>
      <c r="R1476" s="35"/>
      <c r="S1476" s="35"/>
      <c r="T1476" s="1"/>
      <c r="U1476" s="1"/>
      <c r="V1476" s="1"/>
    </row>
    <row r="1477" ht="15.75" customHeight="1">
      <c r="A1477" s="340"/>
      <c r="B1477" s="340"/>
      <c r="C1477" s="340"/>
      <c r="D1477" s="344"/>
      <c r="E1477" s="344"/>
      <c r="F1477" s="340"/>
      <c r="G1477" s="340"/>
      <c r="H1477" s="340"/>
      <c r="I1477" s="340"/>
      <c r="J1477" s="340"/>
      <c r="K1477" s="340"/>
      <c r="L1477" s="340"/>
      <c r="M1477" s="340"/>
      <c r="N1477" s="340"/>
      <c r="O1477" s="340"/>
      <c r="P1477" s="340"/>
      <c r="Q1477" s="35"/>
      <c r="R1477" s="35"/>
      <c r="S1477" s="35"/>
      <c r="T1477" s="1"/>
      <c r="U1477" s="1"/>
      <c r="V1477" s="1"/>
    </row>
    <row r="1478" ht="15.75" customHeight="1">
      <c r="A1478" s="340"/>
      <c r="B1478" s="340"/>
      <c r="C1478" s="340"/>
      <c r="D1478" s="344"/>
      <c r="E1478" s="344"/>
      <c r="F1478" s="340"/>
      <c r="G1478" s="340"/>
      <c r="H1478" s="340"/>
      <c r="I1478" s="340"/>
      <c r="J1478" s="340"/>
      <c r="K1478" s="340"/>
      <c r="L1478" s="340"/>
      <c r="M1478" s="340"/>
      <c r="N1478" s="340"/>
      <c r="O1478" s="340"/>
      <c r="P1478" s="340"/>
      <c r="Q1478" s="35"/>
      <c r="R1478" s="35"/>
      <c r="S1478" s="35"/>
      <c r="T1478" s="1"/>
      <c r="U1478" s="1"/>
      <c r="V1478" s="1"/>
    </row>
    <row r="1479" ht="15.75" customHeight="1">
      <c r="A1479" s="340"/>
      <c r="B1479" s="340"/>
      <c r="C1479" s="340"/>
      <c r="D1479" s="344"/>
      <c r="E1479" s="344"/>
      <c r="F1479" s="340"/>
      <c r="G1479" s="340"/>
      <c r="H1479" s="340"/>
      <c r="I1479" s="340"/>
      <c r="J1479" s="340"/>
      <c r="K1479" s="340"/>
      <c r="L1479" s="340"/>
      <c r="M1479" s="340"/>
      <c r="N1479" s="340"/>
      <c r="O1479" s="340"/>
      <c r="P1479" s="340"/>
      <c r="Q1479" s="35"/>
      <c r="R1479" s="35"/>
      <c r="S1479" s="35"/>
      <c r="T1479" s="1"/>
      <c r="U1479" s="1"/>
      <c r="V1479" s="1"/>
    </row>
    <row r="1480" ht="15.75" customHeight="1">
      <c r="A1480" s="340"/>
      <c r="B1480" s="340"/>
      <c r="C1480" s="340"/>
      <c r="D1480" s="344"/>
      <c r="E1480" s="344"/>
      <c r="F1480" s="340"/>
      <c r="G1480" s="340"/>
      <c r="H1480" s="340"/>
      <c r="I1480" s="340"/>
      <c r="J1480" s="340"/>
      <c r="K1480" s="340"/>
      <c r="L1480" s="340"/>
      <c r="M1480" s="340"/>
      <c r="N1480" s="340"/>
      <c r="O1480" s="340"/>
      <c r="P1480" s="340"/>
      <c r="Q1480" s="35"/>
      <c r="R1480" s="35"/>
      <c r="S1480" s="35"/>
      <c r="T1480" s="1"/>
      <c r="U1480" s="1"/>
      <c r="V1480" s="1"/>
    </row>
    <row r="1481" ht="15.75" customHeight="1">
      <c r="A1481" s="340"/>
      <c r="B1481" s="340"/>
      <c r="C1481" s="340"/>
      <c r="D1481" s="344"/>
      <c r="E1481" s="344"/>
      <c r="F1481" s="340"/>
      <c r="G1481" s="340"/>
      <c r="H1481" s="340"/>
      <c r="I1481" s="340"/>
      <c r="J1481" s="340"/>
      <c r="K1481" s="340"/>
      <c r="L1481" s="340"/>
      <c r="M1481" s="340"/>
      <c r="N1481" s="340"/>
      <c r="O1481" s="340"/>
      <c r="P1481" s="340"/>
      <c r="Q1481" s="35"/>
      <c r="R1481" s="35"/>
      <c r="S1481" s="35"/>
      <c r="T1481" s="1"/>
      <c r="U1481" s="1"/>
      <c r="V1481" s="1"/>
    </row>
    <row r="1482" ht="15.75" customHeight="1">
      <c r="A1482" s="340"/>
      <c r="B1482" s="340"/>
      <c r="C1482" s="340"/>
      <c r="D1482" s="344"/>
      <c r="E1482" s="344"/>
      <c r="F1482" s="340"/>
      <c r="G1482" s="340"/>
      <c r="H1482" s="340"/>
      <c r="I1482" s="340"/>
      <c r="J1482" s="340"/>
      <c r="K1482" s="340"/>
      <c r="L1482" s="340"/>
      <c r="M1482" s="340"/>
      <c r="N1482" s="340"/>
      <c r="O1482" s="340"/>
      <c r="P1482" s="340"/>
      <c r="Q1482" s="35"/>
      <c r="R1482" s="35"/>
      <c r="S1482" s="35"/>
      <c r="T1482" s="1"/>
      <c r="U1482" s="1"/>
      <c r="V1482" s="1"/>
    </row>
    <row r="1483" ht="15.75" customHeight="1">
      <c r="A1483" s="340"/>
      <c r="B1483" s="340"/>
      <c r="C1483" s="340"/>
      <c r="D1483" s="344"/>
      <c r="E1483" s="344"/>
      <c r="F1483" s="340"/>
      <c r="G1483" s="340"/>
      <c r="H1483" s="340"/>
      <c r="I1483" s="340"/>
      <c r="J1483" s="340"/>
      <c r="K1483" s="340"/>
      <c r="L1483" s="340"/>
      <c r="M1483" s="340"/>
      <c r="N1483" s="340"/>
      <c r="O1483" s="340"/>
      <c r="P1483" s="340"/>
      <c r="Q1483" s="35"/>
      <c r="R1483" s="35"/>
      <c r="S1483" s="35"/>
      <c r="T1483" s="1"/>
      <c r="U1483" s="1"/>
      <c r="V1483" s="1"/>
    </row>
    <row r="1484" ht="15.75" customHeight="1">
      <c r="A1484" s="340"/>
      <c r="B1484" s="340"/>
      <c r="C1484" s="340"/>
      <c r="D1484" s="344"/>
      <c r="E1484" s="344"/>
      <c r="F1484" s="340"/>
      <c r="G1484" s="340"/>
      <c r="H1484" s="340"/>
      <c r="I1484" s="340"/>
      <c r="J1484" s="340"/>
      <c r="K1484" s="340"/>
      <c r="L1484" s="340"/>
      <c r="M1484" s="340"/>
      <c r="N1484" s="340"/>
      <c r="O1484" s="340"/>
      <c r="P1484" s="340"/>
      <c r="Q1484" s="35"/>
      <c r="R1484" s="35"/>
      <c r="S1484" s="35"/>
      <c r="T1484" s="1"/>
      <c r="U1484" s="1"/>
      <c r="V1484" s="1"/>
    </row>
    <row r="1485" ht="15.75" customHeight="1">
      <c r="A1485" s="340"/>
      <c r="B1485" s="340"/>
      <c r="C1485" s="340"/>
      <c r="D1485" s="344"/>
      <c r="E1485" s="344"/>
      <c r="F1485" s="340"/>
      <c r="G1485" s="340"/>
      <c r="H1485" s="340"/>
      <c r="I1485" s="340"/>
      <c r="J1485" s="340"/>
      <c r="K1485" s="340"/>
      <c r="L1485" s="340"/>
      <c r="M1485" s="340"/>
      <c r="N1485" s="340"/>
      <c r="O1485" s="340"/>
      <c r="P1485" s="340"/>
      <c r="Q1485" s="35"/>
      <c r="R1485" s="35"/>
      <c r="S1485" s="35"/>
      <c r="T1485" s="1"/>
      <c r="U1485" s="1"/>
      <c r="V1485" s="1"/>
    </row>
    <row r="1486" ht="15.75" customHeight="1">
      <c r="A1486" s="340"/>
      <c r="B1486" s="340"/>
      <c r="C1486" s="340"/>
      <c r="D1486" s="344"/>
      <c r="E1486" s="344"/>
      <c r="F1486" s="340"/>
      <c r="G1486" s="340"/>
      <c r="H1486" s="340"/>
      <c r="I1486" s="340"/>
      <c r="J1486" s="340"/>
      <c r="K1486" s="340"/>
      <c r="L1486" s="340"/>
      <c r="M1486" s="340"/>
      <c r="N1486" s="340"/>
      <c r="O1486" s="340"/>
      <c r="P1486" s="340"/>
      <c r="Q1486" s="35"/>
      <c r="R1486" s="35"/>
      <c r="S1486" s="35"/>
      <c r="T1486" s="1"/>
      <c r="U1486" s="1"/>
      <c r="V1486" s="1"/>
    </row>
    <row r="1487" ht="15.75" customHeight="1">
      <c r="A1487" s="340"/>
      <c r="B1487" s="340"/>
      <c r="C1487" s="340"/>
      <c r="D1487" s="344"/>
      <c r="E1487" s="344"/>
      <c r="F1487" s="340"/>
      <c r="G1487" s="340"/>
      <c r="H1487" s="340"/>
      <c r="I1487" s="340"/>
      <c r="J1487" s="340"/>
      <c r="K1487" s="340"/>
      <c r="L1487" s="340"/>
      <c r="M1487" s="340"/>
      <c r="N1487" s="340"/>
      <c r="O1487" s="340"/>
      <c r="P1487" s="340"/>
      <c r="Q1487" s="35"/>
      <c r="R1487" s="35"/>
      <c r="S1487" s="35"/>
      <c r="T1487" s="1"/>
      <c r="U1487" s="1"/>
      <c r="V1487" s="1"/>
    </row>
    <row r="1488" ht="15.75" customHeight="1">
      <c r="A1488" s="340"/>
      <c r="B1488" s="340"/>
      <c r="C1488" s="340"/>
      <c r="D1488" s="344"/>
      <c r="E1488" s="344"/>
      <c r="F1488" s="340"/>
      <c r="G1488" s="340"/>
      <c r="H1488" s="340"/>
      <c r="I1488" s="340"/>
      <c r="J1488" s="340"/>
      <c r="K1488" s="340"/>
      <c r="L1488" s="340"/>
      <c r="M1488" s="340"/>
      <c r="N1488" s="340"/>
      <c r="O1488" s="340"/>
      <c r="P1488" s="340"/>
      <c r="Q1488" s="35"/>
      <c r="R1488" s="35"/>
      <c r="S1488" s="35"/>
      <c r="T1488" s="1"/>
      <c r="U1488" s="1"/>
      <c r="V1488" s="1"/>
    </row>
    <row r="1489" ht="15.75" customHeight="1">
      <c r="A1489" s="340"/>
      <c r="B1489" s="340"/>
      <c r="C1489" s="340"/>
      <c r="D1489" s="344"/>
      <c r="E1489" s="344"/>
      <c r="F1489" s="340"/>
      <c r="G1489" s="340"/>
      <c r="H1489" s="340"/>
      <c r="I1489" s="340"/>
      <c r="J1489" s="340"/>
      <c r="K1489" s="340"/>
      <c r="L1489" s="340"/>
      <c r="M1489" s="340"/>
      <c r="N1489" s="340"/>
      <c r="O1489" s="340"/>
      <c r="P1489" s="340"/>
      <c r="Q1489" s="35"/>
      <c r="R1489" s="35"/>
      <c r="S1489" s="35"/>
      <c r="T1489" s="1"/>
      <c r="U1489" s="1"/>
      <c r="V1489" s="1"/>
    </row>
    <row r="1490" ht="15.75" customHeight="1">
      <c r="A1490" s="340"/>
      <c r="B1490" s="340"/>
      <c r="C1490" s="340"/>
      <c r="D1490" s="344"/>
      <c r="E1490" s="344"/>
      <c r="F1490" s="340"/>
      <c r="G1490" s="340"/>
      <c r="H1490" s="340"/>
      <c r="I1490" s="340"/>
      <c r="J1490" s="340"/>
      <c r="K1490" s="340"/>
      <c r="L1490" s="340"/>
      <c r="M1490" s="340"/>
      <c r="N1490" s="340"/>
      <c r="O1490" s="340"/>
      <c r="P1490" s="340"/>
      <c r="Q1490" s="35"/>
      <c r="R1490" s="35"/>
      <c r="S1490" s="35"/>
      <c r="T1490" s="1"/>
      <c r="U1490" s="1"/>
      <c r="V1490" s="1"/>
    </row>
    <row r="1491" ht="15.75" customHeight="1">
      <c r="A1491" s="340"/>
      <c r="B1491" s="340"/>
      <c r="C1491" s="340"/>
      <c r="D1491" s="344"/>
      <c r="E1491" s="344"/>
      <c r="F1491" s="340"/>
      <c r="G1491" s="340"/>
      <c r="H1491" s="340"/>
      <c r="I1491" s="340"/>
      <c r="J1491" s="340"/>
      <c r="K1491" s="340"/>
      <c r="L1491" s="340"/>
      <c r="M1491" s="340"/>
      <c r="N1491" s="340"/>
      <c r="O1491" s="340"/>
      <c r="P1491" s="340"/>
      <c r="Q1491" s="35"/>
      <c r="R1491" s="35"/>
      <c r="S1491" s="35"/>
      <c r="T1491" s="1"/>
      <c r="U1491" s="1"/>
      <c r="V1491" s="1"/>
    </row>
    <row r="1492" ht="15.75" customHeight="1">
      <c r="A1492" s="340"/>
      <c r="B1492" s="340"/>
      <c r="C1492" s="340"/>
      <c r="D1492" s="344"/>
      <c r="E1492" s="344"/>
      <c r="F1492" s="340"/>
      <c r="G1492" s="340"/>
      <c r="H1492" s="340"/>
      <c r="I1492" s="340"/>
      <c r="J1492" s="340"/>
      <c r="K1492" s="340"/>
      <c r="L1492" s="340"/>
      <c r="M1492" s="340"/>
      <c r="N1492" s="340"/>
      <c r="O1492" s="340"/>
      <c r="P1492" s="340"/>
      <c r="Q1492" s="35"/>
      <c r="R1492" s="35"/>
      <c r="S1492" s="35"/>
      <c r="T1492" s="1"/>
      <c r="U1492" s="1"/>
      <c r="V1492" s="1"/>
    </row>
    <row r="1493" ht="15.75" customHeight="1">
      <c r="A1493" s="340"/>
      <c r="B1493" s="340"/>
      <c r="C1493" s="340"/>
      <c r="D1493" s="344"/>
      <c r="E1493" s="344"/>
      <c r="F1493" s="340"/>
      <c r="G1493" s="340"/>
      <c r="H1493" s="340"/>
      <c r="I1493" s="340"/>
      <c r="J1493" s="340"/>
      <c r="K1493" s="340"/>
      <c r="L1493" s="340"/>
      <c r="M1493" s="340"/>
      <c r="N1493" s="340"/>
      <c r="O1493" s="340"/>
      <c r="P1493" s="340"/>
      <c r="Q1493" s="35"/>
      <c r="R1493" s="35"/>
      <c r="S1493" s="35"/>
      <c r="T1493" s="1"/>
      <c r="U1493" s="1"/>
      <c r="V1493" s="1"/>
    </row>
    <row r="1494" ht="15.75" customHeight="1">
      <c r="A1494" s="340"/>
      <c r="B1494" s="340"/>
      <c r="C1494" s="340"/>
      <c r="D1494" s="344"/>
      <c r="E1494" s="344"/>
      <c r="F1494" s="340"/>
      <c r="G1494" s="340"/>
      <c r="H1494" s="340"/>
      <c r="I1494" s="340"/>
      <c r="J1494" s="340"/>
      <c r="K1494" s="340"/>
      <c r="L1494" s="340"/>
      <c r="M1494" s="340"/>
      <c r="N1494" s="340"/>
      <c r="O1494" s="340"/>
      <c r="P1494" s="340"/>
      <c r="Q1494" s="35"/>
      <c r="R1494" s="35"/>
      <c r="S1494" s="35"/>
      <c r="T1494" s="1"/>
      <c r="U1494" s="1"/>
      <c r="V1494" s="1"/>
    </row>
    <row r="1495" ht="15.75" customHeight="1">
      <c r="A1495" s="340"/>
      <c r="B1495" s="340"/>
      <c r="C1495" s="340"/>
      <c r="D1495" s="344"/>
      <c r="E1495" s="344"/>
      <c r="F1495" s="340"/>
      <c r="G1495" s="340"/>
      <c r="H1495" s="340"/>
      <c r="I1495" s="340"/>
      <c r="J1495" s="340"/>
      <c r="K1495" s="340"/>
      <c r="L1495" s="340"/>
      <c r="M1495" s="340"/>
      <c r="N1495" s="340"/>
      <c r="O1495" s="340"/>
      <c r="P1495" s="340"/>
      <c r="Q1495" s="35"/>
      <c r="R1495" s="35"/>
      <c r="S1495" s="35"/>
      <c r="T1495" s="1"/>
      <c r="U1495" s="1"/>
      <c r="V1495" s="1"/>
    </row>
    <row r="1496" ht="15.75" customHeight="1">
      <c r="A1496" s="340"/>
      <c r="B1496" s="340"/>
      <c r="C1496" s="340"/>
      <c r="D1496" s="344"/>
      <c r="E1496" s="344"/>
      <c r="F1496" s="340"/>
      <c r="G1496" s="340"/>
      <c r="H1496" s="340"/>
      <c r="I1496" s="340"/>
      <c r="J1496" s="340"/>
      <c r="K1496" s="340"/>
      <c r="L1496" s="340"/>
      <c r="M1496" s="340"/>
      <c r="N1496" s="340"/>
      <c r="O1496" s="340"/>
      <c r="P1496" s="340"/>
      <c r="Q1496" s="35"/>
      <c r="R1496" s="35"/>
      <c r="S1496" s="35"/>
      <c r="T1496" s="1"/>
      <c r="U1496" s="1"/>
      <c r="V1496" s="1"/>
    </row>
    <row r="1497" ht="15.75" customHeight="1">
      <c r="A1497" s="340"/>
      <c r="B1497" s="340"/>
      <c r="C1497" s="340"/>
      <c r="D1497" s="344"/>
      <c r="E1497" s="344"/>
      <c r="F1497" s="340"/>
      <c r="G1497" s="340"/>
      <c r="H1497" s="340"/>
      <c r="I1497" s="340"/>
      <c r="J1497" s="340"/>
      <c r="K1497" s="340"/>
      <c r="L1497" s="340"/>
      <c r="M1497" s="340"/>
      <c r="N1497" s="340"/>
      <c r="O1497" s="340"/>
      <c r="P1497" s="340"/>
      <c r="Q1497" s="35"/>
      <c r="R1497" s="35"/>
      <c r="S1497" s="35"/>
      <c r="T1497" s="1"/>
      <c r="U1497" s="1"/>
      <c r="V1497" s="1"/>
    </row>
    <row r="1498" ht="15.75" customHeight="1">
      <c r="A1498" s="340"/>
      <c r="B1498" s="340"/>
      <c r="C1498" s="340"/>
      <c r="D1498" s="344"/>
      <c r="E1498" s="344"/>
      <c r="F1498" s="340"/>
      <c r="G1498" s="340"/>
      <c r="H1498" s="340"/>
      <c r="I1498" s="340"/>
      <c r="J1498" s="340"/>
      <c r="K1498" s="340"/>
      <c r="L1498" s="340"/>
      <c r="M1498" s="340"/>
      <c r="N1498" s="340"/>
      <c r="O1498" s="340"/>
      <c r="P1498" s="340"/>
      <c r="Q1498" s="35"/>
      <c r="R1498" s="35"/>
      <c r="S1498" s="35"/>
      <c r="T1498" s="1"/>
      <c r="U1498" s="1"/>
      <c r="V1498" s="1"/>
    </row>
    <row r="1499" ht="15.75" customHeight="1">
      <c r="A1499" s="340"/>
      <c r="B1499" s="340"/>
      <c r="C1499" s="340"/>
      <c r="D1499" s="344"/>
      <c r="E1499" s="344"/>
      <c r="F1499" s="340"/>
      <c r="G1499" s="340"/>
      <c r="H1499" s="340"/>
      <c r="I1499" s="340"/>
      <c r="J1499" s="340"/>
      <c r="K1499" s="340"/>
      <c r="L1499" s="340"/>
      <c r="M1499" s="340"/>
      <c r="N1499" s="340"/>
      <c r="O1499" s="340"/>
      <c r="P1499" s="340"/>
      <c r="Q1499" s="35"/>
      <c r="R1499" s="35"/>
      <c r="S1499" s="35"/>
      <c r="T1499" s="1"/>
      <c r="U1499" s="1"/>
      <c r="V1499" s="1"/>
    </row>
    <row r="1500" ht="15.75" customHeight="1">
      <c r="A1500" s="340"/>
      <c r="B1500" s="340"/>
      <c r="C1500" s="340"/>
      <c r="D1500" s="344"/>
      <c r="E1500" s="344"/>
      <c r="F1500" s="340"/>
      <c r="G1500" s="340"/>
      <c r="H1500" s="340"/>
      <c r="I1500" s="340"/>
      <c r="J1500" s="340"/>
      <c r="K1500" s="340"/>
      <c r="L1500" s="340"/>
      <c r="M1500" s="340"/>
      <c r="N1500" s="340"/>
      <c r="O1500" s="340"/>
      <c r="P1500" s="340"/>
      <c r="Q1500" s="35"/>
      <c r="R1500" s="35"/>
      <c r="S1500" s="35"/>
      <c r="T1500" s="1"/>
      <c r="U1500" s="1"/>
      <c r="V1500" s="1"/>
    </row>
    <row r="1501" ht="15.75" customHeight="1">
      <c r="A1501" s="340"/>
      <c r="B1501" s="340"/>
      <c r="C1501" s="340"/>
      <c r="D1501" s="344"/>
      <c r="E1501" s="344"/>
      <c r="F1501" s="340"/>
      <c r="G1501" s="340"/>
      <c r="H1501" s="340"/>
      <c r="I1501" s="340"/>
      <c r="J1501" s="340"/>
      <c r="K1501" s="340"/>
      <c r="L1501" s="340"/>
      <c r="M1501" s="340"/>
      <c r="N1501" s="340"/>
      <c r="O1501" s="340"/>
      <c r="P1501" s="340"/>
      <c r="Q1501" s="35"/>
      <c r="R1501" s="35"/>
      <c r="S1501" s="35"/>
      <c r="T1501" s="1"/>
      <c r="U1501" s="1"/>
      <c r="V1501" s="1"/>
    </row>
    <row r="1502" ht="15.75" customHeight="1">
      <c r="A1502" s="340"/>
      <c r="B1502" s="340"/>
      <c r="C1502" s="340"/>
      <c r="D1502" s="344"/>
      <c r="E1502" s="344"/>
      <c r="F1502" s="340"/>
      <c r="G1502" s="340"/>
      <c r="H1502" s="340"/>
      <c r="I1502" s="340"/>
      <c r="J1502" s="340"/>
      <c r="K1502" s="340"/>
      <c r="L1502" s="340"/>
      <c r="M1502" s="340"/>
      <c r="N1502" s="340"/>
      <c r="O1502" s="340"/>
      <c r="P1502" s="340"/>
      <c r="Q1502" s="35"/>
      <c r="R1502" s="35"/>
      <c r="S1502" s="35"/>
      <c r="T1502" s="1"/>
      <c r="U1502" s="1"/>
      <c r="V1502" s="1"/>
    </row>
    <row r="1503" ht="15.75" customHeight="1">
      <c r="A1503" s="340"/>
      <c r="B1503" s="340"/>
      <c r="C1503" s="340"/>
      <c r="D1503" s="344"/>
      <c r="E1503" s="344"/>
      <c r="F1503" s="340"/>
      <c r="G1503" s="340"/>
      <c r="H1503" s="340"/>
      <c r="I1503" s="340"/>
      <c r="J1503" s="340"/>
      <c r="K1503" s="340"/>
      <c r="L1503" s="340"/>
      <c r="M1503" s="340"/>
      <c r="N1503" s="340"/>
      <c r="O1503" s="340"/>
      <c r="P1503" s="340"/>
      <c r="Q1503" s="35"/>
      <c r="R1503" s="35"/>
      <c r="S1503" s="35"/>
      <c r="T1503" s="1"/>
      <c r="U1503" s="1"/>
      <c r="V1503" s="1"/>
    </row>
    <row r="1504" ht="15.75" customHeight="1">
      <c r="A1504" s="340"/>
      <c r="B1504" s="340"/>
      <c r="C1504" s="340"/>
      <c r="D1504" s="344"/>
      <c r="E1504" s="344"/>
      <c r="F1504" s="340"/>
      <c r="G1504" s="340"/>
      <c r="H1504" s="340"/>
      <c r="I1504" s="340"/>
      <c r="J1504" s="340"/>
      <c r="K1504" s="340"/>
      <c r="L1504" s="340"/>
      <c r="M1504" s="340"/>
      <c r="N1504" s="340"/>
      <c r="O1504" s="340"/>
      <c r="P1504" s="340"/>
      <c r="Q1504" s="35"/>
      <c r="R1504" s="35"/>
      <c r="S1504" s="35"/>
      <c r="T1504" s="1"/>
      <c r="U1504" s="1"/>
      <c r="V1504" s="1"/>
    </row>
    <row r="1505" ht="15.75" customHeight="1">
      <c r="A1505" s="340"/>
      <c r="B1505" s="340"/>
      <c r="C1505" s="340"/>
      <c r="D1505" s="344"/>
      <c r="E1505" s="344"/>
      <c r="F1505" s="340"/>
      <c r="G1505" s="340"/>
      <c r="H1505" s="340"/>
      <c r="I1505" s="340"/>
      <c r="J1505" s="340"/>
      <c r="K1505" s="340"/>
      <c r="L1505" s="340"/>
      <c r="M1505" s="340"/>
      <c r="N1505" s="340"/>
      <c r="O1505" s="340"/>
      <c r="P1505" s="340"/>
      <c r="Q1505" s="35"/>
      <c r="R1505" s="35"/>
      <c r="S1505" s="35"/>
      <c r="T1505" s="1"/>
      <c r="U1505" s="1"/>
      <c r="V1505" s="1"/>
    </row>
    <row r="1506" ht="15.75" customHeight="1">
      <c r="A1506" s="340"/>
      <c r="B1506" s="340"/>
      <c r="C1506" s="340"/>
      <c r="D1506" s="344"/>
      <c r="E1506" s="344"/>
      <c r="F1506" s="340"/>
      <c r="G1506" s="340"/>
      <c r="H1506" s="340"/>
      <c r="I1506" s="340"/>
      <c r="J1506" s="340"/>
      <c r="K1506" s="340"/>
      <c r="L1506" s="340"/>
      <c r="M1506" s="340"/>
      <c r="N1506" s="340"/>
      <c r="O1506" s="340"/>
      <c r="P1506" s="340"/>
      <c r="Q1506" s="35"/>
      <c r="R1506" s="35"/>
      <c r="S1506" s="35"/>
      <c r="T1506" s="1"/>
      <c r="U1506" s="1"/>
      <c r="V1506" s="1"/>
    </row>
    <row r="1507" ht="15.75" customHeight="1">
      <c r="A1507" s="340"/>
      <c r="B1507" s="340"/>
      <c r="C1507" s="340"/>
      <c r="D1507" s="344"/>
      <c r="E1507" s="344"/>
      <c r="F1507" s="340"/>
      <c r="G1507" s="340"/>
      <c r="H1507" s="340"/>
      <c r="I1507" s="340"/>
      <c r="J1507" s="340"/>
      <c r="K1507" s="340"/>
      <c r="L1507" s="340"/>
      <c r="M1507" s="340"/>
      <c r="N1507" s="340"/>
      <c r="O1507" s="340"/>
      <c r="P1507" s="340"/>
      <c r="Q1507" s="35"/>
      <c r="R1507" s="35"/>
      <c r="S1507" s="35"/>
      <c r="T1507" s="1"/>
      <c r="U1507" s="1"/>
      <c r="V1507" s="1"/>
    </row>
  </sheetData>
  <autoFilter ref="$B$7:$F$1307">
    <filterColumn colId="4">
      <filters blank="1">
        <filter val="1"/>
        <filter val="2"/>
        <filter val="3"/>
        <filter val="14"/>
        <filter val="4"/>
        <filter val="5"/>
        <filter val="6"/>
        <filter val="8"/>
        <filter val="9"/>
        <filter val="10"/>
      </filters>
    </filterColumn>
    <sortState ref="B7:F1307">
      <sortCondition ref="B7:B1307"/>
    </sortState>
  </autoFilter>
  <customSheetViews>
    <customSheetView guid="{07B0E11D-54A2-4A9E-A53E-42276DBD7B0D}" filter="1" showAutoFilter="1">
      <autoFilter ref="$A$7:$H$1304">
        <filterColumn colId="5">
          <filters blank="1">
            <filter val="1"/>
            <filter val="2"/>
            <filter val="3"/>
            <filter val="14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521384321"/>
        </ext>
      </extLst>
    </customSheetView>
  </customSheetViews>
  <mergeCells count="4">
    <mergeCell ref="R36:S36"/>
    <mergeCell ref="R49:S49"/>
    <mergeCell ref="R53:S53"/>
    <mergeCell ref="R56:S56"/>
  </mergeCells>
  <conditionalFormatting sqref="B1:B1507 C1:C1282 A9:A1307 C1284:C1507">
    <cfRule type="expression" dxfId="0" priority="1">
      <formula>#REF!</formula>
    </cfRule>
  </conditionalFormatting>
  <conditionalFormatting sqref="I9:I46 I48:I94 I96:I102 I104:I142 I144:I1307">
    <cfRule type="beginsWith" dxfId="1" priority="2" operator="beginsWith" text="-">
      <formula>LEFT((I9),LEN("-"))=("-")</formula>
    </cfRule>
  </conditionalFormatting>
  <conditionalFormatting sqref="U9:V16">
    <cfRule type="beginsWith" dxfId="1" priority="3" operator="beginsWith" text="-">
      <formula>LEFT((U9),LEN("-"))=("-")</formula>
    </cfRule>
  </conditionalFormatting>
  <hyperlinks>
    <hyperlink r:id="rId2" ref="E15"/>
    <hyperlink r:id="rId3" ref="E24"/>
    <hyperlink r:id="rId4" ref="E30"/>
    <hyperlink r:id="rId5" ref="E48"/>
    <hyperlink r:id="rId6" ref="E49"/>
    <hyperlink r:id="rId7" ref="E51"/>
    <hyperlink r:id="rId8" ref="E52"/>
    <hyperlink r:id="rId9" ref="E53"/>
    <hyperlink r:id="rId10" ref="E54"/>
    <hyperlink r:id="rId11" ref="E55"/>
    <hyperlink r:id="rId12" ref="E59"/>
    <hyperlink r:id="rId13" ref="E60"/>
    <hyperlink r:id="rId14" ref="E61"/>
    <hyperlink r:id="rId15" ref="E65"/>
    <hyperlink r:id="rId16" ref="E66"/>
    <hyperlink r:id="rId17" ref="E67"/>
    <hyperlink r:id="rId18" ref="E68"/>
    <hyperlink r:id="rId19" ref="E69"/>
    <hyperlink r:id="rId20" ref="E70"/>
    <hyperlink r:id="rId21" ref="E71"/>
    <hyperlink r:id="rId22" ref="E72"/>
    <hyperlink r:id="rId23" ref="E73"/>
    <hyperlink r:id="rId24" ref="E74"/>
    <hyperlink r:id="rId25" ref="E75"/>
    <hyperlink r:id="rId26" ref="E76"/>
    <hyperlink r:id="rId27" ref="E78"/>
    <hyperlink r:id="rId28" ref="E79"/>
    <hyperlink r:id="rId29" ref="E80"/>
    <hyperlink r:id="rId30" ref="E81"/>
    <hyperlink r:id="rId31" ref="E82"/>
    <hyperlink r:id="rId32" ref="E83"/>
    <hyperlink r:id="rId33" ref="E84"/>
    <hyperlink r:id="rId34" ref="E85"/>
    <hyperlink r:id="rId35" ref="E86"/>
    <hyperlink r:id="rId36" ref="E87"/>
    <hyperlink r:id="rId37" ref="E88"/>
    <hyperlink r:id="rId38" ref="E89"/>
    <hyperlink r:id="rId39" ref="E90"/>
    <hyperlink r:id="rId40" ref="E91"/>
    <hyperlink r:id="rId41" ref="E92"/>
    <hyperlink r:id="rId42" ref="E96"/>
    <hyperlink r:id="rId43" ref="E97"/>
    <hyperlink r:id="rId44" ref="E98"/>
    <hyperlink r:id="rId45" ref="E99"/>
    <hyperlink r:id="rId46" ref="E100"/>
    <hyperlink r:id="rId47" ref="E101"/>
    <hyperlink r:id="rId48" ref="E102"/>
    <hyperlink r:id="rId49" ref="E115"/>
    <hyperlink r:id="rId50" ref="E138"/>
    <hyperlink r:id="rId51" ref="E140"/>
    <hyperlink r:id="rId52" ref="E152"/>
    <hyperlink r:id="rId53" ref="E160"/>
    <hyperlink r:id="rId54" ref="E162"/>
    <hyperlink r:id="rId55" ref="E179"/>
    <hyperlink r:id="rId56" ref="E180"/>
    <hyperlink r:id="rId57" ref="E197"/>
    <hyperlink r:id="rId58" ref="E208"/>
    <hyperlink r:id="rId59" ref="E209"/>
    <hyperlink r:id="rId60" ref="E210"/>
    <hyperlink r:id="rId61" ref="E214"/>
    <hyperlink r:id="rId62" ref="E216"/>
    <hyperlink r:id="rId63" ref="E222"/>
    <hyperlink r:id="rId64" ref="E224"/>
    <hyperlink r:id="rId65" ref="E225"/>
    <hyperlink r:id="rId66" ref="E226"/>
    <hyperlink r:id="rId67" ref="E233"/>
    <hyperlink r:id="rId68" ref="E234"/>
    <hyperlink r:id="rId69" ref="E235"/>
    <hyperlink r:id="rId70" ref="E247"/>
    <hyperlink r:id="rId71" ref="E248"/>
    <hyperlink r:id="rId72" ref="E261"/>
    <hyperlink r:id="rId73" ref="E265"/>
    <hyperlink r:id="rId74" ref="E273"/>
    <hyperlink r:id="rId75" ref="E276"/>
    <hyperlink r:id="rId76" ref="E277"/>
    <hyperlink r:id="rId77" ref="E278"/>
    <hyperlink r:id="rId78" ref="E279"/>
    <hyperlink r:id="rId79" ref="E280"/>
    <hyperlink r:id="rId80" ref="E281"/>
    <hyperlink r:id="rId81" ref="E291"/>
    <hyperlink r:id="rId82" ref="E295"/>
    <hyperlink r:id="rId83" ref="E302"/>
    <hyperlink r:id="rId84" ref="E303"/>
    <hyperlink r:id="rId85" ref="E304"/>
    <hyperlink r:id="rId86" ref="E305"/>
    <hyperlink r:id="rId87" ref="E325"/>
    <hyperlink r:id="rId88" ref="E331"/>
    <hyperlink r:id="rId89" ref="E343"/>
    <hyperlink r:id="rId90" ref="E344"/>
    <hyperlink r:id="rId91" ref="E345"/>
    <hyperlink r:id="rId92" ref="E348"/>
    <hyperlink r:id="rId93" ref="E356"/>
    <hyperlink r:id="rId94" ref="E357"/>
    <hyperlink r:id="rId95" ref="E358"/>
    <hyperlink r:id="rId96" ref="E359"/>
    <hyperlink r:id="rId97" ref="E360"/>
    <hyperlink r:id="rId98" ref="E364"/>
    <hyperlink r:id="rId99" ref="E365"/>
    <hyperlink r:id="rId100" ref="E366"/>
    <hyperlink r:id="rId101" ref="E367"/>
    <hyperlink r:id="rId102" ref="E368"/>
    <hyperlink r:id="rId103" ref="E369"/>
    <hyperlink r:id="rId104" ref="E380"/>
    <hyperlink r:id="rId105" ref="E385"/>
    <hyperlink r:id="rId106" ref="E386"/>
    <hyperlink r:id="rId107" ref="E407"/>
    <hyperlink r:id="rId108" ref="E408"/>
    <hyperlink r:id="rId109" ref="E411"/>
    <hyperlink r:id="rId110" ref="E418"/>
    <hyperlink r:id="rId111" ref="E420"/>
    <hyperlink r:id="rId112" ref="E423"/>
    <hyperlink r:id="rId113" ref="E424"/>
    <hyperlink r:id="rId114" ref="E425"/>
    <hyperlink r:id="rId115" ref="E426"/>
    <hyperlink r:id="rId116" ref="E427"/>
    <hyperlink r:id="rId117" ref="E428"/>
    <hyperlink r:id="rId118" ref="E429"/>
    <hyperlink r:id="rId119" ref="E430"/>
    <hyperlink r:id="rId120" ref="E431"/>
    <hyperlink r:id="rId121" ref="E504"/>
    <hyperlink r:id="rId122" ref="E510"/>
    <hyperlink r:id="rId123" ref="E516"/>
    <hyperlink r:id="rId124" ref="E517"/>
    <hyperlink r:id="rId125" ref="E518"/>
    <hyperlink r:id="rId126" ref="E519"/>
    <hyperlink r:id="rId127" ref="E527"/>
    <hyperlink r:id="rId128" ref="E529"/>
    <hyperlink r:id="rId129" ref="E530"/>
    <hyperlink r:id="rId130" ref="E531"/>
    <hyperlink r:id="rId131" ref="E538"/>
    <hyperlink r:id="rId132" ref="E539"/>
    <hyperlink r:id="rId133" ref="E540"/>
    <hyperlink r:id="rId134" ref="E552"/>
    <hyperlink r:id="rId135" ref="E553"/>
    <hyperlink r:id="rId136" ref="E579"/>
    <hyperlink r:id="rId137" ref="E583"/>
    <hyperlink r:id="rId138" ref="E584"/>
    <hyperlink r:id="rId139" ref="E585"/>
    <hyperlink r:id="rId140" ref="E587"/>
    <hyperlink r:id="rId141" ref="E593"/>
    <hyperlink r:id="rId142" ref="E594"/>
    <hyperlink r:id="rId143" ref="E595"/>
    <hyperlink r:id="rId144" ref="E598"/>
    <hyperlink r:id="rId145" ref="E599"/>
    <hyperlink r:id="rId146" ref="E600"/>
    <hyperlink r:id="rId147" ref="E602"/>
    <hyperlink r:id="rId148" ref="E626"/>
    <hyperlink r:id="rId149" ref="E629"/>
    <hyperlink r:id="rId150" ref="E633"/>
    <hyperlink r:id="rId151" ref="E637"/>
    <hyperlink r:id="rId152" ref="E638"/>
    <hyperlink r:id="rId153" ref="E681"/>
    <hyperlink r:id="rId154" ref="E692"/>
    <hyperlink r:id="rId155" ref="E693"/>
    <hyperlink r:id="rId156" ref="E694"/>
    <hyperlink r:id="rId157" ref="E695"/>
    <hyperlink r:id="rId158" ref="E704"/>
    <hyperlink r:id="rId159" ref="E709"/>
    <hyperlink r:id="rId160" ref="E710"/>
    <hyperlink r:id="rId161" ref="E711"/>
    <hyperlink r:id="rId162" ref="E712"/>
    <hyperlink r:id="rId163" ref="E718"/>
    <hyperlink r:id="rId164" ref="E723"/>
    <hyperlink r:id="rId165" ref="E731"/>
    <hyperlink r:id="rId166" ref="E747"/>
    <hyperlink r:id="rId167" ref="E760"/>
    <hyperlink r:id="rId168" ref="E761"/>
    <hyperlink r:id="rId169" ref="E762"/>
    <hyperlink r:id="rId170" ref="E763"/>
    <hyperlink r:id="rId171" ref="E771"/>
    <hyperlink r:id="rId172" ref="E773"/>
    <hyperlink r:id="rId173" ref="E774"/>
    <hyperlink r:id="rId174" ref="E775"/>
    <hyperlink r:id="rId175" ref="E784"/>
    <hyperlink r:id="rId176" ref="E785"/>
    <hyperlink r:id="rId177" ref="E786"/>
    <hyperlink r:id="rId178" ref="E798"/>
    <hyperlink r:id="rId179" ref="E806"/>
    <hyperlink r:id="rId180" ref="E811"/>
    <hyperlink r:id="rId181" ref="E820"/>
    <hyperlink r:id="rId182" ref="E821"/>
    <hyperlink r:id="rId183" ref="E822"/>
    <hyperlink r:id="rId184" ref="E823"/>
    <hyperlink r:id="rId185" ref="E824"/>
    <hyperlink r:id="rId186" ref="E830"/>
    <hyperlink r:id="rId187" ref="E831"/>
    <hyperlink r:id="rId188" ref="E850"/>
    <hyperlink r:id="rId189" ref="E930"/>
    <hyperlink r:id="rId190" ref="E931"/>
    <hyperlink r:id="rId191" ref="E941"/>
    <hyperlink r:id="rId192" ref="E944"/>
    <hyperlink r:id="rId193" ref="E945"/>
    <hyperlink r:id="rId194" ref="E947"/>
    <hyperlink r:id="rId195" ref="E948"/>
    <hyperlink r:id="rId196" ref="E973"/>
    <hyperlink r:id="rId197" ref="E976"/>
    <hyperlink r:id="rId198" ref="E984"/>
    <hyperlink r:id="rId199" ref="E1024"/>
    <hyperlink r:id="rId200" ref="E1025"/>
    <hyperlink r:id="rId201" ref="E1026"/>
    <hyperlink r:id="rId202" ref="E1027"/>
    <hyperlink r:id="rId203" ref="E1028"/>
    <hyperlink r:id="rId204" ref="E1029"/>
    <hyperlink r:id="rId205" ref="E1032"/>
    <hyperlink r:id="rId206" ref="E1035"/>
    <hyperlink r:id="rId207" ref="E1036"/>
    <hyperlink r:id="rId208" ref="K1051"/>
    <hyperlink r:id="rId209" ref="E1053"/>
    <hyperlink r:id="rId210" ref="E1054"/>
    <hyperlink r:id="rId211" ref="E1057"/>
    <hyperlink r:id="rId212" ref="E1060"/>
    <hyperlink r:id="rId213" ref="E1061"/>
    <hyperlink r:id="rId214" ref="E1074"/>
    <hyperlink r:id="rId215" ref="E1075"/>
    <hyperlink r:id="rId216" ref="E1076"/>
    <hyperlink r:id="rId217" ref="E1077"/>
    <hyperlink r:id="rId218" ref="E1078"/>
    <hyperlink r:id="rId219" ref="E1084"/>
    <hyperlink r:id="rId220" ref="E1085"/>
    <hyperlink r:id="rId221" ref="E1087"/>
    <hyperlink r:id="rId222" ref="E1088"/>
    <hyperlink r:id="rId223" ref="E1094"/>
    <hyperlink r:id="rId224" ref="E1096"/>
    <hyperlink r:id="rId225" ref="E1098"/>
    <hyperlink r:id="rId226" ref="E1099"/>
    <hyperlink r:id="rId227" ref="E1108"/>
    <hyperlink r:id="rId228" ref="E1109"/>
    <hyperlink r:id="rId229" ref="E1110"/>
    <hyperlink r:id="rId230" ref="E1111"/>
    <hyperlink r:id="rId231" ref="E1112"/>
    <hyperlink r:id="rId232" ref="E1113"/>
    <hyperlink r:id="rId233" ref="E1114"/>
    <hyperlink r:id="rId234" ref="E1115"/>
    <hyperlink r:id="rId235" ref="E1116"/>
    <hyperlink r:id="rId236" ref="E1117"/>
    <hyperlink r:id="rId237" ref="E1118"/>
    <hyperlink r:id="rId238" ref="E1119"/>
    <hyperlink r:id="rId239" ref="E1121"/>
    <hyperlink r:id="rId240" ref="E1122"/>
    <hyperlink r:id="rId241" ref="E1123"/>
    <hyperlink r:id="rId242" ref="E1127"/>
    <hyperlink r:id="rId243" ref="E1128"/>
    <hyperlink r:id="rId244" ref="E1131"/>
    <hyperlink r:id="rId245" ref="E1132"/>
    <hyperlink r:id="rId246" ref="E1135"/>
    <hyperlink r:id="rId247" ref="E1138"/>
    <hyperlink r:id="rId248" ref="E1139"/>
    <hyperlink r:id="rId249" ref="E1141"/>
    <hyperlink r:id="rId250" ref="E1143"/>
    <hyperlink r:id="rId251" ref="E1146"/>
    <hyperlink r:id="rId252" ref="E1147"/>
    <hyperlink r:id="rId253" ref="E1148"/>
    <hyperlink r:id="rId254" ref="E1149"/>
    <hyperlink r:id="rId255" ref="E1150"/>
    <hyperlink r:id="rId256" ref="E1151"/>
    <hyperlink r:id="rId257" ref="E1152"/>
    <hyperlink r:id="rId258" ref="E1153"/>
    <hyperlink r:id="rId259" ref="E1154"/>
    <hyperlink r:id="rId260" ref="E1155"/>
    <hyperlink r:id="rId261" ref="E1156"/>
    <hyperlink r:id="rId262" ref="E1157"/>
    <hyperlink r:id="rId263" ref="E1163"/>
    <hyperlink r:id="rId264" ref="E1192"/>
    <hyperlink r:id="rId265" ref="E1194"/>
    <hyperlink r:id="rId266" ref="E1196"/>
    <hyperlink r:id="rId267" ref="E1197"/>
    <hyperlink r:id="rId268" ref="E1198"/>
    <hyperlink r:id="rId269" ref="E1199"/>
    <hyperlink r:id="rId270" ref="E1200"/>
    <hyperlink r:id="rId271" ref="E1201"/>
    <hyperlink r:id="rId272" ref="E1203"/>
    <hyperlink r:id="rId273" ref="E1205"/>
    <hyperlink r:id="rId274" ref="E1206"/>
    <hyperlink r:id="rId275" ref="E1207"/>
    <hyperlink r:id="rId276" ref="E1210"/>
    <hyperlink r:id="rId277" ref="E1211"/>
    <hyperlink r:id="rId278" ref="E1214"/>
    <hyperlink r:id="rId279" ref="E1215"/>
    <hyperlink r:id="rId280" ref="E1218"/>
    <hyperlink r:id="rId281" ref="E1220"/>
    <hyperlink r:id="rId282" ref="E1222"/>
    <hyperlink r:id="rId283" ref="E1223"/>
    <hyperlink r:id="rId284" ref="E1225"/>
    <hyperlink r:id="rId285" ref="E1227"/>
    <hyperlink r:id="rId286" ref="E1230"/>
    <hyperlink r:id="rId287" ref="E1231"/>
    <hyperlink r:id="rId288" ref="E1232"/>
    <hyperlink r:id="rId289" ref="E1233"/>
    <hyperlink r:id="rId290" ref="E1234"/>
    <hyperlink r:id="rId291" ref="E1235"/>
    <hyperlink r:id="rId292" ref="E1236"/>
    <hyperlink r:id="rId293" ref="E1237"/>
    <hyperlink r:id="rId294" ref="E1238"/>
    <hyperlink r:id="rId295" ref="E1239"/>
    <hyperlink r:id="rId296" ref="E1240"/>
    <hyperlink r:id="rId297" ref="E1241"/>
    <hyperlink r:id="rId298" ref="E1260"/>
    <hyperlink r:id="rId299" ref="E1266"/>
    <hyperlink r:id="rId300" ref="E1267"/>
    <hyperlink r:id="rId301" ref="E1268"/>
    <hyperlink r:id="rId302" ref="E1271"/>
  </hyperlinks>
  <printOptions/>
  <pageMargins bottom="0.75" footer="0.0" header="0.0" left="0.7" right="0.7" top="0.75"/>
  <pageSetup orientation="portrait"/>
  <drawing r:id="rId303"/>
  <legacyDrawing r:id="rId30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5.88"/>
    <col customWidth="1" min="2" max="2" width="28.38"/>
    <col customWidth="1" min="3" max="3" width="39.25"/>
    <col customWidth="1" min="4" max="4" width="15.38"/>
    <col customWidth="1" min="5" max="5" width="21.75"/>
    <col customWidth="1" min="6" max="6" width="17.25"/>
    <col customWidth="1" min="11" max="11" width="27.88"/>
    <col hidden="1" min="12" max="13" width="12.63"/>
    <col customWidth="1" hidden="1" min="14" max="14" width="13.25"/>
    <col customWidth="1" hidden="1" min="15" max="15" width="16.5"/>
    <col customWidth="1" hidden="1" min="16" max="16" width="20.63"/>
    <col customWidth="1" min="17" max="17" width="2.25"/>
    <col customWidth="1" min="18" max="18" width="17.5"/>
    <col customWidth="1" min="19" max="19" width="12.5"/>
    <col customWidth="1" min="20" max="20" width="11.5"/>
    <col customWidth="1" min="22" max="22" width="9.75"/>
  </cols>
  <sheetData>
    <row r="1" ht="7.5" customHeight="1">
      <c r="A1" s="1"/>
      <c r="B1" s="1"/>
      <c r="C1" s="2"/>
      <c r="D1" s="3"/>
      <c r="E1" s="3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</row>
    <row r="2" ht="12.75" customHeight="1">
      <c r="A2" s="1"/>
      <c r="B2" s="1"/>
      <c r="C2" s="2"/>
      <c r="D2" s="3"/>
      <c r="E2" s="3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</row>
    <row r="3" ht="15.75" customHeight="1">
      <c r="A3" s="1"/>
      <c r="B3" s="1"/>
      <c r="C3" s="2"/>
      <c r="D3" s="3"/>
      <c r="E3" s="3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1"/>
      <c r="R3" s="1"/>
      <c r="S3" s="1"/>
      <c r="T3" s="1"/>
      <c r="U3" s="1"/>
      <c r="V3" s="1"/>
    </row>
    <row r="4" ht="15.75" customHeight="1">
      <c r="A4" s="1"/>
      <c r="B4" s="1"/>
      <c r="C4" s="2"/>
      <c r="D4" s="3"/>
      <c r="E4" s="3"/>
      <c r="F4" s="2"/>
      <c r="G4" s="2"/>
      <c r="H4" s="2"/>
      <c r="I4" s="2"/>
      <c r="J4" s="2"/>
      <c r="K4" s="2"/>
      <c r="L4" s="2"/>
      <c r="M4" s="2"/>
      <c r="N4" s="1"/>
      <c r="O4" s="1"/>
      <c r="P4" s="1"/>
      <c r="Q4" s="1"/>
      <c r="R4" s="1"/>
      <c r="S4" s="1"/>
      <c r="T4" s="1"/>
      <c r="U4" s="1"/>
      <c r="V4" s="1"/>
    </row>
    <row r="5" ht="15.75" customHeight="1">
      <c r="A5" s="1"/>
      <c r="B5" s="1"/>
      <c r="C5" s="2"/>
      <c r="D5" s="3"/>
      <c r="E5" s="3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1"/>
      <c r="R5" s="1"/>
      <c r="S5" s="1"/>
      <c r="T5" s="1"/>
      <c r="U5" s="1"/>
      <c r="V5" s="1"/>
    </row>
    <row r="6" ht="42.0" customHeight="1">
      <c r="A6" s="1"/>
      <c r="B6" s="1"/>
      <c r="C6" s="2"/>
      <c r="D6" s="3"/>
      <c r="E6" s="3"/>
      <c r="F6" s="2"/>
      <c r="G6" s="2"/>
      <c r="H6" s="2"/>
      <c r="I6" s="2"/>
      <c r="J6" s="2"/>
      <c r="K6" s="2"/>
      <c r="L6" s="2"/>
      <c r="M6" s="2"/>
      <c r="N6" s="1"/>
      <c r="O6" s="1"/>
      <c r="P6" s="1"/>
      <c r="Q6" s="1"/>
      <c r="R6" s="1"/>
      <c r="S6" s="1"/>
      <c r="T6" s="1"/>
      <c r="U6" s="1"/>
      <c r="V6" s="1"/>
    </row>
    <row r="7" ht="15.75" customHeight="1">
      <c r="A7" s="4"/>
      <c r="B7" s="4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4" t="s">
        <v>5</v>
      </c>
      <c r="H7" s="4" t="s">
        <v>6</v>
      </c>
      <c r="I7" s="5" t="s">
        <v>7</v>
      </c>
      <c r="J7" s="5" t="s">
        <v>8</v>
      </c>
      <c r="K7" s="5" t="s">
        <v>9</v>
      </c>
      <c r="L7" s="4" t="s">
        <v>10</v>
      </c>
      <c r="M7" s="4" t="s">
        <v>11</v>
      </c>
      <c r="N7" s="4" t="s">
        <v>12</v>
      </c>
      <c r="O7" s="4" t="s">
        <v>13</v>
      </c>
      <c r="P7" s="4" t="s">
        <v>14</v>
      </c>
      <c r="Q7" s="1"/>
      <c r="R7" s="1"/>
      <c r="S7" s="1"/>
      <c r="T7" s="1"/>
      <c r="U7" s="1"/>
      <c r="V7" s="1"/>
    </row>
    <row r="8" ht="29.25" customHeight="1">
      <c r="A8" s="6"/>
      <c r="B8" s="6" t="s">
        <v>15</v>
      </c>
      <c r="C8" s="7">
        <f>SUM(H9:H46)</f>
        <v>1325.6</v>
      </c>
      <c r="D8" s="8"/>
      <c r="E8" s="8"/>
      <c r="F8" s="9"/>
      <c r="G8" s="9"/>
      <c r="H8" s="9"/>
      <c r="I8" s="10"/>
      <c r="J8" s="10"/>
      <c r="K8" s="9"/>
      <c r="L8" s="11"/>
      <c r="M8" s="11"/>
      <c r="N8" s="11"/>
      <c r="O8" s="11"/>
      <c r="P8" s="11"/>
      <c r="Q8" s="1"/>
      <c r="R8" s="12" t="s">
        <v>16</v>
      </c>
      <c r="S8" s="12" t="s">
        <v>6</v>
      </c>
      <c r="T8" s="12" t="s">
        <v>8</v>
      </c>
      <c r="U8" s="12" t="s">
        <v>7</v>
      </c>
      <c r="V8" s="12" t="s">
        <v>17</v>
      </c>
    </row>
    <row r="9" ht="15.75" hidden="1" customHeight="1">
      <c r="A9" s="13"/>
      <c r="B9" s="13" t="s">
        <v>18</v>
      </c>
      <c r="C9" s="13" t="s">
        <v>19</v>
      </c>
      <c r="D9" s="14" t="s">
        <v>20</v>
      </c>
      <c r="E9" s="15" t="s">
        <v>21</v>
      </c>
      <c r="F9" s="16">
        <v>0.0</v>
      </c>
      <c r="G9" s="17">
        <v>100.0</v>
      </c>
      <c r="H9" s="17">
        <f t="shared" ref="H9:H46" si="1">SUM(F9*G9)</f>
        <v>0</v>
      </c>
      <c r="I9" s="18"/>
      <c r="J9" s="18"/>
      <c r="K9" s="13"/>
      <c r="L9" s="13"/>
      <c r="M9" s="19"/>
      <c r="N9" s="13"/>
      <c r="O9" s="19"/>
      <c r="P9" s="19"/>
      <c r="Q9" s="1"/>
      <c r="R9" s="20" t="s">
        <v>22</v>
      </c>
      <c r="S9" s="21">
        <f t="shared" ref="S9:S16" si="2">SUMIFS($H:$H,$D:$D,R9)</f>
        <v>48519.68</v>
      </c>
      <c r="T9" s="21">
        <f t="shared" ref="T9:T16" si="3">SUMIFS($J:$J,$D:$D,R9)</f>
        <v>0</v>
      </c>
      <c r="U9" s="21">
        <f t="shared" ref="U9:U16" si="4">SUMIFS($I:$I,$D:$D,R9)</f>
        <v>0</v>
      </c>
      <c r="V9" s="22">
        <f t="shared" ref="V9:V16" si="5">S9/S$17</f>
        <v>0.1976538512</v>
      </c>
    </row>
    <row r="10" ht="15.75" hidden="1" customHeight="1">
      <c r="A10" s="13"/>
      <c r="B10" s="13" t="s">
        <v>18</v>
      </c>
      <c r="C10" s="13" t="s">
        <v>23</v>
      </c>
      <c r="D10" s="23" t="s">
        <v>20</v>
      </c>
      <c r="E10" s="15"/>
      <c r="F10" s="16">
        <v>0.0</v>
      </c>
      <c r="G10" s="17">
        <v>4.0</v>
      </c>
      <c r="H10" s="17">
        <f t="shared" si="1"/>
        <v>0</v>
      </c>
      <c r="I10" s="18"/>
      <c r="J10" s="18"/>
      <c r="K10" s="13"/>
      <c r="L10" s="13"/>
      <c r="M10" s="19"/>
      <c r="N10" s="13"/>
      <c r="O10" s="19"/>
      <c r="P10" s="19"/>
      <c r="Q10" s="1"/>
      <c r="R10" s="24" t="s">
        <v>24</v>
      </c>
      <c r="S10" s="21">
        <f t="shared" si="2"/>
        <v>35028.04</v>
      </c>
      <c r="T10" s="21">
        <f t="shared" si="3"/>
        <v>0</v>
      </c>
      <c r="U10" s="21">
        <f t="shared" si="4"/>
        <v>0</v>
      </c>
      <c r="V10" s="22">
        <f t="shared" si="5"/>
        <v>0.1426931713</v>
      </c>
    </row>
    <row r="11" ht="15.75" hidden="1" customHeight="1">
      <c r="A11" s="13"/>
      <c r="B11" s="13"/>
      <c r="C11" s="13" t="s">
        <v>25</v>
      </c>
      <c r="D11" s="25" t="s">
        <v>24</v>
      </c>
      <c r="E11" s="15"/>
      <c r="F11" s="16">
        <v>0.0</v>
      </c>
      <c r="G11" s="17">
        <v>103.5</v>
      </c>
      <c r="H11" s="17">
        <f t="shared" si="1"/>
        <v>0</v>
      </c>
      <c r="I11" s="18"/>
      <c r="J11" s="18"/>
      <c r="K11" s="13"/>
      <c r="L11" s="13"/>
      <c r="M11" s="19"/>
      <c r="N11" s="13"/>
      <c r="O11" s="19"/>
      <c r="P11" s="19"/>
      <c r="Q11" s="1"/>
      <c r="R11" s="26" t="s">
        <v>26</v>
      </c>
      <c r="S11" s="21">
        <f t="shared" si="2"/>
        <v>24900</v>
      </c>
      <c r="T11" s="21">
        <f t="shared" si="3"/>
        <v>0</v>
      </c>
      <c r="U11" s="21">
        <f t="shared" si="4"/>
        <v>0</v>
      </c>
      <c r="V11" s="22">
        <f t="shared" si="5"/>
        <v>0.1014347353</v>
      </c>
    </row>
    <row r="12" ht="15.75" hidden="1" customHeight="1">
      <c r="A12" s="13"/>
      <c r="B12" s="13" t="s">
        <v>18</v>
      </c>
      <c r="C12" s="13" t="s">
        <v>27</v>
      </c>
      <c r="D12" s="23" t="s">
        <v>20</v>
      </c>
      <c r="E12" s="15" t="s">
        <v>28</v>
      </c>
      <c r="F12" s="16">
        <v>0.0</v>
      </c>
      <c r="G12" s="17">
        <v>69.0</v>
      </c>
      <c r="H12" s="17">
        <f t="shared" si="1"/>
        <v>0</v>
      </c>
      <c r="I12" s="18"/>
      <c r="J12" s="18"/>
      <c r="K12" s="13"/>
      <c r="L12" s="27"/>
      <c r="M12" s="27"/>
      <c r="N12" s="27"/>
      <c r="O12" s="28"/>
      <c r="P12" s="27"/>
      <c r="Q12" s="1"/>
      <c r="R12" s="29" t="s">
        <v>20</v>
      </c>
      <c r="S12" s="21">
        <f t="shared" si="2"/>
        <v>35403.39</v>
      </c>
      <c r="T12" s="21">
        <f t="shared" si="3"/>
        <v>0</v>
      </c>
      <c r="U12" s="21">
        <f t="shared" si="4"/>
        <v>0</v>
      </c>
      <c r="V12" s="22">
        <f t="shared" si="5"/>
        <v>0.1442222286</v>
      </c>
    </row>
    <row r="13" ht="15.75" hidden="1" customHeight="1">
      <c r="A13" s="13"/>
      <c r="B13" s="13"/>
      <c r="C13" s="13" t="s">
        <v>29</v>
      </c>
      <c r="D13" s="25" t="s">
        <v>24</v>
      </c>
      <c r="E13" s="15"/>
      <c r="F13" s="16">
        <v>0.0</v>
      </c>
      <c r="G13" s="17">
        <v>600.0</v>
      </c>
      <c r="H13" s="17">
        <f t="shared" si="1"/>
        <v>0</v>
      </c>
      <c r="I13" s="18"/>
      <c r="J13" s="18"/>
      <c r="K13" s="13"/>
      <c r="L13" s="13"/>
      <c r="M13" s="13"/>
      <c r="N13" s="13"/>
      <c r="O13" s="13"/>
      <c r="P13" s="13"/>
      <c r="Q13" s="1"/>
      <c r="R13" s="30" t="s">
        <v>30</v>
      </c>
      <c r="S13" s="21">
        <f t="shared" si="2"/>
        <v>33380</v>
      </c>
      <c r="T13" s="21">
        <f t="shared" si="3"/>
        <v>0</v>
      </c>
      <c r="U13" s="21">
        <f t="shared" si="4"/>
        <v>0</v>
      </c>
      <c r="V13" s="22">
        <f t="shared" si="5"/>
        <v>0.1359795768</v>
      </c>
    </row>
    <row r="14" ht="15.75" hidden="1" customHeight="1">
      <c r="A14" s="13"/>
      <c r="B14" s="13"/>
      <c r="C14" s="13" t="s">
        <v>31</v>
      </c>
      <c r="D14" s="23" t="s">
        <v>20</v>
      </c>
      <c r="E14" s="15"/>
      <c r="F14" s="16">
        <v>0.0</v>
      </c>
      <c r="G14" s="17">
        <v>600.0</v>
      </c>
      <c r="H14" s="17">
        <f t="shared" si="1"/>
        <v>0</v>
      </c>
      <c r="I14" s="18"/>
      <c r="J14" s="18"/>
      <c r="K14" s="13"/>
      <c r="L14" s="13"/>
      <c r="M14" s="13"/>
      <c r="N14" s="13"/>
      <c r="O14" s="13"/>
      <c r="P14" s="13"/>
      <c r="Q14" s="1"/>
      <c r="R14" s="31" t="s">
        <v>32</v>
      </c>
      <c r="S14" s="21">
        <f t="shared" si="2"/>
        <v>68246.93</v>
      </c>
      <c r="T14" s="21">
        <f t="shared" si="3"/>
        <v>0</v>
      </c>
      <c r="U14" s="21">
        <f t="shared" si="4"/>
        <v>0</v>
      </c>
      <c r="V14" s="22">
        <f t="shared" si="5"/>
        <v>0.2780164368</v>
      </c>
    </row>
    <row r="15" ht="15.75" customHeight="1">
      <c r="A15" s="13"/>
      <c r="B15" s="13" t="s">
        <v>18</v>
      </c>
      <c r="C15" s="13" t="s">
        <v>33</v>
      </c>
      <c r="D15" s="32" t="s">
        <v>22</v>
      </c>
      <c r="E15" s="33" t="s">
        <v>34</v>
      </c>
      <c r="F15" s="16">
        <v>1.0</v>
      </c>
      <c r="G15" s="34">
        <v>24.0</v>
      </c>
      <c r="H15" s="17">
        <f t="shared" si="1"/>
        <v>24</v>
      </c>
      <c r="I15" s="18"/>
      <c r="J15" s="18"/>
      <c r="K15" s="13"/>
      <c r="L15" s="27"/>
      <c r="M15" s="28"/>
      <c r="N15" s="27"/>
      <c r="O15" s="28"/>
      <c r="P15" s="27"/>
      <c r="Q15" s="35"/>
      <c r="R15" s="36" t="s">
        <v>35</v>
      </c>
      <c r="S15" s="21">
        <f t="shared" si="2"/>
        <v>0</v>
      </c>
      <c r="T15" s="21">
        <f t="shared" si="3"/>
        <v>0</v>
      </c>
      <c r="U15" s="21">
        <f t="shared" si="4"/>
        <v>0</v>
      </c>
      <c r="V15" s="22">
        <f t="shared" si="5"/>
        <v>0</v>
      </c>
    </row>
    <row r="16" ht="15.75" hidden="1" customHeight="1">
      <c r="A16" s="13"/>
      <c r="B16" s="13"/>
      <c r="C16" s="13" t="s">
        <v>36</v>
      </c>
      <c r="D16" s="37" t="s">
        <v>32</v>
      </c>
      <c r="E16" s="15"/>
      <c r="F16" s="16">
        <v>0.0</v>
      </c>
      <c r="G16" s="17">
        <v>0.0</v>
      </c>
      <c r="H16" s="17">
        <f t="shared" si="1"/>
        <v>0</v>
      </c>
      <c r="I16" s="18"/>
      <c r="J16" s="18"/>
      <c r="K16" s="13"/>
      <c r="L16" s="13"/>
      <c r="M16" s="19"/>
      <c r="N16" s="19"/>
      <c r="O16" s="38"/>
      <c r="P16" s="19"/>
      <c r="Q16" s="35"/>
      <c r="R16" s="39" t="s">
        <v>37</v>
      </c>
      <c r="S16" s="21">
        <f t="shared" si="2"/>
        <v>0</v>
      </c>
      <c r="T16" s="21">
        <f t="shared" si="3"/>
        <v>0</v>
      </c>
      <c r="U16" s="21">
        <f t="shared" si="4"/>
        <v>0</v>
      </c>
      <c r="V16" s="22">
        <f t="shared" si="5"/>
        <v>0</v>
      </c>
    </row>
    <row r="17" ht="15.75" hidden="1" customHeight="1">
      <c r="A17" s="13"/>
      <c r="B17" s="13"/>
      <c r="C17" s="13" t="s">
        <v>991</v>
      </c>
      <c r="D17" s="37" t="s">
        <v>32</v>
      </c>
      <c r="E17" s="15"/>
      <c r="F17" s="16">
        <v>0.0</v>
      </c>
      <c r="G17" s="17">
        <v>0.0</v>
      </c>
      <c r="H17" s="17">
        <f t="shared" si="1"/>
        <v>0</v>
      </c>
      <c r="I17" s="18"/>
      <c r="J17" s="18"/>
      <c r="K17" s="13"/>
      <c r="L17" s="13"/>
      <c r="M17" s="19"/>
      <c r="N17" s="13"/>
      <c r="O17" s="13"/>
      <c r="P17" s="13"/>
      <c r="Q17" s="35"/>
      <c r="R17" s="3" t="s">
        <v>38</v>
      </c>
      <c r="S17" s="41">
        <f t="shared" ref="S17:V17" si="6">SUM(S9:S16)</f>
        <v>245478.04</v>
      </c>
      <c r="T17" s="41">
        <f t="shared" si="6"/>
        <v>0</v>
      </c>
      <c r="U17" s="41">
        <f t="shared" si="6"/>
        <v>0</v>
      </c>
      <c r="V17" s="42">
        <f t="shared" si="6"/>
        <v>1</v>
      </c>
    </row>
    <row r="18" ht="15.75" customHeight="1">
      <c r="A18" s="13"/>
      <c r="B18" s="13" t="s">
        <v>64</v>
      </c>
      <c r="C18" s="13" t="s">
        <v>40</v>
      </c>
      <c r="D18" s="32" t="s">
        <v>22</v>
      </c>
      <c r="E18" s="15"/>
      <c r="F18" s="16">
        <v>1.0</v>
      </c>
      <c r="G18" s="34">
        <v>200.0</v>
      </c>
      <c r="H18" s="17">
        <f t="shared" si="1"/>
        <v>200</v>
      </c>
      <c r="I18" s="18"/>
      <c r="J18" s="18"/>
      <c r="K18" s="13"/>
      <c r="L18" s="13"/>
      <c r="M18" s="19"/>
      <c r="N18" s="13"/>
      <c r="O18" s="19"/>
      <c r="P18" s="19"/>
      <c r="Q18" s="35"/>
      <c r="R18" s="1"/>
      <c r="S18" s="1"/>
      <c r="T18" s="1"/>
      <c r="U18" s="1"/>
      <c r="V18" s="1"/>
    </row>
    <row r="19" ht="15.75" customHeight="1">
      <c r="A19" s="15"/>
      <c r="B19" s="44" t="s">
        <v>18</v>
      </c>
      <c r="C19" s="45" t="s">
        <v>41</v>
      </c>
      <c r="D19" s="46" t="s">
        <v>20</v>
      </c>
      <c r="E19" s="47" t="s">
        <v>992</v>
      </c>
      <c r="F19" s="48">
        <v>1.0</v>
      </c>
      <c r="G19" s="49">
        <v>252.0</v>
      </c>
      <c r="H19" s="50">
        <f t="shared" si="1"/>
        <v>252</v>
      </c>
      <c r="I19" s="51"/>
      <c r="J19" s="51"/>
      <c r="K19" s="52"/>
      <c r="L19" s="52"/>
      <c r="M19" s="52"/>
      <c r="N19" s="52"/>
      <c r="O19" s="52"/>
      <c r="P19" s="52"/>
      <c r="Q19" s="1"/>
      <c r="R19" s="3"/>
      <c r="S19" s="3"/>
      <c r="T19" s="1"/>
      <c r="U19" s="1"/>
      <c r="V19" s="1"/>
    </row>
    <row r="20" ht="15.75" hidden="1" customHeight="1">
      <c r="A20" s="53"/>
      <c r="B20" s="54"/>
      <c r="C20" s="54" t="s">
        <v>41</v>
      </c>
      <c r="D20" s="55" t="s">
        <v>20</v>
      </c>
      <c r="E20" s="54"/>
      <c r="F20" s="56">
        <v>0.0</v>
      </c>
      <c r="G20" s="57">
        <v>200.0</v>
      </c>
      <c r="H20" s="57">
        <f t="shared" si="1"/>
        <v>0</v>
      </c>
      <c r="I20" s="58"/>
      <c r="J20" s="58"/>
      <c r="K20" s="54"/>
      <c r="L20" s="54"/>
      <c r="M20" s="54"/>
      <c r="N20" s="54"/>
      <c r="O20" s="54"/>
      <c r="P20" s="54"/>
      <c r="Q20" s="1"/>
      <c r="R20" s="59"/>
      <c r="S20" s="60">
        <v>0.4</v>
      </c>
      <c r="T20" s="61">
        <f>S17+S17*S20</f>
        <v>343669.256</v>
      </c>
      <c r="U20" s="62"/>
      <c r="V20" s="1"/>
    </row>
    <row r="21" ht="15.75" customHeight="1">
      <c r="A21" s="13"/>
      <c r="B21" s="52" t="s">
        <v>219</v>
      </c>
      <c r="C21" s="13" t="s">
        <v>43</v>
      </c>
      <c r="D21" s="25" t="s">
        <v>24</v>
      </c>
      <c r="E21" s="15"/>
      <c r="F21" s="40">
        <v>1.0</v>
      </c>
      <c r="G21" s="17">
        <v>115.0</v>
      </c>
      <c r="H21" s="17">
        <f t="shared" si="1"/>
        <v>115</v>
      </c>
      <c r="I21" s="18"/>
      <c r="J21" s="18"/>
      <c r="K21" s="13"/>
      <c r="L21" s="63"/>
      <c r="M21" s="63"/>
      <c r="N21" s="63"/>
      <c r="O21" s="63"/>
      <c r="P21" s="63"/>
      <c r="Q21" s="64"/>
      <c r="R21" s="62"/>
      <c r="S21" s="65"/>
      <c r="T21" s="62"/>
      <c r="U21" s="62"/>
      <c r="V21" s="1"/>
    </row>
    <row r="22" ht="15.75" customHeight="1">
      <c r="A22" s="13"/>
      <c r="B22" s="13" t="s">
        <v>18</v>
      </c>
      <c r="C22" s="13" t="s">
        <v>44</v>
      </c>
      <c r="D22" s="32" t="s">
        <v>22</v>
      </c>
      <c r="E22" s="15" t="s">
        <v>45</v>
      </c>
      <c r="F22" s="16">
        <v>2.0</v>
      </c>
      <c r="G22" s="17">
        <v>20.0</v>
      </c>
      <c r="H22" s="17">
        <f t="shared" si="1"/>
        <v>40</v>
      </c>
      <c r="I22" s="18"/>
      <c r="J22" s="18"/>
      <c r="K22" s="13"/>
      <c r="L22" s="13"/>
      <c r="M22" s="13"/>
      <c r="N22" s="13"/>
      <c r="O22" s="13"/>
      <c r="P22" s="13"/>
      <c r="Q22" s="1"/>
      <c r="R22" s="62" t="s">
        <v>38</v>
      </c>
      <c r="S22" s="62"/>
      <c r="T22" s="61">
        <f>SUM(T20:T21)</f>
        <v>343669.256</v>
      </c>
      <c r="U22" s="62"/>
      <c r="V22" s="1"/>
    </row>
    <row r="23" ht="15.75" customHeight="1">
      <c r="A23" s="13"/>
      <c r="B23" s="13" t="s">
        <v>953</v>
      </c>
      <c r="C23" s="13" t="s">
        <v>46</v>
      </c>
      <c r="D23" s="66" t="s">
        <v>22</v>
      </c>
      <c r="E23" s="15"/>
      <c r="F23" s="16">
        <v>2.0</v>
      </c>
      <c r="G23" s="17">
        <v>5.0</v>
      </c>
      <c r="H23" s="17">
        <f t="shared" si="1"/>
        <v>10</v>
      </c>
      <c r="I23" s="18"/>
      <c r="J23" s="18"/>
      <c r="K23" s="13"/>
      <c r="L23" s="13"/>
      <c r="M23" s="13"/>
      <c r="N23" s="13"/>
      <c r="O23" s="13"/>
      <c r="P23" s="13"/>
      <c r="Q23" s="1"/>
      <c r="R23" s="62"/>
      <c r="S23" s="62"/>
      <c r="T23" s="62"/>
      <c r="U23" s="62"/>
      <c r="V23" s="1"/>
    </row>
    <row r="24" ht="15.75" hidden="1" customHeight="1">
      <c r="A24" s="13"/>
      <c r="B24" s="13" t="s">
        <v>18</v>
      </c>
      <c r="C24" s="13" t="s">
        <v>47</v>
      </c>
      <c r="D24" s="14" t="s">
        <v>20</v>
      </c>
      <c r="E24" s="67" t="s">
        <v>48</v>
      </c>
      <c r="F24" s="40">
        <v>0.0</v>
      </c>
      <c r="G24" s="17">
        <v>133.0</v>
      </c>
      <c r="H24" s="17">
        <f t="shared" si="1"/>
        <v>0</v>
      </c>
      <c r="I24" s="18"/>
      <c r="J24" s="18"/>
      <c r="K24" s="13"/>
      <c r="L24" s="13"/>
      <c r="M24" s="13"/>
      <c r="N24" s="13"/>
      <c r="O24" s="13"/>
      <c r="P24" s="13"/>
      <c r="Q24" s="35"/>
      <c r="R24" s="62"/>
      <c r="S24" s="68"/>
      <c r="T24" s="69"/>
      <c r="U24" s="69"/>
      <c r="V24" s="1"/>
    </row>
    <row r="25" ht="15.75" hidden="1" customHeight="1">
      <c r="A25" s="13"/>
      <c r="B25" s="13"/>
      <c r="C25" s="13" t="s">
        <v>49</v>
      </c>
      <c r="D25" s="70" t="s">
        <v>24</v>
      </c>
      <c r="E25" s="15"/>
      <c r="F25" s="40">
        <v>0.0</v>
      </c>
      <c r="G25" s="17">
        <v>80.0</v>
      </c>
      <c r="H25" s="17">
        <f t="shared" si="1"/>
        <v>0</v>
      </c>
      <c r="I25" s="18"/>
      <c r="J25" s="18"/>
      <c r="K25" s="13"/>
      <c r="L25" s="13"/>
      <c r="M25" s="13"/>
      <c r="N25" s="13"/>
      <c r="O25" s="13"/>
      <c r="P25" s="13"/>
      <c r="Q25" s="35"/>
      <c r="R25" s="35"/>
      <c r="S25" s="35"/>
      <c r="T25" s="1"/>
      <c r="U25" s="1"/>
      <c r="V25" s="1"/>
    </row>
    <row r="26" ht="15.75" hidden="1" customHeight="1">
      <c r="A26" s="13"/>
      <c r="B26" s="13"/>
      <c r="C26" s="13" t="s">
        <v>50</v>
      </c>
      <c r="D26" s="70" t="s">
        <v>24</v>
      </c>
      <c r="E26" s="15"/>
      <c r="F26" s="16">
        <v>0.0</v>
      </c>
      <c r="G26" s="17">
        <v>200.0</v>
      </c>
      <c r="H26" s="17">
        <f t="shared" si="1"/>
        <v>0</v>
      </c>
      <c r="I26" s="18"/>
      <c r="J26" s="18"/>
      <c r="K26" s="13"/>
      <c r="L26" s="13"/>
      <c r="M26" s="13"/>
      <c r="N26" s="13"/>
      <c r="O26" s="13"/>
      <c r="P26" s="13"/>
      <c r="Q26" s="35"/>
      <c r="R26" s="35"/>
      <c r="S26" s="35"/>
      <c r="T26" s="1"/>
      <c r="U26" s="1"/>
      <c r="V26" s="1"/>
    </row>
    <row r="27" ht="15.75" hidden="1" customHeight="1">
      <c r="A27" s="13"/>
      <c r="B27" s="13" t="s">
        <v>18</v>
      </c>
      <c r="C27" s="13" t="s">
        <v>51</v>
      </c>
      <c r="D27" s="14" t="s">
        <v>20</v>
      </c>
      <c r="E27" s="15"/>
      <c r="F27" s="16">
        <v>0.0</v>
      </c>
      <c r="G27" s="17">
        <v>5.0</v>
      </c>
      <c r="H27" s="17">
        <f t="shared" si="1"/>
        <v>0</v>
      </c>
      <c r="I27" s="18"/>
      <c r="J27" s="18"/>
      <c r="K27" s="13"/>
      <c r="L27" s="13"/>
      <c r="M27" s="13"/>
      <c r="N27" s="13"/>
      <c r="O27" s="13"/>
      <c r="P27" s="13"/>
      <c r="Q27" s="35"/>
      <c r="R27" s="35"/>
      <c r="S27" s="35"/>
      <c r="T27" s="1"/>
      <c r="U27" s="1"/>
      <c r="V27" s="1"/>
    </row>
    <row r="28" ht="15.75" hidden="1" customHeight="1">
      <c r="A28" s="13"/>
      <c r="B28" s="13" t="s">
        <v>18</v>
      </c>
      <c r="C28" s="13" t="s">
        <v>52</v>
      </c>
      <c r="D28" s="14" t="s">
        <v>20</v>
      </c>
      <c r="E28" s="15"/>
      <c r="F28" s="16">
        <v>0.0</v>
      </c>
      <c r="G28" s="17">
        <v>20.0</v>
      </c>
      <c r="H28" s="17">
        <f t="shared" si="1"/>
        <v>0</v>
      </c>
      <c r="I28" s="18"/>
      <c r="J28" s="18"/>
      <c r="K28" s="13"/>
      <c r="L28" s="13"/>
      <c r="M28" s="13"/>
      <c r="N28" s="13"/>
      <c r="O28" s="13"/>
      <c r="P28" s="13"/>
      <c r="Q28" s="35"/>
      <c r="R28" s="35"/>
      <c r="S28" s="35"/>
      <c r="T28" s="1"/>
      <c r="U28" s="1"/>
      <c r="V28" s="1"/>
    </row>
    <row r="29" ht="15.75" hidden="1" customHeight="1">
      <c r="A29" s="13"/>
      <c r="B29" s="13"/>
      <c r="C29" s="13" t="s">
        <v>53</v>
      </c>
      <c r="D29" s="70" t="s">
        <v>24</v>
      </c>
      <c r="E29" s="15"/>
      <c r="F29" s="16">
        <v>0.0</v>
      </c>
      <c r="G29" s="17">
        <v>207.0</v>
      </c>
      <c r="H29" s="17">
        <f t="shared" si="1"/>
        <v>0</v>
      </c>
      <c r="I29" s="18"/>
      <c r="J29" s="18"/>
      <c r="K29" s="13"/>
      <c r="L29" s="13"/>
      <c r="M29" s="13"/>
      <c r="N29" s="13"/>
      <c r="O29" s="13"/>
      <c r="P29" s="13"/>
      <c r="Q29" s="35"/>
      <c r="R29" s="35"/>
      <c r="S29" s="35"/>
      <c r="T29" s="1"/>
      <c r="U29" s="1"/>
      <c r="V29" s="1"/>
    </row>
    <row r="30" ht="12.75" customHeight="1">
      <c r="A30" s="13"/>
      <c r="B30" s="13" t="s">
        <v>18</v>
      </c>
      <c r="C30" s="13" t="s">
        <v>54</v>
      </c>
      <c r="D30" s="14" t="s">
        <v>20</v>
      </c>
      <c r="E30" s="33" t="s">
        <v>55</v>
      </c>
      <c r="F30" s="40">
        <v>1.0</v>
      </c>
      <c r="G30" s="34">
        <v>7.6</v>
      </c>
      <c r="H30" s="17">
        <f t="shared" si="1"/>
        <v>7.6</v>
      </c>
      <c r="I30" s="18"/>
      <c r="J30" s="18"/>
      <c r="K30" s="13"/>
      <c r="L30" s="13"/>
      <c r="M30" s="13"/>
      <c r="N30" s="13"/>
      <c r="O30" s="13"/>
      <c r="P30" s="13"/>
      <c r="Q30" s="35"/>
      <c r="R30" s="35"/>
      <c r="S30" s="35"/>
      <c r="T30" s="1"/>
      <c r="U30" s="1"/>
      <c r="V30" s="1"/>
    </row>
    <row r="31" ht="15.75" customHeight="1">
      <c r="A31" s="13"/>
      <c r="B31" s="13"/>
      <c r="C31" s="13" t="s">
        <v>57</v>
      </c>
      <c r="D31" s="70" t="s">
        <v>24</v>
      </c>
      <c r="E31" s="15"/>
      <c r="F31" s="16">
        <v>1.0</v>
      </c>
      <c r="G31" s="17">
        <v>210.0</v>
      </c>
      <c r="H31" s="17">
        <f t="shared" si="1"/>
        <v>210</v>
      </c>
      <c r="I31" s="18"/>
      <c r="J31" s="18"/>
      <c r="K31" s="13"/>
      <c r="L31" s="63"/>
      <c r="M31" s="63"/>
      <c r="N31" s="63"/>
      <c r="O31" s="63"/>
      <c r="P31" s="63"/>
      <c r="Q31" s="35"/>
      <c r="R31" s="35"/>
      <c r="S31" s="35"/>
      <c r="T31" s="1"/>
      <c r="U31" s="1"/>
      <c r="V31" s="1"/>
    </row>
    <row r="32" ht="15.75" customHeight="1">
      <c r="A32" s="13"/>
      <c r="B32" s="13" t="s">
        <v>58</v>
      </c>
      <c r="C32" s="13" t="s">
        <v>59</v>
      </c>
      <c r="D32" s="14" t="s">
        <v>20</v>
      </c>
      <c r="E32" s="15" t="s">
        <v>60</v>
      </c>
      <c r="F32" s="71">
        <v>1.0</v>
      </c>
      <c r="G32" s="17">
        <v>0.0</v>
      </c>
      <c r="H32" s="17">
        <f t="shared" si="1"/>
        <v>0</v>
      </c>
      <c r="I32" s="18"/>
      <c r="J32" s="18"/>
      <c r="K32" s="13"/>
      <c r="L32" s="13"/>
      <c r="M32" s="19"/>
      <c r="N32" s="13"/>
      <c r="O32" s="13"/>
      <c r="P32" s="13"/>
      <c r="Q32" s="72"/>
      <c r="R32" s="35"/>
      <c r="S32" s="35"/>
      <c r="T32" s="1"/>
      <c r="U32" s="1"/>
      <c r="V32" s="1"/>
    </row>
    <row r="33" ht="15.75" hidden="1" customHeight="1">
      <c r="A33" s="13"/>
      <c r="B33" s="13"/>
      <c r="C33" s="13" t="s">
        <v>61</v>
      </c>
      <c r="D33" s="37" t="s">
        <v>32</v>
      </c>
      <c r="E33" s="15"/>
      <c r="F33" s="16">
        <v>0.0</v>
      </c>
      <c r="G33" s="17">
        <v>0.0</v>
      </c>
      <c r="H33" s="17">
        <f t="shared" si="1"/>
        <v>0</v>
      </c>
      <c r="I33" s="18"/>
      <c r="J33" s="18"/>
      <c r="K33" s="13"/>
      <c r="L33" s="13"/>
      <c r="M33" s="13"/>
      <c r="N33" s="13"/>
      <c r="O33" s="13"/>
      <c r="P33" s="13"/>
      <c r="Q33" s="35"/>
      <c r="R33" s="35"/>
      <c r="S33" s="35"/>
      <c r="T33" s="1"/>
      <c r="U33" s="1"/>
      <c r="V33" s="1"/>
    </row>
    <row r="34" ht="15.75" customHeight="1">
      <c r="A34" s="13"/>
      <c r="B34" s="13"/>
      <c r="C34" s="43" t="s">
        <v>62</v>
      </c>
      <c r="D34" s="70" t="s">
        <v>24</v>
      </c>
      <c r="E34" s="15"/>
      <c r="F34" s="16">
        <v>1.0</v>
      </c>
      <c r="G34" s="34">
        <v>200.0</v>
      </c>
      <c r="H34" s="17">
        <f t="shared" si="1"/>
        <v>200</v>
      </c>
      <c r="I34" s="18"/>
      <c r="J34" s="18"/>
      <c r="K34" s="13"/>
      <c r="L34" s="27"/>
      <c r="M34" s="27"/>
      <c r="N34" s="27"/>
      <c r="O34" s="27"/>
      <c r="P34" s="27"/>
      <c r="Q34" s="35"/>
      <c r="R34" s="35"/>
      <c r="S34" s="35"/>
      <c r="T34" s="1"/>
      <c r="U34" s="1"/>
      <c r="V34" s="1"/>
    </row>
    <row r="35" ht="15.75" customHeight="1">
      <c r="A35" s="13"/>
      <c r="B35" s="13"/>
      <c r="C35" s="43" t="s">
        <v>63</v>
      </c>
      <c r="D35" s="14" t="s">
        <v>20</v>
      </c>
      <c r="E35" s="15"/>
      <c r="F35" s="40">
        <v>1.0</v>
      </c>
      <c r="G35" s="34">
        <v>150.0</v>
      </c>
      <c r="H35" s="17">
        <f t="shared" si="1"/>
        <v>150</v>
      </c>
      <c r="I35" s="18"/>
      <c r="J35" s="18"/>
      <c r="K35" s="13"/>
      <c r="L35" s="27"/>
      <c r="M35" s="27"/>
      <c r="N35" s="27"/>
      <c r="O35" s="27"/>
      <c r="P35" s="27"/>
      <c r="Q35" s="35"/>
      <c r="R35" s="35"/>
      <c r="S35" s="35"/>
      <c r="T35" s="1"/>
      <c r="U35" s="1"/>
      <c r="V35" s="1"/>
    </row>
    <row r="36" ht="15.75" customHeight="1">
      <c r="A36" s="13"/>
      <c r="B36" s="43" t="s">
        <v>64</v>
      </c>
      <c r="C36" s="43" t="s">
        <v>65</v>
      </c>
      <c r="D36" s="66" t="s">
        <v>22</v>
      </c>
      <c r="E36" s="15"/>
      <c r="F36" s="40">
        <v>1.0</v>
      </c>
      <c r="G36" s="34">
        <v>100.0</v>
      </c>
      <c r="H36" s="17">
        <f t="shared" si="1"/>
        <v>100</v>
      </c>
      <c r="I36" s="18"/>
      <c r="J36" s="18"/>
      <c r="K36" s="13"/>
      <c r="L36" s="27"/>
      <c r="M36" s="27"/>
      <c r="N36" s="27"/>
      <c r="O36" s="27"/>
      <c r="P36" s="27"/>
      <c r="Q36" s="35"/>
      <c r="R36" s="35"/>
      <c r="S36" s="35"/>
      <c r="T36" s="1"/>
      <c r="U36" s="1"/>
      <c r="V36" s="1"/>
    </row>
    <row r="37" ht="15.75" customHeight="1">
      <c r="A37" s="13"/>
      <c r="B37" s="13"/>
      <c r="C37" s="13" t="s">
        <v>67</v>
      </c>
      <c r="D37" s="70" t="s">
        <v>24</v>
      </c>
      <c r="E37" s="15"/>
      <c r="F37" s="40">
        <v>1.0</v>
      </c>
      <c r="G37" s="17">
        <v>17.0</v>
      </c>
      <c r="H37" s="17">
        <f t="shared" si="1"/>
        <v>17</v>
      </c>
      <c r="I37" s="18"/>
      <c r="J37" s="18"/>
      <c r="K37" s="13"/>
      <c r="L37" s="63"/>
      <c r="M37" s="63"/>
      <c r="N37" s="63"/>
      <c r="O37" s="63"/>
      <c r="P37" s="63"/>
      <c r="Q37" s="35"/>
      <c r="R37" s="35"/>
      <c r="S37" s="35"/>
      <c r="T37" s="1"/>
      <c r="U37" s="1"/>
      <c r="V37" s="1"/>
    </row>
    <row r="38" ht="15.75" hidden="1" customHeight="1">
      <c r="A38" s="13"/>
      <c r="B38" s="13"/>
      <c r="C38" s="13" t="s">
        <v>69</v>
      </c>
      <c r="D38" s="14" t="s">
        <v>20</v>
      </c>
      <c r="E38" s="15"/>
      <c r="F38" s="16">
        <v>0.0</v>
      </c>
      <c r="G38" s="17">
        <v>0.0</v>
      </c>
      <c r="H38" s="17">
        <f t="shared" si="1"/>
        <v>0</v>
      </c>
      <c r="I38" s="18"/>
      <c r="J38" s="18"/>
      <c r="K38" s="13"/>
      <c r="L38" s="13"/>
      <c r="M38" s="13"/>
      <c r="N38" s="13"/>
      <c r="O38" s="13"/>
      <c r="P38" s="19"/>
      <c r="Q38" s="35"/>
      <c r="R38" s="35"/>
      <c r="S38" s="35"/>
      <c r="T38" s="1"/>
      <c r="U38" s="1"/>
      <c r="V38" s="1"/>
    </row>
    <row r="39" ht="15.75" hidden="1" customHeight="1">
      <c r="A39" s="13"/>
      <c r="B39" s="13"/>
      <c r="C39" s="13" t="s">
        <v>70</v>
      </c>
      <c r="D39" s="70" t="s">
        <v>24</v>
      </c>
      <c r="E39" s="15"/>
      <c r="F39" s="16">
        <v>0.0</v>
      </c>
      <c r="G39" s="17">
        <v>207.0</v>
      </c>
      <c r="H39" s="17">
        <f t="shared" si="1"/>
        <v>0</v>
      </c>
      <c r="I39" s="18"/>
      <c r="J39" s="18"/>
      <c r="K39" s="13"/>
      <c r="L39" s="13"/>
      <c r="M39" s="13"/>
      <c r="N39" s="13"/>
      <c r="O39" s="13"/>
      <c r="P39" s="19"/>
      <c r="Q39" s="35"/>
      <c r="R39" s="35"/>
      <c r="S39" s="35"/>
      <c r="T39" s="1"/>
      <c r="U39" s="1"/>
      <c r="V39" s="1"/>
    </row>
    <row r="40" ht="15.75" hidden="1" customHeight="1">
      <c r="A40" s="13"/>
      <c r="B40" s="13"/>
      <c r="C40" s="13" t="s">
        <v>71</v>
      </c>
      <c r="D40" s="70" t="s">
        <v>24</v>
      </c>
      <c r="E40" s="15"/>
      <c r="F40" s="16">
        <v>0.0</v>
      </c>
      <c r="G40" s="17">
        <v>80.0</v>
      </c>
      <c r="H40" s="17">
        <f t="shared" si="1"/>
        <v>0</v>
      </c>
      <c r="I40" s="18"/>
      <c r="J40" s="18"/>
      <c r="K40" s="13"/>
      <c r="L40" s="63"/>
      <c r="M40" s="63"/>
      <c r="N40" s="63"/>
      <c r="O40" s="63"/>
      <c r="P40" s="79"/>
      <c r="Q40" s="35"/>
      <c r="R40" s="35"/>
      <c r="S40" s="35"/>
      <c r="T40" s="1"/>
      <c r="U40" s="1"/>
      <c r="V40" s="1"/>
    </row>
    <row r="41" ht="15.75" hidden="1" customHeight="1">
      <c r="A41" s="13"/>
      <c r="B41" s="13"/>
      <c r="C41" s="13" t="s">
        <v>72</v>
      </c>
      <c r="D41" s="14" t="s">
        <v>20</v>
      </c>
      <c r="E41" s="15"/>
      <c r="F41" s="16">
        <v>0.0</v>
      </c>
      <c r="G41" s="17">
        <v>40.0</v>
      </c>
      <c r="H41" s="17">
        <f t="shared" si="1"/>
        <v>0</v>
      </c>
      <c r="I41" s="18"/>
      <c r="J41" s="18"/>
      <c r="K41" s="13"/>
      <c r="L41" s="13"/>
      <c r="M41" s="13"/>
      <c r="N41" s="13"/>
      <c r="O41" s="13"/>
      <c r="P41" s="19"/>
      <c r="Q41" s="35"/>
      <c r="R41" s="35"/>
      <c r="S41" s="35"/>
      <c r="T41" s="1"/>
      <c r="U41" s="1"/>
      <c r="V41" s="1"/>
    </row>
    <row r="42" ht="15.75" hidden="1" customHeight="1">
      <c r="A42" s="13"/>
      <c r="B42" s="13"/>
      <c r="C42" s="13" t="s">
        <v>73</v>
      </c>
      <c r="D42" s="70" t="s">
        <v>24</v>
      </c>
      <c r="E42" s="15"/>
      <c r="F42" s="16">
        <v>0.0</v>
      </c>
      <c r="G42" s="17">
        <v>180.0</v>
      </c>
      <c r="H42" s="17">
        <f t="shared" si="1"/>
        <v>0</v>
      </c>
      <c r="I42" s="18"/>
      <c r="J42" s="18"/>
      <c r="K42" s="13"/>
      <c r="L42" s="63"/>
      <c r="M42" s="63"/>
      <c r="N42" s="63"/>
      <c r="O42" s="63"/>
      <c r="P42" s="79"/>
      <c r="Q42" s="35"/>
      <c r="R42" s="35"/>
      <c r="S42" s="35"/>
      <c r="T42" s="1"/>
      <c r="U42" s="1"/>
      <c r="V42" s="1"/>
    </row>
    <row r="43" ht="15.75" hidden="1" customHeight="1">
      <c r="A43" s="13"/>
      <c r="B43" s="13"/>
      <c r="C43" s="13" t="s">
        <v>74</v>
      </c>
      <c r="D43" s="14" t="s">
        <v>20</v>
      </c>
      <c r="E43" s="15"/>
      <c r="F43" s="16">
        <v>0.0</v>
      </c>
      <c r="G43" s="17">
        <v>50.0</v>
      </c>
      <c r="H43" s="17">
        <f t="shared" si="1"/>
        <v>0</v>
      </c>
      <c r="I43" s="18"/>
      <c r="J43" s="18"/>
      <c r="K43" s="13"/>
      <c r="L43" s="13"/>
      <c r="M43" s="13"/>
      <c r="N43" s="13"/>
      <c r="O43" s="13"/>
      <c r="P43" s="19"/>
      <c r="Q43" s="35"/>
      <c r="R43" s="35"/>
      <c r="S43" s="35"/>
      <c r="T43" s="1"/>
      <c r="U43" s="1"/>
      <c r="V43" s="1"/>
    </row>
    <row r="44" ht="15.75" hidden="1" customHeight="1">
      <c r="A44" s="13"/>
      <c r="B44" s="13"/>
      <c r="C44" s="13" t="s">
        <v>75</v>
      </c>
      <c r="D44" s="70" t="s">
        <v>24</v>
      </c>
      <c r="E44" s="15"/>
      <c r="F44" s="16">
        <v>0.0</v>
      </c>
      <c r="G44" s="17">
        <v>70.0</v>
      </c>
      <c r="H44" s="17">
        <f t="shared" si="1"/>
        <v>0</v>
      </c>
      <c r="I44" s="18"/>
      <c r="J44" s="18"/>
      <c r="K44" s="13"/>
      <c r="L44" s="63"/>
      <c r="M44" s="63"/>
      <c r="N44" s="63"/>
      <c r="O44" s="63"/>
      <c r="P44" s="63"/>
      <c r="Q44" s="35"/>
      <c r="R44" s="35"/>
      <c r="S44" s="35"/>
      <c r="T44" s="1"/>
      <c r="U44" s="1"/>
      <c r="V44" s="1"/>
    </row>
    <row r="45" ht="15.75" hidden="1" customHeight="1">
      <c r="A45" s="13"/>
      <c r="B45" s="13"/>
      <c r="C45" s="13" t="s">
        <v>76</v>
      </c>
      <c r="D45" s="14" t="s">
        <v>20</v>
      </c>
      <c r="E45" s="15"/>
      <c r="F45" s="16">
        <v>0.0</v>
      </c>
      <c r="G45" s="17">
        <v>20.0</v>
      </c>
      <c r="H45" s="17">
        <f t="shared" si="1"/>
        <v>0</v>
      </c>
      <c r="I45" s="18"/>
      <c r="J45" s="18"/>
      <c r="K45" s="13"/>
      <c r="L45" s="13"/>
      <c r="M45" s="13"/>
      <c r="N45" s="13"/>
      <c r="O45" s="13"/>
      <c r="P45" s="13"/>
      <c r="Q45" s="35"/>
      <c r="R45" s="35"/>
      <c r="S45" s="35"/>
      <c r="T45" s="1"/>
      <c r="U45" s="1"/>
      <c r="V45" s="1"/>
    </row>
    <row r="46" ht="15.75" hidden="1" customHeight="1">
      <c r="A46" s="13"/>
      <c r="B46" s="13"/>
      <c r="C46" s="13" t="s">
        <v>77</v>
      </c>
      <c r="D46" s="70" t="s">
        <v>24</v>
      </c>
      <c r="E46" s="15"/>
      <c r="F46" s="16">
        <v>0.0</v>
      </c>
      <c r="G46" s="17">
        <v>120.0</v>
      </c>
      <c r="H46" s="17">
        <f t="shared" si="1"/>
        <v>0</v>
      </c>
      <c r="I46" s="18"/>
      <c r="J46" s="18"/>
      <c r="K46" s="13"/>
      <c r="L46" s="63"/>
      <c r="M46" s="63"/>
      <c r="N46" s="63"/>
      <c r="O46" s="63"/>
      <c r="P46" s="63"/>
      <c r="Q46" s="35"/>
      <c r="R46" s="35"/>
      <c r="S46" s="35"/>
      <c r="T46" s="1"/>
      <c r="U46" s="1"/>
      <c r="V46" s="1"/>
    </row>
    <row r="47" ht="24.75" customHeight="1">
      <c r="A47" s="6"/>
      <c r="B47" s="6" t="s">
        <v>78</v>
      </c>
      <c r="C47" s="7">
        <f>SUM(H48:H92)</f>
        <v>3771.23</v>
      </c>
      <c r="D47" s="80"/>
      <c r="E47" s="80"/>
      <c r="F47" s="81"/>
      <c r="G47" s="82"/>
      <c r="H47" s="82"/>
      <c r="I47" s="82"/>
      <c r="J47" s="82"/>
      <c r="K47" s="81"/>
      <c r="L47" s="83"/>
      <c r="M47" s="83"/>
      <c r="N47" s="83"/>
      <c r="O47" s="83"/>
      <c r="P47" s="83"/>
      <c r="Q47" s="35"/>
      <c r="R47" s="35"/>
      <c r="S47" s="35"/>
      <c r="T47" s="1"/>
      <c r="U47" s="1"/>
      <c r="V47" s="1"/>
    </row>
    <row r="48" ht="15.75" customHeight="1">
      <c r="A48" s="13"/>
      <c r="B48" s="85" t="s">
        <v>18</v>
      </c>
      <c r="C48" s="86" t="s">
        <v>80</v>
      </c>
      <c r="D48" s="87" t="s">
        <v>22</v>
      </c>
      <c r="E48" s="88" t="s">
        <v>81</v>
      </c>
      <c r="F48" s="89">
        <v>1.0</v>
      </c>
      <c r="G48" s="90">
        <v>42.0</v>
      </c>
      <c r="H48" s="91">
        <f t="shared" ref="H48:H94" si="7">SUM(F48*G48)</f>
        <v>42</v>
      </c>
      <c r="I48" s="18"/>
      <c r="J48" s="18"/>
      <c r="K48" s="13"/>
      <c r="L48" s="27"/>
      <c r="M48" s="28"/>
      <c r="N48" s="27"/>
      <c r="O48" s="28"/>
      <c r="P48" s="27"/>
      <c r="Q48" s="35"/>
      <c r="R48" s="35"/>
      <c r="S48" s="35"/>
      <c r="T48" s="1"/>
      <c r="U48" s="1"/>
      <c r="V48" s="1"/>
    </row>
    <row r="49" ht="15.75" customHeight="1">
      <c r="A49" s="13"/>
      <c r="B49" s="85" t="s">
        <v>18</v>
      </c>
      <c r="C49" s="94" t="s">
        <v>82</v>
      </c>
      <c r="D49" s="87" t="s">
        <v>22</v>
      </c>
      <c r="E49" s="88" t="s">
        <v>83</v>
      </c>
      <c r="F49" s="89">
        <v>1.0</v>
      </c>
      <c r="G49" s="90">
        <v>48.0</v>
      </c>
      <c r="H49" s="91">
        <f t="shared" si="7"/>
        <v>48</v>
      </c>
      <c r="I49" s="18"/>
      <c r="J49" s="18"/>
      <c r="K49" s="13"/>
      <c r="L49" s="95"/>
      <c r="M49" s="96"/>
      <c r="N49" s="95"/>
      <c r="O49" s="96"/>
      <c r="P49" s="95"/>
      <c r="Q49" s="35"/>
      <c r="R49" s="35"/>
      <c r="S49" s="35"/>
      <c r="T49" s="1"/>
      <c r="U49" s="1"/>
      <c r="V49" s="1"/>
    </row>
    <row r="50" ht="15.75" customHeight="1">
      <c r="A50" s="13"/>
      <c r="B50" s="346" t="s">
        <v>85</v>
      </c>
      <c r="C50" s="347" t="s">
        <v>86</v>
      </c>
      <c r="D50" s="348" t="s">
        <v>32</v>
      </c>
      <c r="E50" s="349">
        <v>101410.0</v>
      </c>
      <c r="F50" s="350">
        <v>4.0</v>
      </c>
      <c r="G50" s="351">
        <v>213.5</v>
      </c>
      <c r="H50" s="352">
        <f t="shared" si="7"/>
        <v>854</v>
      </c>
      <c r="I50" s="18"/>
      <c r="J50" s="18"/>
      <c r="K50" s="43"/>
      <c r="L50" s="27"/>
      <c r="M50" s="28"/>
      <c r="N50" s="27"/>
      <c r="O50" s="28"/>
      <c r="P50" s="28"/>
      <c r="Q50" s="35"/>
      <c r="R50" s="35"/>
      <c r="S50" s="35"/>
      <c r="T50" s="1"/>
      <c r="U50" s="1"/>
      <c r="V50" s="1"/>
    </row>
    <row r="51" ht="15.75" customHeight="1">
      <c r="A51" s="13"/>
      <c r="B51" s="353" t="s">
        <v>88</v>
      </c>
      <c r="C51" s="354" t="s">
        <v>89</v>
      </c>
      <c r="D51" s="355" t="s">
        <v>22</v>
      </c>
      <c r="E51" s="356" t="s">
        <v>90</v>
      </c>
      <c r="F51" s="357">
        <v>1.0</v>
      </c>
      <c r="G51" s="358">
        <v>70.8</v>
      </c>
      <c r="H51" s="359">
        <f t="shared" si="7"/>
        <v>70.8</v>
      </c>
      <c r="I51" s="18"/>
      <c r="J51" s="18"/>
      <c r="K51" s="13"/>
      <c r="L51" s="27"/>
      <c r="M51" s="28"/>
      <c r="N51" s="27"/>
      <c r="O51" s="28"/>
      <c r="P51" s="28"/>
      <c r="Q51" s="35"/>
      <c r="R51" s="35"/>
      <c r="S51" s="35"/>
      <c r="T51" s="1"/>
      <c r="U51" s="1"/>
      <c r="V51" s="1"/>
    </row>
    <row r="52" ht="15.75" customHeight="1">
      <c r="A52" s="13"/>
      <c r="B52" s="85" t="s">
        <v>18</v>
      </c>
      <c r="C52" s="94" t="s">
        <v>92</v>
      </c>
      <c r="D52" s="87" t="s">
        <v>22</v>
      </c>
      <c r="E52" s="88" t="s">
        <v>93</v>
      </c>
      <c r="F52" s="105">
        <v>1.0</v>
      </c>
      <c r="G52" s="106">
        <v>8.62</v>
      </c>
      <c r="H52" s="91">
        <f t="shared" si="7"/>
        <v>8.62</v>
      </c>
      <c r="I52" s="18"/>
      <c r="J52" s="18"/>
      <c r="K52" s="13"/>
      <c r="L52" s="107"/>
      <c r="M52" s="19"/>
      <c r="N52" s="13"/>
      <c r="O52" s="13"/>
      <c r="P52" s="13"/>
      <c r="Q52" s="35"/>
      <c r="R52" s="35"/>
      <c r="S52" s="35"/>
      <c r="T52" s="1"/>
      <c r="U52" s="1"/>
      <c r="V52" s="1"/>
    </row>
    <row r="53" ht="15.75" customHeight="1">
      <c r="A53" s="13"/>
      <c r="B53" s="85" t="s">
        <v>18</v>
      </c>
      <c r="C53" s="94" t="s">
        <v>95</v>
      </c>
      <c r="D53" s="87" t="s">
        <v>22</v>
      </c>
      <c r="E53" s="88" t="s">
        <v>96</v>
      </c>
      <c r="F53" s="105">
        <v>1.0</v>
      </c>
      <c r="G53" s="106">
        <v>14.4</v>
      </c>
      <c r="H53" s="91">
        <f t="shared" si="7"/>
        <v>14.4</v>
      </c>
      <c r="I53" s="18"/>
      <c r="J53" s="18"/>
      <c r="K53" s="13"/>
      <c r="L53" s="27"/>
      <c r="M53" s="28"/>
      <c r="N53" s="27"/>
      <c r="O53" s="28"/>
      <c r="P53" s="28"/>
      <c r="Q53" s="35"/>
      <c r="R53" s="35"/>
      <c r="S53" s="35"/>
      <c r="T53" s="1"/>
      <c r="U53" s="1"/>
      <c r="V53" s="1"/>
    </row>
    <row r="54" ht="15.75" customHeight="1">
      <c r="A54" s="13"/>
      <c r="B54" s="85" t="s">
        <v>18</v>
      </c>
      <c r="C54" s="85" t="s">
        <v>97</v>
      </c>
      <c r="D54" s="87" t="s">
        <v>22</v>
      </c>
      <c r="E54" s="88" t="s">
        <v>98</v>
      </c>
      <c r="F54" s="105">
        <v>1.0</v>
      </c>
      <c r="G54" s="106">
        <v>14.8</v>
      </c>
      <c r="H54" s="91">
        <f t="shared" si="7"/>
        <v>14.8</v>
      </c>
      <c r="I54" s="18"/>
      <c r="J54" s="18"/>
      <c r="K54" s="13"/>
      <c r="L54" s="27"/>
      <c r="M54" s="28"/>
      <c r="N54" s="28"/>
      <c r="O54" s="111"/>
      <c r="P54" s="27"/>
      <c r="Q54" s="35"/>
      <c r="R54" s="35"/>
      <c r="S54" s="35"/>
      <c r="T54" s="1"/>
      <c r="U54" s="1"/>
      <c r="V54" s="1"/>
    </row>
    <row r="55" ht="15.75" customHeight="1">
      <c r="A55" s="13"/>
      <c r="B55" s="85" t="s">
        <v>18</v>
      </c>
      <c r="C55" s="113" t="s">
        <v>99</v>
      </c>
      <c r="D55" s="87" t="s">
        <v>22</v>
      </c>
      <c r="E55" s="114" t="s">
        <v>100</v>
      </c>
      <c r="F55" s="115">
        <v>1.0</v>
      </c>
      <c r="G55" s="90">
        <v>144.0</v>
      </c>
      <c r="H55" s="91">
        <f t="shared" si="7"/>
        <v>144</v>
      </c>
      <c r="I55" s="18"/>
      <c r="J55" s="18"/>
      <c r="K55" s="13"/>
      <c r="L55" s="27"/>
      <c r="M55" s="28"/>
      <c r="N55" s="27"/>
      <c r="O55" s="27"/>
      <c r="P55" s="27"/>
      <c r="Q55" s="35"/>
      <c r="R55" s="35"/>
      <c r="S55" s="35"/>
      <c r="T55" s="1"/>
      <c r="U55" s="1"/>
      <c r="V55" s="1"/>
    </row>
    <row r="56" ht="15.75" customHeight="1">
      <c r="A56" s="13"/>
      <c r="B56" s="85" t="s">
        <v>18</v>
      </c>
      <c r="C56" s="118" t="s">
        <v>101</v>
      </c>
      <c r="D56" s="119" t="s">
        <v>20</v>
      </c>
      <c r="E56" s="120"/>
      <c r="F56" s="121">
        <v>3.0</v>
      </c>
      <c r="G56" s="122">
        <v>6.0</v>
      </c>
      <c r="H56" s="91">
        <f t="shared" si="7"/>
        <v>18</v>
      </c>
      <c r="I56" s="18"/>
      <c r="J56" s="18"/>
      <c r="K56" s="13"/>
      <c r="L56" s="27"/>
      <c r="M56" s="28"/>
      <c r="N56" s="27"/>
      <c r="O56" s="27"/>
      <c r="P56" s="27"/>
      <c r="Q56" s="35"/>
      <c r="R56" s="35"/>
      <c r="S56" s="35"/>
      <c r="T56" s="1"/>
      <c r="U56" s="1"/>
      <c r="V56" s="1"/>
    </row>
    <row r="57" ht="15.75" customHeight="1">
      <c r="A57" s="13" t="s">
        <v>103</v>
      </c>
      <c r="B57" s="130"/>
      <c r="C57" s="118" t="s">
        <v>104</v>
      </c>
      <c r="D57" s="126" t="s">
        <v>24</v>
      </c>
      <c r="E57" s="120"/>
      <c r="F57" s="121">
        <v>3.0</v>
      </c>
      <c r="G57" s="122">
        <v>80.0</v>
      </c>
      <c r="H57" s="91">
        <f t="shared" si="7"/>
        <v>240</v>
      </c>
      <c r="I57" s="18"/>
      <c r="J57" s="18"/>
      <c r="K57" s="13"/>
      <c r="L57" s="27"/>
      <c r="M57" s="28"/>
      <c r="N57" s="27"/>
      <c r="O57" s="127"/>
      <c r="P57" s="27"/>
      <c r="Q57" s="35"/>
      <c r="R57" s="35"/>
      <c r="S57" s="35"/>
      <c r="T57" s="1"/>
      <c r="U57" s="1"/>
      <c r="V57" s="1"/>
    </row>
    <row r="58" ht="15.75" customHeight="1">
      <c r="A58" s="13"/>
      <c r="B58" s="85" t="s">
        <v>64</v>
      </c>
      <c r="C58" s="94" t="s">
        <v>105</v>
      </c>
      <c r="D58" s="87" t="s">
        <v>22</v>
      </c>
      <c r="E58" s="128"/>
      <c r="F58" s="129">
        <v>1.0</v>
      </c>
      <c r="G58" s="91">
        <v>5.0</v>
      </c>
      <c r="H58" s="91">
        <f t="shared" si="7"/>
        <v>5</v>
      </c>
      <c r="I58" s="18"/>
      <c r="J58" s="18"/>
      <c r="K58" s="13"/>
      <c r="L58" s="27"/>
      <c r="M58" s="28"/>
      <c r="N58" s="27"/>
      <c r="O58" s="28"/>
      <c r="P58" s="27"/>
      <c r="Q58" s="35"/>
      <c r="R58" s="35"/>
      <c r="S58" s="35"/>
      <c r="T58" s="1"/>
      <c r="U58" s="1"/>
      <c r="V58" s="1"/>
    </row>
    <row r="59" ht="15.75" customHeight="1">
      <c r="A59" s="13"/>
      <c r="B59" s="85" t="s">
        <v>18</v>
      </c>
      <c r="C59" s="94" t="s">
        <v>106</v>
      </c>
      <c r="D59" s="87" t="s">
        <v>22</v>
      </c>
      <c r="E59" s="88" t="s">
        <v>107</v>
      </c>
      <c r="F59" s="105">
        <v>1.0</v>
      </c>
      <c r="G59" s="106">
        <v>28.8</v>
      </c>
      <c r="H59" s="91">
        <f t="shared" si="7"/>
        <v>28.8</v>
      </c>
      <c r="I59" s="18"/>
      <c r="J59" s="18"/>
      <c r="K59" s="13"/>
      <c r="L59" s="27"/>
      <c r="M59" s="28"/>
      <c r="N59" s="27"/>
      <c r="O59" s="28"/>
      <c r="P59" s="27"/>
      <c r="Q59" s="35"/>
      <c r="R59" s="35"/>
      <c r="S59" s="35"/>
      <c r="T59" s="1"/>
      <c r="U59" s="1"/>
      <c r="V59" s="1"/>
    </row>
    <row r="60" ht="15.75" customHeight="1">
      <c r="A60" s="13"/>
      <c r="B60" s="85" t="s">
        <v>18</v>
      </c>
      <c r="C60" s="94" t="s">
        <v>108</v>
      </c>
      <c r="D60" s="87" t="s">
        <v>22</v>
      </c>
      <c r="E60" s="88" t="s">
        <v>109</v>
      </c>
      <c r="F60" s="105">
        <v>1.0</v>
      </c>
      <c r="G60" s="106">
        <v>12.0</v>
      </c>
      <c r="H60" s="91">
        <f t="shared" si="7"/>
        <v>12</v>
      </c>
      <c r="I60" s="18"/>
      <c r="J60" s="18"/>
      <c r="K60" s="13"/>
      <c r="L60" s="63"/>
      <c r="M60" s="79"/>
      <c r="N60" s="63"/>
      <c r="O60" s="79"/>
      <c r="P60" s="79"/>
      <c r="Q60" s="35"/>
      <c r="R60" s="35"/>
      <c r="S60" s="35"/>
      <c r="T60" s="1"/>
      <c r="U60" s="1"/>
      <c r="V60" s="1"/>
    </row>
    <row r="61" ht="15.75" customHeight="1">
      <c r="A61" s="13"/>
      <c r="B61" s="85" t="s">
        <v>18</v>
      </c>
      <c r="C61" s="94" t="s">
        <v>110</v>
      </c>
      <c r="D61" s="87" t="s">
        <v>22</v>
      </c>
      <c r="E61" s="88" t="s">
        <v>111</v>
      </c>
      <c r="F61" s="105">
        <v>1.0</v>
      </c>
      <c r="G61" s="106">
        <v>18.0</v>
      </c>
      <c r="H61" s="91">
        <f t="shared" si="7"/>
        <v>18</v>
      </c>
      <c r="I61" s="18"/>
      <c r="J61" s="18"/>
      <c r="K61" s="13"/>
      <c r="L61" s="27"/>
      <c r="M61" s="28"/>
      <c r="N61" s="27"/>
      <c r="O61" s="28"/>
      <c r="P61" s="27"/>
      <c r="Q61" s="35"/>
      <c r="R61" s="35"/>
      <c r="S61" s="35"/>
      <c r="T61" s="1"/>
      <c r="U61" s="1"/>
      <c r="V61" s="1"/>
    </row>
    <row r="62" ht="15.75" customHeight="1">
      <c r="A62" s="13"/>
      <c r="B62" s="85" t="s">
        <v>64</v>
      </c>
      <c r="C62" s="86" t="s">
        <v>112</v>
      </c>
      <c r="D62" s="87" t="s">
        <v>22</v>
      </c>
      <c r="E62" s="130"/>
      <c r="F62" s="105">
        <v>1.0</v>
      </c>
      <c r="G62" s="91">
        <v>50.0</v>
      </c>
      <c r="H62" s="91">
        <f t="shared" si="7"/>
        <v>50</v>
      </c>
      <c r="I62" s="18"/>
      <c r="J62" s="18"/>
      <c r="K62" s="13"/>
      <c r="L62" s="27"/>
      <c r="M62" s="28"/>
      <c r="N62" s="27"/>
      <c r="O62" s="28"/>
      <c r="P62" s="27"/>
      <c r="Q62" s="35"/>
      <c r="R62" s="35"/>
      <c r="S62" s="35"/>
      <c r="T62" s="1"/>
      <c r="U62" s="1"/>
      <c r="V62" s="1"/>
    </row>
    <row r="63" ht="15.75" hidden="1" customHeight="1">
      <c r="A63" s="13"/>
      <c r="B63" s="85" t="s">
        <v>64</v>
      </c>
      <c r="C63" s="86" t="s">
        <v>113</v>
      </c>
      <c r="D63" s="119" t="s">
        <v>20</v>
      </c>
      <c r="E63" s="130"/>
      <c r="F63" s="131">
        <v>0.0</v>
      </c>
      <c r="G63" s="91">
        <v>300.0</v>
      </c>
      <c r="H63" s="91">
        <f t="shared" si="7"/>
        <v>0</v>
      </c>
      <c r="I63" s="18"/>
      <c r="J63" s="18"/>
      <c r="K63" s="13"/>
      <c r="L63" s="27"/>
      <c r="M63" s="28"/>
      <c r="N63" s="27"/>
      <c r="O63" s="27"/>
      <c r="P63" s="27"/>
      <c r="Q63" s="35"/>
      <c r="R63" s="35"/>
      <c r="S63" s="35"/>
      <c r="T63" s="1"/>
      <c r="U63" s="1"/>
      <c r="V63" s="1"/>
    </row>
    <row r="64" ht="15.75" customHeight="1">
      <c r="A64" s="13"/>
      <c r="B64" s="85" t="s">
        <v>64</v>
      </c>
      <c r="C64" s="86" t="s">
        <v>114</v>
      </c>
      <c r="D64" s="87" t="s">
        <v>22</v>
      </c>
      <c r="E64" s="130"/>
      <c r="F64" s="105">
        <v>1.0</v>
      </c>
      <c r="G64" s="91">
        <v>18.0</v>
      </c>
      <c r="H64" s="91">
        <f t="shared" si="7"/>
        <v>18</v>
      </c>
      <c r="I64" s="18"/>
      <c r="J64" s="18"/>
      <c r="K64" s="13"/>
      <c r="L64" s="27"/>
      <c r="M64" s="28"/>
      <c r="N64" s="27"/>
      <c r="O64" s="28"/>
      <c r="P64" s="27"/>
      <c r="Q64" s="35"/>
      <c r="R64" s="35"/>
      <c r="S64" s="35"/>
      <c r="T64" s="1"/>
      <c r="U64" s="1"/>
      <c r="V64" s="1"/>
    </row>
    <row r="65" ht="15.75" customHeight="1">
      <c r="A65" s="13"/>
      <c r="B65" s="85" t="s">
        <v>18</v>
      </c>
      <c r="C65" s="86" t="s">
        <v>115</v>
      </c>
      <c r="D65" s="87" t="s">
        <v>22</v>
      </c>
      <c r="E65" s="88" t="s">
        <v>116</v>
      </c>
      <c r="F65" s="105">
        <v>2.0</v>
      </c>
      <c r="G65" s="106">
        <v>36.0</v>
      </c>
      <c r="H65" s="91">
        <f t="shared" si="7"/>
        <v>72</v>
      </c>
      <c r="I65" s="18"/>
      <c r="J65" s="18"/>
      <c r="K65" s="13"/>
      <c r="L65" s="27"/>
      <c r="M65" s="28"/>
      <c r="N65" s="27"/>
      <c r="O65" s="28"/>
      <c r="P65" s="27"/>
      <c r="Q65" s="35"/>
      <c r="R65" s="35"/>
      <c r="S65" s="35"/>
      <c r="T65" s="1"/>
      <c r="U65" s="1"/>
      <c r="V65" s="1"/>
    </row>
    <row r="66" ht="15.75" customHeight="1">
      <c r="A66" s="13"/>
      <c r="B66" s="85" t="s">
        <v>18</v>
      </c>
      <c r="C66" s="86" t="s">
        <v>117</v>
      </c>
      <c r="D66" s="87" t="s">
        <v>22</v>
      </c>
      <c r="E66" s="132" t="s">
        <v>118</v>
      </c>
      <c r="F66" s="105">
        <v>4.0</v>
      </c>
      <c r="G66" s="106">
        <v>36.0</v>
      </c>
      <c r="H66" s="91">
        <f t="shared" si="7"/>
        <v>144</v>
      </c>
      <c r="I66" s="18"/>
      <c r="J66" s="18"/>
      <c r="K66" s="13"/>
      <c r="L66" s="27"/>
      <c r="M66" s="28"/>
      <c r="N66" s="27"/>
      <c r="O66" s="28"/>
      <c r="P66" s="27"/>
      <c r="Q66" s="35"/>
      <c r="R66" s="35"/>
      <c r="S66" s="35"/>
      <c r="T66" s="1"/>
      <c r="U66" s="1"/>
      <c r="V66" s="1"/>
    </row>
    <row r="67" ht="15.75" customHeight="1">
      <c r="A67" s="13"/>
      <c r="B67" s="85" t="s">
        <v>18</v>
      </c>
      <c r="C67" s="86" t="s">
        <v>119</v>
      </c>
      <c r="D67" s="87" t="s">
        <v>22</v>
      </c>
      <c r="E67" s="132" t="s">
        <v>120</v>
      </c>
      <c r="F67" s="105">
        <v>1.0</v>
      </c>
      <c r="G67" s="106">
        <v>30.0</v>
      </c>
      <c r="H67" s="91">
        <f t="shared" si="7"/>
        <v>30</v>
      </c>
      <c r="I67" s="18"/>
      <c r="J67" s="18"/>
      <c r="K67" s="13"/>
      <c r="L67" s="27"/>
      <c r="M67" s="28"/>
      <c r="N67" s="27"/>
      <c r="O67" s="27"/>
      <c r="P67" s="27">
        <v>19.0</v>
      </c>
      <c r="Q67" s="35"/>
      <c r="R67" s="35"/>
      <c r="S67" s="35"/>
      <c r="T67" s="1"/>
      <c r="U67" s="1"/>
      <c r="V67" s="1"/>
    </row>
    <row r="68" ht="15.75" customHeight="1">
      <c r="A68" s="13"/>
      <c r="B68" s="360" t="s">
        <v>121</v>
      </c>
      <c r="C68" s="354" t="s">
        <v>122</v>
      </c>
      <c r="D68" s="355" t="s">
        <v>22</v>
      </c>
      <c r="E68" s="361" t="s">
        <v>123</v>
      </c>
      <c r="F68" s="362">
        <v>2.0</v>
      </c>
      <c r="G68" s="358">
        <v>143.98</v>
      </c>
      <c r="H68" s="359">
        <f t="shared" si="7"/>
        <v>287.96</v>
      </c>
      <c r="I68" s="18"/>
      <c r="J68" s="18"/>
      <c r="K68" s="43" t="s">
        <v>993</v>
      </c>
      <c r="L68" s="27"/>
      <c r="M68" s="28"/>
      <c r="N68" s="27"/>
      <c r="O68" s="27"/>
      <c r="P68" s="27"/>
      <c r="Q68" s="35"/>
      <c r="R68" s="35"/>
      <c r="S68" s="35"/>
      <c r="T68" s="1"/>
      <c r="U68" s="1"/>
      <c r="V68" s="1"/>
    </row>
    <row r="69" ht="15.75" customHeight="1">
      <c r="A69" s="13"/>
      <c r="B69" s="353" t="s">
        <v>121</v>
      </c>
      <c r="C69" s="363" t="s">
        <v>124</v>
      </c>
      <c r="D69" s="355" t="s">
        <v>22</v>
      </c>
      <c r="E69" s="361" t="s">
        <v>125</v>
      </c>
      <c r="F69" s="362">
        <v>4.0</v>
      </c>
      <c r="G69" s="358">
        <v>163.0</v>
      </c>
      <c r="H69" s="359">
        <f t="shared" si="7"/>
        <v>652</v>
      </c>
      <c r="I69" s="18"/>
      <c r="J69" s="18"/>
      <c r="K69" s="13"/>
      <c r="L69" s="27"/>
      <c r="M69" s="28"/>
      <c r="N69" s="27"/>
      <c r="O69" s="28"/>
      <c r="P69" s="27" t="s">
        <v>126</v>
      </c>
      <c r="Q69" s="35"/>
      <c r="R69" s="35"/>
      <c r="S69" s="35"/>
      <c r="T69" s="1"/>
      <c r="U69" s="1"/>
      <c r="V69" s="1"/>
    </row>
    <row r="70" ht="15.75" customHeight="1">
      <c r="A70" s="13"/>
      <c r="B70" s="85" t="s">
        <v>18</v>
      </c>
      <c r="C70" s="86" t="s">
        <v>954</v>
      </c>
      <c r="D70" s="87" t="s">
        <v>22</v>
      </c>
      <c r="E70" s="132" t="s">
        <v>955</v>
      </c>
      <c r="F70" s="105">
        <v>4.0</v>
      </c>
      <c r="G70" s="106">
        <v>72.0</v>
      </c>
      <c r="H70" s="91">
        <f t="shared" si="7"/>
        <v>288</v>
      </c>
      <c r="I70" s="18"/>
      <c r="J70" s="18"/>
      <c r="K70" s="13"/>
      <c r="L70" s="27"/>
      <c r="M70" s="28"/>
      <c r="N70" s="27"/>
      <c r="O70" s="28"/>
      <c r="P70" s="27">
        <v>19.0</v>
      </c>
      <c r="Q70" s="35"/>
      <c r="R70" s="35"/>
      <c r="S70" s="35"/>
      <c r="T70" s="1"/>
      <c r="U70" s="1"/>
      <c r="V70" s="1"/>
    </row>
    <row r="71" ht="15.75" customHeight="1">
      <c r="A71" s="13"/>
      <c r="B71" s="85" t="s">
        <v>129</v>
      </c>
      <c r="C71" s="86" t="s">
        <v>130</v>
      </c>
      <c r="D71" s="87" t="s">
        <v>22</v>
      </c>
      <c r="E71" s="88" t="s">
        <v>131</v>
      </c>
      <c r="F71" s="105">
        <v>1.0</v>
      </c>
      <c r="G71" s="106">
        <v>89.5</v>
      </c>
      <c r="H71" s="91">
        <f t="shared" si="7"/>
        <v>89.5</v>
      </c>
      <c r="I71" s="18"/>
      <c r="J71" s="18"/>
      <c r="K71" s="13"/>
      <c r="L71" s="13"/>
      <c r="M71" s="19"/>
      <c r="N71" s="13"/>
      <c r="O71" s="13"/>
      <c r="P71" s="13"/>
      <c r="Q71" s="35"/>
      <c r="R71" s="35"/>
      <c r="S71" s="35"/>
      <c r="T71" s="1"/>
      <c r="U71" s="1"/>
      <c r="V71" s="1"/>
    </row>
    <row r="72" ht="15.75" customHeight="1">
      <c r="A72" s="13"/>
      <c r="B72" s="85" t="s">
        <v>18</v>
      </c>
      <c r="C72" s="135" t="s">
        <v>132</v>
      </c>
      <c r="D72" s="136" t="s">
        <v>22</v>
      </c>
      <c r="E72" s="137" t="s">
        <v>133</v>
      </c>
      <c r="F72" s="89">
        <v>1.0</v>
      </c>
      <c r="G72" s="90">
        <v>10.2</v>
      </c>
      <c r="H72" s="91">
        <f t="shared" si="7"/>
        <v>10.2</v>
      </c>
      <c r="I72" s="18"/>
      <c r="J72" s="18"/>
      <c r="K72" s="13"/>
      <c r="L72" s="27"/>
      <c r="M72" s="28"/>
      <c r="N72" s="27"/>
      <c r="O72" s="28"/>
      <c r="P72" s="27">
        <v>19.0</v>
      </c>
      <c r="Q72" s="35"/>
      <c r="R72" s="35"/>
      <c r="S72" s="35"/>
      <c r="T72" s="1"/>
      <c r="U72" s="1"/>
      <c r="V72" s="1"/>
    </row>
    <row r="73" ht="15.75" customHeight="1">
      <c r="A73" s="13"/>
      <c r="B73" s="85" t="s">
        <v>18</v>
      </c>
      <c r="C73" s="86" t="s">
        <v>134</v>
      </c>
      <c r="D73" s="87" t="s">
        <v>22</v>
      </c>
      <c r="E73" s="88" t="s">
        <v>135</v>
      </c>
      <c r="F73" s="105">
        <v>1.0</v>
      </c>
      <c r="G73" s="106">
        <v>20.4</v>
      </c>
      <c r="H73" s="91">
        <f t="shared" si="7"/>
        <v>20.4</v>
      </c>
      <c r="I73" s="18"/>
      <c r="J73" s="18"/>
      <c r="K73" s="13"/>
      <c r="L73" s="27"/>
      <c r="M73" s="28"/>
      <c r="N73" s="27"/>
      <c r="O73" s="27"/>
      <c r="P73" s="27"/>
      <c r="Q73" s="35"/>
      <c r="R73" s="35"/>
      <c r="S73" s="35"/>
      <c r="T73" s="1"/>
      <c r="U73" s="1"/>
      <c r="V73" s="1"/>
    </row>
    <row r="74" ht="15.75" customHeight="1">
      <c r="A74" s="13"/>
      <c r="B74" s="85" t="s">
        <v>18</v>
      </c>
      <c r="C74" s="86" t="s">
        <v>136</v>
      </c>
      <c r="D74" s="87" t="s">
        <v>22</v>
      </c>
      <c r="E74" s="88" t="s">
        <v>137</v>
      </c>
      <c r="F74" s="105">
        <v>1.0</v>
      </c>
      <c r="G74" s="106">
        <v>17.0</v>
      </c>
      <c r="H74" s="91">
        <f t="shared" si="7"/>
        <v>17</v>
      </c>
      <c r="I74" s="18"/>
      <c r="J74" s="18"/>
      <c r="K74" s="13"/>
      <c r="L74" s="27"/>
      <c r="M74" s="28"/>
      <c r="N74" s="27"/>
      <c r="O74" s="28"/>
      <c r="P74" s="27"/>
      <c r="Q74" s="35"/>
      <c r="R74" s="35"/>
      <c r="S74" s="35"/>
      <c r="T74" s="1"/>
      <c r="U74" s="1"/>
      <c r="V74" s="1"/>
    </row>
    <row r="75" ht="15.75" customHeight="1">
      <c r="A75" s="13"/>
      <c r="B75" s="85" t="s">
        <v>18</v>
      </c>
      <c r="C75" s="86" t="s">
        <v>138</v>
      </c>
      <c r="D75" s="87" t="s">
        <v>22</v>
      </c>
      <c r="E75" s="88" t="s">
        <v>139</v>
      </c>
      <c r="F75" s="105">
        <v>1.0</v>
      </c>
      <c r="G75" s="106">
        <v>5.82</v>
      </c>
      <c r="H75" s="91">
        <f t="shared" si="7"/>
        <v>5.82</v>
      </c>
      <c r="I75" s="18"/>
      <c r="J75" s="18"/>
      <c r="K75" s="13"/>
      <c r="L75" s="95"/>
      <c r="M75" s="96"/>
      <c r="N75" s="95"/>
      <c r="O75" s="96"/>
      <c r="P75" s="96"/>
      <c r="Q75" s="35"/>
      <c r="R75" s="35"/>
      <c r="S75" s="35"/>
      <c r="T75" s="1"/>
      <c r="U75" s="1"/>
      <c r="V75" s="1"/>
    </row>
    <row r="76" ht="15.75" customHeight="1">
      <c r="A76" s="13"/>
      <c r="B76" s="85" t="s">
        <v>18</v>
      </c>
      <c r="C76" s="86" t="s">
        <v>140</v>
      </c>
      <c r="D76" s="87" t="s">
        <v>22</v>
      </c>
      <c r="E76" s="88" t="s">
        <v>141</v>
      </c>
      <c r="F76" s="105">
        <v>1.0</v>
      </c>
      <c r="G76" s="106">
        <v>9.6</v>
      </c>
      <c r="H76" s="91">
        <f t="shared" si="7"/>
        <v>9.6</v>
      </c>
      <c r="I76" s="18"/>
      <c r="J76" s="18"/>
      <c r="K76" s="13"/>
      <c r="L76" s="27"/>
      <c r="M76" s="28"/>
      <c r="N76" s="27"/>
      <c r="O76" s="28"/>
      <c r="P76" s="27"/>
      <c r="Q76" s="35"/>
      <c r="R76" s="35"/>
      <c r="S76" s="35"/>
      <c r="T76" s="1"/>
      <c r="U76" s="1"/>
      <c r="V76" s="1"/>
    </row>
    <row r="77" ht="15.75" customHeight="1">
      <c r="A77" s="13"/>
      <c r="B77" s="85" t="s">
        <v>64</v>
      </c>
      <c r="C77" s="86" t="s">
        <v>142</v>
      </c>
      <c r="D77" s="87" t="s">
        <v>22</v>
      </c>
      <c r="E77" s="130"/>
      <c r="F77" s="105">
        <v>1.0</v>
      </c>
      <c r="G77" s="91">
        <v>15.0</v>
      </c>
      <c r="H77" s="91">
        <f t="shared" si="7"/>
        <v>15</v>
      </c>
      <c r="I77" s="18"/>
      <c r="J77" s="18"/>
      <c r="K77" s="13"/>
      <c r="L77" s="95"/>
      <c r="M77" s="96"/>
      <c r="N77" s="95"/>
      <c r="O77" s="95"/>
      <c r="P77" s="95"/>
      <c r="Q77" s="35"/>
      <c r="R77" s="35"/>
      <c r="S77" s="35"/>
      <c r="T77" s="1"/>
      <c r="U77" s="1"/>
      <c r="V77" s="1"/>
    </row>
    <row r="78" ht="15.75" customHeight="1">
      <c r="A78" s="13"/>
      <c r="B78" s="85" t="s">
        <v>18</v>
      </c>
      <c r="C78" s="86" t="s">
        <v>143</v>
      </c>
      <c r="D78" s="87" t="s">
        <v>22</v>
      </c>
      <c r="E78" s="132" t="s">
        <v>144</v>
      </c>
      <c r="F78" s="105">
        <v>2.0</v>
      </c>
      <c r="G78" s="106">
        <v>21.6</v>
      </c>
      <c r="H78" s="91">
        <f t="shared" si="7"/>
        <v>43.2</v>
      </c>
      <c r="I78" s="18"/>
      <c r="J78" s="18"/>
      <c r="K78" s="13"/>
      <c r="L78" s="95"/>
      <c r="M78" s="96"/>
      <c r="N78" s="95"/>
      <c r="O78" s="96"/>
      <c r="P78" s="96"/>
      <c r="Q78" s="35"/>
      <c r="R78" s="35"/>
      <c r="S78" s="35"/>
      <c r="T78" s="1"/>
      <c r="U78" s="1"/>
      <c r="V78" s="1"/>
    </row>
    <row r="79" ht="15.75" customHeight="1">
      <c r="A79" s="13"/>
      <c r="B79" s="85" t="s">
        <v>18</v>
      </c>
      <c r="C79" s="86" t="s">
        <v>145</v>
      </c>
      <c r="D79" s="87" t="s">
        <v>22</v>
      </c>
      <c r="E79" s="88" t="s">
        <v>146</v>
      </c>
      <c r="F79" s="105">
        <v>1.0</v>
      </c>
      <c r="G79" s="106">
        <v>8.4</v>
      </c>
      <c r="H79" s="91">
        <f t="shared" si="7"/>
        <v>8.4</v>
      </c>
      <c r="I79" s="18"/>
      <c r="J79" s="18"/>
      <c r="K79" s="13"/>
      <c r="L79" s="138"/>
      <c r="M79" s="139"/>
      <c r="N79" s="138"/>
      <c r="O79" s="138"/>
      <c r="P79" s="138"/>
      <c r="Q79" s="35"/>
      <c r="R79" s="35"/>
      <c r="S79" s="35"/>
      <c r="T79" s="1"/>
      <c r="U79" s="1"/>
      <c r="V79" s="1"/>
    </row>
    <row r="80" ht="15.75" customHeight="1">
      <c r="A80" s="13"/>
      <c r="B80" s="85" t="s">
        <v>18</v>
      </c>
      <c r="C80" s="86" t="s">
        <v>147</v>
      </c>
      <c r="D80" s="87" t="s">
        <v>22</v>
      </c>
      <c r="E80" s="88" t="s">
        <v>148</v>
      </c>
      <c r="F80" s="105">
        <v>1.0</v>
      </c>
      <c r="G80" s="106">
        <v>6.0</v>
      </c>
      <c r="H80" s="91">
        <f t="shared" si="7"/>
        <v>6</v>
      </c>
      <c r="I80" s="18"/>
      <c r="J80" s="18"/>
      <c r="K80" s="13"/>
      <c r="L80" s="13"/>
      <c r="M80" s="19"/>
      <c r="N80" s="13"/>
      <c r="O80" s="13"/>
      <c r="P80" s="13"/>
      <c r="Q80" s="35"/>
      <c r="R80" s="35"/>
      <c r="S80" s="35"/>
      <c r="T80" s="1"/>
      <c r="U80" s="1"/>
      <c r="V80" s="1"/>
    </row>
    <row r="81" ht="15.75" customHeight="1">
      <c r="A81" s="13"/>
      <c r="B81" s="85" t="s">
        <v>18</v>
      </c>
      <c r="C81" s="86" t="s">
        <v>149</v>
      </c>
      <c r="D81" s="87" t="s">
        <v>22</v>
      </c>
      <c r="E81" s="88" t="s">
        <v>150</v>
      </c>
      <c r="F81" s="105">
        <v>1.0</v>
      </c>
      <c r="G81" s="106">
        <v>40.8</v>
      </c>
      <c r="H81" s="91">
        <f t="shared" si="7"/>
        <v>40.8</v>
      </c>
      <c r="I81" s="18"/>
      <c r="J81" s="18"/>
      <c r="K81" s="13"/>
      <c r="L81" s="107"/>
      <c r="M81" s="19"/>
      <c r="N81" s="13"/>
      <c r="O81" s="13"/>
      <c r="P81" s="13"/>
      <c r="Q81" s="35"/>
      <c r="R81" s="35"/>
      <c r="S81" s="35"/>
      <c r="T81" s="1"/>
      <c r="U81" s="1"/>
      <c r="V81" s="1"/>
    </row>
    <row r="82" ht="15.75" customHeight="1">
      <c r="A82" s="13"/>
      <c r="B82" s="85" t="s">
        <v>18</v>
      </c>
      <c r="C82" s="86" t="s">
        <v>151</v>
      </c>
      <c r="D82" s="87" t="s">
        <v>22</v>
      </c>
      <c r="E82" s="88" t="s">
        <v>152</v>
      </c>
      <c r="F82" s="105">
        <v>1.0</v>
      </c>
      <c r="G82" s="106">
        <v>30.0</v>
      </c>
      <c r="H82" s="91">
        <f t="shared" si="7"/>
        <v>30</v>
      </c>
      <c r="I82" s="18"/>
      <c r="J82" s="18"/>
      <c r="K82" s="13"/>
      <c r="L82" s="95"/>
      <c r="M82" s="96"/>
      <c r="N82" s="95"/>
      <c r="O82" s="140"/>
      <c r="P82" s="95"/>
      <c r="Q82" s="35"/>
      <c r="R82" s="35"/>
      <c r="S82" s="35"/>
      <c r="T82" s="1"/>
      <c r="U82" s="1"/>
      <c r="V82" s="1"/>
    </row>
    <row r="83" ht="15.75" customHeight="1">
      <c r="A83" s="13"/>
      <c r="B83" s="85" t="s">
        <v>18</v>
      </c>
      <c r="C83" s="86" t="s">
        <v>153</v>
      </c>
      <c r="D83" s="87" t="s">
        <v>22</v>
      </c>
      <c r="E83" s="88" t="s">
        <v>154</v>
      </c>
      <c r="F83" s="105">
        <v>1.0</v>
      </c>
      <c r="G83" s="106">
        <v>16.8</v>
      </c>
      <c r="H83" s="91">
        <f t="shared" si="7"/>
        <v>16.8</v>
      </c>
      <c r="I83" s="18"/>
      <c r="J83" s="18"/>
      <c r="K83" s="13"/>
      <c r="L83" s="27"/>
      <c r="M83" s="28"/>
      <c r="N83" s="27"/>
      <c r="O83" s="27"/>
      <c r="P83" s="27"/>
      <c r="Q83" s="35"/>
      <c r="R83" s="35"/>
      <c r="S83" s="35"/>
      <c r="T83" s="1"/>
      <c r="U83" s="1"/>
      <c r="V83" s="1"/>
    </row>
    <row r="84" ht="15.75" customHeight="1">
      <c r="A84" s="13"/>
      <c r="B84" s="85" t="s">
        <v>18</v>
      </c>
      <c r="C84" s="86" t="s">
        <v>155</v>
      </c>
      <c r="D84" s="87" t="s">
        <v>22</v>
      </c>
      <c r="E84" s="132" t="s">
        <v>156</v>
      </c>
      <c r="F84" s="89">
        <v>1.0</v>
      </c>
      <c r="G84" s="90">
        <v>22.8</v>
      </c>
      <c r="H84" s="141">
        <f t="shared" si="7"/>
        <v>22.8</v>
      </c>
      <c r="I84" s="18"/>
      <c r="J84" s="18"/>
      <c r="K84" s="13"/>
      <c r="L84" s="13"/>
      <c r="M84" s="19"/>
      <c r="N84" s="13"/>
      <c r="O84" s="19"/>
      <c r="P84" s="19"/>
      <c r="Q84" s="35"/>
      <c r="R84" s="35"/>
      <c r="S84" s="35"/>
      <c r="T84" s="1"/>
      <c r="U84" s="1"/>
      <c r="V84" s="1"/>
    </row>
    <row r="85" ht="15.75" customHeight="1">
      <c r="A85" s="13"/>
      <c r="B85" s="85" t="s">
        <v>18</v>
      </c>
      <c r="C85" s="86" t="s">
        <v>157</v>
      </c>
      <c r="D85" s="87" t="s">
        <v>22</v>
      </c>
      <c r="E85" s="88" t="s">
        <v>158</v>
      </c>
      <c r="F85" s="105">
        <v>1.0</v>
      </c>
      <c r="G85" s="106">
        <v>36.0</v>
      </c>
      <c r="H85" s="91">
        <f t="shared" si="7"/>
        <v>36</v>
      </c>
      <c r="I85" s="18"/>
      <c r="J85" s="18"/>
      <c r="K85" s="13"/>
      <c r="L85" s="13"/>
      <c r="M85" s="13"/>
      <c r="N85" s="13"/>
      <c r="O85" s="13"/>
      <c r="P85" s="13"/>
      <c r="Q85" s="35"/>
      <c r="R85" s="35"/>
      <c r="S85" s="35"/>
      <c r="T85" s="1"/>
      <c r="U85" s="1"/>
      <c r="V85" s="1"/>
    </row>
    <row r="86" ht="15.75" customHeight="1">
      <c r="A86" s="13"/>
      <c r="B86" s="85" t="s">
        <v>129</v>
      </c>
      <c r="C86" s="86" t="s">
        <v>159</v>
      </c>
      <c r="D86" s="87" t="s">
        <v>22</v>
      </c>
      <c r="E86" s="88" t="s">
        <v>160</v>
      </c>
      <c r="F86" s="105">
        <v>1.0</v>
      </c>
      <c r="G86" s="106">
        <v>82.8</v>
      </c>
      <c r="H86" s="91">
        <f t="shared" si="7"/>
        <v>82.8</v>
      </c>
      <c r="I86" s="18"/>
      <c r="J86" s="18"/>
      <c r="K86" s="13"/>
      <c r="L86" s="27"/>
      <c r="M86" s="28"/>
      <c r="N86" s="27"/>
      <c r="O86" s="28"/>
      <c r="P86" s="27">
        <v>20.0</v>
      </c>
      <c r="Q86" s="35"/>
      <c r="R86" s="35"/>
      <c r="S86" s="35"/>
      <c r="T86" s="1"/>
      <c r="U86" s="1"/>
      <c r="V86" s="1"/>
    </row>
    <row r="87" ht="15.75" customHeight="1">
      <c r="A87" s="13"/>
      <c r="B87" s="85" t="s">
        <v>18</v>
      </c>
      <c r="C87" s="86" t="s">
        <v>161</v>
      </c>
      <c r="D87" s="87" t="s">
        <v>22</v>
      </c>
      <c r="E87" s="88" t="s">
        <v>162</v>
      </c>
      <c r="F87" s="105">
        <v>1.0</v>
      </c>
      <c r="G87" s="106">
        <v>39.6</v>
      </c>
      <c r="H87" s="91">
        <f t="shared" si="7"/>
        <v>39.6</v>
      </c>
      <c r="I87" s="18"/>
      <c r="J87" s="18"/>
      <c r="K87" s="13"/>
      <c r="L87" s="27"/>
      <c r="M87" s="28"/>
      <c r="N87" s="27"/>
      <c r="O87" s="28"/>
      <c r="P87" s="27">
        <v>22.0</v>
      </c>
      <c r="Q87" s="35"/>
      <c r="R87" s="35"/>
      <c r="S87" s="35"/>
      <c r="T87" s="1"/>
      <c r="U87" s="1"/>
      <c r="V87" s="1"/>
    </row>
    <row r="88" ht="15.75" customHeight="1">
      <c r="A88" s="13"/>
      <c r="B88" s="85" t="s">
        <v>18</v>
      </c>
      <c r="C88" s="86" t="s">
        <v>163</v>
      </c>
      <c r="D88" s="87" t="s">
        <v>22</v>
      </c>
      <c r="E88" s="88" t="s">
        <v>164</v>
      </c>
      <c r="F88" s="89">
        <v>1.0</v>
      </c>
      <c r="G88" s="90">
        <v>39.6</v>
      </c>
      <c r="H88" s="91">
        <f t="shared" si="7"/>
        <v>39.6</v>
      </c>
      <c r="I88" s="18"/>
      <c r="J88" s="18"/>
      <c r="K88" s="13"/>
      <c r="L88" s="27"/>
      <c r="M88" s="28"/>
      <c r="N88" s="27"/>
      <c r="O88" s="28"/>
      <c r="P88" s="27"/>
      <c r="Q88" s="35"/>
      <c r="R88" s="35"/>
      <c r="S88" s="35"/>
      <c r="T88" s="1"/>
      <c r="U88" s="1"/>
      <c r="V88" s="1"/>
    </row>
    <row r="89" ht="15.75" customHeight="1">
      <c r="A89" s="13"/>
      <c r="B89" s="142" t="s">
        <v>18</v>
      </c>
      <c r="C89" s="143" t="s">
        <v>165</v>
      </c>
      <c r="D89" s="144" t="s">
        <v>22</v>
      </c>
      <c r="E89" s="145" t="s">
        <v>166</v>
      </c>
      <c r="F89" s="146">
        <v>1.0</v>
      </c>
      <c r="G89" s="147">
        <v>7.1</v>
      </c>
      <c r="H89" s="91">
        <f t="shared" si="7"/>
        <v>7.1</v>
      </c>
      <c r="I89" s="18"/>
      <c r="J89" s="18"/>
      <c r="K89" s="13"/>
      <c r="L89" s="13"/>
      <c r="M89" s="13"/>
      <c r="N89" s="13"/>
      <c r="O89" s="13"/>
      <c r="P89" s="13"/>
      <c r="Q89" s="35"/>
      <c r="R89" s="35"/>
      <c r="S89" s="35"/>
      <c r="T89" s="1"/>
      <c r="U89" s="1"/>
      <c r="V89" s="1"/>
    </row>
    <row r="90" ht="15.75" customHeight="1">
      <c r="A90" s="13"/>
      <c r="B90" s="85" t="s">
        <v>18</v>
      </c>
      <c r="C90" s="86" t="s">
        <v>167</v>
      </c>
      <c r="D90" s="87" t="s">
        <v>22</v>
      </c>
      <c r="E90" s="88" t="s">
        <v>168</v>
      </c>
      <c r="F90" s="105">
        <v>1.0</v>
      </c>
      <c r="G90" s="106">
        <v>9.58</v>
      </c>
      <c r="H90" s="91">
        <f t="shared" si="7"/>
        <v>9.58</v>
      </c>
      <c r="I90" s="18"/>
      <c r="J90" s="18"/>
      <c r="K90" s="13"/>
      <c r="L90" s="13"/>
      <c r="M90" s="13"/>
      <c r="N90" s="13"/>
      <c r="O90" s="13"/>
      <c r="P90" s="13"/>
      <c r="Q90" s="35"/>
      <c r="R90" s="35"/>
      <c r="S90" s="35"/>
      <c r="T90" s="1"/>
      <c r="U90" s="1"/>
      <c r="V90" s="1"/>
    </row>
    <row r="91" ht="15.75" customHeight="1">
      <c r="A91" s="13"/>
      <c r="B91" s="85" t="s">
        <v>129</v>
      </c>
      <c r="C91" s="86" t="s">
        <v>169</v>
      </c>
      <c r="D91" s="87" t="s">
        <v>22</v>
      </c>
      <c r="E91" s="88" t="s">
        <v>170</v>
      </c>
      <c r="F91" s="105">
        <v>1.0</v>
      </c>
      <c r="G91" s="106">
        <v>82.8</v>
      </c>
      <c r="H91" s="91">
        <f t="shared" si="7"/>
        <v>82.8</v>
      </c>
      <c r="I91" s="18"/>
      <c r="J91" s="18"/>
      <c r="K91" s="13"/>
      <c r="L91" s="27"/>
      <c r="M91" s="28"/>
      <c r="N91" s="27"/>
      <c r="O91" s="28"/>
      <c r="P91" s="27"/>
      <c r="Q91" s="35"/>
      <c r="R91" s="35"/>
      <c r="S91" s="35"/>
      <c r="T91" s="1"/>
      <c r="U91" s="1"/>
      <c r="V91" s="1"/>
    </row>
    <row r="92" ht="15.75" customHeight="1">
      <c r="A92" s="13"/>
      <c r="B92" s="85" t="s">
        <v>129</v>
      </c>
      <c r="C92" s="86" t="s">
        <v>171</v>
      </c>
      <c r="D92" s="87" t="s">
        <v>22</v>
      </c>
      <c r="E92" s="88" t="s">
        <v>172</v>
      </c>
      <c r="F92" s="105">
        <v>1.0</v>
      </c>
      <c r="G92" s="106">
        <v>77.85</v>
      </c>
      <c r="H92" s="91">
        <f t="shared" si="7"/>
        <v>77.85</v>
      </c>
      <c r="I92" s="18"/>
      <c r="J92" s="18"/>
      <c r="K92" s="13"/>
      <c r="L92" s="27"/>
      <c r="M92" s="28"/>
      <c r="N92" s="27"/>
      <c r="O92" s="28"/>
      <c r="P92" s="27"/>
      <c r="Q92" s="35"/>
      <c r="R92" s="35"/>
      <c r="S92" s="35"/>
      <c r="T92" s="1"/>
      <c r="U92" s="1"/>
      <c r="V92" s="1"/>
    </row>
    <row r="93" ht="15.75" customHeight="1">
      <c r="A93" s="13"/>
      <c r="B93" s="85"/>
      <c r="C93" s="133" t="s">
        <v>173</v>
      </c>
      <c r="D93" s="14" t="s">
        <v>20</v>
      </c>
      <c r="E93" s="88"/>
      <c r="F93" s="131">
        <v>2.0</v>
      </c>
      <c r="G93" s="106">
        <v>30.0</v>
      </c>
      <c r="H93" s="91">
        <f t="shared" si="7"/>
        <v>60</v>
      </c>
      <c r="I93" s="18"/>
      <c r="J93" s="18"/>
      <c r="K93" s="13"/>
      <c r="L93" s="27"/>
      <c r="M93" s="28"/>
      <c r="N93" s="27"/>
      <c r="O93" s="28"/>
      <c r="P93" s="27"/>
      <c r="Q93" s="35"/>
      <c r="R93" s="35"/>
      <c r="S93" s="35"/>
      <c r="T93" s="1"/>
      <c r="U93" s="1"/>
      <c r="V93" s="1"/>
    </row>
    <row r="94" ht="15.75" customHeight="1">
      <c r="A94" s="13"/>
      <c r="B94" s="85"/>
      <c r="C94" s="133" t="s">
        <v>174</v>
      </c>
      <c r="D94" s="70" t="s">
        <v>24</v>
      </c>
      <c r="E94" s="88"/>
      <c r="F94" s="131">
        <v>1.0</v>
      </c>
      <c r="G94" s="106">
        <v>150.0</v>
      </c>
      <c r="H94" s="91">
        <f t="shared" si="7"/>
        <v>150</v>
      </c>
      <c r="I94" s="18"/>
      <c r="J94" s="18"/>
      <c r="K94" s="13"/>
      <c r="L94" s="27"/>
      <c r="M94" s="28"/>
      <c r="N94" s="27"/>
      <c r="O94" s="28"/>
      <c r="P94" s="27"/>
      <c r="Q94" s="35"/>
      <c r="R94" s="35"/>
      <c r="S94" s="35"/>
      <c r="T94" s="1"/>
      <c r="U94" s="1"/>
      <c r="V94" s="1"/>
    </row>
    <row r="95" ht="23.25" customHeight="1">
      <c r="A95" s="6"/>
      <c r="B95" s="6" t="s">
        <v>175</v>
      </c>
      <c r="C95" s="7">
        <f>SUM(H96:H102)</f>
        <v>236.41</v>
      </c>
      <c r="D95" s="148"/>
      <c r="E95" s="148"/>
      <c r="F95" s="81"/>
      <c r="G95" s="82"/>
      <c r="H95" s="82"/>
      <c r="I95" s="82"/>
      <c r="J95" s="82"/>
      <c r="K95" s="81"/>
      <c r="L95" s="83"/>
      <c r="M95" s="83"/>
      <c r="N95" s="83"/>
      <c r="O95" s="83"/>
      <c r="P95" s="83"/>
      <c r="Q95" s="35"/>
      <c r="R95" s="35"/>
      <c r="S95" s="35"/>
      <c r="T95" s="1"/>
      <c r="U95" s="1"/>
      <c r="V95" s="1"/>
    </row>
    <row r="96" ht="15.75" customHeight="1">
      <c r="A96" s="13"/>
      <c r="B96" s="13" t="s">
        <v>18</v>
      </c>
      <c r="C96" s="149" t="s">
        <v>176</v>
      </c>
      <c r="D96" s="150" t="s">
        <v>22</v>
      </c>
      <c r="E96" s="151" t="s">
        <v>177</v>
      </c>
      <c r="F96" s="48">
        <v>1.0</v>
      </c>
      <c r="G96" s="49">
        <v>65.0</v>
      </c>
      <c r="H96" s="50">
        <f t="shared" ref="H96:H102" si="8">SUM(F96*G96)</f>
        <v>65</v>
      </c>
      <c r="I96" s="18"/>
      <c r="J96" s="18"/>
      <c r="K96" s="13"/>
      <c r="L96" s="27"/>
      <c r="M96" s="28"/>
      <c r="N96" s="27"/>
      <c r="O96" s="28"/>
      <c r="P96" s="28"/>
      <c r="Q96" s="35"/>
      <c r="R96" s="35"/>
      <c r="S96" s="35"/>
      <c r="T96" s="1"/>
      <c r="U96" s="1"/>
      <c r="V96" s="1"/>
    </row>
    <row r="97" ht="15.75" customHeight="1">
      <c r="A97" s="13"/>
      <c r="B97" s="13" t="s">
        <v>18</v>
      </c>
      <c r="C97" s="149" t="s">
        <v>178</v>
      </c>
      <c r="D97" s="150" t="s">
        <v>22</v>
      </c>
      <c r="E97" s="151" t="s">
        <v>179</v>
      </c>
      <c r="F97" s="48">
        <v>1.0</v>
      </c>
      <c r="G97" s="49">
        <v>19.17</v>
      </c>
      <c r="H97" s="50">
        <f t="shared" si="8"/>
        <v>19.17</v>
      </c>
      <c r="I97" s="18"/>
      <c r="J97" s="18"/>
      <c r="K97" s="13"/>
      <c r="L97" s="27"/>
      <c r="M97" s="28"/>
      <c r="N97" s="27"/>
      <c r="O97" s="28"/>
      <c r="P97" s="27"/>
      <c r="Q97" s="35"/>
      <c r="R97" s="35"/>
      <c r="S97" s="35"/>
      <c r="T97" s="1"/>
      <c r="U97" s="1"/>
      <c r="V97" s="1"/>
    </row>
    <row r="98" ht="15.75" customHeight="1">
      <c r="A98" s="13"/>
      <c r="B98" s="13" t="s">
        <v>18</v>
      </c>
      <c r="C98" s="13" t="s">
        <v>180</v>
      </c>
      <c r="D98" s="66" t="s">
        <v>22</v>
      </c>
      <c r="E98" s="33" t="s">
        <v>181</v>
      </c>
      <c r="F98" s="16">
        <v>1.0</v>
      </c>
      <c r="G98" s="34">
        <v>26.4</v>
      </c>
      <c r="H98" s="17">
        <f t="shared" si="8"/>
        <v>26.4</v>
      </c>
      <c r="I98" s="18"/>
      <c r="J98" s="18"/>
      <c r="K98" s="13"/>
      <c r="L98" s="95"/>
      <c r="M98" s="96"/>
      <c r="N98" s="95"/>
      <c r="O98" s="96"/>
      <c r="P98" s="96"/>
      <c r="Q98" s="35"/>
      <c r="R98" s="35"/>
      <c r="S98" s="35"/>
      <c r="T98" s="1"/>
      <c r="U98" s="1"/>
      <c r="V98" s="1"/>
    </row>
    <row r="99" ht="15.75" customHeight="1">
      <c r="A99" s="13"/>
      <c r="B99" s="13" t="s">
        <v>18</v>
      </c>
      <c r="C99" s="18" t="s">
        <v>182</v>
      </c>
      <c r="D99" s="66" t="s">
        <v>22</v>
      </c>
      <c r="E99" s="33" t="s">
        <v>183</v>
      </c>
      <c r="F99" s="16">
        <v>1.0</v>
      </c>
      <c r="G99" s="34">
        <v>42.0</v>
      </c>
      <c r="H99" s="17">
        <f t="shared" si="8"/>
        <v>42</v>
      </c>
      <c r="I99" s="18"/>
      <c r="J99" s="18"/>
      <c r="K99" s="13"/>
      <c r="L99" s="95"/>
      <c r="M99" s="96"/>
      <c r="N99" s="95"/>
      <c r="O99" s="96"/>
      <c r="P99" s="96"/>
      <c r="Q99" s="35"/>
      <c r="R99" s="35"/>
      <c r="S99" s="35"/>
      <c r="T99" s="1"/>
      <c r="U99" s="1"/>
      <c r="V99" s="1"/>
    </row>
    <row r="100" ht="15.75" customHeight="1">
      <c r="A100" s="13"/>
      <c r="B100" s="13" t="s">
        <v>18</v>
      </c>
      <c r="C100" s="13" t="s">
        <v>184</v>
      </c>
      <c r="D100" s="66" t="s">
        <v>22</v>
      </c>
      <c r="E100" s="33" t="s">
        <v>185</v>
      </c>
      <c r="F100" s="48">
        <v>1.0</v>
      </c>
      <c r="G100" s="49">
        <v>9.6</v>
      </c>
      <c r="H100" s="50">
        <f t="shared" si="8"/>
        <v>9.6</v>
      </c>
      <c r="I100" s="18"/>
      <c r="J100" s="18"/>
      <c r="K100" s="13"/>
      <c r="L100" s="27"/>
      <c r="M100" s="28"/>
      <c r="N100" s="27"/>
      <c r="O100" s="28"/>
      <c r="P100" s="27"/>
      <c r="Q100" s="35"/>
      <c r="R100" s="35"/>
      <c r="S100" s="35"/>
      <c r="T100" s="1"/>
      <c r="U100" s="1"/>
      <c r="V100" s="1"/>
    </row>
    <row r="101" ht="15.75" customHeight="1">
      <c r="A101" s="13"/>
      <c r="B101" s="13" t="s">
        <v>18</v>
      </c>
      <c r="C101" s="13" t="s">
        <v>186</v>
      </c>
      <c r="D101" s="66" t="s">
        <v>22</v>
      </c>
      <c r="E101" s="33" t="s">
        <v>187</v>
      </c>
      <c r="F101" s="16">
        <v>1.0</v>
      </c>
      <c r="G101" s="34">
        <v>57.6</v>
      </c>
      <c r="H101" s="17">
        <f t="shared" si="8"/>
        <v>57.6</v>
      </c>
      <c r="I101" s="18"/>
      <c r="J101" s="18"/>
      <c r="K101" s="13"/>
      <c r="L101" s="95"/>
      <c r="M101" s="96"/>
      <c r="N101" s="95"/>
      <c r="O101" s="96"/>
      <c r="P101" s="96"/>
      <c r="Q101" s="35"/>
      <c r="R101" s="35"/>
      <c r="S101" s="35"/>
      <c r="T101" s="1"/>
      <c r="U101" s="1"/>
      <c r="V101" s="1"/>
    </row>
    <row r="102" ht="15.75" customHeight="1">
      <c r="A102" s="13"/>
      <c r="B102" s="13" t="s">
        <v>18</v>
      </c>
      <c r="C102" s="13" t="s">
        <v>188</v>
      </c>
      <c r="D102" s="66" t="s">
        <v>22</v>
      </c>
      <c r="E102" s="33" t="s">
        <v>189</v>
      </c>
      <c r="F102" s="48">
        <v>1.0</v>
      </c>
      <c r="G102" s="49">
        <v>16.64</v>
      </c>
      <c r="H102" s="50">
        <f t="shared" si="8"/>
        <v>16.64</v>
      </c>
      <c r="I102" s="18"/>
      <c r="J102" s="18"/>
      <c r="K102" s="13"/>
      <c r="L102" s="95"/>
      <c r="M102" s="96"/>
      <c r="N102" s="95"/>
      <c r="O102" s="96"/>
      <c r="P102" s="96"/>
      <c r="Q102" s="35"/>
      <c r="R102" s="35"/>
      <c r="S102" s="35"/>
      <c r="T102" s="1"/>
      <c r="U102" s="1"/>
      <c r="V102" s="1"/>
    </row>
    <row r="103" ht="27.0" customHeight="1">
      <c r="A103" s="6"/>
      <c r="B103" s="6" t="s">
        <v>190</v>
      </c>
      <c r="C103" s="7">
        <f>SUM(H104:H142)</f>
        <v>6397.39</v>
      </c>
      <c r="D103" s="148"/>
      <c r="E103" s="148"/>
      <c r="F103" s="81"/>
      <c r="G103" s="82"/>
      <c r="H103" s="82"/>
      <c r="I103" s="82"/>
      <c r="J103" s="82"/>
      <c r="K103" s="81"/>
      <c r="L103" s="83"/>
      <c r="M103" s="83"/>
      <c r="N103" s="83"/>
      <c r="O103" s="83"/>
      <c r="P103" s="83"/>
      <c r="Q103" s="35"/>
      <c r="R103" s="35"/>
      <c r="S103" s="35"/>
      <c r="T103" s="1"/>
      <c r="U103" s="1"/>
      <c r="V103" s="1"/>
    </row>
    <row r="104" ht="15.75" hidden="1" customHeight="1">
      <c r="A104" s="13"/>
      <c r="B104" s="13"/>
      <c r="C104" s="13" t="s">
        <v>191</v>
      </c>
      <c r="D104" s="66" t="s">
        <v>22</v>
      </c>
      <c r="E104" s="15"/>
      <c r="F104" s="16">
        <v>0.0</v>
      </c>
      <c r="G104" s="17">
        <v>0.0</v>
      </c>
      <c r="H104" s="17">
        <f t="shared" ref="H104:H110" si="9">SUM(F104*G104)</f>
        <v>0</v>
      </c>
      <c r="I104" s="18"/>
      <c r="J104" s="18"/>
      <c r="K104" s="13"/>
      <c r="L104" s="13"/>
      <c r="M104" s="13"/>
      <c r="N104" s="13"/>
      <c r="O104" s="13"/>
      <c r="P104" s="13"/>
      <c r="Q104" s="35"/>
      <c r="R104" s="35"/>
      <c r="S104" s="35"/>
      <c r="T104" s="1"/>
      <c r="U104" s="1"/>
      <c r="V104" s="1"/>
    </row>
    <row r="105" ht="15.75" hidden="1" customHeight="1">
      <c r="A105" s="13"/>
      <c r="B105" s="13" t="s">
        <v>18</v>
      </c>
      <c r="C105" s="13" t="s">
        <v>192</v>
      </c>
      <c r="D105" s="66" t="s">
        <v>22</v>
      </c>
      <c r="E105" s="15"/>
      <c r="F105" s="16">
        <v>0.0</v>
      </c>
      <c r="G105" s="17">
        <v>5.0</v>
      </c>
      <c r="H105" s="17">
        <f t="shared" si="9"/>
        <v>0</v>
      </c>
      <c r="I105" s="18"/>
      <c r="J105" s="18"/>
      <c r="K105" s="13"/>
      <c r="L105" s="13"/>
      <c r="M105" s="13"/>
      <c r="N105" s="13"/>
      <c r="O105" s="19"/>
      <c r="P105" s="19"/>
      <c r="Q105" s="35"/>
      <c r="R105" s="35"/>
      <c r="S105" s="35"/>
      <c r="T105" s="1"/>
      <c r="U105" s="1"/>
      <c r="V105" s="1"/>
    </row>
    <row r="106" ht="15.75" hidden="1" customHeight="1">
      <c r="A106" s="13"/>
      <c r="B106" s="13" t="s">
        <v>18</v>
      </c>
      <c r="C106" s="13" t="s">
        <v>193</v>
      </c>
      <c r="D106" s="14" t="s">
        <v>20</v>
      </c>
      <c r="E106" s="15"/>
      <c r="F106" s="16">
        <v>0.0</v>
      </c>
      <c r="G106" s="17">
        <v>0.0</v>
      </c>
      <c r="H106" s="17">
        <f t="shared" si="9"/>
        <v>0</v>
      </c>
      <c r="I106" s="18"/>
      <c r="J106" s="18"/>
      <c r="K106" s="13"/>
      <c r="L106" s="13"/>
      <c r="M106" s="13"/>
      <c r="N106" s="13"/>
      <c r="O106" s="13"/>
      <c r="P106" s="13"/>
      <c r="Q106" s="35"/>
      <c r="R106" s="35"/>
      <c r="S106" s="35"/>
      <c r="T106" s="1"/>
      <c r="U106" s="1"/>
      <c r="V106" s="1"/>
    </row>
    <row r="107" ht="15.75" hidden="1" customHeight="1">
      <c r="A107" s="13"/>
      <c r="B107" s="13" t="s">
        <v>18</v>
      </c>
      <c r="C107" s="13" t="s">
        <v>194</v>
      </c>
      <c r="D107" s="14" t="s">
        <v>20</v>
      </c>
      <c r="E107" s="15"/>
      <c r="F107" s="16">
        <v>0.0</v>
      </c>
      <c r="G107" s="17">
        <v>5.0</v>
      </c>
      <c r="H107" s="17">
        <f t="shared" si="9"/>
        <v>0</v>
      </c>
      <c r="I107" s="18"/>
      <c r="J107" s="18"/>
      <c r="K107" s="13"/>
      <c r="L107" s="13"/>
      <c r="M107" s="13"/>
      <c r="N107" s="13"/>
      <c r="O107" s="13"/>
      <c r="P107" s="13"/>
      <c r="Q107" s="35"/>
      <c r="R107" s="35"/>
      <c r="S107" s="35"/>
      <c r="T107" s="1"/>
      <c r="U107" s="1"/>
      <c r="V107" s="1"/>
    </row>
    <row r="108" ht="15.75" hidden="1" customHeight="1">
      <c r="A108" s="13"/>
      <c r="B108" s="13" t="s">
        <v>18</v>
      </c>
      <c r="C108" s="13" t="s">
        <v>19</v>
      </c>
      <c r="D108" s="14" t="s">
        <v>20</v>
      </c>
      <c r="E108" s="15" t="s">
        <v>195</v>
      </c>
      <c r="F108" s="16">
        <v>0.0</v>
      </c>
      <c r="G108" s="17">
        <v>53.0</v>
      </c>
      <c r="H108" s="17">
        <f t="shared" si="9"/>
        <v>0</v>
      </c>
      <c r="I108" s="18"/>
      <c r="J108" s="18"/>
      <c r="K108" s="13"/>
      <c r="L108" s="13"/>
      <c r="M108" s="13"/>
      <c r="N108" s="13"/>
      <c r="O108" s="13"/>
      <c r="P108" s="13"/>
      <c r="Q108" s="35"/>
      <c r="R108" s="35"/>
      <c r="S108" s="35"/>
      <c r="T108" s="1"/>
      <c r="U108" s="1"/>
      <c r="V108" s="1"/>
    </row>
    <row r="109" ht="15.75" hidden="1" customHeight="1">
      <c r="A109" s="13"/>
      <c r="B109" s="13"/>
      <c r="C109" s="13" t="s">
        <v>25</v>
      </c>
      <c r="D109" s="25" t="s">
        <v>24</v>
      </c>
      <c r="E109" s="15"/>
      <c r="F109" s="16">
        <v>0.0</v>
      </c>
      <c r="G109" s="17">
        <v>103.5</v>
      </c>
      <c r="H109" s="17">
        <f t="shared" si="9"/>
        <v>0</v>
      </c>
      <c r="I109" s="18"/>
      <c r="J109" s="18"/>
      <c r="K109" s="13"/>
      <c r="L109" s="13"/>
      <c r="M109" s="19"/>
      <c r="N109" s="13"/>
      <c r="O109" s="19"/>
      <c r="P109" s="19"/>
      <c r="Q109" s="1"/>
      <c r="R109" s="35"/>
      <c r="S109" s="35"/>
      <c r="T109" s="1"/>
      <c r="U109" s="1"/>
      <c r="V109" s="1"/>
    </row>
    <row r="110" ht="15.75" hidden="1" customHeight="1">
      <c r="A110" s="13"/>
      <c r="B110" s="13"/>
      <c r="C110" s="13" t="s">
        <v>196</v>
      </c>
      <c r="D110" s="14" t="s">
        <v>20</v>
      </c>
      <c r="E110" s="15"/>
      <c r="F110" s="16">
        <v>0.0</v>
      </c>
      <c r="G110" s="17">
        <v>1994.0</v>
      </c>
      <c r="H110" s="17">
        <f t="shared" si="9"/>
        <v>0</v>
      </c>
      <c r="I110" s="18"/>
      <c r="J110" s="18"/>
      <c r="K110" s="13"/>
      <c r="L110" s="13"/>
      <c r="M110" s="13"/>
      <c r="N110" s="13"/>
      <c r="O110" s="13"/>
      <c r="P110" s="13"/>
      <c r="Q110" s="35"/>
      <c r="R110" s="35"/>
      <c r="S110" s="35"/>
      <c r="T110" s="1"/>
      <c r="U110" s="1"/>
      <c r="V110" s="1"/>
    </row>
    <row r="111" ht="15.75" hidden="1" customHeight="1">
      <c r="A111" s="13"/>
      <c r="B111" s="13"/>
      <c r="C111" s="13" t="s">
        <v>197</v>
      </c>
      <c r="D111" s="14" t="s">
        <v>20</v>
      </c>
      <c r="E111" s="15"/>
      <c r="F111" s="16">
        <v>0.0</v>
      </c>
      <c r="G111" s="17">
        <v>0.0</v>
      </c>
      <c r="H111" s="17">
        <v>0.0</v>
      </c>
      <c r="I111" s="18"/>
      <c r="J111" s="18"/>
      <c r="K111" s="13"/>
      <c r="L111" s="13"/>
      <c r="M111" s="13"/>
      <c r="N111" s="13"/>
      <c r="O111" s="13"/>
      <c r="P111" s="13"/>
      <c r="Q111" s="35"/>
      <c r="R111" s="35"/>
      <c r="S111" s="35"/>
      <c r="T111" s="1"/>
      <c r="U111" s="1"/>
      <c r="V111" s="1"/>
    </row>
    <row r="112" ht="15.75" hidden="1" customHeight="1">
      <c r="A112" s="13"/>
      <c r="B112" s="13"/>
      <c r="C112" s="13" t="s">
        <v>198</v>
      </c>
      <c r="D112" s="14" t="s">
        <v>20</v>
      </c>
      <c r="E112" s="15"/>
      <c r="F112" s="16">
        <v>0.0</v>
      </c>
      <c r="G112" s="17">
        <v>100.0</v>
      </c>
      <c r="H112" s="17">
        <f t="shared" ref="H112:H141" si="10">SUM(F112*G112)</f>
        <v>0</v>
      </c>
      <c r="I112" s="18"/>
      <c r="J112" s="18"/>
      <c r="K112" s="13"/>
      <c r="L112" s="13"/>
      <c r="M112" s="13"/>
      <c r="N112" s="13"/>
      <c r="O112" s="13"/>
      <c r="P112" s="13"/>
      <c r="Q112" s="35"/>
      <c r="R112" s="35"/>
      <c r="S112" s="35"/>
      <c r="T112" s="1"/>
      <c r="U112" s="1"/>
      <c r="V112" s="1"/>
    </row>
    <row r="113" ht="15.75" hidden="1" customHeight="1">
      <c r="A113" s="13"/>
      <c r="B113" s="13"/>
      <c r="C113" s="13" t="s">
        <v>199</v>
      </c>
      <c r="D113" s="70" t="s">
        <v>24</v>
      </c>
      <c r="E113" s="15"/>
      <c r="F113" s="16">
        <v>0.0</v>
      </c>
      <c r="G113" s="17">
        <v>80.0</v>
      </c>
      <c r="H113" s="17">
        <f t="shared" si="10"/>
        <v>0</v>
      </c>
      <c r="I113" s="18"/>
      <c r="J113" s="18"/>
      <c r="K113" s="13"/>
      <c r="L113" s="13"/>
      <c r="M113" s="13"/>
      <c r="N113" s="13"/>
      <c r="O113" s="13"/>
      <c r="P113" s="13"/>
      <c r="Q113" s="35"/>
      <c r="R113" s="35"/>
      <c r="S113" s="35"/>
      <c r="T113" s="1"/>
      <c r="U113" s="1"/>
      <c r="V113" s="1"/>
    </row>
    <row r="114" ht="15.75" hidden="1" customHeight="1">
      <c r="A114" s="13"/>
      <c r="B114" s="13"/>
      <c r="C114" s="13" t="s">
        <v>200</v>
      </c>
      <c r="D114" s="70" t="s">
        <v>24</v>
      </c>
      <c r="E114" s="15"/>
      <c r="F114" s="40">
        <v>0.0</v>
      </c>
      <c r="G114" s="17">
        <v>140.0</v>
      </c>
      <c r="H114" s="17">
        <f t="shared" si="10"/>
        <v>0</v>
      </c>
      <c r="I114" s="18"/>
      <c r="J114" s="18"/>
      <c r="K114" s="13"/>
      <c r="L114" s="13"/>
      <c r="M114" s="13"/>
      <c r="N114" s="13"/>
      <c r="O114" s="13"/>
      <c r="P114" s="13"/>
      <c r="Q114" s="35"/>
      <c r="R114" s="35"/>
      <c r="S114" s="35"/>
      <c r="T114" s="1"/>
      <c r="U114" s="1"/>
      <c r="V114" s="1"/>
    </row>
    <row r="115" ht="15.75" customHeight="1">
      <c r="A115" s="13"/>
      <c r="B115" s="13" t="s">
        <v>18</v>
      </c>
      <c r="C115" s="13" t="s">
        <v>201</v>
      </c>
      <c r="D115" s="14" t="s">
        <v>20</v>
      </c>
      <c r="E115" s="152" t="s">
        <v>202</v>
      </c>
      <c r="F115" s="40">
        <v>2.0</v>
      </c>
      <c r="G115" s="34">
        <v>240.0</v>
      </c>
      <c r="H115" s="17">
        <f t="shared" si="10"/>
        <v>480</v>
      </c>
      <c r="I115" s="18"/>
      <c r="J115" s="18"/>
      <c r="K115" s="13"/>
      <c r="L115" s="27"/>
      <c r="M115" s="27"/>
      <c r="N115" s="27"/>
      <c r="O115" s="27"/>
      <c r="P115" s="27"/>
      <c r="Q115" s="35"/>
      <c r="R115" s="35"/>
      <c r="S115" s="35"/>
      <c r="T115" s="1"/>
      <c r="U115" s="1"/>
      <c r="V115" s="1"/>
    </row>
    <row r="116" ht="15.75" customHeight="1">
      <c r="A116" s="13"/>
      <c r="B116" s="13"/>
      <c r="C116" s="13" t="s">
        <v>203</v>
      </c>
      <c r="D116" s="70" t="s">
        <v>24</v>
      </c>
      <c r="E116" s="15"/>
      <c r="F116" s="40">
        <v>2.0</v>
      </c>
      <c r="G116" s="17">
        <v>95.0</v>
      </c>
      <c r="H116" s="17">
        <f t="shared" si="10"/>
        <v>190</v>
      </c>
      <c r="I116" s="18"/>
      <c r="J116" s="18"/>
      <c r="K116" s="13"/>
      <c r="L116" s="63"/>
      <c r="M116" s="79"/>
      <c r="N116" s="63"/>
      <c r="O116" s="153"/>
      <c r="P116" s="79"/>
      <c r="Q116" s="35"/>
      <c r="R116" s="35"/>
      <c r="S116" s="35"/>
      <c r="T116" s="1"/>
      <c r="U116" s="1"/>
      <c r="V116" s="1"/>
    </row>
    <row r="117" ht="15.75" hidden="1" customHeight="1">
      <c r="A117" s="13"/>
      <c r="B117" s="13"/>
      <c r="C117" s="13" t="s">
        <v>204</v>
      </c>
      <c r="D117" s="70" t="s">
        <v>24</v>
      </c>
      <c r="E117" s="15"/>
      <c r="F117" s="40">
        <v>0.0</v>
      </c>
      <c r="G117" s="17">
        <v>120.0</v>
      </c>
      <c r="H117" s="17">
        <f t="shared" si="10"/>
        <v>0</v>
      </c>
      <c r="I117" s="18"/>
      <c r="J117" s="18"/>
      <c r="K117" s="13"/>
      <c r="L117" s="63"/>
      <c r="M117" s="79"/>
      <c r="N117" s="63"/>
      <c r="O117" s="153"/>
      <c r="P117" s="79"/>
      <c r="Q117" s="35"/>
      <c r="R117" s="35"/>
      <c r="S117" s="35"/>
      <c r="T117" s="1"/>
      <c r="U117" s="1"/>
      <c r="V117" s="1"/>
    </row>
    <row r="118" ht="15.75" customHeight="1">
      <c r="A118" s="13"/>
      <c r="B118" s="13" t="s">
        <v>18</v>
      </c>
      <c r="C118" s="13" t="s">
        <v>205</v>
      </c>
      <c r="D118" s="14" t="s">
        <v>20</v>
      </c>
      <c r="E118" s="15"/>
      <c r="F118" s="40">
        <v>14.0</v>
      </c>
      <c r="G118" s="17">
        <v>5.0</v>
      </c>
      <c r="H118" s="17">
        <f t="shared" si="10"/>
        <v>70</v>
      </c>
      <c r="I118" s="18"/>
      <c r="J118" s="18"/>
      <c r="K118" s="13"/>
      <c r="L118" s="27"/>
      <c r="M118" s="27"/>
      <c r="N118" s="27"/>
      <c r="O118" s="27"/>
      <c r="P118" s="27"/>
      <c r="Q118" s="35"/>
      <c r="R118" s="35"/>
      <c r="S118" s="35"/>
      <c r="T118" s="1"/>
      <c r="U118" s="1"/>
      <c r="V118" s="1"/>
    </row>
    <row r="119" ht="15.75" hidden="1" customHeight="1">
      <c r="A119" s="13"/>
      <c r="B119" s="13" t="s">
        <v>18</v>
      </c>
      <c r="C119" s="13" t="s">
        <v>206</v>
      </c>
      <c r="D119" s="14" t="s">
        <v>20</v>
      </c>
      <c r="E119" s="15"/>
      <c r="F119" s="40">
        <v>0.0</v>
      </c>
      <c r="G119" s="17">
        <v>5.0</v>
      </c>
      <c r="H119" s="17">
        <f t="shared" si="10"/>
        <v>0</v>
      </c>
      <c r="I119" s="18"/>
      <c r="J119" s="18"/>
      <c r="K119" s="13"/>
      <c r="L119" s="27"/>
      <c r="M119" s="27"/>
      <c r="N119" s="27"/>
      <c r="O119" s="27"/>
      <c r="P119" s="27"/>
      <c r="Q119" s="35"/>
      <c r="R119" s="35"/>
      <c r="S119" s="35"/>
      <c r="T119" s="1"/>
      <c r="U119" s="1"/>
      <c r="V119" s="1"/>
    </row>
    <row r="120" ht="15.75" customHeight="1">
      <c r="A120" s="13"/>
      <c r="B120" s="13" t="s">
        <v>18</v>
      </c>
      <c r="C120" s="13" t="s">
        <v>207</v>
      </c>
      <c r="D120" s="14" t="s">
        <v>20</v>
      </c>
      <c r="E120" s="15"/>
      <c r="F120" s="16">
        <v>4.0</v>
      </c>
      <c r="G120" s="17">
        <v>6.3</v>
      </c>
      <c r="H120" s="17">
        <f t="shared" si="10"/>
        <v>25.2</v>
      </c>
      <c r="I120" s="18"/>
      <c r="J120" s="18"/>
      <c r="K120" s="13"/>
      <c r="L120" s="27"/>
      <c r="M120" s="27"/>
      <c r="N120" s="27"/>
      <c r="O120" s="27"/>
      <c r="P120" s="27"/>
      <c r="Q120" s="35"/>
      <c r="R120" s="35"/>
      <c r="S120" s="35"/>
      <c r="T120" s="1"/>
      <c r="U120" s="1"/>
      <c r="V120" s="1"/>
    </row>
    <row r="121" ht="15.75" hidden="1" customHeight="1">
      <c r="A121" s="13"/>
      <c r="B121" s="13"/>
      <c r="C121" s="13" t="s">
        <v>208</v>
      </c>
      <c r="D121" s="70" t="s">
        <v>24</v>
      </c>
      <c r="E121" s="15"/>
      <c r="F121" s="16">
        <v>0.0</v>
      </c>
      <c r="G121" s="17">
        <v>210.0</v>
      </c>
      <c r="H121" s="17">
        <f t="shared" si="10"/>
        <v>0</v>
      </c>
      <c r="I121" s="18"/>
      <c r="J121" s="18"/>
      <c r="K121" s="13"/>
      <c r="L121" s="63"/>
      <c r="M121" s="63"/>
      <c r="N121" s="63"/>
      <c r="O121" s="63"/>
      <c r="P121" s="63"/>
      <c r="Q121" s="35"/>
      <c r="R121" s="35"/>
      <c r="S121" s="35"/>
      <c r="T121" s="1"/>
      <c r="U121" s="1"/>
      <c r="V121" s="1"/>
    </row>
    <row r="122" ht="15.75" hidden="1" customHeight="1">
      <c r="A122" s="13"/>
      <c r="B122" s="13"/>
      <c r="C122" s="13" t="s">
        <v>209</v>
      </c>
      <c r="D122" s="70" t="s">
        <v>24</v>
      </c>
      <c r="E122" s="15"/>
      <c r="F122" s="16">
        <v>0.0</v>
      </c>
      <c r="G122" s="17">
        <v>80.0</v>
      </c>
      <c r="H122" s="17">
        <f t="shared" si="10"/>
        <v>0</v>
      </c>
      <c r="I122" s="18"/>
      <c r="J122" s="18"/>
      <c r="K122" s="13"/>
      <c r="L122" s="63"/>
      <c r="M122" s="63"/>
      <c r="N122" s="63"/>
      <c r="O122" s="63"/>
      <c r="P122" s="63"/>
      <c r="Q122" s="35"/>
      <c r="R122" s="35"/>
      <c r="S122" s="35"/>
      <c r="T122" s="1"/>
      <c r="U122" s="1"/>
      <c r="V122" s="1"/>
    </row>
    <row r="123" ht="15.75" hidden="1" customHeight="1">
      <c r="A123" s="13"/>
      <c r="B123" s="13"/>
      <c r="C123" s="13" t="s">
        <v>210</v>
      </c>
      <c r="D123" s="70" t="s">
        <v>24</v>
      </c>
      <c r="E123" s="15"/>
      <c r="F123" s="16">
        <v>0.0</v>
      </c>
      <c r="G123" s="17">
        <v>700.0</v>
      </c>
      <c r="H123" s="17">
        <f t="shared" si="10"/>
        <v>0</v>
      </c>
      <c r="I123" s="18"/>
      <c r="J123" s="18"/>
      <c r="K123" s="13"/>
      <c r="L123" s="63"/>
      <c r="M123" s="63"/>
      <c r="N123" s="63"/>
      <c r="O123" s="63"/>
      <c r="P123" s="63"/>
      <c r="Q123" s="35"/>
      <c r="R123" s="35"/>
      <c r="S123" s="35"/>
      <c r="T123" s="1"/>
      <c r="U123" s="1"/>
      <c r="V123" s="1"/>
    </row>
    <row r="124" ht="15.75" hidden="1" customHeight="1">
      <c r="A124" s="13"/>
      <c r="B124" s="13"/>
      <c r="C124" s="13" t="s">
        <v>211</v>
      </c>
      <c r="D124" s="14" t="s">
        <v>20</v>
      </c>
      <c r="E124" s="15"/>
      <c r="F124" s="16">
        <v>0.0</v>
      </c>
      <c r="G124" s="17">
        <v>600.0</v>
      </c>
      <c r="H124" s="17">
        <f t="shared" si="10"/>
        <v>0</v>
      </c>
      <c r="I124" s="18"/>
      <c r="J124" s="18"/>
      <c r="K124" s="13"/>
      <c r="L124" s="13"/>
      <c r="M124" s="13"/>
      <c r="N124" s="13"/>
      <c r="O124" s="13"/>
      <c r="P124" s="13"/>
      <c r="Q124" s="35"/>
      <c r="R124" s="35"/>
      <c r="S124" s="35"/>
      <c r="T124" s="1"/>
      <c r="U124" s="1"/>
      <c r="V124" s="1"/>
    </row>
    <row r="125" ht="15.75" customHeight="1">
      <c r="A125" s="13"/>
      <c r="B125" s="13" t="s">
        <v>58</v>
      </c>
      <c r="C125" s="13" t="s">
        <v>212</v>
      </c>
      <c r="D125" s="101" t="s">
        <v>32</v>
      </c>
      <c r="E125" s="15" t="s">
        <v>60</v>
      </c>
      <c r="F125" s="16">
        <v>1.0</v>
      </c>
      <c r="G125" s="17">
        <v>0.0</v>
      </c>
      <c r="H125" s="17">
        <f t="shared" si="10"/>
        <v>0</v>
      </c>
      <c r="I125" s="18"/>
      <c r="J125" s="18"/>
      <c r="K125" s="13"/>
      <c r="L125" s="13"/>
      <c r="M125" s="13"/>
      <c r="N125" s="13"/>
      <c r="O125" s="13"/>
      <c r="P125" s="13"/>
      <c r="Q125" s="35"/>
      <c r="R125" s="35"/>
      <c r="S125" s="35"/>
      <c r="T125" s="1"/>
      <c r="U125" s="1"/>
      <c r="V125" s="1"/>
    </row>
    <row r="126" ht="17.25" customHeight="1">
      <c r="A126" s="13"/>
      <c r="B126" s="13" t="s">
        <v>64</v>
      </c>
      <c r="C126" s="13" t="s">
        <v>213</v>
      </c>
      <c r="D126" s="66" t="s">
        <v>22</v>
      </c>
      <c r="E126" s="15"/>
      <c r="F126" s="16">
        <v>1.0</v>
      </c>
      <c r="G126" s="34">
        <v>100.0</v>
      </c>
      <c r="H126" s="17">
        <f t="shared" si="10"/>
        <v>100</v>
      </c>
      <c r="I126" s="18"/>
      <c r="J126" s="18"/>
      <c r="K126" s="13"/>
      <c r="L126" s="13"/>
      <c r="M126" s="19"/>
      <c r="N126" s="13"/>
      <c r="O126" s="19"/>
      <c r="P126" s="19"/>
      <c r="Q126" s="35"/>
      <c r="R126" s="35"/>
      <c r="S126" s="35"/>
      <c r="T126" s="1"/>
      <c r="U126" s="1"/>
      <c r="V126" s="1"/>
    </row>
    <row r="127" ht="16.5" customHeight="1">
      <c r="A127" s="13"/>
      <c r="B127" s="13" t="s">
        <v>64</v>
      </c>
      <c r="C127" s="13" t="s">
        <v>214</v>
      </c>
      <c r="D127" s="66" t="s">
        <v>22</v>
      </c>
      <c r="E127" s="15"/>
      <c r="F127" s="16">
        <v>1.0</v>
      </c>
      <c r="G127" s="17">
        <v>500.0</v>
      </c>
      <c r="H127" s="17">
        <f t="shared" si="10"/>
        <v>500</v>
      </c>
      <c r="I127" s="18"/>
      <c r="J127" s="18"/>
      <c r="K127" s="13"/>
      <c r="L127" s="13"/>
      <c r="M127" s="19"/>
      <c r="N127" s="13"/>
      <c r="O127" s="19"/>
      <c r="P127" s="19"/>
      <c r="Q127" s="35"/>
      <c r="R127" s="35"/>
      <c r="S127" s="35"/>
      <c r="T127" s="1"/>
      <c r="U127" s="1"/>
      <c r="V127" s="1"/>
    </row>
    <row r="128" ht="15.75" customHeight="1">
      <c r="A128" s="13"/>
      <c r="B128" s="364" t="s">
        <v>85</v>
      </c>
      <c r="C128" s="365" t="s">
        <v>215</v>
      </c>
      <c r="D128" s="366" t="s">
        <v>32</v>
      </c>
      <c r="E128" s="367">
        <v>101272.0</v>
      </c>
      <c r="F128" s="368">
        <v>14.0</v>
      </c>
      <c r="G128" s="369">
        <v>201.3</v>
      </c>
      <c r="H128" s="370">
        <f t="shared" si="10"/>
        <v>2818.2</v>
      </c>
      <c r="I128" s="371"/>
      <c r="J128" s="18"/>
      <c r="K128" s="43"/>
      <c r="L128" s="27"/>
      <c r="M128" s="28"/>
      <c r="N128" s="27"/>
      <c r="O128" s="27"/>
      <c r="P128" s="27"/>
      <c r="Q128" s="35"/>
      <c r="R128" s="35"/>
      <c r="S128" s="35"/>
      <c r="T128" s="1"/>
      <c r="U128" s="1"/>
      <c r="V128" s="1"/>
    </row>
    <row r="129" ht="15.75" hidden="1" customHeight="1">
      <c r="A129" s="13"/>
      <c r="B129" s="13"/>
      <c r="C129" s="13" t="s">
        <v>216</v>
      </c>
      <c r="D129" s="70" t="s">
        <v>24</v>
      </c>
      <c r="E129" s="15"/>
      <c r="F129" s="16">
        <v>0.0</v>
      </c>
      <c r="G129" s="17">
        <v>38.0</v>
      </c>
      <c r="H129" s="17">
        <f t="shared" si="10"/>
        <v>0</v>
      </c>
      <c r="I129" s="18"/>
      <c r="J129" s="18"/>
      <c r="K129" s="13"/>
      <c r="L129" s="27"/>
      <c r="M129" s="28"/>
      <c r="N129" s="27"/>
      <c r="O129" s="27"/>
      <c r="P129" s="27"/>
      <c r="Q129" s="35"/>
      <c r="R129" s="35"/>
      <c r="S129" s="35"/>
      <c r="T129" s="1"/>
      <c r="U129" s="1"/>
      <c r="V129" s="1"/>
    </row>
    <row r="130" ht="15.75" hidden="1" customHeight="1">
      <c r="A130" s="13"/>
      <c r="B130" s="13" t="s">
        <v>217</v>
      </c>
      <c r="C130" s="13" t="s">
        <v>218</v>
      </c>
      <c r="D130" s="101" t="s">
        <v>32</v>
      </c>
      <c r="E130" s="154"/>
      <c r="F130" s="40">
        <v>0.0</v>
      </c>
      <c r="G130" s="34">
        <v>2247.3</v>
      </c>
      <c r="H130" s="17">
        <f t="shared" si="10"/>
        <v>0</v>
      </c>
      <c r="I130" s="18"/>
      <c r="J130" s="18"/>
      <c r="K130" s="13"/>
      <c r="L130" s="27"/>
      <c r="M130" s="27"/>
      <c r="N130" s="27"/>
      <c r="O130" s="27"/>
      <c r="P130" s="27"/>
      <c r="Q130" s="35"/>
      <c r="R130" s="35"/>
      <c r="S130" s="35"/>
      <c r="T130" s="1"/>
      <c r="U130" s="1"/>
      <c r="V130" s="1"/>
    </row>
    <row r="131" ht="15.75" customHeight="1">
      <c r="A131" s="13"/>
      <c r="B131" s="13" t="s">
        <v>219</v>
      </c>
      <c r="C131" s="13" t="s">
        <v>220</v>
      </c>
      <c r="D131" s="14" t="s">
        <v>20</v>
      </c>
      <c r="E131" s="15"/>
      <c r="F131" s="16">
        <v>1.0</v>
      </c>
      <c r="G131" s="34">
        <v>800.0</v>
      </c>
      <c r="H131" s="17">
        <f t="shared" si="10"/>
        <v>800</v>
      </c>
      <c r="I131" s="18"/>
      <c r="J131" s="18"/>
      <c r="K131" s="13"/>
      <c r="L131" s="13"/>
      <c r="M131" s="13"/>
      <c r="N131" s="13"/>
      <c r="O131" s="13"/>
      <c r="P131" s="13"/>
      <c r="Q131" s="35"/>
      <c r="R131" s="35"/>
      <c r="S131" s="35"/>
      <c r="T131" s="1"/>
      <c r="U131" s="1"/>
      <c r="V131" s="1"/>
    </row>
    <row r="132" ht="15.75" hidden="1" customHeight="1">
      <c r="A132" s="13"/>
      <c r="B132" s="13"/>
      <c r="C132" s="13" t="s">
        <v>221</v>
      </c>
      <c r="D132" s="70" t="s">
        <v>24</v>
      </c>
      <c r="E132" s="15"/>
      <c r="F132" s="16">
        <v>0.0</v>
      </c>
      <c r="G132" s="17">
        <v>40.0</v>
      </c>
      <c r="H132" s="17">
        <f t="shared" si="10"/>
        <v>0</v>
      </c>
      <c r="I132" s="18"/>
      <c r="J132" s="18"/>
      <c r="K132" s="13"/>
      <c r="L132" s="13"/>
      <c r="M132" s="13"/>
      <c r="N132" s="13"/>
      <c r="O132" s="13"/>
      <c r="P132" s="13"/>
      <c r="Q132" s="35"/>
      <c r="R132" s="35"/>
      <c r="S132" s="35"/>
      <c r="T132" s="1"/>
      <c r="U132" s="1"/>
      <c r="V132" s="1"/>
    </row>
    <row r="133" ht="15.75" hidden="1" customHeight="1">
      <c r="A133" s="13"/>
      <c r="B133" s="13"/>
      <c r="C133" s="18" t="s">
        <v>222</v>
      </c>
      <c r="D133" s="70" t="s">
        <v>24</v>
      </c>
      <c r="E133" s="15"/>
      <c r="F133" s="16">
        <v>0.0</v>
      </c>
      <c r="G133" s="17">
        <v>40.0</v>
      </c>
      <c r="H133" s="17">
        <f t="shared" si="10"/>
        <v>0</v>
      </c>
      <c r="I133" s="18"/>
      <c r="J133" s="18"/>
      <c r="K133" s="13"/>
      <c r="L133" s="63"/>
      <c r="M133" s="63"/>
      <c r="N133" s="63"/>
      <c r="O133" s="63"/>
      <c r="P133" s="63"/>
      <c r="Q133" s="35"/>
      <c r="R133" s="35"/>
      <c r="S133" s="35"/>
      <c r="T133" s="1"/>
      <c r="U133" s="1"/>
      <c r="V133" s="1"/>
    </row>
    <row r="134" ht="15.75" customHeight="1">
      <c r="A134" s="13"/>
      <c r="B134" s="13" t="s">
        <v>219</v>
      </c>
      <c r="C134" s="18" t="s">
        <v>41</v>
      </c>
      <c r="D134" s="14" t="s">
        <v>20</v>
      </c>
      <c r="E134" s="15" t="s">
        <v>223</v>
      </c>
      <c r="F134" s="40">
        <v>1.0</v>
      </c>
      <c r="G134" s="34">
        <v>500.0</v>
      </c>
      <c r="H134" s="17">
        <f t="shared" si="10"/>
        <v>500</v>
      </c>
      <c r="I134" s="18"/>
      <c r="J134" s="18"/>
      <c r="K134" s="13"/>
      <c r="L134" s="13"/>
      <c r="M134" s="13"/>
      <c r="N134" s="13"/>
      <c r="O134" s="13"/>
      <c r="P134" s="13"/>
      <c r="Q134" s="35"/>
      <c r="R134" s="35"/>
      <c r="S134" s="35"/>
      <c r="T134" s="1"/>
      <c r="U134" s="1"/>
      <c r="V134" s="1"/>
    </row>
    <row r="135" ht="15.75" hidden="1" customHeight="1">
      <c r="A135" s="13"/>
      <c r="B135" s="13"/>
      <c r="C135" s="18" t="s">
        <v>65</v>
      </c>
      <c r="D135" s="14" t="s">
        <v>20</v>
      </c>
      <c r="E135" s="15"/>
      <c r="F135" s="16">
        <v>0.0</v>
      </c>
      <c r="G135" s="17">
        <v>300.0</v>
      </c>
      <c r="H135" s="17">
        <f t="shared" si="10"/>
        <v>0</v>
      </c>
      <c r="I135" s="18"/>
      <c r="J135" s="18"/>
      <c r="K135" s="13"/>
      <c r="L135" s="13"/>
      <c r="M135" s="13"/>
      <c r="N135" s="13"/>
      <c r="O135" s="13"/>
      <c r="P135" s="13"/>
      <c r="Q135" s="35"/>
      <c r="R135" s="35"/>
      <c r="S135" s="35"/>
      <c r="T135" s="1"/>
      <c r="U135" s="1"/>
      <c r="V135" s="1"/>
    </row>
    <row r="136" ht="15.75" hidden="1" customHeight="1">
      <c r="A136" s="13"/>
      <c r="B136" s="13"/>
      <c r="C136" s="18" t="s">
        <v>224</v>
      </c>
      <c r="D136" s="70" t="s">
        <v>24</v>
      </c>
      <c r="E136" s="15"/>
      <c r="F136" s="16">
        <v>0.0</v>
      </c>
      <c r="G136" s="17">
        <v>17.0</v>
      </c>
      <c r="H136" s="17">
        <f t="shared" si="10"/>
        <v>0</v>
      </c>
      <c r="I136" s="18"/>
      <c r="J136" s="18"/>
      <c r="K136" s="13"/>
      <c r="L136" s="13"/>
      <c r="M136" s="13"/>
      <c r="N136" s="13"/>
      <c r="O136" s="13"/>
      <c r="P136" s="13"/>
      <c r="Q136" s="35"/>
      <c r="R136" s="35"/>
      <c r="S136" s="35"/>
      <c r="T136" s="1"/>
      <c r="U136" s="1"/>
      <c r="V136" s="1"/>
    </row>
    <row r="137" ht="15.75" hidden="1" customHeight="1">
      <c r="A137" s="13"/>
      <c r="B137" s="13"/>
      <c r="C137" s="18" t="s">
        <v>225</v>
      </c>
      <c r="D137" s="70" t="s">
        <v>24</v>
      </c>
      <c r="E137" s="15"/>
      <c r="F137" s="16">
        <v>0.0</v>
      </c>
      <c r="G137" s="17">
        <v>115.0</v>
      </c>
      <c r="H137" s="17">
        <f t="shared" si="10"/>
        <v>0</v>
      </c>
      <c r="I137" s="18"/>
      <c r="J137" s="18"/>
      <c r="K137" s="13"/>
      <c r="L137" s="13"/>
      <c r="M137" s="13"/>
      <c r="N137" s="13"/>
      <c r="O137" s="13"/>
      <c r="P137" s="13"/>
      <c r="Q137" s="35"/>
      <c r="R137" s="35"/>
      <c r="S137" s="35"/>
      <c r="T137" s="1"/>
      <c r="U137" s="1"/>
      <c r="V137" s="1"/>
    </row>
    <row r="138" ht="15.75" customHeight="1">
      <c r="A138" s="13"/>
      <c r="B138" s="13" t="s">
        <v>18</v>
      </c>
      <c r="C138" s="18" t="s">
        <v>226</v>
      </c>
      <c r="D138" s="14" t="s">
        <v>20</v>
      </c>
      <c r="E138" s="155" t="s">
        <v>227</v>
      </c>
      <c r="F138" s="16">
        <v>1.0</v>
      </c>
      <c r="G138" s="34">
        <v>264.0</v>
      </c>
      <c r="H138" s="17">
        <f t="shared" si="10"/>
        <v>264</v>
      </c>
      <c r="I138" s="18"/>
      <c r="J138" s="18"/>
      <c r="K138" s="13"/>
      <c r="L138" s="13"/>
      <c r="M138" s="13"/>
      <c r="N138" s="13"/>
      <c r="O138" s="13"/>
      <c r="P138" s="13"/>
      <c r="Q138" s="35"/>
      <c r="R138" s="35"/>
      <c r="S138" s="35"/>
      <c r="T138" s="1"/>
      <c r="U138" s="1"/>
      <c r="V138" s="1"/>
    </row>
    <row r="139" ht="15.75" customHeight="1">
      <c r="A139" s="13"/>
      <c r="B139" s="13" t="s">
        <v>228</v>
      </c>
      <c r="C139" s="18" t="s">
        <v>229</v>
      </c>
      <c r="D139" s="14" t="s">
        <v>20</v>
      </c>
      <c r="E139" s="15"/>
      <c r="F139" s="40">
        <v>10.0</v>
      </c>
      <c r="G139" s="17">
        <v>30.0</v>
      </c>
      <c r="H139" s="17">
        <f t="shared" si="10"/>
        <v>300</v>
      </c>
      <c r="I139" s="18"/>
      <c r="J139" s="18"/>
      <c r="K139" s="13"/>
      <c r="L139" s="13"/>
      <c r="M139" s="13"/>
      <c r="N139" s="13"/>
      <c r="O139" s="13"/>
      <c r="P139" s="13"/>
      <c r="Q139" s="35"/>
      <c r="R139" s="35"/>
      <c r="S139" s="35"/>
      <c r="T139" s="1"/>
      <c r="U139" s="1"/>
      <c r="V139" s="1"/>
    </row>
    <row r="140" ht="15.75" customHeight="1">
      <c r="A140" s="13"/>
      <c r="B140" s="43" t="s">
        <v>18</v>
      </c>
      <c r="C140" s="156" t="s">
        <v>230</v>
      </c>
      <c r="D140" s="14" t="s">
        <v>20</v>
      </c>
      <c r="E140" s="157" t="s">
        <v>231</v>
      </c>
      <c r="F140" s="158">
        <v>4.0</v>
      </c>
      <c r="G140" s="159">
        <v>35.0</v>
      </c>
      <c r="H140" s="50">
        <f t="shared" si="10"/>
        <v>140</v>
      </c>
      <c r="I140" s="18"/>
      <c r="J140" s="18"/>
      <c r="K140" s="13"/>
      <c r="L140" s="13"/>
      <c r="M140" s="13"/>
      <c r="N140" s="13"/>
      <c r="O140" s="13"/>
      <c r="P140" s="13"/>
      <c r="Q140" s="35"/>
      <c r="R140" s="35"/>
      <c r="S140" s="35"/>
      <c r="T140" s="1"/>
      <c r="U140" s="1"/>
      <c r="V140" s="1"/>
    </row>
    <row r="141" ht="15.75" customHeight="1">
      <c r="A141" s="13"/>
      <c r="B141" s="43"/>
      <c r="C141" s="156" t="s">
        <v>232</v>
      </c>
      <c r="D141" s="70" t="s">
        <v>24</v>
      </c>
      <c r="E141" s="160"/>
      <c r="F141" s="158">
        <v>1.0</v>
      </c>
      <c r="G141" s="159">
        <v>150.0</v>
      </c>
      <c r="H141" s="50">
        <f t="shared" si="10"/>
        <v>150</v>
      </c>
      <c r="I141" s="18"/>
      <c r="J141" s="18"/>
      <c r="K141" s="13"/>
      <c r="L141" s="13"/>
      <c r="M141" s="13"/>
      <c r="N141" s="13"/>
      <c r="O141" s="13"/>
      <c r="P141" s="13"/>
      <c r="Q141" s="35"/>
      <c r="R141" s="35"/>
      <c r="S141" s="35"/>
      <c r="T141" s="1"/>
      <c r="U141" s="1"/>
      <c r="V141" s="1"/>
    </row>
    <row r="142" ht="15.75" hidden="1" customHeight="1">
      <c r="A142" s="13"/>
      <c r="B142" s="13" t="s">
        <v>18</v>
      </c>
      <c r="C142" s="18" t="s">
        <v>27</v>
      </c>
      <c r="D142" s="14" t="s">
        <v>20</v>
      </c>
      <c r="E142" s="15" t="s">
        <v>28</v>
      </c>
      <c r="F142" s="16">
        <v>0.0</v>
      </c>
      <c r="G142" s="17">
        <v>69.0</v>
      </c>
      <c r="H142" s="17">
        <v>59.99</v>
      </c>
      <c r="I142" s="18"/>
      <c r="J142" s="18"/>
      <c r="K142" s="13"/>
      <c r="L142" s="27"/>
      <c r="M142" s="27"/>
      <c r="N142" s="27"/>
      <c r="O142" s="27"/>
      <c r="P142" s="27"/>
      <c r="Q142" s="35"/>
      <c r="R142" s="35"/>
      <c r="S142" s="35"/>
      <c r="T142" s="1"/>
      <c r="U142" s="1"/>
      <c r="V142" s="1"/>
    </row>
    <row r="143" ht="23.25" customHeight="1">
      <c r="A143" s="6"/>
      <c r="B143" s="6" t="s">
        <v>233</v>
      </c>
      <c r="C143" s="7">
        <f>SUM(H144:H191)</f>
        <v>9633.6</v>
      </c>
      <c r="D143" s="161"/>
      <c r="E143" s="148"/>
      <c r="F143" s="83"/>
      <c r="G143" s="162"/>
      <c r="H143" s="162"/>
      <c r="I143" s="83"/>
      <c r="J143" s="82"/>
      <c r="K143" s="81"/>
      <c r="L143" s="83"/>
      <c r="M143" s="83"/>
      <c r="N143" s="83"/>
      <c r="O143" s="83"/>
      <c r="P143" s="83"/>
      <c r="Q143" s="35"/>
      <c r="R143" s="35"/>
      <c r="S143" s="35"/>
      <c r="T143" s="1"/>
      <c r="U143" s="1"/>
      <c r="V143" s="1"/>
    </row>
    <row r="144" ht="15.75" hidden="1" customHeight="1">
      <c r="A144" s="13"/>
      <c r="B144" s="13" t="s">
        <v>18</v>
      </c>
      <c r="C144" s="13" t="s">
        <v>27</v>
      </c>
      <c r="D144" s="14" t="s">
        <v>20</v>
      </c>
      <c r="E144" s="15" t="s">
        <v>28</v>
      </c>
      <c r="F144" s="16">
        <v>0.0</v>
      </c>
      <c r="G144" s="17">
        <v>69.0</v>
      </c>
      <c r="H144" s="17">
        <f t="shared" ref="H144:H191" si="11">SUM(F144*G144)</f>
        <v>0</v>
      </c>
      <c r="I144" s="18"/>
      <c r="J144" s="18"/>
      <c r="K144" s="13"/>
      <c r="L144" s="13"/>
      <c r="M144" s="13"/>
      <c r="N144" s="13"/>
      <c r="O144" s="13"/>
      <c r="P144" s="13"/>
      <c r="Q144" s="35"/>
      <c r="R144" s="35"/>
      <c r="S144" s="35"/>
      <c r="T144" s="1"/>
      <c r="U144" s="1"/>
      <c r="V144" s="1"/>
    </row>
    <row r="145" ht="15.75" hidden="1" customHeight="1">
      <c r="A145" s="13"/>
      <c r="B145" s="13" t="s">
        <v>234</v>
      </c>
      <c r="C145" s="13" t="s">
        <v>235</v>
      </c>
      <c r="D145" s="101" t="s">
        <v>32</v>
      </c>
      <c r="E145" s="15" t="s">
        <v>236</v>
      </c>
      <c r="F145" s="16">
        <v>0.0</v>
      </c>
      <c r="G145" s="17">
        <v>368.0</v>
      </c>
      <c r="H145" s="17">
        <f t="shared" si="11"/>
        <v>0</v>
      </c>
      <c r="I145" s="18"/>
      <c r="J145" s="18"/>
      <c r="K145" s="13"/>
      <c r="L145" s="13"/>
      <c r="M145" s="13"/>
      <c r="N145" s="13"/>
      <c r="O145" s="13"/>
      <c r="P145" s="13"/>
      <c r="Q145" s="35"/>
      <c r="R145" s="35"/>
      <c r="S145" s="35"/>
      <c r="T145" s="1"/>
      <c r="U145" s="1"/>
      <c r="V145" s="1"/>
    </row>
    <row r="146" ht="15.75" customHeight="1">
      <c r="A146" s="13"/>
      <c r="B146" s="13" t="s">
        <v>217</v>
      </c>
      <c r="C146" s="13" t="s">
        <v>237</v>
      </c>
      <c r="D146" s="101" t="s">
        <v>32</v>
      </c>
      <c r="E146" s="154">
        <v>81857.0</v>
      </c>
      <c r="F146" s="16">
        <v>1.0</v>
      </c>
      <c r="G146" s="34">
        <v>690.0</v>
      </c>
      <c r="H146" s="17">
        <f t="shared" si="11"/>
        <v>690</v>
      </c>
      <c r="I146" s="18"/>
      <c r="J146" s="18"/>
      <c r="K146" s="43" t="s">
        <v>956</v>
      </c>
      <c r="L146" s="27"/>
      <c r="M146" s="28"/>
      <c r="N146" s="27"/>
      <c r="O146" s="27"/>
      <c r="P146" s="27"/>
      <c r="Q146" s="35"/>
      <c r="R146" s="35"/>
      <c r="S146" s="35"/>
      <c r="T146" s="1"/>
      <c r="U146" s="1"/>
      <c r="V146" s="1"/>
    </row>
    <row r="147" ht="15.75" hidden="1" customHeight="1">
      <c r="A147" s="13"/>
      <c r="B147" s="13"/>
      <c r="C147" s="13" t="s">
        <v>238</v>
      </c>
      <c r="D147" s="14" t="s">
        <v>20</v>
      </c>
      <c r="E147" s="15" t="s">
        <v>223</v>
      </c>
      <c r="F147" s="16">
        <v>0.0</v>
      </c>
      <c r="G147" s="17">
        <v>100.0</v>
      </c>
      <c r="H147" s="17">
        <f t="shared" si="11"/>
        <v>0</v>
      </c>
      <c r="I147" s="18"/>
      <c r="J147" s="18"/>
      <c r="K147" s="13"/>
      <c r="L147" s="13"/>
      <c r="M147" s="19"/>
      <c r="N147" s="13"/>
      <c r="O147" s="38"/>
      <c r="P147" s="19"/>
      <c r="Q147" s="35"/>
      <c r="R147" s="35"/>
      <c r="S147" s="35"/>
      <c r="T147" s="1"/>
      <c r="U147" s="1"/>
      <c r="V147" s="1"/>
    </row>
    <row r="148" ht="15.75" customHeight="1">
      <c r="A148" s="13"/>
      <c r="B148" s="13" t="s">
        <v>239</v>
      </c>
      <c r="C148" s="43" t="s">
        <v>240</v>
      </c>
      <c r="D148" s="14" t="s">
        <v>20</v>
      </c>
      <c r="E148" s="15"/>
      <c r="F148" s="16">
        <v>1.0</v>
      </c>
      <c r="G148" s="34">
        <v>1907.0</v>
      </c>
      <c r="H148" s="17">
        <f t="shared" si="11"/>
        <v>1907</v>
      </c>
      <c r="I148" s="18"/>
      <c r="J148" s="18"/>
      <c r="K148" s="13"/>
      <c r="L148" s="13"/>
      <c r="M148" s="13"/>
      <c r="N148" s="13"/>
      <c r="O148" s="13"/>
      <c r="P148" s="13"/>
      <c r="Q148" s="35"/>
      <c r="R148" s="35"/>
      <c r="S148" s="35"/>
      <c r="T148" s="1"/>
      <c r="U148" s="1"/>
      <c r="V148" s="1"/>
    </row>
    <row r="149" ht="15.75" customHeight="1">
      <c r="A149" s="13"/>
      <c r="B149" s="13"/>
      <c r="C149" s="13" t="s">
        <v>241</v>
      </c>
      <c r="D149" s="70" t="s">
        <v>24</v>
      </c>
      <c r="E149" s="15"/>
      <c r="F149" s="16">
        <v>1.0</v>
      </c>
      <c r="G149" s="34">
        <v>140.0</v>
      </c>
      <c r="H149" s="17">
        <f t="shared" si="11"/>
        <v>140</v>
      </c>
      <c r="I149" s="18"/>
      <c r="J149" s="18"/>
      <c r="K149" s="13"/>
      <c r="L149" s="13"/>
      <c r="M149" s="13"/>
      <c r="N149" s="13"/>
      <c r="O149" s="13"/>
      <c r="P149" s="13"/>
      <c r="Q149" s="35"/>
      <c r="R149" s="35"/>
      <c r="S149" s="35"/>
      <c r="T149" s="1"/>
      <c r="U149" s="1"/>
      <c r="V149" s="1"/>
    </row>
    <row r="150" ht="15.75" hidden="1" customHeight="1">
      <c r="A150" s="13"/>
      <c r="B150" s="13"/>
      <c r="C150" s="13" t="s">
        <v>199</v>
      </c>
      <c r="D150" s="70" t="s">
        <v>24</v>
      </c>
      <c r="E150" s="15"/>
      <c r="F150" s="16">
        <v>0.0</v>
      </c>
      <c r="G150" s="17">
        <v>80.0</v>
      </c>
      <c r="H150" s="17">
        <f t="shared" si="11"/>
        <v>0</v>
      </c>
      <c r="I150" s="18"/>
      <c r="J150" s="18"/>
      <c r="K150" s="13"/>
      <c r="L150" s="13"/>
      <c r="M150" s="13"/>
      <c r="N150" s="13"/>
      <c r="O150" s="13"/>
      <c r="P150" s="13"/>
      <c r="Q150" s="35"/>
      <c r="R150" s="35"/>
      <c r="S150" s="35"/>
      <c r="T150" s="1"/>
      <c r="U150" s="1"/>
      <c r="V150" s="1"/>
    </row>
    <row r="151" ht="15.75" customHeight="1">
      <c r="A151" s="13"/>
      <c r="B151" s="13"/>
      <c r="C151" s="13" t="s">
        <v>242</v>
      </c>
      <c r="D151" s="14" t="s">
        <v>20</v>
      </c>
      <c r="E151" s="15"/>
      <c r="F151" s="40">
        <v>1.0</v>
      </c>
      <c r="G151" s="17">
        <v>150.0</v>
      </c>
      <c r="H151" s="17">
        <f t="shared" si="11"/>
        <v>150</v>
      </c>
      <c r="I151" s="18"/>
      <c r="J151" s="18"/>
      <c r="K151" s="13"/>
      <c r="L151" s="13"/>
      <c r="M151" s="13"/>
      <c r="N151" s="13"/>
      <c r="O151" s="13"/>
      <c r="P151" s="13"/>
      <c r="Q151" s="35"/>
      <c r="R151" s="35"/>
      <c r="S151" s="35"/>
      <c r="T151" s="1"/>
      <c r="U151" s="1"/>
      <c r="V151" s="1"/>
    </row>
    <row r="152" ht="15.75" customHeight="1">
      <c r="A152" s="13"/>
      <c r="B152" s="13" t="s">
        <v>18</v>
      </c>
      <c r="C152" s="13" t="s">
        <v>243</v>
      </c>
      <c r="D152" s="14" t="s">
        <v>20</v>
      </c>
      <c r="E152" s="163" t="s">
        <v>244</v>
      </c>
      <c r="F152" s="16">
        <v>1.0</v>
      </c>
      <c r="G152" s="34">
        <v>204.0</v>
      </c>
      <c r="H152" s="17">
        <f t="shared" si="11"/>
        <v>204</v>
      </c>
      <c r="I152" s="18"/>
      <c r="J152" s="18"/>
      <c r="K152" s="13"/>
      <c r="L152" s="27"/>
      <c r="M152" s="27"/>
      <c r="N152" s="27"/>
      <c r="O152" s="27"/>
      <c r="P152" s="27"/>
      <c r="Q152" s="35"/>
      <c r="R152" s="35"/>
      <c r="S152" s="35"/>
      <c r="T152" s="1"/>
      <c r="U152" s="1"/>
      <c r="V152" s="1"/>
    </row>
    <row r="153" ht="15.75" customHeight="1">
      <c r="A153" s="13"/>
      <c r="B153" s="13"/>
      <c r="C153" s="13" t="s">
        <v>245</v>
      </c>
      <c r="D153" s="70" t="s">
        <v>24</v>
      </c>
      <c r="E153" s="15"/>
      <c r="F153" s="16">
        <v>1.0</v>
      </c>
      <c r="G153" s="17">
        <v>120.0</v>
      </c>
      <c r="H153" s="17">
        <f t="shared" si="11"/>
        <v>120</v>
      </c>
      <c r="I153" s="18"/>
      <c r="J153" s="18"/>
      <c r="K153" s="13"/>
      <c r="L153" s="13"/>
      <c r="M153" s="13"/>
      <c r="N153" s="13"/>
      <c r="O153" s="13"/>
      <c r="P153" s="13"/>
      <c r="Q153" s="35"/>
      <c r="R153" s="35"/>
      <c r="S153" s="35"/>
      <c r="T153" s="1"/>
      <c r="U153" s="1"/>
      <c r="V153" s="1"/>
    </row>
    <row r="154" ht="15.75" customHeight="1">
      <c r="A154" s="13"/>
      <c r="B154" s="13" t="s">
        <v>18</v>
      </c>
      <c r="C154" s="13" t="s">
        <v>246</v>
      </c>
      <c r="D154" s="14" t="s">
        <v>20</v>
      </c>
      <c r="E154" s="15"/>
      <c r="F154" s="16">
        <v>8.0</v>
      </c>
      <c r="G154" s="17">
        <v>5.0</v>
      </c>
      <c r="H154" s="17">
        <f t="shared" si="11"/>
        <v>40</v>
      </c>
      <c r="I154" s="18"/>
      <c r="J154" s="18"/>
      <c r="K154" s="13"/>
      <c r="L154" s="27"/>
      <c r="M154" s="27"/>
      <c r="N154" s="27"/>
      <c r="O154" s="27"/>
      <c r="P154" s="27"/>
      <c r="Q154" s="35"/>
      <c r="R154" s="35"/>
      <c r="S154" s="35"/>
      <c r="T154" s="1"/>
      <c r="U154" s="1"/>
      <c r="V154" s="1"/>
    </row>
    <row r="155" ht="15.75" customHeight="1">
      <c r="A155" s="13"/>
      <c r="B155" s="13" t="s">
        <v>18</v>
      </c>
      <c r="C155" s="13" t="s">
        <v>247</v>
      </c>
      <c r="D155" s="14" t="s">
        <v>20</v>
      </c>
      <c r="E155" s="15" t="s">
        <v>248</v>
      </c>
      <c r="F155" s="40">
        <v>2.0</v>
      </c>
      <c r="G155" s="17">
        <v>10.0</v>
      </c>
      <c r="H155" s="17">
        <f t="shared" si="11"/>
        <v>20</v>
      </c>
      <c r="I155" s="18"/>
      <c r="J155" s="18"/>
      <c r="K155" s="13"/>
      <c r="L155" s="27"/>
      <c r="M155" s="27"/>
      <c r="N155" s="27"/>
      <c r="O155" s="27"/>
      <c r="P155" s="27"/>
      <c r="Q155" s="35"/>
      <c r="R155" s="35"/>
      <c r="S155" s="35"/>
      <c r="T155" s="1"/>
      <c r="U155" s="1"/>
      <c r="V155" s="1"/>
    </row>
    <row r="156" ht="15.75" customHeight="1">
      <c r="A156" s="13"/>
      <c r="B156" s="13"/>
      <c r="C156" s="13" t="s">
        <v>208</v>
      </c>
      <c r="D156" s="70" t="s">
        <v>24</v>
      </c>
      <c r="E156" s="15"/>
      <c r="F156" s="40">
        <v>1.0</v>
      </c>
      <c r="G156" s="17">
        <v>210.0</v>
      </c>
      <c r="H156" s="17">
        <f t="shared" si="11"/>
        <v>210</v>
      </c>
      <c r="I156" s="18"/>
      <c r="J156" s="18"/>
      <c r="K156" s="13"/>
      <c r="L156" s="27"/>
      <c r="M156" s="27"/>
      <c r="N156" s="27"/>
      <c r="O156" s="27"/>
      <c r="P156" s="27"/>
      <c r="Q156" s="35"/>
      <c r="R156" s="35"/>
      <c r="S156" s="35"/>
      <c r="T156" s="1"/>
      <c r="U156" s="1"/>
      <c r="V156" s="1"/>
    </row>
    <row r="157" ht="15.75" hidden="1" customHeight="1">
      <c r="A157" s="13"/>
      <c r="B157" s="13" t="s">
        <v>18</v>
      </c>
      <c r="C157" s="13" t="s">
        <v>249</v>
      </c>
      <c r="D157" s="14" t="s">
        <v>20</v>
      </c>
      <c r="E157" s="15"/>
      <c r="F157" s="16">
        <v>0.0</v>
      </c>
      <c r="G157" s="17">
        <v>5.0</v>
      </c>
      <c r="H157" s="17">
        <f t="shared" si="11"/>
        <v>0</v>
      </c>
      <c r="I157" s="18"/>
      <c r="J157" s="18"/>
      <c r="K157" s="13"/>
      <c r="L157" s="27"/>
      <c r="M157" s="27"/>
      <c r="N157" s="27"/>
      <c r="O157" s="27"/>
      <c r="P157" s="27"/>
      <c r="Q157" s="35"/>
      <c r="R157" s="35"/>
      <c r="S157" s="35"/>
      <c r="T157" s="1"/>
      <c r="U157" s="1"/>
      <c r="V157" s="1"/>
    </row>
    <row r="158" ht="15.75" customHeight="1">
      <c r="A158" s="13"/>
      <c r="B158" s="13" t="s">
        <v>64</v>
      </c>
      <c r="C158" s="13" t="s">
        <v>250</v>
      </c>
      <c r="D158" s="66" t="s">
        <v>22</v>
      </c>
      <c r="E158" s="15"/>
      <c r="F158" s="16">
        <v>2.0</v>
      </c>
      <c r="G158" s="17">
        <v>200.0</v>
      </c>
      <c r="H158" s="17">
        <f t="shared" si="11"/>
        <v>400</v>
      </c>
      <c r="I158" s="18"/>
      <c r="J158" s="18"/>
      <c r="K158" s="13"/>
      <c r="L158" s="13"/>
      <c r="M158" s="13"/>
      <c r="N158" s="13"/>
      <c r="O158" s="13"/>
      <c r="P158" s="13"/>
      <c r="Q158" s="35"/>
      <c r="R158" s="35"/>
      <c r="S158" s="35"/>
      <c r="T158" s="1"/>
      <c r="U158" s="1"/>
      <c r="V158" s="1"/>
    </row>
    <row r="159" ht="15.75" hidden="1" customHeight="1">
      <c r="A159" s="13"/>
      <c r="B159" s="13"/>
      <c r="C159" s="13" t="s">
        <v>251</v>
      </c>
      <c r="D159" s="101" t="s">
        <v>32</v>
      </c>
      <c r="E159" s="15"/>
      <c r="F159" s="16">
        <v>0.0</v>
      </c>
      <c r="G159" s="17">
        <v>0.0</v>
      </c>
      <c r="H159" s="17">
        <f t="shared" si="11"/>
        <v>0</v>
      </c>
      <c r="I159" s="18"/>
      <c r="J159" s="18"/>
      <c r="K159" s="13"/>
      <c r="L159" s="13"/>
      <c r="M159" s="13"/>
      <c r="N159" s="13"/>
      <c r="O159" s="13"/>
      <c r="P159" s="13"/>
      <c r="Q159" s="35"/>
      <c r="R159" s="35"/>
      <c r="S159" s="35"/>
      <c r="T159" s="1"/>
      <c r="U159" s="1"/>
      <c r="V159" s="1"/>
    </row>
    <row r="160" ht="15.75" hidden="1" customHeight="1">
      <c r="A160" s="13"/>
      <c r="B160" s="13" t="s">
        <v>18</v>
      </c>
      <c r="C160" s="13" t="s">
        <v>252</v>
      </c>
      <c r="D160" s="14" t="s">
        <v>20</v>
      </c>
      <c r="E160" s="155" t="s">
        <v>253</v>
      </c>
      <c r="F160" s="40">
        <v>0.0</v>
      </c>
      <c r="G160" s="17">
        <v>400.0</v>
      </c>
      <c r="H160" s="17">
        <f t="shared" si="11"/>
        <v>0</v>
      </c>
      <c r="I160" s="18"/>
      <c r="J160" s="18"/>
      <c r="K160" s="13"/>
      <c r="L160" s="27"/>
      <c r="M160" s="27"/>
      <c r="N160" s="27"/>
      <c r="O160" s="27"/>
      <c r="P160" s="27"/>
      <c r="Q160" s="35"/>
      <c r="R160" s="35"/>
      <c r="S160" s="35"/>
      <c r="T160" s="1"/>
      <c r="U160" s="1"/>
      <c r="V160" s="1"/>
    </row>
    <row r="161" ht="15.75" hidden="1" customHeight="1">
      <c r="A161" s="13"/>
      <c r="B161" s="13" t="s">
        <v>18</v>
      </c>
      <c r="C161" s="13" t="s">
        <v>254</v>
      </c>
      <c r="D161" s="14" t="s">
        <v>20</v>
      </c>
      <c r="E161" s="164" t="s">
        <v>255</v>
      </c>
      <c r="F161" s="16">
        <v>0.0</v>
      </c>
      <c r="G161" s="17">
        <v>11.0</v>
      </c>
      <c r="H161" s="17">
        <f t="shared" si="11"/>
        <v>0</v>
      </c>
      <c r="I161" s="18"/>
      <c r="J161" s="18"/>
      <c r="K161" s="13"/>
      <c r="L161" s="27"/>
      <c r="M161" s="28"/>
      <c r="N161" s="27"/>
      <c r="O161" s="28"/>
      <c r="P161" s="28"/>
      <c r="Q161" s="35"/>
      <c r="R161" s="35"/>
      <c r="S161" s="35"/>
      <c r="T161" s="1"/>
      <c r="U161" s="1"/>
      <c r="V161" s="1"/>
    </row>
    <row r="162" ht="15.75" customHeight="1">
      <c r="A162" s="13"/>
      <c r="B162" s="13" t="s">
        <v>18</v>
      </c>
      <c r="C162" s="13" t="s">
        <v>256</v>
      </c>
      <c r="D162" s="66" t="s">
        <v>22</v>
      </c>
      <c r="E162" s="33" t="s">
        <v>994</v>
      </c>
      <c r="F162" s="16">
        <v>1.0</v>
      </c>
      <c r="G162" s="17">
        <v>80.0</v>
      </c>
      <c r="H162" s="17">
        <f t="shared" si="11"/>
        <v>80</v>
      </c>
      <c r="I162" s="18"/>
      <c r="J162" s="18"/>
      <c r="K162" s="13"/>
      <c r="L162" s="13"/>
      <c r="M162" s="13"/>
      <c r="N162" s="13"/>
      <c r="O162" s="13"/>
      <c r="P162" s="13"/>
      <c r="Q162" s="35"/>
      <c r="R162" s="35"/>
      <c r="S162" s="35"/>
      <c r="T162" s="1"/>
      <c r="U162" s="1"/>
      <c r="V162" s="1"/>
    </row>
    <row r="163" ht="15.75" customHeight="1">
      <c r="A163" s="13"/>
      <c r="B163" s="13" t="s">
        <v>64</v>
      </c>
      <c r="C163" s="13" t="s">
        <v>258</v>
      </c>
      <c r="D163" s="66" t="s">
        <v>22</v>
      </c>
      <c r="E163" s="15"/>
      <c r="F163" s="16">
        <v>1.0</v>
      </c>
      <c r="G163" s="17">
        <v>80.0</v>
      </c>
      <c r="H163" s="17">
        <f t="shared" si="11"/>
        <v>80</v>
      </c>
      <c r="I163" s="18"/>
      <c r="J163" s="18"/>
      <c r="K163" s="13"/>
      <c r="L163" s="13"/>
      <c r="M163" s="13"/>
      <c r="N163" s="13"/>
      <c r="O163" s="13"/>
      <c r="P163" s="13"/>
      <c r="Q163" s="35"/>
      <c r="R163" s="35"/>
      <c r="S163" s="35"/>
      <c r="T163" s="1"/>
      <c r="U163" s="1"/>
      <c r="V163" s="1"/>
    </row>
    <row r="164" ht="15.75" customHeight="1">
      <c r="A164" s="13"/>
      <c r="B164" s="13" t="s">
        <v>58</v>
      </c>
      <c r="C164" s="13" t="s">
        <v>59</v>
      </c>
      <c r="D164" s="14" t="s">
        <v>20</v>
      </c>
      <c r="E164" s="15" t="s">
        <v>60</v>
      </c>
      <c r="F164" s="16">
        <v>1.0</v>
      </c>
      <c r="G164" s="17">
        <v>0.0</v>
      </c>
      <c r="H164" s="17">
        <f t="shared" si="11"/>
        <v>0</v>
      </c>
      <c r="I164" s="18"/>
      <c r="J164" s="18"/>
      <c r="K164" s="13"/>
      <c r="L164" s="13"/>
      <c r="M164" s="13"/>
      <c r="N164" s="13"/>
      <c r="O164" s="13"/>
      <c r="P164" s="13"/>
      <c r="Q164" s="35"/>
      <c r="R164" s="35"/>
      <c r="S164" s="35"/>
      <c r="T164" s="1"/>
      <c r="U164" s="1"/>
      <c r="V164" s="1"/>
    </row>
    <row r="165" ht="15.75" customHeight="1">
      <c r="A165" s="13"/>
      <c r="B165" s="165" t="s">
        <v>234</v>
      </c>
      <c r="C165" s="166" t="s">
        <v>259</v>
      </c>
      <c r="D165" s="167" t="s">
        <v>32</v>
      </c>
      <c r="E165" s="154" t="s">
        <v>260</v>
      </c>
      <c r="F165" s="16">
        <v>1.0</v>
      </c>
      <c r="G165" s="34">
        <v>498.0</v>
      </c>
      <c r="H165" s="17">
        <f t="shared" si="11"/>
        <v>498</v>
      </c>
      <c r="I165" s="18"/>
      <c r="J165" s="18"/>
      <c r="K165" s="13"/>
      <c r="L165" s="27"/>
      <c r="M165" s="28"/>
      <c r="N165" s="27"/>
      <c r="O165" s="27"/>
      <c r="P165" s="27"/>
      <c r="Q165" s="35"/>
      <c r="R165" s="35"/>
      <c r="S165" s="35"/>
      <c r="T165" s="1"/>
      <c r="U165" s="1"/>
      <c r="V165" s="1"/>
    </row>
    <row r="166" ht="15.75" customHeight="1">
      <c r="A166" s="13"/>
      <c r="B166" s="43" t="s">
        <v>234</v>
      </c>
      <c r="C166" s="13" t="s">
        <v>261</v>
      </c>
      <c r="D166" s="101" t="s">
        <v>32</v>
      </c>
      <c r="E166" s="154" t="s">
        <v>262</v>
      </c>
      <c r="F166" s="40">
        <v>2.0</v>
      </c>
      <c r="G166" s="34">
        <v>109.8</v>
      </c>
      <c r="H166" s="17">
        <f t="shared" si="11"/>
        <v>219.6</v>
      </c>
      <c r="I166" s="18"/>
      <c r="J166" s="18"/>
      <c r="K166" s="13"/>
      <c r="L166" s="13"/>
      <c r="M166" s="13"/>
      <c r="N166" s="13"/>
      <c r="O166" s="13"/>
      <c r="P166" s="13"/>
      <c r="Q166" s="35"/>
      <c r="R166" s="35"/>
      <c r="S166" s="35"/>
      <c r="T166" s="1"/>
      <c r="U166" s="1"/>
      <c r="V166" s="1"/>
    </row>
    <row r="167" ht="15.75" hidden="1" customHeight="1">
      <c r="A167" s="13"/>
      <c r="B167" s="13"/>
      <c r="C167" s="13" t="s">
        <v>263</v>
      </c>
      <c r="D167" s="66" t="s">
        <v>22</v>
      </c>
      <c r="E167" s="15"/>
      <c r="F167" s="16">
        <v>0.0</v>
      </c>
      <c r="G167" s="17">
        <v>500.0</v>
      </c>
      <c r="H167" s="17">
        <f t="shared" si="11"/>
        <v>0</v>
      </c>
      <c r="I167" s="18"/>
      <c r="J167" s="18"/>
      <c r="K167" s="13"/>
      <c r="L167" s="13"/>
      <c r="M167" s="13"/>
      <c r="N167" s="13"/>
      <c r="O167" s="13"/>
      <c r="P167" s="13"/>
      <c r="Q167" s="35"/>
      <c r="R167" s="35"/>
      <c r="S167" s="35"/>
      <c r="T167" s="1"/>
      <c r="U167" s="1"/>
      <c r="V167" s="1"/>
    </row>
    <row r="168" ht="15.75" hidden="1" customHeight="1">
      <c r="A168" s="13"/>
      <c r="B168" s="13"/>
      <c r="C168" s="13" t="s">
        <v>67</v>
      </c>
      <c r="D168" s="70" t="s">
        <v>24</v>
      </c>
      <c r="E168" s="15"/>
      <c r="F168" s="16">
        <v>0.0</v>
      </c>
      <c r="G168" s="17">
        <v>18.0</v>
      </c>
      <c r="H168" s="17">
        <f t="shared" si="11"/>
        <v>0</v>
      </c>
      <c r="I168" s="18"/>
      <c r="J168" s="18"/>
      <c r="K168" s="13"/>
      <c r="L168" s="13"/>
      <c r="M168" s="13"/>
      <c r="N168" s="13"/>
      <c r="O168" s="13"/>
      <c r="P168" s="13"/>
      <c r="Q168" s="35"/>
      <c r="R168" s="35"/>
      <c r="S168" s="35"/>
      <c r="T168" s="1"/>
      <c r="U168" s="1"/>
      <c r="V168" s="1"/>
    </row>
    <row r="169" ht="15.75" hidden="1" customHeight="1">
      <c r="A169" s="13"/>
      <c r="B169" s="13" t="s">
        <v>264</v>
      </c>
      <c r="C169" s="13" t="s">
        <v>265</v>
      </c>
      <c r="D169" s="101" t="s">
        <v>32</v>
      </c>
      <c r="E169" s="168"/>
      <c r="F169" s="16">
        <v>0.0</v>
      </c>
      <c r="G169" s="17">
        <v>1600.0</v>
      </c>
      <c r="H169" s="17">
        <f t="shared" si="11"/>
        <v>0</v>
      </c>
      <c r="I169" s="18"/>
      <c r="J169" s="18"/>
      <c r="K169" s="13"/>
      <c r="L169" s="27"/>
      <c r="M169" s="27"/>
      <c r="N169" s="27"/>
      <c r="O169" s="27"/>
      <c r="P169" s="27"/>
      <c r="Q169" s="35"/>
      <c r="R169" s="35"/>
      <c r="S169" s="35"/>
      <c r="T169" s="1"/>
      <c r="U169" s="1"/>
      <c r="V169" s="1"/>
    </row>
    <row r="170" ht="15.75" hidden="1" customHeight="1">
      <c r="A170" s="13"/>
      <c r="B170" s="13" t="s">
        <v>264</v>
      </c>
      <c r="C170" s="169" t="s">
        <v>266</v>
      </c>
      <c r="D170" s="101" t="s">
        <v>32</v>
      </c>
      <c r="E170" s="15">
        <v>551595.0</v>
      </c>
      <c r="F170" s="40">
        <v>0.0</v>
      </c>
      <c r="G170" s="17">
        <v>258.8</v>
      </c>
      <c r="H170" s="17">
        <f t="shared" si="11"/>
        <v>0</v>
      </c>
      <c r="I170" s="18"/>
      <c r="J170" s="18"/>
      <c r="K170" s="13"/>
      <c r="L170" s="27"/>
      <c r="M170" s="28"/>
      <c r="N170" s="27"/>
      <c r="O170" s="27"/>
      <c r="P170" s="27"/>
      <c r="Q170" s="35"/>
      <c r="R170" s="35"/>
      <c r="S170" s="35"/>
      <c r="T170" s="1"/>
      <c r="U170" s="1"/>
      <c r="V170" s="1"/>
    </row>
    <row r="171" ht="15.75" hidden="1" customHeight="1">
      <c r="A171" s="13"/>
      <c r="B171" s="13" t="s">
        <v>264</v>
      </c>
      <c r="C171" s="169" t="s">
        <v>267</v>
      </c>
      <c r="D171" s="101" t="s">
        <v>32</v>
      </c>
      <c r="E171" s="15">
        <v>551594.0</v>
      </c>
      <c r="F171" s="40">
        <v>0.0</v>
      </c>
      <c r="G171" s="17">
        <v>310.8</v>
      </c>
      <c r="H171" s="17">
        <f t="shared" si="11"/>
        <v>0</v>
      </c>
      <c r="I171" s="18"/>
      <c r="J171" s="18"/>
      <c r="K171" s="13"/>
      <c r="L171" s="27"/>
      <c r="M171" s="28"/>
      <c r="N171" s="27"/>
      <c r="O171" s="28"/>
      <c r="P171" s="28"/>
      <c r="Q171" s="35"/>
      <c r="R171" s="35"/>
      <c r="S171" s="35"/>
      <c r="T171" s="1"/>
      <c r="U171" s="1"/>
      <c r="V171" s="1"/>
    </row>
    <row r="172" ht="15.75" hidden="1" customHeight="1">
      <c r="A172" s="13"/>
      <c r="B172" s="13" t="s">
        <v>264</v>
      </c>
      <c r="C172" s="13" t="s">
        <v>268</v>
      </c>
      <c r="D172" s="101" t="s">
        <v>32</v>
      </c>
      <c r="E172" s="15">
        <v>551596.0</v>
      </c>
      <c r="F172" s="40">
        <v>0.0</v>
      </c>
      <c r="G172" s="17">
        <v>240.0</v>
      </c>
      <c r="H172" s="17">
        <f t="shared" si="11"/>
        <v>0</v>
      </c>
      <c r="I172" s="18"/>
      <c r="J172" s="18"/>
      <c r="K172" s="13"/>
      <c r="L172" s="27"/>
      <c r="M172" s="28"/>
      <c r="N172" s="27"/>
      <c r="O172" s="27"/>
      <c r="P172" s="27"/>
      <c r="Q172" s="35"/>
      <c r="R172" s="35"/>
      <c r="S172" s="35"/>
      <c r="T172" s="1"/>
      <c r="U172" s="1"/>
      <c r="V172" s="1"/>
    </row>
    <row r="173" ht="15.75" customHeight="1">
      <c r="A173" s="13"/>
      <c r="B173" s="43" t="s">
        <v>217</v>
      </c>
      <c r="C173" s="43" t="s">
        <v>269</v>
      </c>
      <c r="D173" s="101"/>
      <c r="E173" s="154" t="s">
        <v>270</v>
      </c>
      <c r="F173" s="40">
        <v>1.0</v>
      </c>
      <c r="G173" s="34">
        <v>2526.0</v>
      </c>
      <c r="H173" s="17">
        <f t="shared" si="11"/>
        <v>2526</v>
      </c>
      <c r="I173" s="18"/>
      <c r="J173" s="18"/>
      <c r="K173" s="13"/>
      <c r="L173" s="27"/>
      <c r="M173" s="28"/>
      <c r="N173" s="27"/>
      <c r="O173" s="27"/>
      <c r="P173" s="27"/>
      <c r="Q173" s="35"/>
      <c r="R173" s="35"/>
      <c r="S173" s="35"/>
      <c r="T173" s="1"/>
      <c r="U173" s="1"/>
      <c r="V173" s="1"/>
    </row>
    <row r="174" ht="15.75" hidden="1" customHeight="1">
      <c r="A174" s="13"/>
      <c r="B174" s="13"/>
      <c r="C174" s="170" t="s">
        <v>271</v>
      </c>
      <c r="D174" s="70" t="s">
        <v>24</v>
      </c>
      <c r="E174" s="15"/>
      <c r="F174" s="16">
        <v>0.0</v>
      </c>
      <c r="G174" s="17">
        <v>0.0</v>
      </c>
      <c r="H174" s="17">
        <f t="shared" si="11"/>
        <v>0</v>
      </c>
      <c r="I174" s="18"/>
      <c r="J174" s="18"/>
      <c r="K174" s="13"/>
      <c r="L174" s="27"/>
      <c r="M174" s="28"/>
      <c r="N174" s="27"/>
      <c r="O174" s="27"/>
      <c r="P174" s="27"/>
      <c r="Q174" s="35"/>
      <c r="R174" s="35"/>
      <c r="S174" s="35"/>
      <c r="T174" s="1"/>
      <c r="U174" s="1"/>
      <c r="V174" s="1"/>
    </row>
    <row r="175" ht="15.75" hidden="1" customHeight="1">
      <c r="A175" s="13"/>
      <c r="B175" s="13"/>
      <c r="C175" s="170" t="s">
        <v>272</v>
      </c>
      <c r="D175" s="70" t="s">
        <v>24</v>
      </c>
      <c r="E175" s="15"/>
      <c r="F175" s="16">
        <v>0.0</v>
      </c>
      <c r="G175" s="17">
        <v>247.0</v>
      </c>
      <c r="H175" s="17">
        <f t="shared" si="11"/>
        <v>0</v>
      </c>
      <c r="I175" s="18"/>
      <c r="J175" s="18"/>
      <c r="K175" s="13"/>
      <c r="L175" s="27"/>
      <c r="M175" s="28"/>
      <c r="N175" s="27"/>
      <c r="O175" s="27"/>
      <c r="P175" s="27"/>
      <c r="Q175" s="35"/>
      <c r="R175" s="35"/>
      <c r="S175" s="35"/>
      <c r="T175" s="1"/>
      <c r="U175" s="1"/>
      <c r="V175" s="1"/>
    </row>
    <row r="176" ht="15.75" customHeight="1">
      <c r="A176" s="13"/>
      <c r="B176" s="13" t="s">
        <v>64</v>
      </c>
      <c r="C176" s="13" t="s">
        <v>273</v>
      </c>
      <c r="D176" s="66" t="s">
        <v>22</v>
      </c>
      <c r="E176" s="15"/>
      <c r="F176" s="40">
        <v>4.0</v>
      </c>
      <c r="G176" s="34">
        <v>35.0</v>
      </c>
      <c r="H176" s="17">
        <f t="shared" si="11"/>
        <v>140</v>
      </c>
      <c r="I176" s="18"/>
      <c r="J176" s="18"/>
      <c r="K176" s="13"/>
      <c r="L176" s="13"/>
      <c r="M176" s="13"/>
      <c r="N176" s="13"/>
      <c r="O176" s="13"/>
      <c r="P176" s="13"/>
      <c r="Q176" s="35"/>
      <c r="R176" s="35"/>
      <c r="S176" s="35"/>
      <c r="T176" s="1"/>
      <c r="U176" s="1"/>
      <c r="V176" s="1"/>
    </row>
    <row r="177" ht="15.75" customHeight="1">
      <c r="A177" s="13"/>
      <c r="B177" s="365" t="s">
        <v>274</v>
      </c>
      <c r="C177" s="364" t="s">
        <v>275</v>
      </c>
      <c r="D177" s="366" t="s">
        <v>32</v>
      </c>
      <c r="E177" s="367" t="s">
        <v>276</v>
      </c>
      <c r="F177" s="372">
        <v>1.0</v>
      </c>
      <c r="G177" s="369">
        <v>1100.0</v>
      </c>
      <c r="H177" s="370">
        <f t="shared" si="11"/>
        <v>1100</v>
      </c>
      <c r="I177" s="18"/>
      <c r="J177" s="18"/>
      <c r="K177" s="43" t="s">
        <v>995</v>
      </c>
      <c r="L177" s="13"/>
      <c r="M177" s="13"/>
      <c r="N177" s="13"/>
      <c r="O177" s="13"/>
      <c r="P177" s="13"/>
      <c r="Q177" s="35"/>
      <c r="R177" s="35"/>
      <c r="S177" s="35"/>
      <c r="T177" s="1"/>
      <c r="U177" s="1"/>
      <c r="V177" s="1"/>
    </row>
    <row r="178" ht="15.75" hidden="1" customHeight="1">
      <c r="A178" s="13"/>
      <c r="B178" s="13"/>
      <c r="C178" s="170" t="s">
        <v>275</v>
      </c>
      <c r="D178" s="101" t="s">
        <v>32</v>
      </c>
      <c r="E178" s="15"/>
      <c r="F178" s="16">
        <v>0.0</v>
      </c>
      <c r="G178" s="17">
        <v>940.0</v>
      </c>
      <c r="H178" s="17">
        <f t="shared" si="11"/>
        <v>0</v>
      </c>
      <c r="I178" s="18"/>
      <c r="J178" s="18"/>
      <c r="K178" s="13"/>
      <c r="L178" s="13"/>
      <c r="M178" s="13"/>
      <c r="N178" s="13"/>
      <c r="O178" s="13"/>
      <c r="P178" s="13"/>
      <c r="Q178" s="35"/>
      <c r="R178" s="35"/>
      <c r="S178" s="35"/>
      <c r="T178" s="1"/>
      <c r="U178" s="1"/>
      <c r="V178" s="1"/>
    </row>
    <row r="179" ht="15.75" customHeight="1">
      <c r="A179" s="13"/>
      <c r="B179" s="13" t="s">
        <v>277</v>
      </c>
      <c r="C179" s="43" t="s">
        <v>278</v>
      </c>
      <c r="D179" s="14" t="s">
        <v>20</v>
      </c>
      <c r="E179" s="171" t="s">
        <v>279</v>
      </c>
      <c r="F179" s="16">
        <v>1.0</v>
      </c>
      <c r="G179" s="34">
        <v>957.0</v>
      </c>
      <c r="H179" s="17">
        <f t="shared" si="11"/>
        <v>957</v>
      </c>
      <c r="I179" s="18"/>
      <c r="J179" s="18"/>
      <c r="K179" s="13"/>
      <c r="L179" s="13"/>
      <c r="M179" s="19"/>
      <c r="N179" s="13"/>
      <c r="O179" s="19"/>
      <c r="P179" s="19"/>
      <c r="Q179" s="35"/>
      <c r="R179" s="35"/>
      <c r="S179" s="35"/>
      <c r="T179" s="1"/>
      <c r="U179" s="1"/>
      <c r="V179" s="1"/>
    </row>
    <row r="180" ht="15.75" customHeight="1">
      <c r="A180" s="13"/>
      <c r="B180" s="13" t="s">
        <v>18</v>
      </c>
      <c r="C180" s="13" t="s">
        <v>280</v>
      </c>
      <c r="D180" s="14" t="s">
        <v>20</v>
      </c>
      <c r="E180" s="155" t="s">
        <v>281</v>
      </c>
      <c r="F180" s="16">
        <v>1.0</v>
      </c>
      <c r="G180" s="34">
        <v>20.0</v>
      </c>
      <c r="H180" s="17">
        <f t="shared" si="11"/>
        <v>20</v>
      </c>
      <c r="I180" s="18"/>
      <c r="J180" s="18"/>
      <c r="K180" s="13"/>
      <c r="L180" s="27"/>
      <c r="M180" s="27"/>
      <c r="N180" s="27"/>
      <c r="O180" s="27"/>
      <c r="P180" s="27"/>
      <c r="Q180" s="35"/>
      <c r="R180" s="35"/>
      <c r="S180" s="35"/>
      <c r="T180" s="1"/>
      <c r="U180" s="1"/>
      <c r="V180" s="1"/>
    </row>
    <row r="181" ht="15.75" hidden="1" customHeight="1">
      <c r="A181" s="13"/>
      <c r="B181" s="13"/>
      <c r="C181" s="13" t="s">
        <v>282</v>
      </c>
      <c r="D181" s="70" t="s">
        <v>24</v>
      </c>
      <c r="E181" s="15"/>
      <c r="F181" s="16">
        <v>0.0</v>
      </c>
      <c r="G181" s="17">
        <v>70.0</v>
      </c>
      <c r="H181" s="17">
        <f t="shared" si="11"/>
        <v>0</v>
      </c>
      <c r="I181" s="18"/>
      <c r="J181" s="18"/>
      <c r="K181" s="13"/>
      <c r="L181" s="13"/>
      <c r="M181" s="13"/>
      <c r="N181" s="13"/>
      <c r="O181" s="19"/>
      <c r="P181" s="19"/>
      <c r="Q181" s="35"/>
      <c r="R181" s="35"/>
      <c r="S181" s="35"/>
      <c r="T181" s="1"/>
      <c r="U181" s="1"/>
      <c r="V181" s="1"/>
    </row>
    <row r="182" ht="15.75" hidden="1" customHeight="1">
      <c r="A182" s="13"/>
      <c r="B182" s="13" t="s">
        <v>18</v>
      </c>
      <c r="C182" s="13" t="s">
        <v>283</v>
      </c>
      <c r="D182" s="14" t="s">
        <v>20</v>
      </c>
      <c r="E182" s="15" t="s">
        <v>284</v>
      </c>
      <c r="F182" s="16">
        <v>0.0</v>
      </c>
      <c r="G182" s="17">
        <v>12.0</v>
      </c>
      <c r="H182" s="17">
        <f t="shared" si="11"/>
        <v>0</v>
      </c>
      <c r="I182" s="18"/>
      <c r="J182" s="18"/>
      <c r="K182" s="13"/>
      <c r="L182" s="27"/>
      <c r="M182" s="27"/>
      <c r="N182" s="27"/>
      <c r="O182" s="27"/>
      <c r="P182" s="27"/>
      <c r="Q182" s="35"/>
      <c r="R182" s="35"/>
      <c r="S182" s="35"/>
      <c r="T182" s="1"/>
      <c r="U182" s="1"/>
      <c r="V182" s="1"/>
    </row>
    <row r="183" ht="15.75" customHeight="1">
      <c r="A183" s="13"/>
      <c r="B183" s="13" t="s">
        <v>18</v>
      </c>
      <c r="C183" s="13" t="s">
        <v>285</v>
      </c>
      <c r="D183" s="14" t="s">
        <v>20</v>
      </c>
      <c r="E183" s="15" t="s">
        <v>286</v>
      </c>
      <c r="F183" s="16">
        <v>2.0</v>
      </c>
      <c r="G183" s="17">
        <v>3.0</v>
      </c>
      <c r="H183" s="17">
        <f t="shared" si="11"/>
        <v>6</v>
      </c>
      <c r="I183" s="18"/>
      <c r="J183" s="18"/>
      <c r="K183" s="13"/>
      <c r="L183" s="27"/>
      <c r="M183" s="27"/>
      <c r="N183" s="27"/>
      <c r="O183" s="27"/>
      <c r="P183" s="27"/>
      <c r="Q183" s="35"/>
      <c r="R183" s="35"/>
      <c r="S183" s="35"/>
      <c r="T183" s="1"/>
      <c r="U183" s="1"/>
      <c r="V183" s="1"/>
    </row>
    <row r="184" ht="15.75" customHeight="1">
      <c r="A184" s="13"/>
      <c r="B184" s="13" t="s">
        <v>18</v>
      </c>
      <c r="C184" s="13" t="s">
        <v>287</v>
      </c>
      <c r="D184" s="14" t="s">
        <v>20</v>
      </c>
      <c r="E184" s="15" t="s">
        <v>255</v>
      </c>
      <c r="F184" s="16">
        <v>1.0</v>
      </c>
      <c r="G184" s="17">
        <v>11.0</v>
      </c>
      <c r="H184" s="17">
        <f t="shared" si="11"/>
        <v>11</v>
      </c>
      <c r="I184" s="18"/>
      <c r="J184" s="18"/>
      <c r="K184" s="13"/>
      <c r="L184" s="27"/>
      <c r="M184" s="27"/>
      <c r="N184" s="27"/>
      <c r="O184" s="27"/>
      <c r="P184" s="27"/>
      <c r="Q184" s="35"/>
      <c r="R184" s="35"/>
      <c r="S184" s="35"/>
      <c r="T184" s="1"/>
      <c r="U184" s="1"/>
      <c r="V184" s="1"/>
    </row>
    <row r="185" ht="15.75" hidden="1" customHeight="1">
      <c r="A185" s="13"/>
      <c r="B185" s="13"/>
      <c r="C185" s="13" t="s">
        <v>288</v>
      </c>
      <c r="D185" s="14" t="s">
        <v>20</v>
      </c>
      <c r="E185" s="15"/>
      <c r="F185" s="16">
        <v>0.0</v>
      </c>
      <c r="G185" s="17">
        <v>60.0</v>
      </c>
      <c r="H185" s="17">
        <f t="shared" si="11"/>
        <v>0</v>
      </c>
      <c r="I185" s="18"/>
      <c r="J185" s="18"/>
      <c r="K185" s="13"/>
      <c r="L185" s="13"/>
      <c r="M185" s="13"/>
      <c r="N185" s="13"/>
      <c r="O185" s="13"/>
      <c r="P185" s="13"/>
      <c r="Q185" s="35"/>
      <c r="R185" s="35"/>
      <c r="S185" s="35"/>
      <c r="T185" s="1"/>
      <c r="U185" s="1"/>
      <c r="V185" s="1"/>
    </row>
    <row r="186" ht="15.75" hidden="1" customHeight="1">
      <c r="A186" s="13"/>
      <c r="B186" s="13"/>
      <c r="C186" s="13" t="s">
        <v>289</v>
      </c>
      <c r="D186" s="70" t="s">
        <v>24</v>
      </c>
      <c r="E186" s="15"/>
      <c r="F186" s="16">
        <v>0.0</v>
      </c>
      <c r="G186" s="17">
        <v>207.0</v>
      </c>
      <c r="H186" s="17">
        <f t="shared" si="11"/>
        <v>0</v>
      </c>
      <c r="I186" s="18"/>
      <c r="J186" s="18"/>
      <c r="K186" s="13"/>
      <c r="L186" s="13"/>
      <c r="M186" s="13"/>
      <c r="N186" s="13"/>
      <c r="O186" s="13"/>
      <c r="P186" s="13"/>
      <c r="Q186" s="35"/>
      <c r="R186" s="35"/>
      <c r="S186" s="35"/>
      <c r="T186" s="1"/>
      <c r="U186" s="1"/>
      <c r="V186" s="1"/>
    </row>
    <row r="187" ht="15.75" customHeight="1">
      <c r="A187" s="13"/>
      <c r="B187" s="13"/>
      <c r="C187" s="13" t="s">
        <v>290</v>
      </c>
      <c r="D187" s="70" t="s">
        <v>24</v>
      </c>
      <c r="E187" s="15"/>
      <c r="F187" s="16">
        <v>1.0</v>
      </c>
      <c r="G187" s="17">
        <v>115.0</v>
      </c>
      <c r="H187" s="17">
        <f t="shared" si="11"/>
        <v>115</v>
      </c>
      <c r="I187" s="18"/>
      <c r="J187" s="18"/>
      <c r="K187" s="13"/>
      <c r="L187" s="63"/>
      <c r="M187" s="63"/>
      <c r="N187" s="63"/>
      <c r="O187" s="63"/>
      <c r="P187" s="63"/>
      <c r="Q187" s="35"/>
      <c r="R187" s="35"/>
      <c r="S187" s="35"/>
      <c r="T187" s="1"/>
      <c r="U187" s="1"/>
      <c r="V187" s="1"/>
    </row>
    <row r="188" ht="15.75" hidden="1" customHeight="1">
      <c r="A188" s="13"/>
      <c r="B188" s="13"/>
      <c r="C188" s="13" t="s">
        <v>291</v>
      </c>
      <c r="D188" s="70" t="s">
        <v>24</v>
      </c>
      <c r="E188" s="15"/>
      <c r="F188" s="16">
        <v>0.0</v>
      </c>
      <c r="G188" s="17">
        <v>150.0</v>
      </c>
      <c r="H188" s="17">
        <f t="shared" si="11"/>
        <v>0</v>
      </c>
      <c r="I188" s="18"/>
      <c r="J188" s="18"/>
      <c r="K188" s="13"/>
      <c r="L188" s="63"/>
      <c r="M188" s="63"/>
      <c r="N188" s="63"/>
      <c r="O188" s="63"/>
      <c r="P188" s="63"/>
      <c r="Q188" s="35"/>
      <c r="R188" s="35"/>
      <c r="S188" s="35"/>
      <c r="T188" s="1"/>
      <c r="U188" s="1"/>
      <c r="V188" s="1"/>
    </row>
    <row r="189" ht="15.75" hidden="1" customHeight="1">
      <c r="A189" s="13"/>
      <c r="B189" s="13"/>
      <c r="C189" s="13" t="s">
        <v>221</v>
      </c>
      <c r="D189" s="70" t="s">
        <v>24</v>
      </c>
      <c r="E189" s="15"/>
      <c r="F189" s="16">
        <v>0.0</v>
      </c>
      <c r="G189" s="17">
        <v>50.0</v>
      </c>
      <c r="H189" s="17">
        <f t="shared" si="11"/>
        <v>0</v>
      </c>
      <c r="I189" s="18"/>
      <c r="J189" s="18"/>
      <c r="K189" s="13"/>
      <c r="L189" s="13"/>
      <c r="M189" s="13"/>
      <c r="N189" s="13"/>
      <c r="O189" s="13"/>
      <c r="P189" s="13"/>
      <c r="Q189" s="35"/>
      <c r="R189" s="35"/>
      <c r="S189" s="35"/>
      <c r="T189" s="1"/>
      <c r="U189" s="1"/>
      <c r="V189" s="1"/>
    </row>
    <row r="190" ht="15.75" hidden="1" customHeight="1">
      <c r="A190" s="13"/>
      <c r="B190" s="13"/>
      <c r="C190" s="13" t="s">
        <v>222</v>
      </c>
      <c r="D190" s="70" t="s">
        <v>24</v>
      </c>
      <c r="E190" s="15"/>
      <c r="F190" s="16">
        <v>0.0</v>
      </c>
      <c r="G190" s="17">
        <v>50.0</v>
      </c>
      <c r="H190" s="17">
        <f t="shared" si="11"/>
        <v>0</v>
      </c>
      <c r="I190" s="18"/>
      <c r="J190" s="18"/>
      <c r="K190" s="13"/>
      <c r="L190" s="13"/>
      <c r="M190" s="13"/>
      <c r="N190" s="13"/>
      <c r="O190" s="13"/>
      <c r="P190" s="13"/>
      <c r="Q190" s="35"/>
      <c r="R190" s="35"/>
      <c r="S190" s="35"/>
      <c r="T190" s="1"/>
      <c r="U190" s="1"/>
      <c r="V190" s="1"/>
    </row>
    <row r="191" ht="15.75" hidden="1" customHeight="1">
      <c r="A191" s="13"/>
      <c r="B191" s="13"/>
      <c r="C191" s="13" t="s">
        <v>292</v>
      </c>
      <c r="D191" s="70" t="s">
        <v>24</v>
      </c>
      <c r="E191" s="15"/>
      <c r="F191" s="16">
        <v>0.0</v>
      </c>
      <c r="G191" s="17">
        <v>115.0</v>
      </c>
      <c r="H191" s="17">
        <f t="shared" si="11"/>
        <v>0</v>
      </c>
      <c r="I191" s="18"/>
      <c r="J191" s="18"/>
      <c r="K191" s="13"/>
      <c r="L191" s="63"/>
      <c r="M191" s="63"/>
      <c r="N191" s="63"/>
      <c r="O191" s="63"/>
      <c r="P191" s="63"/>
      <c r="Q191" s="35"/>
      <c r="R191" s="35"/>
      <c r="S191" s="35"/>
      <c r="T191" s="1"/>
      <c r="U191" s="1"/>
      <c r="V191" s="1"/>
    </row>
    <row r="192" ht="28.5" customHeight="1">
      <c r="A192" s="6"/>
      <c r="B192" s="172" t="s">
        <v>293</v>
      </c>
      <c r="C192" s="7">
        <f>SUM(H193:H256)</f>
        <v>7902.88</v>
      </c>
      <c r="D192" s="148"/>
      <c r="E192" s="148"/>
      <c r="F192" s="83"/>
      <c r="G192" s="82"/>
      <c r="H192" s="82"/>
      <c r="I192" s="82"/>
      <c r="J192" s="82"/>
      <c r="K192" s="83"/>
      <c r="L192" s="83"/>
      <c r="M192" s="83"/>
      <c r="N192" s="83"/>
      <c r="O192" s="83"/>
      <c r="P192" s="83"/>
      <c r="Q192" s="35"/>
      <c r="R192" s="35"/>
      <c r="S192" s="35"/>
      <c r="T192" s="1"/>
      <c r="U192" s="1"/>
      <c r="V192" s="1"/>
    </row>
    <row r="193" ht="15.75" customHeight="1">
      <c r="A193" s="13"/>
      <c r="B193" s="43" t="s">
        <v>64</v>
      </c>
      <c r="C193" s="169" t="s">
        <v>191</v>
      </c>
      <c r="D193" s="66" t="s">
        <v>22</v>
      </c>
      <c r="E193" s="15"/>
      <c r="F193" s="16">
        <v>2.0</v>
      </c>
      <c r="G193" s="34">
        <v>100.0</v>
      </c>
      <c r="H193" s="17">
        <f t="shared" ref="H193:H212" si="12">SUM(F193*G193)</f>
        <v>200</v>
      </c>
      <c r="I193" s="18"/>
      <c r="J193" s="18"/>
      <c r="K193" s="13"/>
      <c r="L193" s="13"/>
      <c r="M193" s="13"/>
      <c r="N193" s="13"/>
      <c r="O193" s="13"/>
      <c r="P193" s="13"/>
      <c r="Q193" s="35"/>
      <c r="R193" s="35"/>
      <c r="S193" s="35"/>
      <c r="T193" s="1"/>
      <c r="U193" s="1"/>
      <c r="V193" s="1"/>
    </row>
    <row r="194" ht="15.75" customHeight="1">
      <c r="A194" s="13"/>
      <c r="B194" s="13" t="s">
        <v>18</v>
      </c>
      <c r="C194" s="169" t="s">
        <v>294</v>
      </c>
      <c r="D194" s="14" t="s">
        <v>20</v>
      </c>
      <c r="E194" s="15"/>
      <c r="F194" s="16">
        <v>2.0</v>
      </c>
      <c r="G194" s="17">
        <v>5.0</v>
      </c>
      <c r="H194" s="17">
        <f t="shared" si="12"/>
        <v>10</v>
      </c>
      <c r="I194" s="18"/>
      <c r="J194" s="18"/>
      <c r="K194" s="13"/>
      <c r="L194" s="13"/>
      <c r="M194" s="19"/>
      <c r="N194" s="19"/>
      <c r="O194" s="38"/>
      <c r="P194" s="19"/>
      <c r="Q194" s="35"/>
      <c r="R194" s="35"/>
      <c r="S194" s="35"/>
      <c r="T194" s="1"/>
      <c r="U194" s="1"/>
      <c r="V194" s="1"/>
    </row>
    <row r="195" ht="15.75" hidden="1" customHeight="1">
      <c r="A195" s="13"/>
      <c r="B195" s="13" t="s">
        <v>18</v>
      </c>
      <c r="C195" s="169" t="s">
        <v>47</v>
      </c>
      <c r="D195" s="14" t="s">
        <v>20</v>
      </c>
      <c r="E195" s="15"/>
      <c r="F195" s="16">
        <v>0.0</v>
      </c>
      <c r="G195" s="17">
        <v>65.0</v>
      </c>
      <c r="H195" s="17">
        <f t="shared" si="12"/>
        <v>0</v>
      </c>
      <c r="I195" s="18"/>
      <c r="J195" s="18"/>
      <c r="K195" s="13"/>
      <c r="L195" s="13"/>
      <c r="M195" s="19"/>
      <c r="N195" s="19"/>
      <c r="O195" s="38"/>
      <c r="P195" s="19"/>
      <c r="Q195" s="35"/>
      <c r="R195" s="35"/>
      <c r="S195" s="35"/>
      <c r="T195" s="1"/>
      <c r="U195" s="1"/>
      <c r="V195" s="1"/>
    </row>
    <row r="196" ht="15.75" hidden="1" customHeight="1">
      <c r="A196" s="13"/>
      <c r="B196" s="13"/>
      <c r="C196" s="169" t="s">
        <v>295</v>
      </c>
      <c r="D196" s="70" t="s">
        <v>24</v>
      </c>
      <c r="E196" s="15"/>
      <c r="F196" s="173">
        <v>0.0</v>
      </c>
      <c r="G196" s="17">
        <v>120.0</v>
      </c>
      <c r="H196" s="17">
        <f t="shared" si="12"/>
        <v>0</v>
      </c>
      <c r="I196" s="18"/>
      <c r="J196" s="18"/>
      <c r="K196" s="13"/>
      <c r="L196" s="13"/>
      <c r="M196" s="19"/>
      <c r="N196" s="19"/>
      <c r="O196" s="38"/>
      <c r="P196" s="19"/>
      <c r="Q196" s="35"/>
      <c r="R196" s="35"/>
      <c r="S196" s="35"/>
      <c r="T196" s="1"/>
      <c r="U196" s="1"/>
      <c r="V196" s="1"/>
    </row>
    <row r="197" ht="15.75" customHeight="1">
      <c r="A197" s="13"/>
      <c r="B197" s="13" t="s">
        <v>18</v>
      </c>
      <c r="C197" s="169" t="s">
        <v>296</v>
      </c>
      <c r="D197" s="14" t="s">
        <v>20</v>
      </c>
      <c r="E197" s="171" t="s">
        <v>297</v>
      </c>
      <c r="F197" s="16">
        <v>1.0</v>
      </c>
      <c r="G197" s="34">
        <v>72.0</v>
      </c>
      <c r="H197" s="17">
        <f t="shared" si="12"/>
        <v>72</v>
      </c>
      <c r="I197" s="18"/>
      <c r="J197" s="18"/>
      <c r="K197" s="13"/>
      <c r="L197" s="27"/>
      <c r="M197" s="28"/>
      <c r="N197" s="27"/>
      <c r="O197" s="28"/>
      <c r="P197" s="27"/>
      <c r="Q197" s="35"/>
      <c r="R197" s="35"/>
      <c r="S197" s="35"/>
      <c r="T197" s="1"/>
      <c r="U197" s="1"/>
      <c r="V197" s="1"/>
    </row>
    <row r="198" ht="15.75" customHeight="1">
      <c r="A198" s="13"/>
      <c r="B198" s="13"/>
      <c r="C198" s="169" t="s">
        <v>298</v>
      </c>
      <c r="D198" s="70" t="s">
        <v>24</v>
      </c>
      <c r="E198" s="15"/>
      <c r="F198" s="16">
        <v>1.0</v>
      </c>
      <c r="G198" s="17">
        <v>95.0</v>
      </c>
      <c r="H198" s="17">
        <f t="shared" si="12"/>
        <v>95</v>
      </c>
      <c r="I198" s="18"/>
      <c r="J198" s="18"/>
      <c r="K198" s="13"/>
      <c r="L198" s="63"/>
      <c r="M198" s="63"/>
      <c r="N198" s="63"/>
      <c r="O198" s="63"/>
      <c r="P198" s="63"/>
      <c r="Q198" s="35"/>
      <c r="R198" s="35"/>
      <c r="S198" s="35"/>
      <c r="T198" s="1"/>
      <c r="U198" s="1"/>
      <c r="V198" s="1"/>
    </row>
    <row r="199" ht="15.75" hidden="1" customHeight="1">
      <c r="A199" s="13"/>
      <c r="B199" s="13"/>
      <c r="C199" s="169" t="s">
        <v>299</v>
      </c>
      <c r="D199" s="70" t="s">
        <v>24</v>
      </c>
      <c r="E199" s="15"/>
      <c r="F199" s="16">
        <v>0.0</v>
      </c>
      <c r="G199" s="17">
        <v>120.0</v>
      </c>
      <c r="H199" s="17">
        <f t="shared" si="12"/>
        <v>0</v>
      </c>
      <c r="I199" s="18"/>
      <c r="J199" s="18"/>
      <c r="K199" s="13"/>
      <c r="L199" s="63"/>
      <c r="M199" s="63"/>
      <c r="N199" s="63"/>
      <c r="O199" s="63"/>
      <c r="P199" s="63"/>
      <c r="Q199" s="35"/>
      <c r="R199" s="35"/>
      <c r="S199" s="35"/>
      <c r="T199" s="1"/>
      <c r="U199" s="1"/>
      <c r="V199" s="1"/>
    </row>
    <row r="200" ht="15.75" customHeight="1">
      <c r="A200" s="13"/>
      <c r="B200" s="13" t="s">
        <v>18</v>
      </c>
      <c r="C200" s="169" t="s">
        <v>300</v>
      </c>
      <c r="D200" s="14" t="s">
        <v>20</v>
      </c>
      <c r="E200" s="15"/>
      <c r="F200" s="40">
        <v>6.0</v>
      </c>
      <c r="G200" s="17">
        <v>5.0</v>
      </c>
      <c r="H200" s="17">
        <f t="shared" si="12"/>
        <v>30</v>
      </c>
      <c r="I200" s="18"/>
      <c r="J200" s="18"/>
      <c r="K200" s="13"/>
      <c r="L200" s="27"/>
      <c r="M200" s="27"/>
      <c r="N200" s="27"/>
      <c r="O200" s="27"/>
      <c r="P200" s="27"/>
      <c r="Q200" s="35"/>
      <c r="R200" s="35"/>
      <c r="S200" s="35"/>
      <c r="T200" s="1"/>
      <c r="U200" s="1"/>
      <c r="V200" s="1"/>
    </row>
    <row r="201" ht="15.75" hidden="1" customHeight="1">
      <c r="A201" s="13"/>
      <c r="B201" s="13" t="s">
        <v>18</v>
      </c>
      <c r="C201" s="169" t="s">
        <v>301</v>
      </c>
      <c r="D201" s="14" t="s">
        <v>20</v>
      </c>
      <c r="E201" s="15" t="s">
        <v>302</v>
      </c>
      <c r="F201" s="16">
        <v>0.0</v>
      </c>
      <c r="G201" s="17">
        <v>6.2</v>
      </c>
      <c r="H201" s="17">
        <f t="shared" si="12"/>
        <v>0</v>
      </c>
      <c r="I201" s="18"/>
      <c r="J201" s="18"/>
      <c r="K201" s="13"/>
      <c r="L201" s="27"/>
      <c r="M201" s="27"/>
      <c r="N201" s="27"/>
      <c r="O201" s="27"/>
      <c r="P201" s="27"/>
      <c r="Q201" s="35"/>
      <c r="R201" s="35"/>
      <c r="S201" s="35"/>
      <c r="T201" s="1"/>
      <c r="U201" s="1"/>
      <c r="V201" s="1"/>
    </row>
    <row r="202" ht="15.75" hidden="1" customHeight="1">
      <c r="A202" s="13"/>
      <c r="B202" s="13"/>
      <c r="C202" s="169" t="s">
        <v>303</v>
      </c>
      <c r="D202" s="70" t="s">
        <v>24</v>
      </c>
      <c r="E202" s="15"/>
      <c r="F202" s="16">
        <v>0.0</v>
      </c>
      <c r="G202" s="17">
        <v>40.0</v>
      </c>
      <c r="H202" s="17">
        <f t="shared" si="12"/>
        <v>0</v>
      </c>
      <c r="I202" s="18"/>
      <c r="J202" s="18"/>
      <c r="K202" s="13"/>
      <c r="L202" s="27"/>
      <c r="M202" s="27"/>
      <c r="N202" s="27"/>
      <c r="O202" s="27"/>
      <c r="P202" s="27"/>
      <c r="Q202" s="35"/>
      <c r="R202" s="35"/>
      <c r="S202" s="35"/>
      <c r="T202" s="1"/>
      <c r="U202" s="1"/>
      <c r="V202" s="1"/>
    </row>
    <row r="203" ht="15.75" hidden="1" customHeight="1">
      <c r="A203" s="13"/>
      <c r="B203" s="13" t="s">
        <v>18</v>
      </c>
      <c r="C203" s="169" t="s">
        <v>47</v>
      </c>
      <c r="D203" s="14" t="s">
        <v>20</v>
      </c>
      <c r="E203" s="15"/>
      <c r="F203" s="16">
        <v>0.0</v>
      </c>
      <c r="G203" s="17">
        <v>0.0</v>
      </c>
      <c r="H203" s="17">
        <f t="shared" si="12"/>
        <v>0</v>
      </c>
      <c r="I203" s="18"/>
      <c r="J203" s="18"/>
      <c r="K203" s="13"/>
      <c r="L203" s="27"/>
      <c r="M203" s="27"/>
      <c r="N203" s="27"/>
      <c r="O203" s="27"/>
      <c r="P203" s="27"/>
      <c r="Q203" s="35"/>
      <c r="R203" s="35"/>
      <c r="S203" s="35"/>
      <c r="T203" s="1"/>
      <c r="U203" s="1"/>
      <c r="V203" s="1"/>
    </row>
    <row r="204" ht="15.75" hidden="1" customHeight="1">
      <c r="A204" s="13"/>
      <c r="B204" s="13"/>
      <c r="C204" s="169" t="s">
        <v>304</v>
      </c>
      <c r="D204" s="70" t="s">
        <v>24</v>
      </c>
      <c r="E204" s="15"/>
      <c r="F204" s="16">
        <v>0.0</v>
      </c>
      <c r="G204" s="17">
        <v>120.0</v>
      </c>
      <c r="H204" s="17">
        <f t="shared" si="12"/>
        <v>0</v>
      </c>
      <c r="I204" s="18"/>
      <c r="J204" s="18"/>
      <c r="K204" s="13"/>
      <c r="L204" s="27"/>
      <c r="M204" s="27"/>
      <c r="N204" s="27"/>
      <c r="O204" s="27"/>
      <c r="P204" s="27"/>
      <c r="Q204" s="35"/>
      <c r="R204" s="35"/>
      <c r="S204" s="35"/>
      <c r="T204" s="1"/>
      <c r="U204" s="1"/>
      <c r="V204" s="1"/>
    </row>
    <row r="205" ht="15.75" customHeight="1">
      <c r="A205" s="13"/>
      <c r="B205" s="13" t="s">
        <v>234</v>
      </c>
      <c r="C205" s="169" t="s">
        <v>305</v>
      </c>
      <c r="D205" s="101" t="s">
        <v>32</v>
      </c>
      <c r="E205" s="154" t="s">
        <v>306</v>
      </c>
      <c r="F205" s="16">
        <v>1.0</v>
      </c>
      <c r="G205" s="34">
        <v>750.3</v>
      </c>
      <c r="H205" s="17">
        <f t="shared" si="12"/>
        <v>750.3</v>
      </c>
      <c r="I205" s="18"/>
      <c r="J205" s="18"/>
      <c r="K205" s="13"/>
      <c r="L205" s="13"/>
      <c r="M205" s="13"/>
      <c r="N205" s="13"/>
      <c r="O205" s="13"/>
      <c r="P205" s="13"/>
      <c r="Q205" s="35"/>
      <c r="R205" s="35"/>
      <c r="S205" s="35"/>
      <c r="T205" s="1"/>
      <c r="U205" s="1"/>
      <c r="V205" s="1"/>
    </row>
    <row r="206" ht="15.75" customHeight="1">
      <c r="A206" s="13"/>
      <c r="B206" s="364" t="s">
        <v>217</v>
      </c>
      <c r="C206" s="373" t="s">
        <v>307</v>
      </c>
      <c r="D206" s="366" t="s">
        <v>32</v>
      </c>
      <c r="E206" s="367">
        <v>82675.0</v>
      </c>
      <c r="F206" s="368">
        <v>2.0</v>
      </c>
      <c r="G206" s="369">
        <v>609.84</v>
      </c>
      <c r="H206" s="370">
        <f t="shared" si="12"/>
        <v>1219.68</v>
      </c>
      <c r="I206" s="18"/>
      <c r="J206" s="18"/>
      <c r="K206" s="13"/>
      <c r="L206" s="27"/>
      <c r="M206" s="28"/>
      <c r="N206" s="27"/>
      <c r="O206" s="27"/>
      <c r="P206" s="27"/>
      <c r="Q206" s="35"/>
      <c r="R206" s="35"/>
      <c r="S206" s="35"/>
      <c r="T206" s="1"/>
      <c r="U206" s="1"/>
      <c r="V206" s="1"/>
    </row>
    <row r="207" ht="15.75" customHeight="1">
      <c r="A207" s="13"/>
      <c r="B207" s="364" t="s">
        <v>217</v>
      </c>
      <c r="C207" s="373" t="s">
        <v>308</v>
      </c>
      <c r="D207" s="366" t="s">
        <v>32</v>
      </c>
      <c r="E207" s="367">
        <v>82676.0</v>
      </c>
      <c r="F207" s="372">
        <v>1.0</v>
      </c>
      <c r="G207" s="369">
        <v>1676.0</v>
      </c>
      <c r="H207" s="370">
        <f t="shared" si="12"/>
        <v>1676</v>
      </c>
      <c r="I207" s="18"/>
      <c r="J207" s="18"/>
      <c r="K207" s="374">
        <v>1676.0</v>
      </c>
      <c r="L207" s="27"/>
      <c r="M207" s="28"/>
      <c r="N207" s="27"/>
      <c r="O207" s="28"/>
      <c r="P207" s="28"/>
      <c r="Q207" s="35"/>
      <c r="R207" s="35"/>
      <c r="S207" s="35"/>
      <c r="T207" s="1"/>
      <c r="U207" s="1"/>
      <c r="V207" s="1"/>
    </row>
    <row r="208" ht="15.75" hidden="1" customHeight="1">
      <c r="A208" s="130"/>
      <c r="B208" s="130" t="s">
        <v>18</v>
      </c>
      <c r="C208" s="175" t="s">
        <v>309</v>
      </c>
      <c r="D208" s="176" t="s">
        <v>20</v>
      </c>
      <c r="E208" s="177" t="s">
        <v>310</v>
      </c>
      <c r="F208" s="178">
        <v>0.0</v>
      </c>
      <c r="G208" s="179">
        <v>15.0</v>
      </c>
      <c r="H208" s="179">
        <f t="shared" si="12"/>
        <v>0</v>
      </c>
      <c r="I208" s="180"/>
      <c r="J208" s="180"/>
      <c r="K208" s="130"/>
      <c r="L208" s="130"/>
      <c r="M208" s="181"/>
      <c r="N208" s="130"/>
      <c r="O208" s="181"/>
      <c r="P208" s="181"/>
      <c r="Q208" s="182"/>
      <c r="R208" s="182"/>
      <c r="S208" s="182"/>
      <c r="T208" s="182"/>
      <c r="U208" s="182"/>
      <c r="V208" s="182"/>
    </row>
    <row r="209" ht="15.75" hidden="1" customHeight="1">
      <c r="A209" s="130"/>
      <c r="B209" s="130" t="s">
        <v>18</v>
      </c>
      <c r="C209" s="175" t="s">
        <v>311</v>
      </c>
      <c r="D209" s="176" t="s">
        <v>20</v>
      </c>
      <c r="E209" s="177" t="s">
        <v>312</v>
      </c>
      <c r="F209" s="178">
        <v>0.0</v>
      </c>
      <c r="G209" s="179">
        <v>15.0</v>
      </c>
      <c r="H209" s="179">
        <f t="shared" si="12"/>
        <v>0</v>
      </c>
      <c r="I209" s="180"/>
      <c r="J209" s="180"/>
      <c r="K209" s="130"/>
      <c r="L209" s="130"/>
      <c r="M209" s="181"/>
      <c r="N209" s="130"/>
      <c r="O209" s="181"/>
      <c r="P209" s="181"/>
      <c r="Q209" s="182"/>
      <c r="R209" s="182"/>
      <c r="S209" s="182"/>
      <c r="T209" s="182"/>
      <c r="U209" s="182"/>
      <c r="V209" s="182"/>
    </row>
    <row r="210" ht="15.75" hidden="1" customHeight="1">
      <c r="A210" s="130"/>
      <c r="B210" s="130" t="s">
        <v>18</v>
      </c>
      <c r="C210" s="175" t="s">
        <v>313</v>
      </c>
      <c r="D210" s="176" t="s">
        <v>20</v>
      </c>
      <c r="E210" s="177" t="s">
        <v>314</v>
      </c>
      <c r="F210" s="178">
        <v>0.0</v>
      </c>
      <c r="G210" s="179">
        <v>1.6</v>
      </c>
      <c r="H210" s="179">
        <f t="shared" si="12"/>
        <v>0</v>
      </c>
      <c r="I210" s="180"/>
      <c r="J210" s="180"/>
      <c r="K210" s="130"/>
      <c r="L210" s="130"/>
      <c r="M210" s="181"/>
      <c r="N210" s="130"/>
      <c r="O210" s="181"/>
      <c r="P210" s="181"/>
      <c r="Q210" s="182"/>
      <c r="R210" s="182"/>
      <c r="S210" s="182"/>
      <c r="T210" s="182"/>
      <c r="U210" s="182"/>
      <c r="V210" s="182"/>
    </row>
    <row r="211" ht="15.75" customHeight="1">
      <c r="A211" s="130"/>
      <c r="B211" s="130" t="s">
        <v>18</v>
      </c>
      <c r="C211" s="175" t="s">
        <v>54</v>
      </c>
      <c r="D211" s="176" t="s">
        <v>20</v>
      </c>
      <c r="E211" s="183" t="s">
        <v>248</v>
      </c>
      <c r="F211" s="178">
        <v>1.0</v>
      </c>
      <c r="G211" s="179">
        <v>5.0</v>
      </c>
      <c r="H211" s="179">
        <f t="shared" si="12"/>
        <v>5</v>
      </c>
      <c r="I211" s="175"/>
      <c r="J211" s="175"/>
      <c r="K211" s="130"/>
      <c r="L211" s="130"/>
      <c r="M211" s="181"/>
      <c r="N211" s="130"/>
      <c r="O211" s="181"/>
      <c r="P211" s="181"/>
      <c r="Q211" s="182"/>
      <c r="R211" s="182"/>
      <c r="S211" s="182"/>
      <c r="T211" s="182"/>
      <c r="U211" s="182"/>
      <c r="V211" s="182"/>
    </row>
    <row r="212" ht="15.75" customHeight="1">
      <c r="A212" s="130"/>
      <c r="B212" s="130"/>
      <c r="C212" s="175" t="s">
        <v>57</v>
      </c>
      <c r="D212" s="185" t="s">
        <v>24</v>
      </c>
      <c r="E212" s="130"/>
      <c r="F212" s="178">
        <v>1.0</v>
      </c>
      <c r="G212" s="179">
        <v>210.0</v>
      </c>
      <c r="H212" s="179">
        <f t="shared" si="12"/>
        <v>210</v>
      </c>
      <c r="I212" s="175"/>
      <c r="J212" s="175"/>
      <c r="K212" s="130"/>
      <c r="L212" s="186"/>
      <c r="M212" s="187"/>
      <c r="N212" s="186"/>
      <c r="O212" s="187"/>
      <c r="P212" s="187"/>
      <c r="Q212" s="182"/>
      <c r="R212" s="182"/>
      <c r="S212" s="182"/>
      <c r="T212" s="182"/>
      <c r="U212" s="182"/>
      <c r="V212" s="182"/>
    </row>
    <row r="213" ht="15.75" hidden="1" customHeight="1">
      <c r="A213" s="13"/>
      <c r="B213" s="13"/>
      <c r="C213" s="169" t="s">
        <v>59</v>
      </c>
      <c r="D213" s="101" t="s">
        <v>32</v>
      </c>
      <c r="F213" s="16">
        <v>0.0</v>
      </c>
      <c r="G213" s="17">
        <v>0.0</v>
      </c>
      <c r="H213" s="17">
        <v>0.0</v>
      </c>
      <c r="I213" s="18"/>
      <c r="J213" s="18"/>
      <c r="K213" s="13"/>
      <c r="L213" s="27"/>
      <c r="M213" s="28"/>
      <c r="N213" s="27"/>
      <c r="O213" s="28"/>
      <c r="P213" s="28"/>
      <c r="Q213" s="35"/>
      <c r="R213" s="35"/>
      <c r="S213" s="35"/>
      <c r="T213" s="1"/>
      <c r="U213" s="1"/>
      <c r="V213" s="1"/>
    </row>
    <row r="214" ht="15.75" hidden="1" customHeight="1">
      <c r="A214" s="13"/>
      <c r="B214" s="18" t="s">
        <v>18</v>
      </c>
      <c r="C214" s="169" t="s">
        <v>315</v>
      </c>
      <c r="D214" s="14" t="s">
        <v>20</v>
      </c>
      <c r="E214" s="155" t="s">
        <v>316</v>
      </c>
      <c r="F214" s="40">
        <v>0.0</v>
      </c>
      <c r="G214" s="17">
        <v>50.0</v>
      </c>
      <c r="H214" s="17">
        <f t="shared" ref="H214:H263" si="13">SUM(F214*G214)</f>
        <v>0</v>
      </c>
      <c r="I214" s="18"/>
      <c r="J214" s="18"/>
      <c r="K214" s="13"/>
      <c r="L214" s="27"/>
      <c r="M214" s="28"/>
      <c r="N214" s="27"/>
      <c r="O214" s="28"/>
      <c r="P214" s="28"/>
      <c r="Q214" s="35"/>
      <c r="R214" s="35"/>
      <c r="S214" s="35"/>
      <c r="T214" s="1"/>
      <c r="U214" s="1"/>
      <c r="V214" s="1"/>
    </row>
    <row r="215" ht="15.75" customHeight="1">
      <c r="A215" s="13"/>
      <c r="B215" s="375" t="s">
        <v>234</v>
      </c>
      <c r="C215" s="376" t="s">
        <v>259</v>
      </c>
      <c r="D215" s="377" t="s">
        <v>32</v>
      </c>
      <c r="E215" s="378" t="s">
        <v>317</v>
      </c>
      <c r="F215" s="379">
        <v>1.0</v>
      </c>
      <c r="G215" s="380">
        <v>530.7</v>
      </c>
      <c r="H215" s="381">
        <f t="shared" si="13"/>
        <v>530.7</v>
      </c>
      <c r="I215" s="193"/>
      <c r="J215" s="18"/>
      <c r="K215" s="13"/>
      <c r="L215" s="27"/>
      <c r="M215" s="28"/>
      <c r="N215" s="27"/>
      <c r="O215" s="27"/>
      <c r="P215" s="27"/>
      <c r="Q215" s="35"/>
      <c r="R215" s="35"/>
      <c r="S215" s="35"/>
      <c r="T215" s="1"/>
      <c r="U215" s="1"/>
      <c r="V215" s="1"/>
    </row>
    <row r="216" ht="15.75" customHeight="1">
      <c r="A216" s="13"/>
      <c r="B216" s="165" t="s">
        <v>385</v>
      </c>
      <c r="C216" s="188" t="s">
        <v>318</v>
      </c>
      <c r="D216" s="167" t="s">
        <v>32</v>
      </c>
      <c r="E216" s="194" t="s">
        <v>958</v>
      </c>
      <c r="F216" s="190">
        <v>1.0</v>
      </c>
      <c r="G216" s="191">
        <v>292.0</v>
      </c>
      <c r="H216" s="192">
        <f t="shared" si="13"/>
        <v>292</v>
      </c>
      <c r="I216" s="193"/>
      <c r="J216" s="18"/>
      <c r="K216" s="13"/>
      <c r="L216" s="13"/>
      <c r="M216" s="13"/>
      <c r="N216" s="13"/>
      <c r="O216" s="13"/>
      <c r="P216" s="13"/>
      <c r="Q216" s="35"/>
      <c r="R216" s="35"/>
      <c r="S216" s="35"/>
      <c r="T216" s="1"/>
      <c r="U216" s="1"/>
      <c r="V216" s="1"/>
    </row>
    <row r="217" ht="15.75" hidden="1" customHeight="1">
      <c r="A217" s="13"/>
      <c r="B217" s="13" t="s">
        <v>320</v>
      </c>
      <c r="C217" s="169" t="s">
        <v>321</v>
      </c>
      <c r="D217" s="66" t="s">
        <v>22</v>
      </c>
      <c r="E217" s="15"/>
      <c r="F217" s="16">
        <v>0.0</v>
      </c>
      <c r="G217" s="17">
        <v>10.0</v>
      </c>
      <c r="H217" s="17">
        <f t="shared" si="13"/>
        <v>0</v>
      </c>
      <c r="I217" s="18"/>
      <c r="J217" s="18"/>
      <c r="K217" s="13"/>
      <c r="L217" s="13"/>
      <c r="M217" s="19"/>
      <c r="N217" s="13"/>
      <c r="O217" s="13"/>
      <c r="P217" s="13"/>
      <c r="Q217" s="35"/>
      <c r="R217" s="35"/>
      <c r="S217" s="35"/>
      <c r="T217" s="1"/>
      <c r="U217" s="1"/>
      <c r="V217" s="1"/>
    </row>
    <row r="218" ht="15.75" customHeight="1">
      <c r="A218" s="13"/>
      <c r="B218" s="13" t="s">
        <v>239</v>
      </c>
      <c r="C218" s="195" t="s">
        <v>322</v>
      </c>
      <c r="D218" s="14" t="s">
        <v>20</v>
      </c>
      <c r="E218" s="15"/>
      <c r="F218" s="16">
        <v>2.0</v>
      </c>
      <c r="G218" s="34">
        <v>372.6</v>
      </c>
      <c r="H218" s="17">
        <f t="shared" si="13"/>
        <v>745.2</v>
      </c>
      <c r="I218" s="18"/>
      <c r="J218" s="18"/>
      <c r="K218" s="13"/>
      <c r="L218" s="13"/>
      <c r="M218" s="19"/>
      <c r="N218" s="13"/>
      <c r="O218" s="19"/>
      <c r="P218" s="19"/>
      <c r="Q218" s="35"/>
      <c r="R218" s="35"/>
      <c r="S218" s="35"/>
      <c r="T218" s="1"/>
      <c r="U218" s="1"/>
      <c r="V218" s="1"/>
    </row>
    <row r="219" ht="15.75" customHeight="1">
      <c r="A219" s="13"/>
      <c r="B219" s="13"/>
      <c r="C219" s="169" t="s">
        <v>323</v>
      </c>
      <c r="D219" s="70" t="s">
        <v>24</v>
      </c>
      <c r="E219" s="15"/>
      <c r="F219" s="16">
        <v>2.0</v>
      </c>
      <c r="G219" s="34">
        <v>80.0</v>
      </c>
      <c r="H219" s="17">
        <f t="shared" si="13"/>
        <v>160</v>
      </c>
      <c r="I219" s="18"/>
      <c r="J219" s="18"/>
      <c r="K219" s="13"/>
      <c r="L219" s="63"/>
      <c r="M219" s="63"/>
      <c r="N219" s="63"/>
      <c r="O219" s="63"/>
      <c r="P219" s="63"/>
      <c r="Q219" s="35"/>
      <c r="R219" s="35"/>
      <c r="S219" s="35"/>
      <c r="T219" s="1"/>
      <c r="U219" s="1"/>
      <c r="V219" s="1"/>
    </row>
    <row r="220" ht="15.75" customHeight="1">
      <c r="A220" s="13"/>
      <c r="B220" s="13"/>
      <c r="C220" s="169" t="s">
        <v>324</v>
      </c>
      <c r="D220" s="14" t="s">
        <v>20</v>
      </c>
      <c r="E220" s="15"/>
      <c r="F220" s="16">
        <v>2.0</v>
      </c>
      <c r="G220" s="17">
        <v>35.0</v>
      </c>
      <c r="H220" s="17">
        <f t="shared" si="13"/>
        <v>70</v>
      </c>
      <c r="I220" s="18"/>
      <c r="J220" s="18"/>
      <c r="K220" s="13"/>
      <c r="L220" s="13"/>
      <c r="M220" s="19"/>
      <c r="N220" s="13"/>
      <c r="O220" s="19"/>
      <c r="P220" s="19"/>
      <c r="Q220" s="35"/>
      <c r="R220" s="35"/>
      <c r="S220" s="35"/>
      <c r="T220" s="1"/>
      <c r="U220" s="1"/>
      <c r="V220" s="1"/>
    </row>
    <row r="221" ht="15.75" hidden="1" customHeight="1">
      <c r="A221" s="13"/>
      <c r="B221" s="13"/>
      <c r="C221" s="169" t="s">
        <v>258</v>
      </c>
      <c r="D221" s="66" t="s">
        <v>22</v>
      </c>
      <c r="E221" s="15"/>
      <c r="F221" s="16">
        <v>0.0</v>
      </c>
      <c r="G221" s="17">
        <v>150.0</v>
      </c>
      <c r="H221" s="17">
        <f t="shared" si="13"/>
        <v>0</v>
      </c>
      <c r="I221" s="18"/>
      <c r="J221" s="18"/>
      <c r="K221" s="13"/>
      <c r="L221" s="13"/>
      <c r="M221" s="19"/>
      <c r="N221" s="13"/>
      <c r="O221" s="19"/>
      <c r="P221" s="19"/>
      <c r="Q221" s="35"/>
      <c r="R221" s="35"/>
      <c r="S221" s="35"/>
      <c r="T221" s="1"/>
      <c r="U221" s="1"/>
      <c r="V221" s="1"/>
    </row>
    <row r="222" ht="15.75" customHeight="1">
      <c r="A222" s="13"/>
      <c r="B222" s="13" t="s">
        <v>18</v>
      </c>
      <c r="C222" s="196" t="s">
        <v>325</v>
      </c>
      <c r="D222" s="150" t="s">
        <v>22</v>
      </c>
      <c r="E222" s="47" t="s">
        <v>326</v>
      </c>
      <c r="F222" s="48">
        <v>1.0</v>
      </c>
      <c r="G222" s="49">
        <v>46.8</v>
      </c>
      <c r="H222" s="50">
        <f t="shared" si="13"/>
        <v>46.8</v>
      </c>
      <c r="I222" s="18"/>
      <c r="J222" s="54"/>
      <c r="K222" s="54"/>
      <c r="L222" s="13"/>
      <c r="M222" s="13"/>
      <c r="N222" s="13"/>
      <c r="O222" s="19"/>
      <c r="P222" s="19"/>
      <c r="Q222" s="35"/>
      <c r="R222" s="35"/>
      <c r="S222" s="35"/>
      <c r="T222" s="1"/>
      <c r="U222" s="1"/>
      <c r="V222" s="1"/>
    </row>
    <row r="223" ht="15.75" hidden="1" customHeight="1">
      <c r="A223" s="13"/>
      <c r="B223" s="13"/>
      <c r="C223" s="197" t="s">
        <v>327</v>
      </c>
      <c r="D223" s="198" t="s">
        <v>22</v>
      </c>
      <c r="E223" s="54" t="s">
        <v>328</v>
      </c>
      <c r="F223" s="56">
        <v>0.0</v>
      </c>
      <c r="G223" s="57">
        <v>321.3</v>
      </c>
      <c r="H223" s="57">
        <f t="shared" si="13"/>
        <v>0</v>
      </c>
      <c r="I223" s="18"/>
      <c r="J223" s="18"/>
      <c r="K223" s="13"/>
      <c r="L223" s="13"/>
      <c r="M223" s="13"/>
      <c r="N223" s="13"/>
      <c r="O223" s="19"/>
      <c r="P223" s="19"/>
      <c r="Q223" s="35"/>
      <c r="R223" s="35"/>
      <c r="S223" s="35"/>
      <c r="T223" s="1"/>
      <c r="U223" s="1"/>
      <c r="V223" s="1"/>
    </row>
    <row r="224" ht="15.75" customHeight="1">
      <c r="A224" s="15"/>
      <c r="B224" s="52" t="s">
        <v>18</v>
      </c>
      <c r="C224" s="196" t="s">
        <v>329</v>
      </c>
      <c r="D224" s="150" t="s">
        <v>22</v>
      </c>
      <c r="E224" s="199" t="s">
        <v>330</v>
      </c>
      <c r="F224" s="48">
        <v>2.0</v>
      </c>
      <c r="G224" s="49">
        <v>25.2</v>
      </c>
      <c r="H224" s="50">
        <f t="shared" si="13"/>
        <v>50.4</v>
      </c>
      <c r="I224" s="51"/>
      <c r="J224" s="51"/>
      <c r="K224" s="54"/>
      <c r="L224" s="52"/>
      <c r="M224" s="52"/>
      <c r="N224" s="52"/>
      <c r="O224" s="200"/>
      <c r="P224" s="200"/>
      <c r="Q224" s="1"/>
      <c r="R224" s="1"/>
      <c r="S224" s="1"/>
      <c r="T224" s="1"/>
      <c r="U224" s="1"/>
      <c r="V224" s="1"/>
    </row>
    <row r="225" ht="15.75" customHeight="1">
      <c r="A225" s="53"/>
      <c r="B225" s="54" t="s">
        <v>18</v>
      </c>
      <c r="C225" s="197" t="s">
        <v>331</v>
      </c>
      <c r="D225" s="198" t="s">
        <v>22</v>
      </c>
      <c r="E225" s="201" t="s">
        <v>332</v>
      </c>
      <c r="F225" s="56">
        <v>1.0</v>
      </c>
      <c r="G225" s="159">
        <v>48.0</v>
      </c>
      <c r="H225" s="57">
        <f t="shared" si="13"/>
        <v>48</v>
      </c>
      <c r="I225" s="58"/>
      <c r="J225" s="58"/>
      <c r="K225" s="54"/>
      <c r="L225" s="54"/>
      <c r="M225" s="54"/>
      <c r="N225" s="54"/>
      <c r="O225" s="202"/>
      <c r="P225" s="202"/>
      <c r="Q225" s="1"/>
      <c r="R225" s="1"/>
      <c r="S225" s="1"/>
      <c r="T225" s="1"/>
      <c r="U225" s="1"/>
      <c r="V225" s="1"/>
    </row>
    <row r="226" ht="15.75" customHeight="1">
      <c r="A226" s="53"/>
      <c r="B226" s="54" t="s">
        <v>18</v>
      </c>
      <c r="C226" s="203" t="s">
        <v>333</v>
      </c>
      <c r="D226" s="198" t="s">
        <v>22</v>
      </c>
      <c r="E226" s="204" t="s">
        <v>334</v>
      </c>
      <c r="F226" s="56">
        <v>1.0</v>
      </c>
      <c r="G226" s="159">
        <v>46.8</v>
      </c>
      <c r="H226" s="57">
        <f t="shared" si="13"/>
        <v>46.8</v>
      </c>
      <c r="I226" s="58"/>
      <c r="J226" s="58"/>
      <c r="K226" s="54"/>
      <c r="L226" s="54"/>
      <c r="M226" s="54"/>
      <c r="N226" s="54"/>
      <c r="O226" s="202"/>
      <c r="P226" s="202"/>
      <c r="Q226" s="1"/>
      <c r="R226" s="1"/>
      <c r="S226" s="1"/>
      <c r="T226" s="1"/>
      <c r="U226" s="1"/>
      <c r="V226" s="1"/>
    </row>
    <row r="227" ht="15.75" hidden="1" customHeight="1">
      <c r="A227" s="15"/>
      <c r="B227" s="52" t="s">
        <v>18</v>
      </c>
      <c r="C227" s="196" t="s">
        <v>335</v>
      </c>
      <c r="D227" s="150" t="s">
        <v>22</v>
      </c>
      <c r="E227" s="52"/>
      <c r="F227" s="48">
        <v>0.0</v>
      </c>
      <c r="G227" s="50">
        <v>29.69</v>
      </c>
      <c r="H227" s="50">
        <f t="shared" si="13"/>
        <v>0</v>
      </c>
      <c r="I227" s="51"/>
      <c r="J227" s="51"/>
      <c r="K227" s="52"/>
      <c r="L227" s="52"/>
      <c r="M227" s="52"/>
      <c r="N227" s="52"/>
      <c r="O227" s="200"/>
      <c r="P227" s="200"/>
      <c r="Q227" s="1"/>
      <c r="R227" s="1"/>
      <c r="S227" s="1"/>
      <c r="T227" s="1"/>
      <c r="U227" s="1"/>
      <c r="V227" s="1"/>
    </row>
    <row r="228" ht="15.75" hidden="1" customHeight="1">
      <c r="A228" s="53"/>
      <c r="B228" s="54" t="s">
        <v>18</v>
      </c>
      <c r="C228" s="197" t="s">
        <v>336</v>
      </c>
      <c r="D228" s="198" t="s">
        <v>22</v>
      </c>
      <c r="E228" s="54" t="s">
        <v>337</v>
      </c>
      <c r="F228" s="56">
        <v>0.0</v>
      </c>
      <c r="G228" s="57">
        <v>29.99</v>
      </c>
      <c r="H228" s="57">
        <f t="shared" si="13"/>
        <v>0</v>
      </c>
      <c r="I228" s="58"/>
      <c r="J228" s="58"/>
      <c r="K228" s="54"/>
      <c r="L228" s="54"/>
      <c r="M228" s="54"/>
      <c r="N228" s="54"/>
      <c r="O228" s="202"/>
      <c r="P228" s="202"/>
      <c r="Q228" s="1"/>
      <c r="R228" s="1"/>
      <c r="S228" s="1"/>
      <c r="T228" s="1"/>
      <c r="U228" s="1"/>
      <c r="V228" s="1"/>
    </row>
    <row r="229" ht="15.75" hidden="1" customHeight="1">
      <c r="A229" s="53"/>
      <c r="B229" s="54" t="s">
        <v>18</v>
      </c>
      <c r="C229" s="203" t="s">
        <v>338</v>
      </c>
      <c r="D229" s="198" t="s">
        <v>22</v>
      </c>
      <c r="E229" s="54" t="s">
        <v>339</v>
      </c>
      <c r="F229" s="56">
        <v>0.0</v>
      </c>
      <c r="G229" s="57">
        <v>16.69</v>
      </c>
      <c r="H229" s="57">
        <f t="shared" si="13"/>
        <v>0</v>
      </c>
      <c r="I229" s="58"/>
      <c r="J229" s="58"/>
      <c r="K229" s="54"/>
      <c r="L229" s="54"/>
      <c r="M229" s="54"/>
      <c r="N229" s="54"/>
      <c r="O229" s="202"/>
      <c r="P229" s="202"/>
      <c r="Q229" s="1"/>
      <c r="R229" s="1"/>
      <c r="S229" s="1"/>
      <c r="T229" s="1"/>
      <c r="U229" s="1"/>
      <c r="V229" s="1"/>
    </row>
    <row r="230" ht="15.75" hidden="1" customHeight="1">
      <c r="A230" s="15"/>
      <c r="B230" s="52" t="s">
        <v>18</v>
      </c>
      <c r="C230" s="196" t="s">
        <v>340</v>
      </c>
      <c r="D230" s="150" t="s">
        <v>22</v>
      </c>
      <c r="E230" s="52"/>
      <c r="F230" s="48">
        <v>0.0</v>
      </c>
      <c r="G230" s="50">
        <v>29.69</v>
      </c>
      <c r="H230" s="50">
        <f t="shared" si="13"/>
        <v>0</v>
      </c>
      <c r="I230" s="51"/>
      <c r="J230" s="51"/>
      <c r="K230" s="52"/>
      <c r="L230" s="52"/>
      <c r="M230" s="52"/>
      <c r="N230" s="52"/>
      <c r="O230" s="200"/>
      <c r="P230" s="200"/>
      <c r="Q230" s="1"/>
      <c r="R230" s="1"/>
      <c r="S230" s="1"/>
      <c r="T230" s="1"/>
      <c r="U230" s="1"/>
      <c r="V230" s="1"/>
    </row>
    <row r="231" ht="15.75" hidden="1" customHeight="1">
      <c r="A231" s="53"/>
      <c r="B231" s="54" t="s">
        <v>18</v>
      </c>
      <c r="C231" s="197" t="s">
        <v>341</v>
      </c>
      <c r="D231" s="198" t="s">
        <v>22</v>
      </c>
      <c r="E231" s="54" t="s">
        <v>337</v>
      </c>
      <c r="F231" s="56">
        <v>0.0</v>
      </c>
      <c r="G231" s="57">
        <v>29.99</v>
      </c>
      <c r="H231" s="57">
        <f t="shared" si="13"/>
        <v>0</v>
      </c>
      <c r="I231" s="58"/>
      <c r="J231" s="58"/>
      <c r="K231" s="54"/>
      <c r="L231" s="54"/>
      <c r="M231" s="54"/>
      <c r="N231" s="54"/>
      <c r="O231" s="202"/>
      <c r="P231" s="202"/>
      <c r="Q231" s="1"/>
      <c r="R231" s="1"/>
      <c r="S231" s="1"/>
      <c r="T231" s="1"/>
      <c r="U231" s="1"/>
      <c r="V231" s="1"/>
    </row>
    <row r="232" ht="15.75" hidden="1" customHeight="1">
      <c r="A232" s="53"/>
      <c r="B232" s="54" t="s">
        <v>18</v>
      </c>
      <c r="C232" s="197" t="s">
        <v>342</v>
      </c>
      <c r="D232" s="198" t="s">
        <v>22</v>
      </c>
      <c r="E232" s="54" t="s">
        <v>343</v>
      </c>
      <c r="F232" s="56">
        <v>0.0</v>
      </c>
      <c r="G232" s="57">
        <v>17.99</v>
      </c>
      <c r="H232" s="57">
        <f t="shared" si="13"/>
        <v>0</v>
      </c>
      <c r="I232" s="58"/>
      <c r="J232" s="58"/>
      <c r="K232" s="54"/>
      <c r="L232" s="54"/>
      <c r="M232" s="54"/>
      <c r="N232" s="54"/>
      <c r="O232" s="202"/>
      <c r="P232" s="202"/>
      <c r="Q232" s="1"/>
      <c r="R232" s="1"/>
      <c r="S232" s="1"/>
      <c r="T232" s="1"/>
      <c r="U232" s="1"/>
      <c r="V232" s="1"/>
    </row>
    <row r="233" ht="15.75" hidden="1" customHeight="1">
      <c r="A233" s="53"/>
      <c r="B233" s="54" t="s">
        <v>18</v>
      </c>
      <c r="C233" s="197" t="s">
        <v>344</v>
      </c>
      <c r="D233" s="198" t="s">
        <v>22</v>
      </c>
      <c r="E233" s="205" t="s">
        <v>345</v>
      </c>
      <c r="F233" s="158">
        <v>0.0</v>
      </c>
      <c r="G233" s="57">
        <v>19.0</v>
      </c>
      <c r="H233" s="57">
        <f t="shared" si="13"/>
        <v>0</v>
      </c>
      <c r="I233" s="58"/>
      <c r="J233" s="58"/>
      <c r="K233" s="54"/>
      <c r="L233" s="54"/>
      <c r="M233" s="54"/>
      <c r="N233" s="54"/>
      <c r="O233" s="202"/>
      <c r="P233" s="202"/>
      <c r="Q233" s="1"/>
      <c r="R233" s="1"/>
      <c r="S233" s="1"/>
      <c r="T233" s="1"/>
      <c r="U233" s="1"/>
      <c r="V233" s="1"/>
    </row>
    <row r="234" ht="15.75" hidden="1" customHeight="1">
      <c r="A234" s="13"/>
      <c r="B234" s="206" t="s">
        <v>18</v>
      </c>
      <c r="C234" s="197" t="s">
        <v>346</v>
      </c>
      <c r="D234" s="198" t="s">
        <v>22</v>
      </c>
      <c r="E234" s="205" t="s">
        <v>347</v>
      </c>
      <c r="F234" s="158">
        <v>0.0</v>
      </c>
      <c r="G234" s="57">
        <v>35.0</v>
      </c>
      <c r="H234" s="57">
        <f t="shared" si="13"/>
        <v>0</v>
      </c>
      <c r="I234" s="18"/>
      <c r="J234" s="18"/>
      <c r="K234" s="54"/>
      <c r="L234" s="13"/>
      <c r="M234" s="13"/>
      <c r="N234" s="13"/>
      <c r="O234" s="19"/>
      <c r="P234" s="19"/>
      <c r="Q234" s="35"/>
      <c r="R234" s="35"/>
      <c r="S234" s="35"/>
      <c r="T234" s="1"/>
      <c r="U234" s="1"/>
      <c r="V234" s="1"/>
    </row>
    <row r="235" ht="15.75" customHeight="1">
      <c r="A235" s="13"/>
      <c r="B235" s="13" t="s">
        <v>18</v>
      </c>
      <c r="C235" s="196" t="s">
        <v>348</v>
      </c>
      <c r="D235" s="150" t="s">
        <v>22</v>
      </c>
      <c r="E235" s="199" t="s">
        <v>349</v>
      </c>
      <c r="F235" s="48">
        <v>1.0</v>
      </c>
      <c r="G235" s="49">
        <v>24.0</v>
      </c>
      <c r="H235" s="50">
        <f t="shared" si="13"/>
        <v>24</v>
      </c>
      <c r="I235" s="18"/>
      <c r="J235" s="18"/>
      <c r="K235" s="54"/>
      <c r="L235" s="13"/>
      <c r="M235" s="13"/>
      <c r="N235" s="13"/>
      <c r="O235" s="13"/>
      <c r="P235" s="13"/>
      <c r="Q235" s="35"/>
      <c r="R235" s="35"/>
      <c r="S235" s="35"/>
      <c r="T235" s="1"/>
      <c r="U235" s="1"/>
      <c r="V235" s="1"/>
    </row>
    <row r="236" ht="15.75" customHeight="1">
      <c r="A236" s="13"/>
      <c r="B236" s="13" t="s">
        <v>350</v>
      </c>
      <c r="C236" s="196" t="s">
        <v>351</v>
      </c>
      <c r="D236" s="150" t="s">
        <v>22</v>
      </c>
      <c r="E236" s="207" t="s">
        <v>352</v>
      </c>
      <c r="F236" s="48">
        <v>1.0</v>
      </c>
      <c r="G236" s="49">
        <v>420.0</v>
      </c>
      <c r="H236" s="50">
        <f t="shared" si="13"/>
        <v>420</v>
      </c>
      <c r="I236" s="18"/>
      <c r="J236" s="18"/>
      <c r="K236" s="13"/>
      <c r="L236" s="13"/>
      <c r="M236" s="13"/>
      <c r="N236" s="13"/>
      <c r="O236" s="13"/>
      <c r="P236" s="13"/>
      <c r="Q236" s="35"/>
      <c r="R236" s="35"/>
      <c r="S236" s="35"/>
      <c r="T236" s="1"/>
      <c r="U236" s="1"/>
      <c r="V236" s="1"/>
    </row>
    <row r="237" ht="15.75" customHeight="1">
      <c r="A237" s="13"/>
      <c r="B237" s="206" t="s">
        <v>350</v>
      </c>
      <c r="C237" s="197" t="s">
        <v>353</v>
      </c>
      <c r="D237" s="198" t="s">
        <v>22</v>
      </c>
      <c r="E237" s="208" t="s">
        <v>352</v>
      </c>
      <c r="F237" s="56">
        <v>1.0</v>
      </c>
      <c r="G237" s="159">
        <v>172.0</v>
      </c>
      <c r="H237" s="57">
        <f t="shared" si="13"/>
        <v>172</v>
      </c>
      <c r="I237" s="18"/>
      <c r="J237" s="18"/>
      <c r="K237" s="13"/>
      <c r="L237" s="13"/>
      <c r="M237" s="19"/>
      <c r="N237" s="13"/>
      <c r="O237" s="19"/>
      <c r="P237" s="19"/>
      <c r="Q237" s="35"/>
      <c r="R237" s="35"/>
      <c r="S237" s="35"/>
      <c r="T237" s="1"/>
      <c r="U237" s="1"/>
      <c r="V237" s="1"/>
    </row>
    <row r="238" ht="15.75" hidden="1" customHeight="1">
      <c r="A238" s="13"/>
      <c r="B238" s="206"/>
      <c r="C238" s="197" t="s">
        <v>354</v>
      </c>
      <c r="D238" s="198" t="s">
        <v>22</v>
      </c>
      <c r="E238" s="208" t="s">
        <v>352</v>
      </c>
      <c r="F238" s="56">
        <v>0.0</v>
      </c>
      <c r="G238" s="159">
        <v>97.0</v>
      </c>
      <c r="H238" s="57">
        <f t="shared" si="13"/>
        <v>0</v>
      </c>
      <c r="I238" s="18"/>
      <c r="J238" s="18"/>
      <c r="K238" s="13"/>
      <c r="L238" s="27"/>
      <c r="M238" s="28"/>
      <c r="N238" s="27"/>
      <c r="O238" s="28"/>
      <c r="P238" s="27"/>
      <c r="Q238" s="35"/>
      <c r="R238" s="35"/>
      <c r="S238" s="35"/>
      <c r="T238" s="1"/>
      <c r="U238" s="1"/>
      <c r="V238" s="1"/>
    </row>
    <row r="239" ht="15.75" hidden="1" customHeight="1">
      <c r="A239" s="13"/>
      <c r="B239" s="156" t="s">
        <v>350</v>
      </c>
      <c r="C239" s="197" t="s">
        <v>355</v>
      </c>
      <c r="D239" s="198" t="s">
        <v>22</v>
      </c>
      <c r="E239" s="208" t="s">
        <v>356</v>
      </c>
      <c r="F239" s="56">
        <v>0.0</v>
      </c>
      <c r="G239" s="159">
        <v>366.0</v>
      </c>
      <c r="H239" s="57">
        <f t="shared" si="13"/>
        <v>0</v>
      </c>
      <c r="I239" s="18"/>
      <c r="J239" s="18"/>
      <c r="K239" s="13"/>
      <c r="L239" s="27"/>
      <c r="M239" s="28"/>
      <c r="N239" s="27"/>
      <c r="O239" s="28"/>
      <c r="P239" s="27"/>
      <c r="Q239" s="35"/>
      <c r="R239" s="35"/>
      <c r="S239" s="35"/>
      <c r="T239" s="1"/>
      <c r="U239" s="1"/>
      <c r="V239" s="1"/>
    </row>
    <row r="240" ht="15.75" hidden="1" customHeight="1">
      <c r="A240" s="13"/>
      <c r="B240" s="206" t="s">
        <v>350</v>
      </c>
      <c r="C240" s="197" t="s">
        <v>357</v>
      </c>
      <c r="D240" s="198" t="s">
        <v>22</v>
      </c>
      <c r="E240" s="208" t="s">
        <v>356</v>
      </c>
      <c r="F240" s="56">
        <v>0.0</v>
      </c>
      <c r="G240" s="159">
        <v>107.5</v>
      </c>
      <c r="H240" s="57">
        <f t="shared" si="13"/>
        <v>0</v>
      </c>
      <c r="I240" s="18"/>
      <c r="J240" s="18"/>
      <c r="K240" s="13"/>
      <c r="L240" s="27"/>
      <c r="M240" s="28"/>
      <c r="N240" s="27"/>
      <c r="O240" s="28"/>
      <c r="P240" s="27"/>
      <c r="Q240" s="35"/>
      <c r="R240" s="35"/>
      <c r="S240" s="35"/>
      <c r="T240" s="1"/>
      <c r="U240" s="1"/>
      <c r="V240" s="1"/>
    </row>
    <row r="241" ht="15.75" hidden="1" customHeight="1">
      <c r="A241" s="13"/>
      <c r="B241" s="156" t="s">
        <v>350</v>
      </c>
      <c r="C241" s="197" t="s">
        <v>358</v>
      </c>
      <c r="D241" s="198" t="s">
        <v>22</v>
      </c>
      <c r="E241" s="208" t="s">
        <v>356</v>
      </c>
      <c r="F241" s="56">
        <v>0.0</v>
      </c>
      <c r="G241" s="159">
        <v>97.0</v>
      </c>
      <c r="H241" s="57">
        <f t="shared" si="13"/>
        <v>0</v>
      </c>
      <c r="I241" s="18"/>
      <c r="J241" s="18"/>
      <c r="K241" s="13"/>
      <c r="L241" s="27"/>
      <c r="M241" s="28"/>
      <c r="N241" s="27"/>
      <c r="O241" s="28"/>
      <c r="P241" s="27"/>
      <c r="Q241" s="35"/>
      <c r="R241" s="35"/>
      <c r="S241" s="35"/>
      <c r="T241" s="1"/>
      <c r="U241" s="1"/>
      <c r="V241" s="1"/>
    </row>
    <row r="242" ht="15.75" hidden="1" customHeight="1">
      <c r="A242" s="13"/>
      <c r="B242" s="13" t="s">
        <v>18</v>
      </c>
      <c r="C242" s="196" t="s">
        <v>359</v>
      </c>
      <c r="D242" s="150" t="s">
        <v>22</v>
      </c>
      <c r="E242" s="52" t="s">
        <v>360</v>
      </c>
      <c r="F242" s="48">
        <v>0.0</v>
      </c>
      <c r="G242" s="50">
        <v>18.0</v>
      </c>
      <c r="H242" s="50">
        <f t="shared" si="13"/>
        <v>0</v>
      </c>
      <c r="I242" s="18"/>
      <c r="J242" s="18"/>
      <c r="K242" s="13"/>
      <c r="L242" s="27"/>
      <c r="M242" s="28"/>
      <c r="N242" s="27"/>
      <c r="O242" s="28"/>
      <c r="P242" s="27"/>
      <c r="Q242" s="35"/>
      <c r="R242" s="35"/>
      <c r="S242" s="35"/>
      <c r="T242" s="1"/>
      <c r="U242" s="1"/>
      <c r="V242" s="1"/>
    </row>
    <row r="243" ht="15.75" customHeight="1">
      <c r="A243" s="13"/>
      <c r="B243" s="13" t="s">
        <v>361</v>
      </c>
      <c r="C243" s="169" t="s">
        <v>362</v>
      </c>
      <c r="D243" s="66" t="s">
        <v>22</v>
      </c>
      <c r="E243" s="15" t="s">
        <v>363</v>
      </c>
      <c r="F243" s="16">
        <v>4.0</v>
      </c>
      <c r="G243" s="17">
        <v>11.0</v>
      </c>
      <c r="H243" s="17">
        <f t="shared" si="13"/>
        <v>44</v>
      </c>
      <c r="I243" s="18"/>
      <c r="J243" s="18"/>
      <c r="K243" s="13"/>
      <c r="L243" s="95"/>
      <c r="M243" s="96"/>
      <c r="N243" s="95"/>
      <c r="O243" s="95"/>
      <c r="P243" s="95"/>
      <c r="Q243" s="35"/>
      <c r="R243" s="35"/>
      <c r="S243" s="35"/>
      <c r="T243" s="1"/>
      <c r="U243" s="1"/>
      <c r="V243" s="1"/>
    </row>
    <row r="244" ht="15.75" hidden="1" customHeight="1">
      <c r="A244" s="13"/>
      <c r="B244" s="13" t="s">
        <v>361</v>
      </c>
      <c r="C244" s="169" t="s">
        <v>364</v>
      </c>
      <c r="D244" s="66" t="s">
        <v>22</v>
      </c>
      <c r="E244" s="15" t="s">
        <v>365</v>
      </c>
      <c r="F244" s="16">
        <v>0.0</v>
      </c>
      <c r="G244" s="17">
        <v>6.0</v>
      </c>
      <c r="H244" s="17">
        <f t="shared" si="13"/>
        <v>0</v>
      </c>
      <c r="I244" s="18"/>
      <c r="J244" s="18"/>
      <c r="K244" s="13"/>
      <c r="L244" s="95"/>
      <c r="M244" s="96"/>
      <c r="N244" s="95"/>
      <c r="O244" s="95"/>
      <c r="P244" s="95"/>
      <c r="Q244" s="35"/>
      <c r="R244" s="35"/>
      <c r="S244" s="35"/>
      <c r="T244" s="1"/>
      <c r="U244" s="1"/>
      <c r="V244" s="1"/>
    </row>
    <row r="245" ht="15.75" customHeight="1">
      <c r="A245" s="13"/>
      <c r="B245" s="43" t="s">
        <v>64</v>
      </c>
      <c r="C245" s="169" t="s">
        <v>263</v>
      </c>
      <c r="D245" s="66" t="s">
        <v>22</v>
      </c>
      <c r="E245" s="15" t="s">
        <v>612</v>
      </c>
      <c r="F245" s="16">
        <v>2.0</v>
      </c>
      <c r="G245" s="17">
        <v>180.0</v>
      </c>
      <c r="H245" s="17">
        <f t="shared" si="13"/>
        <v>360</v>
      </c>
      <c r="I245" s="18"/>
      <c r="J245" s="18"/>
      <c r="K245" s="13"/>
      <c r="L245" s="13"/>
      <c r="M245" s="19"/>
      <c r="N245" s="13"/>
      <c r="O245" s="19"/>
      <c r="P245" s="19"/>
      <c r="Q245" s="35"/>
      <c r="R245" s="35"/>
      <c r="S245" s="35"/>
      <c r="T245" s="1"/>
      <c r="U245" s="1"/>
      <c r="V245" s="1"/>
    </row>
    <row r="246" ht="15.75" customHeight="1">
      <c r="A246" s="13"/>
      <c r="B246" s="13"/>
      <c r="C246" s="13" t="s">
        <v>67</v>
      </c>
      <c r="D246" s="70" t="s">
        <v>24</v>
      </c>
      <c r="E246" s="15"/>
      <c r="F246" s="16">
        <v>2.0</v>
      </c>
      <c r="G246" s="17">
        <v>18.0</v>
      </c>
      <c r="H246" s="17">
        <f t="shared" si="13"/>
        <v>36</v>
      </c>
      <c r="I246" s="18"/>
      <c r="J246" s="18"/>
      <c r="K246" s="13"/>
      <c r="L246" s="63"/>
      <c r="M246" s="79"/>
      <c r="N246" s="63"/>
      <c r="O246" s="79"/>
      <c r="P246" s="79"/>
      <c r="Q246" s="35"/>
      <c r="R246" s="35"/>
      <c r="S246" s="35"/>
      <c r="T246" s="1"/>
      <c r="U246" s="1"/>
      <c r="V246" s="1"/>
    </row>
    <row r="247" ht="15.75" customHeight="1">
      <c r="A247" s="13"/>
      <c r="B247" s="43" t="s">
        <v>129</v>
      </c>
      <c r="C247" s="169" t="s">
        <v>366</v>
      </c>
      <c r="D247" s="14" t="s">
        <v>20</v>
      </c>
      <c r="E247" s="155" t="s">
        <v>367</v>
      </c>
      <c r="F247" s="16">
        <v>1.0</v>
      </c>
      <c r="G247" s="17">
        <v>348.0</v>
      </c>
      <c r="H247" s="17">
        <f t="shared" si="13"/>
        <v>348</v>
      </c>
      <c r="I247" s="18"/>
      <c r="J247" s="18"/>
      <c r="K247" s="13"/>
      <c r="L247" s="13"/>
      <c r="M247" s="19"/>
      <c r="N247" s="13"/>
      <c r="O247" s="38"/>
      <c r="P247" s="19"/>
      <c r="Q247" s="35"/>
      <c r="R247" s="35"/>
      <c r="S247" s="35"/>
      <c r="T247" s="1"/>
      <c r="U247" s="1"/>
      <c r="V247" s="1"/>
    </row>
    <row r="248" ht="15.75" customHeight="1">
      <c r="A248" s="13"/>
      <c r="B248" s="13" t="s">
        <v>18</v>
      </c>
      <c r="C248" s="169" t="s">
        <v>280</v>
      </c>
      <c r="D248" s="14" t="s">
        <v>20</v>
      </c>
      <c r="E248" s="33" t="s">
        <v>368</v>
      </c>
      <c r="F248" s="16">
        <v>1.0</v>
      </c>
      <c r="G248" s="34">
        <v>20.0</v>
      </c>
      <c r="H248" s="17">
        <f t="shared" si="13"/>
        <v>20</v>
      </c>
      <c r="I248" s="18"/>
      <c r="J248" s="18"/>
      <c r="K248" s="54"/>
      <c r="L248" s="27"/>
      <c r="M248" s="27"/>
      <c r="N248" s="27"/>
      <c r="O248" s="27"/>
      <c r="P248" s="27"/>
      <c r="Q248" s="35"/>
      <c r="R248" s="35"/>
      <c r="S248" s="35"/>
      <c r="T248" s="1"/>
      <c r="U248" s="1"/>
      <c r="V248" s="1"/>
    </row>
    <row r="249" ht="15.75" customHeight="1">
      <c r="A249" s="13"/>
      <c r="B249" s="13"/>
      <c r="C249" s="169" t="s">
        <v>282</v>
      </c>
      <c r="D249" s="70" t="s">
        <v>24</v>
      </c>
      <c r="E249" s="15"/>
      <c r="F249" s="16">
        <v>1.0</v>
      </c>
      <c r="G249" s="17">
        <v>80.0</v>
      </c>
      <c r="H249" s="17">
        <f t="shared" si="13"/>
        <v>80</v>
      </c>
      <c r="I249" s="18"/>
      <c r="J249" s="18"/>
      <c r="K249" s="13"/>
      <c r="L249" s="63"/>
      <c r="M249" s="63"/>
      <c r="N249" s="63"/>
      <c r="O249" s="63"/>
      <c r="P249" s="63"/>
      <c r="Q249" s="35"/>
      <c r="R249" s="35"/>
      <c r="S249" s="35"/>
      <c r="T249" s="1"/>
      <c r="U249" s="1"/>
      <c r="V249" s="1"/>
    </row>
    <row r="250" ht="15.75" hidden="1" customHeight="1">
      <c r="A250" s="13"/>
      <c r="B250" s="13" t="s">
        <v>18</v>
      </c>
      <c r="C250" s="169" t="s">
        <v>283</v>
      </c>
      <c r="D250" s="14" t="s">
        <v>20</v>
      </c>
      <c r="E250" s="15" t="s">
        <v>284</v>
      </c>
      <c r="F250" s="16">
        <v>0.0</v>
      </c>
      <c r="G250" s="17">
        <v>12.0</v>
      </c>
      <c r="H250" s="17">
        <f t="shared" si="13"/>
        <v>0</v>
      </c>
      <c r="I250" s="18"/>
      <c r="J250" s="18"/>
      <c r="K250" s="13"/>
      <c r="L250" s="27"/>
      <c r="M250" s="28"/>
      <c r="N250" s="27"/>
      <c r="O250" s="28"/>
      <c r="P250" s="28"/>
      <c r="Q250" s="35"/>
      <c r="R250" s="35"/>
      <c r="S250" s="35"/>
      <c r="T250" s="1"/>
      <c r="U250" s="1"/>
      <c r="V250" s="1"/>
    </row>
    <row r="251" ht="15.75" customHeight="1">
      <c r="A251" s="13"/>
      <c r="B251" s="13" t="s">
        <v>369</v>
      </c>
      <c r="C251" s="169" t="s">
        <v>370</v>
      </c>
      <c r="D251" s="14" t="s">
        <v>20</v>
      </c>
      <c r="E251" s="15">
        <v>8.49069896E8</v>
      </c>
      <c r="F251" s="16">
        <v>1.0</v>
      </c>
      <c r="G251" s="17">
        <v>5.0</v>
      </c>
      <c r="H251" s="17">
        <f t="shared" si="13"/>
        <v>5</v>
      </c>
      <c r="I251" s="18"/>
      <c r="J251" s="18"/>
      <c r="K251" s="18"/>
      <c r="L251" s="13"/>
      <c r="M251" s="19"/>
      <c r="N251" s="13"/>
      <c r="O251" s="19"/>
      <c r="P251" s="19"/>
      <c r="Q251" s="35"/>
      <c r="R251" s="35"/>
      <c r="S251" s="35"/>
      <c r="T251" s="1"/>
      <c r="U251" s="1"/>
      <c r="V251" s="1"/>
    </row>
    <row r="252" ht="15.75" customHeight="1">
      <c r="A252" s="13"/>
      <c r="B252" s="13" t="s">
        <v>18</v>
      </c>
      <c r="C252" s="169" t="s">
        <v>371</v>
      </c>
      <c r="D252" s="14" t="s">
        <v>20</v>
      </c>
      <c r="E252" s="15" t="s">
        <v>286</v>
      </c>
      <c r="F252" s="16">
        <v>2.0</v>
      </c>
      <c r="G252" s="17">
        <v>3.0</v>
      </c>
      <c r="H252" s="17">
        <f t="shared" si="13"/>
        <v>6</v>
      </c>
      <c r="I252" s="18"/>
      <c r="J252" s="18"/>
      <c r="K252" s="15"/>
      <c r="L252" s="27"/>
      <c r="M252" s="28"/>
      <c r="N252" s="27"/>
      <c r="O252" s="28"/>
      <c r="P252" s="28"/>
      <c r="Q252" s="35"/>
      <c r="R252" s="35"/>
      <c r="S252" s="35"/>
      <c r="T252" s="1"/>
      <c r="U252" s="1"/>
      <c r="V252" s="1"/>
    </row>
    <row r="253" ht="15.75" customHeight="1">
      <c r="A253" s="13"/>
      <c r="B253" s="13" t="s">
        <v>18</v>
      </c>
      <c r="C253" s="195" t="s">
        <v>372</v>
      </c>
      <c r="D253" s="14" t="s">
        <v>20</v>
      </c>
      <c r="E253" s="210"/>
      <c r="F253" s="211">
        <v>1.0</v>
      </c>
      <c r="G253" s="212">
        <v>70.0</v>
      </c>
      <c r="H253" s="17">
        <f t="shared" si="13"/>
        <v>70</v>
      </c>
      <c r="I253" s="18"/>
      <c r="J253" s="18"/>
      <c r="K253" s="15"/>
      <c r="L253" s="27"/>
      <c r="M253" s="28"/>
      <c r="N253" s="27"/>
      <c r="O253" s="28"/>
      <c r="P253" s="28"/>
      <c r="Q253" s="35"/>
      <c r="R253" s="35"/>
      <c r="S253" s="35"/>
      <c r="T253" s="1"/>
      <c r="U253" s="1"/>
      <c r="V253" s="1"/>
    </row>
    <row r="254" ht="15.75" customHeight="1">
      <c r="A254" s="13"/>
      <c r="B254" s="13"/>
      <c r="C254" s="169" t="s">
        <v>70</v>
      </c>
      <c r="D254" s="14" t="s">
        <v>20</v>
      </c>
      <c r="E254" s="15"/>
      <c r="F254" s="16">
        <v>1.0</v>
      </c>
      <c r="G254" s="34">
        <v>60.0</v>
      </c>
      <c r="H254" s="17">
        <f t="shared" si="13"/>
        <v>60</v>
      </c>
      <c r="I254" s="18"/>
      <c r="J254" s="18"/>
      <c r="K254" s="15"/>
      <c r="L254" s="27"/>
      <c r="M254" s="28"/>
      <c r="N254" s="27"/>
      <c r="O254" s="28"/>
      <c r="P254" s="28"/>
      <c r="Q254" s="35"/>
      <c r="R254" s="35"/>
      <c r="S254" s="35"/>
      <c r="T254" s="1"/>
      <c r="U254" s="1"/>
      <c r="V254" s="1"/>
    </row>
    <row r="255" ht="15.75" hidden="1" customHeight="1">
      <c r="A255" s="13"/>
      <c r="B255" s="13" t="s">
        <v>373</v>
      </c>
      <c r="C255" s="169" t="s">
        <v>69</v>
      </c>
      <c r="D255" s="14" t="s">
        <v>20</v>
      </c>
      <c r="E255" s="15"/>
      <c r="F255" s="16">
        <v>0.0</v>
      </c>
      <c r="G255" s="17">
        <v>70.0</v>
      </c>
      <c r="H255" s="17">
        <f t="shared" si="13"/>
        <v>0</v>
      </c>
      <c r="I255" s="18"/>
      <c r="J255" s="18"/>
      <c r="K255" s="13"/>
      <c r="L255" s="107"/>
      <c r="M255" s="214"/>
      <c r="N255" s="13"/>
      <c r="O255" s="13"/>
      <c r="P255" s="13"/>
      <c r="Q255" s="35"/>
      <c r="R255" s="35"/>
      <c r="S255" s="35"/>
      <c r="T255" s="1"/>
      <c r="U255" s="1"/>
      <c r="V255" s="1"/>
    </row>
    <row r="256" ht="15.75" hidden="1" customHeight="1">
      <c r="A256" s="13"/>
      <c r="B256" s="13"/>
      <c r="C256" s="169" t="s">
        <v>374</v>
      </c>
      <c r="D256" s="70" t="s">
        <v>24</v>
      </c>
      <c r="E256" s="15"/>
      <c r="F256" s="16">
        <v>0.0</v>
      </c>
      <c r="G256" s="17">
        <v>207.0</v>
      </c>
      <c r="H256" s="17">
        <f t="shared" si="13"/>
        <v>0</v>
      </c>
      <c r="I256" s="18"/>
      <c r="J256" s="18"/>
      <c r="K256" s="13"/>
      <c r="L256" s="63"/>
      <c r="M256" s="63"/>
      <c r="N256" s="63"/>
      <c r="O256" s="63"/>
      <c r="P256" s="63"/>
      <c r="Q256" s="35"/>
      <c r="R256" s="35"/>
      <c r="S256" s="35"/>
      <c r="T256" s="1"/>
      <c r="U256" s="1"/>
      <c r="V256" s="1"/>
    </row>
    <row r="257" ht="15.75" hidden="1" customHeight="1">
      <c r="A257" s="13"/>
      <c r="B257" s="13"/>
      <c r="C257" s="169" t="s">
        <v>375</v>
      </c>
      <c r="D257" s="70" t="s">
        <v>24</v>
      </c>
      <c r="E257" s="15"/>
      <c r="F257" s="16">
        <v>0.0</v>
      </c>
      <c r="G257" s="17">
        <v>450.0</v>
      </c>
      <c r="H257" s="17">
        <f t="shared" si="13"/>
        <v>0</v>
      </c>
      <c r="I257" s="18"/>
      <c r="J257" s="18"/>
      <c r="K257" s="13" t="s">
        <v>376</v>
      </c>
      <c r="L257" s="63"/>
      <c r="M257" s="63"/>
      <c r="N257" s="63"/>
      <c r="O257" s="63"/>
      <c r="P257" s="63"/>
      <c r="Q257" s="35"/>
      <c r="R257" s="35"/>
      <c r="S257" s="35"/>
      <c r="T257" s="1"/>
      <c r="U257" s="1"/>
      <c r="V257" s="1"/>
    </row>
    <row r="258" ht="15.75" hidden="1" customHeight="1">
      <c r="A258" s="13"/>
      <c r="B258" s="13"/>
      <c r="C258" s="13" t="s">
        <v>71</v>
      </c>
      <c r="D258" s="213" t="s">
        <v>24</v>
      </c>
      <c r="E258" s="52"/>
      <c r="F258" s="48">
        <v>0.0</v>
      </c>
      <c r="G258" s="50">
        <v>80.0</v>
      </c>
      <c r="H258" s="50">
        <f t="shared" si="13"/>
        <v>0</v>
      </c>
      <c r="I258" s="18"/>
      <c r="J258" s="18"/>
      <c r="K258" s="13"/>
      <c r="L258" s="63"/>
      <c r="M258" s="63"/>
      <c r="N258" s="63"/>
      <c r="O258" s="63"/>
      <c r="P258" s="63"/>
      <c r="Q258" s="35"/>
      <c r="R258" s="35"/>
      <c r="S258" s="35"/>
      <c r="T258" s="1"/>
      <c r="U258" s="1"/>
      <c r="V258" s="1"/>
    </row>
    <row r="259" ht="15.75" hidden="1" customHeight="1">
      <c r="A259" s="13"/>
      <c r="B259" s="13" t="s">
        <v>18</v>
      </c>
      <c r="C259" s="13" t="s">
        <v>377</v>
      </c>
      <c r="D259" s="14" t="s">
        <v>20</v>
      </c>
      <c r="E259" s="52" t="s">
        <v>28</v>
      </c>
      <c r="F259" s="48">
        <v>0.0</v>
      </c>
      <c r="G259" s="50">
        <v>70.0</v>
      </c>
      <c r="H259" s="50">
        <f t="shared" si="13"/>
        <v>0</v>
      </c>
      <c r="I259" s="18"/>
      <c r="J259" s="18"/>
      <c r="K259" s="13"/>
      <c r="L259" s="63"/>
      <c r="M259" s="63"/>
      <c r="N259" s="63"/>
      <c r="O259" s="63"/>
      <c r="P259" s="63"/>
      <c r="Q259" s="35"/>
      <c r="R259" s="35"/>
      <c r="S259" s="35"/>
      <c r="T259" s="1"/>
      <c r="U259" s="1"/>
      <c r="V259" s="1"/>
    </row>
    <row r="260" ht="15.75" customHeight="1">
      <c r="A260" s="13"/>
      <c r="B260" s="13"/>
      <c r="C260" s="13" t="s">
        <v>221</v>
      </c>
      <c r="D260" s="213" t="s">
        <v>24</v>
      </c>
      <c r="E260" s="52"/>
      <c r="F260" s="215">
        <v>2.0</v>
      </c>
      <c r="G260" s="50">
        <v>50.0</v>
      </c>
      <c r="H260" s="50">
        <f t="shared" si="13"/>
        <v>100</v>
      </c>
      <c r="I260" s="18"/>
      <c r="J260" s="18"/>
      <c r="K260" s="13"/>
      <c r="L260" s="63"/>
      <c r="M260" s="63"/>
      <c r="N260" s="63"/>
      <c r="O260" s="63"/>
      <c r="P260" s="63"/>
      <c r="Q260" s="35"/>
      <c r="R260" s="35"/>
      <c r="S260" s="35"/>
      <c r="T260" s="1"/>
      <c r="U260" s="1"/>
      <c r="V260" s="1"/>
    </row>
    <row r="261" ht="15.75" customHeight="1">
      <c r="A261" s="13"/>
      <c r="B261" s="43" t="s">
        <v>18</v>
      </c>
      <c r="C261" s="156" t="s">
        <v>230</v>
      </c>
      <c r="D261" s="14" t="s">
        <v>20</v>
      </c>
      <c r="E261" s="157" t="s">
        <v>231</v>
      </c>
      <c r="F261" s="158">
        <v>4.0</v>
      </c>
      <c r="G261" s="159">
        <v>35.0</v>
      </c>
      <c r="H261" s="50">
        <f t="shared" si="13"/>
        <v>140</v>
      </c>
      <c r="I261" s="18"/>
      <c r="J261" s="18"/>
      <c r="K261" s="13"/>
      <c r="L261" s="63"/>
      <c r="M261" s="63"/>
      <c r="N261" s="63"/>
      <c r="O261" s="63"/>
      <c r="P261" s="63"/>
      <c r="Q261" s="35"/>
      <c r="R261" s="35"/>
      <c r="S261" s="35"/>
      <c r="T261" s="1"/>
      <c r="U261" s="1"/>
      <c r="V261" s="1"/>
    </row>
    <row r="262" ht="15.75" customHeight="1">
      <c r="A262" s="13"/>
      <c r="B262" s="43"/>
      <c r="C262" s="156" t="s">
        <v>232</v>
      </c>
      <c r="D262" s="70" t="s">
        <v>24</v>
      </c>
      <c r="E262" s="160"/>
      <c r="F262" s="158">
        <v>1.0</v>
      </c>
      <c r="G262" s="159">
        <v>150.0</v>
      </c>
      <c r="H262" s="50">
        <f t="shared" si="13"/>
        <v>150</v>
      </c>
      <c r="I262" s="18"/>
      <c r="J262" s="18"/>
      <c r="K262" s="13"/>
      <c r="L262" s="63"/>
      <c r="M262" s="63"/>
      <c r="N262" s="63"/>
      <c r="O262" s="63"/>
      <c r="P262" s="63"/>
      <c r="Q262" s="35"/>
      <c r="R262" s="35"/>
      <c r="S262" s="35"/>
      <c r="T262" s="1"/>
      <c r="U262" s="1"/>
      <c r="V262" s="1"/>
    </row>
    <row r="263" ht="15.75" hidden="1" customHeight="1">
      <c r="A263" s="13"/>
      <c r="B263" s="13"/>
      <c r="C263" s="206" t="s">
        <v>222</v>
      </c>
      <c r="D263" s="216" t="s">
        <v>24</v>
      </c>
      <c r="E263" s="54"/>
      <c r="F263" s="56">
        <v>0.0</v>
      </c>
      <c r="G263" s="57">
        <v>40.0</v>
      </c>
      <c r="H263" s="57">
        <f t="shared" si="13"/>
        <v>0</v>
      </c>
      <c r="I263" s="18"/>
      <c r="J263" s="18"/>
      <c r="K263" s="13"/>
      <c r="L263" s="63"/>
      <c r="M263" s="63"/>
      <c r="N263" s="63"/>
      <c r="O263" s="63"/>
      <c r="P263" s="63"/>
      <c r="Q263" s="35"/>
      <c r="R263" s="35"/>
      <c r="S263" s="35"/>
      <c r="T263" s="1"/>
      <c r="U263" s="1"/>
      <c r="V263" s="1"/>
    </row>
    <row r="264" ht="28.5" customHeight="1">
      <c r="A264" s="6"/>
      <c r="B264" s="172" t="s">
        <v>607</v>
      </c>
      <c r="C264" s="7">
        <f>SUM(H265:H326)</f>
        <v>4373.07</v>
      </c>
      <c r="D264" s="148"/>
      <c r="E264" s="148"/>
      <c r="F264" s="83"/>
      <c r="G264" s="82"/>
      <c r="H264" s="82"/>
      <c r="I264" s="82"/>
      <c r="J264" s="82"/>
      <c r="K264" s="83"/>
      <c r="L264" s="83"/>
      <c r="M264" s="83"/>
      <c r="N264" s="83"/>
      <c r="O264" s="83"/>
      <c r="P264" s="83"/>
      <c r="Q264" s="35"/>
      <c r="R264" s="35"/>
      <c r="S264" s="35"/>
      <c r="T264" s="1"/>
      <c r="U264" s="1"/>
      <c r="V264" s="1"/>
    </row>
    <row r="265" ht="15.75" customHeight="1">
      <c r="A265" s="13"/>
      <c r="B265" s="43" t="s">
        <v>64</v>
      </c>
      <c r="C265" s="169" t="s">
        <v>191</v>
      </c>
      <c r="D265" s="66" t="s">
        <v>22</v>
      </c>
      <c r="E265" s="15"/>
      <c r="F265" s="40">
        <v>2.0</v>
      </c>
      <c r="G265" s="34">
        <v>100.0</v>
      </c>
      <c r="H265" s="17">
        <f t="shared" ref="H265:H332" si="14">SUM(F265*G265)</f>
        <v>200</v>
      </c>
      <c r="I265" s="18"/>
      <c r="J265" s="18"/>
      <c r="K265" s="13"/>
      <c r="L265" s="13"/>
      <c r="M265" s="13"/>
      <c r="N265" s="13"/>
      <c r="O265" s="13"/>
      <c r="P265" s="13"/>
      <c r="Q265" s="35"/>
      <c r="R265" s="35"/>
      <c r="S265" s="35"/>
      <c r="T265" s="1"/>
      <c r="U265" s="1"/>
      <c r="V265" s="1"/>
    </row>
    <row r="266" ht="15.75" customHeight="1">
      <c r="A266" s="13"/>
      <c r="B266" s="13" t="s">
        <v>18</v>
      </c>
      <c r="C266" s="169" t="s">
        <v>294</v>
      </c>
      <c r="D266" s="14" t="s">
        <v>20</v>
      </c>
      <c r="E266" s="15"/>
      <c r="F266" s="40">
        <v>2.0</v>
      </c>
      <c r="G266" s="17">
        <v>5.0</v>
      </c>
      <c r="H266" s="17">
        <f t="shared" si="14"/>
        <v>10</v>
      </c>
      <c r="I266" s="18"/>
      <c r="J266" s="18"/>
      <c r="K266" s="13"/>
      <c r="L266" s="13"/>
      <c r="M266" s="19"/>
      <c r="N266" s="19"/>
      <c r="O266" s="38"/>
      <c r="P266" s="19"/>
      <c r="Q266" s="35"/>
      <c r="R266" s="35"/>
      <c r="S266" s="35"/>
      <c r="T266" s="1"/>
      <c r="U266" s="1"/>
      <c r="V266" s="1"/>
    </row>
    <row r="267" ht="15.75" customHeight="1">
      <c r="A267" s="13"/>
      <c r="B267" s="13" t="s">
        <v>18</v>
      </c>
      <c r="C267" s="169" t="s">
        <v>296</v>
      </c>
      <c r="D267" s="14" t="s">
        <v>20</v>
      </c>
      <c r="E267" s="155" t="s">
        <v>608</v>
      </c>
      <c r="F267" s="16">
        <v>1.0</v>
      </c>
      <c r="G267" s="34">
        <v>75.6</v>
      </c>
      <c r="H267" s="17">
        <f t="shared" si="14"/>
        <v>75.6</v>
      </c>
      <c r="I267" s="18"/>
      <c r="J267" s="18"/>
      <c r="K267" s="13"/>
      <c r="L267" s="27"/>
      <c r="M267" s="28"/>
      <c r="N267" s="27"/>
      <c r="O267" s="28"/>
      <c r="P267" s="27"/>
      <c r="Q267" s="35"/>
      <c r="R267" s="35"/>
      <c r="S267" s="35"/>
      <c r="T267" s="1"/>
      <c r="U267" s="1"/>
      <c r="V267" s="1"/>
    </row>
    <row r="268" ht="15.75" customHeight="1">
      <c r="A268" s="13"/>
      <c r="B268" s="13"/>
      <c r="C268" s="169" t="s">
        <v>298</v>
      </c>
      <c r="D268" s="70" t="s">
        <v>24</v>
      </c>
      <c r="E268" s="15"/>
      <c r="F268" s="16">
        <v>1.0</v>
      </c>
      <c r="G268" s="17">
        <v>95.0</v>
      </c>
      <c r="H268" s="17">
        <f t="shared" si="14"/>
        <v>95</v>
      </c>
      <c r="I268" s="18"/>
      <c r="J268" s="18"/>
      <c r="K268" s="13"/>
      <c r="L268" s="63"/>
      <c r="M268" s="63"/>
      <c r="N268" s="63"/>
      <c r="O268" s="63"/>
      <c r="P268" s="63"/>
      <c r="Q268" s="35"/>
      <c r="R268" s="35"/>
      <c r="S268" s="35"/>
      <c r="T268" s="1"/>
      <c r="U268" s="1"/>
      <c r="V268" s="1"/>
    </row>
    <row r="269" ht="15.75" hidden="1" customHeight="1">
      <c r="A269" s="13"/>
      <c r="B269" s="13"/>
      <c r="C269" s="169" t="s">
        <v>299</v>
      </c>
      <c r="D269" s="70" t="s">
        <v>24</v>
      </c>
      <c r="E269" s="15"/>
      <c r="F269" s="16">
        <v>0.0</v>
      </c>
      <c r="G269" s="17">
        <v>120.0</v>
      </c>
      <c r="H269" s="17">
        <f t="shared" si="14"/>
        <v>0</v>
      </c>
      <c r="I269" s="18"/>
      <c r="J269" s="18"/>
      <c r="K269" s="13"/>
      <c r="L269" s="63"/>
      <c r="M269" s="63"/>
      <c r="N269" s="63"/>
      <c r="O269" s="63"/>
      <c r="P269" s="63"/>
      <c r="Q269" s="35"/>
      <c r="R269" s="35"/>
      <c r="S269" s="35"/>
      <c r="T269" s="1"/>
      <c r="U269" s="1"/>
      <c r="V269" s="1"/>
    </row>
    <row r="270" ht="15.75" customHeight="1">
      <c r="A270" s="13"/>
      <c r="B270" s="13" t="s">
        <v>18</v>
      </c>
      <c r="C270" s="169" t="s">
        <v>300</v>
      </c>
      <c r="D270" s="14" t="s">
        <v>20</v>
      </c>
      <c r="E270" s="15" t="s">
        <v>609</v>
      </c>
      <c r="F270" s="16">
        <v>6.0</v>
      </c>
      <c r="G270" s="17">
        <v>5.0</v>
      </c>
      <c r="H270" s="17">
        <f t="shared" si="14"/>
        <v>30</v>
      </c>
      <c r="I270" s="18"/>
      <c r="J270" s="18"/>
      <c r="K270" s="13"/>
      <c r="L270" s="27"/>
      <c r="M270" s="27"/>
      <c r="N270" s="27"/>
      <c r="O270" s="27"/>
      <c r="P270" s="27"/>
      <c r="Q270" s="35"/>
      <c r="R270" s="35"/>
      <c r="S270" s="35"/>
      <c r="T270" s="1"/>
      <c r="U270" s="1"/>
      <c r="V270" s="1"/>
    </row>
    <row r="271" ht="15.75" hidden="1" customHeight="1">
      <c r="A271" s="13"/>
      <c r="B271" s="13" t="s">
        <v>18</v>
      </c>
      <c r="C271" s="169" t="s">
        <v>301</v>
      </c>
      <c r="D271" s="14" t="s">
        <v>20</v>
      </c>
      <c r="E271" s="15" t="s">
        <v>302</v>
      </c>
      <c r="F271" s="16">
        <v>0.0</v>
      </c>
      <c r="G271" s="17">
        <v>6.2</v>
      </c>
      <c r="H271" s="17">
        <f t="shared" si="14"/>
        <v>0</v>
      </c>
      <c r="I271" s="18"/>
      <c r="J271" s="18"/>
      <c r="K271" s="13"/>
      <c r="L271" s="27"/>
      <c r="M271" s="27"/>
      <c r="N271" s="27"/>
      <c r="O271" s="27"/>
      <c r="P271" s="27"/>
      <c r="Q271" s="35"/>
      <c r="R271" s="35"/>
      <c r="S271" s="35"/>
      <c r="T271" s="1"/>
      <c r="U271" s="1"/>
      <c r="V271" s="1"/>
    </row>
    <row r="272" ht="15.75" hidden="1" customHeight="1">
      <c r="A272" s="13"/>
      <c r="B272" s="13"/>
      <c r="C272" s="169" t="s">
        <v>303</v>
      </c>
      <c r="D272" s="70" t="s">
        <v>24</v>
      </c>
      <c r="E272" s="15"/>
      <c r="F272" s="16">
        <v>0.0</v>
      </c>
      <c r="G272" s="17">
        <v>40.0</v>
      </c>
      <c r="H272" s="17">
        <f t="shared" si="14"/>
        <v>0</v>
      </c>
      <c r="I272" s="18"/>
      <c r="J272" s="18"/>
      <c r="K272" s="13"/>
      <c r="L272" s="27"/>
      <c r="M272" s="27"/>
      <c r="N272" s="27"/>
      <c r="O272" s="27"/>
      <c r="P272" s="27"/>
      <c r="Q272" s="35"/>
      <c r="R272" s="35"/>
      <c r="S272" s="35"/>
      <c r="T272" s="1"/>
      <c r="U272" s="1"/>
      <c r="V272" s="1"/>
    </row>
    <row r="273" ht="15.75" hidden="1" customHeight="1">
      <c r="A273" s="13"/>
      <c r="B273" s="13" t="s">
        <v>18</v>
      </c>
      <c r="C273" s="169" t="s">
        <v>47</v>
      </c>
      <c r="D273" s="14" t="s">
        <v>20</v>
      </c>
      <c r="E273" s="33" t="s">
        <v>388</v>
      </c>
      <c r="F273" s="40">
        <v>0.0</v>
      </c>
      <c r="G273" s="17">
        <v>139.0</v>
      </c>
      <c r="H273" s="17">
        <f t="shared" si="14"/>
        <v>0</v>
      </c>
      <c r="I273" s="18"/>
      <c r="J273" s="18"/>
      <c r="K273" s="13"/>
      <c r="L273" s="27"/>
      <c r="M273" s="27"/>
      <c r="N273" s="27"/>
      <c r="O273" s="27"/>
      <c r="P273" s="27"/>
      <c r="Q273" s="35"/>
      <c r="R273" s="35"/>
      <c r="S273" s="35"/>
      <c r="T273" s="1"/>
      <c r="U273" s="1"/>
      <c r="V273" s="1"/>
    </row>
    <row r="274" ht="15.75" hidden="1" customHeight="1">
      <c r="A274" s="13"/>
      <c r="B274" s="13"/>
      <c r="C274" s="169" t="s">
        <v>304</v>
      </c>
      <c r="D274" s="70" t="s">
        <v>24</v>
      </c>
      <c r="E274" s="15"/>
      <c r="F274" s="40">
        <v>0.0</v>
      </c>
      <c r="G274" s="17">
        <v>120.0</v>
      </c>
      <c r="H274" s="17">
        <f t="shared" si="14"/>
        <v>0</v>
      </c>
      <c r="I274" s="18"/>
      <c r="J274" s="18"/>
      <c r="K274" s="13"/>
      <c r="L274" s="27"/>
      <c r="M274" s="27"/>
      <c r="N274" s="27"/>
      <c r="O274" s="27"/>
      <c r="P274" s="27"/>
      <c r="Q274" s="35"/>
      <c r="R274" s="35"/>
      <c r="S274" s="35"/>
      <c r="T274" s="1"/>
      <c r="U274" s="1"/>
      <c r="V274" s="1"/>
    </row>
    <row r="275" ht="15.75" hidden="1" customHeight="1">
      <c r="A275" s="13"/>
      <c r="B275" s="13" t="s">
        <v>18</v>
      </c>
      <c r="C275" s="169" t="s">
        <v>389</v>
      </c>
      <c r="D275" s="14" t="s">
        <v>20</v>
      </c>
      <c r="E275" s="15"/>
      <c r="F275" s="40">
        <v>0.0</v>
      </c>
      <c r="G275" s="17">
        <v>5.0</v>
      </c>
      <c r="H275" s="17">
        <f t="shared" si="14"/>
        <v>0</v>
      </c>
      <c r="I275" s="18"/>
      <c r="J275" s="18"/>
      <c r="K275" s="13"/>
      <c r="L275" s="27"/>
      <c r="M275" s="27"/>
      <c r="N275" s="27"/>
      <c r="O275" s="27"/>
      <c r="P275" s="27"/>
      <c r="Q275" s="35"/>
      <c r="R275" s="35"/>
      <c r="S275" s="35"/>
      <c r="T275" s="1"/>
      <c r="U275" s="1"/>
      <c r="V275" s="1"/>
    </row>
    <row r="276" ht="15.75" customHeight="1">
      <c r="A276" s="13"/>
      <c r="B276" s="364" t="s">
        <v>610</v>
      </c>
      <c r="C276" s="373" t="s">
        <v>305</v>
      </c>
      <c r="D276" s="366" t="s">
        <v>32</v>
      </c>
      <c r="E276" s="367" t="s">
        <v>611</v>
      </c>
      <c r="F276" s="372">
        <v>1.0</v>
      </c>
      <c r="G276" s="369">
        <v>713.7</v>
      </c>
      <c r="H276" s="370">
        <f t="shared" si="14"/>
        <v>713.7</v>
      </c>
      <c r="I276" s="18"/>
      <c r="J276" s="18"/>
      <c r="K276" s="13"/>
      <c r="L276" s="13"/>
      <c r="M276" s="13"/>
      <c r="N276" s="13"/>
      <c r="O276" s="13"/>
      <c r="P276" s="13"/>
      <c r="Q276" s="35"/>
      <c r="R276" s="35"/>
      <c r="S276" s="35"/>
      <c r="T276" s="1"/>
      <c r="U276" s="1"/>
      <c r="V276" s="1"/>
    </row>
    <row r="277" ht="15.75" customHeight="1">
      <c r="A277" s="13"/>
      <c r="B277" s="364" t="s">
        <v>217</v>
      </c>
      <c r="C277" s="373" t="s">
        <v>307</v>
      </c>
      <c r="D277" s="366" t="s">
        <v>32</v>
      </c>
      <c r="E277" s="367">
        <v>82499.0</v>
      </c>
      <c r="F277" s="368">
        <v>2.0</v>
      </c>
      <c r="G277" s="369">
        <v>256.74</v>
      </c>
      <c r="H277" s="370">
        <f t="shared" si="14"/>
        <v>513.48</v>
      </c>
      <c r="I277" s="18"/>
      <c r="J277" s="18"/>
      <c r="K277" s="13"/>
      <c r="L277" s="27"/>
      <c r="M277" s="28"/>
      <c r="N277" s="27"/>
      <c r="O277" s="27"/>
      <c r="P277" s="27"/>
      <c r="Q277" s="35"/>
      <c r="R277" s="35"/>
      <c r="S277" s="35"/>
      <c r="T277" s="1"/>
      <c r="U277" s="1"/>
      <c r="V277" s="1"/>
    </row>
    <row r="278" ht="15.75" customHeight="1">
      <c r="A278" s="13"/>
      <c r="B278" s="364" t="s">
        <v>217</v>
      </c>
      <c r="C278" s="373" t="s">
        <v>308</v>
      </c>
      <c r="D278" s="366" t="s">
        <v>32</v>
      </c>
      <c r="E278" s="367">
        <v>82500.0</v>
      </c>
      <c r="F278" s="372">
        <v>1.0</v>
      </c>
      <c r="G278" s="369">
        <v>613.29</v>
      </c>
      <c r="H278" s="370">
        <f t="shared" si="14"/>
        <v>613.29</v>
      </c>
      <c r="I278" s="18"/>
      <c r="J278" s="18"/>
      <c r="K278" s="13"/>
      <c r="L278" s="27"/>
      <c r="M278" s="28"/>
      <c r="N278" s="27"/>
      <c r="O278" s="28"/>
      <c r="P278" s="28"/>
      <c r="Q278" s="35"/>
      <c r="R278" s="35"/>
      <c r="S278" s="35"/>
      <c r="T278" s="1"/>
      <c r="U278" s="1"/>
      <c r="V278" s="1"/>
    </row>
    <row r="279" ht="15.75" hidden="1" customHeight="1">
      <c r="A279" s="130"/>
      <c r="B279" s="130" t="s">
        <v>18</v>
      </c>
      <c r="C279" s="175" t="s">
        <v>309</v>
      </c>
      <c r="D279" s="176" t="s">
        <v>20</v>
      </c>
      <c r="E279" s="177" t="s">
        <v>310</v>
      </c>
      <c r="F279" s="178">
        <v>0.0</v>
      </c>
      <c r="G279" s="179">
        <v>15.0</v>
      </c>
      <c r="H279" s="179">
        <f t="shared" si="14"/>
        <v>0</v>
      </c>
      <c r="I279" s="180"/>
      <c r="J279" s="180"/>
      <c r="K279" s="130"/>
      <c r="L279" s="130"/>
      <c r="M279" s="181"/>
      <c r="N279" s="130"/>
      <c r="O279" s="181"/>
      <c r="P279" s="181"/>
      <c r="Q279" s="182"/>
      <c r="R279" s="182"/>
      <c r="S279" s="182"/>
      <c r="T279" s="182"/>
      <c r="U279" s="182"/>
      <c r="V279" s="182"/>
    </row>
    <row r="280" ht="15.75" hidden="1" customHeight="1">
      <c r="A280" s="130"/>
      <c r="B280" s="130" t="s">
        <v>18</v>
      </c>
      <c r="C280" s="175" t="s">
        <v>311</v>
      </c>
      <c r="D280" s="176" t="s">
        <v>20</v>
      </c>
      <c r="E280" s="177" t="s">
        <v>312</v>
      </c>
      <c r="F280" s="178">
        <v>0.0</v>
      </c>
      <c r="G280" s="179">
        <v>15.0</v>
      </c>
      <c r="H280" s="179">
        <f t="shared" si="14"/>
        <v>0</v>
      </c>
      <c r="I280" s="180"/>
      <c r="J280" s="180"/>
      <c r="K280" s="130"/>
      <c r="L280" s="130"/>
      <c r="M280" s="181"/>
      <c r="N280" s="130"/>
      <c r="O280" s="181"/>
      <c r="P280" s="181"/>
      <c r="Q280" s="182"/>
      <c r="R280" s="182"/>
      <c r="S280" s="182"/>
      <c r="T280" s="182"/>
      <c r="U280" s="182"/>
      <c r="V280" s="182"/>
    </row>
    <row r="281" ht="15.75" hidden="1" customHeight="1">
      <c r="A281" s="130"/>
      <c r="B281" s="130" t="s">
        <v>18</v>
      </c>
      <c r="C281" s="175" t="s">
        <v>313</v>
      </c>
      <c r="D281" s="176" t="s">
        <v>20</v>
      </c>
      <c r="E281" s="177" t="s">
        <v>314</v>
      </c>
      <c r="F281" s="178">
        <v>0.0</v>
      </c>
      <c r="G281" s="179">
        <v>1.6</v>
      </c>
      <c r="H281" s="179">
        <f t="shared" si="14"/>
        <v>0</v>
      </c>
      <c r="I281" s="180"/>
      <c r="J281" s="180"/>
      <c r="K281" s="130"/>
      <c r="L281" s="130"/>
      <c r="M281" s="181"/>
      <c r="N281" s="130"/>
      <c r="O281" s="181"/>
      <c r="P281" s="181"/>
      <c r="Q281" s="182"/>
      <c r="R281" s="182"/>
      <c r="S281" s="182"/>
      <c r="T281" s="182"/>
      <c r="U281" s="182"/>
      <c r="V281" s="182"/>
    </row>
    <row r="282" ht="15.75" hidden="1" customHeight="1">
      <c r="A282" s="13"/>
      <c r="B282" s="13"/>
      <c r="C282" s="169" t="s">
        <v>59</v>
      </c>
      <c r="D282" s="101" t="s">
        <v>32</v>
      </c>
      <c r="E282" s="15" t="s">
        <v>60</v>
      </c>
      <c r="F282" s="16">
        <v>0.0</v>
      </c>
      <c r="G282" s="17">
        <v>0.0</v>
      </c>
      <c r="H282" s="17">
        <f t="shared" si="14"/>
        <v>0</v>
      </c>
      <c r="I282" s="18"/>
      <c r="J282" s="18"/>
      <c r="K282" s="13"/>
      <c r="L282" s="27"/>
      <c r="M282" s="28"/>
      <c r="N282" s="27"/>
      <c r="O282" s="28"/>
      <c r="P282" s="28"/>
      <c r="Q282" s="35"/>
      <c r="R282" s="35"/>
      <c r="S282" s="35"/>
      <c r="T282" s="1"/>
      <c r="U282" s="1"/>
      <c r="V282" s="1"/>
    </row>
    <row r="283" ht="15.75" hidden="1" customHeight="1">
      <c r="A283" s="13"/>
      <c r="B283" s="18" t="s">
        <v>18</v>
      </c>
      <c r="C283" s="169" t="s">
        <v>315</v>
      </c>
      <c r="D283" s="14" t="s">
        <v>20</v>
      </c>
      <c r="E283" s="15" t="s">
        <v>396</v>
      </c>
      <c r="F283" s="40">
        <v>0.0</v>
      </c>
      <c r="G283" s="17">
        <v>30.0</v>
      </c>
      <c r="H283" s="17">
        <f t="shared" si="14"/>
        <v>0</v>
      </c>
      <c r="I283" s="18"/>
      <c r="J283" s="18"/>
      <c r="K283" s="13"/>
      <c r="L283" s="27"/>
      <c r="M283" s="28"/>
      <c r="N283" s="27"/>
      <c r="O283" s="28"/>
      <c r="P283" s="28"/>
      <c r="Q283" s="35"/>
      <c r="R283" s="35"/>
      <c r="S283" s="35"/>
      <c r="T283" s="1"/>
      <c r="U283" s="1"/>
      <c r="V283" s="1"/>
    </row>
    <row r="284" ht="15.75" hidden="1" customHeight="1">
      <c r="A284" s="13"/>
      <c r="B284" s="166"/>
      <c r="C284" s="188" t="s">
        <v>259</v>
      </c>
      <c r="D284" s="167" t="s">
        <v>32</v>
      </c>
      <c r="E284" s="219"/>
      <c r="F284" s="190">
        <v>0.0</v>
      </c>
      <c r="G284" s="192">
        <v>0.0</v>
      </c>
      <c r="H284" s="192">
        <f t="shared" si="14"/>
        <v>0</v>
      </c>
      <c r="I284" s="193"/>
      <c r="J284" s="18"/>
      <c r="K284" s="13"/>
      <c r="L284" s="27"/>
      <c r="M284" s="28"/>
      <c r="N284" s="27"/>
      <c r="O284" s="27"/>
      <c r="P284" s="27"/>
      <c r="Q284" s="35"/>
      <c r="R284" s="35"/>
      <c r="S284" s="35"/>
      <c r="T284" s="1"/>
      <c r="U284" s="1"/>
      <c r="V284" s="1"/>
    </row>
    <row r="285" ht="15.75" hidden="1" customHeight="1">
      <c r="A285" s="13"/>
      <c r="B285" s="166" t="s">
        <v>397</v>
      </c>
      <c r="C285" s="188" t="s">
        <v>318</v>
      </c>
      <c r="D285" s="167" t="s">
        <v>32</v>
      </c>
      <c r="E285" s="219" t="s">
        <v>398</v>
      </c>
      <c r="F285" s="190">
        <v>0.0</v>
      </c>
      <c r="G285" s="192">
        <v>354.0</v>
      </c>
      <c r="H285" s="192">
        <f t="shared" si="14"/>
        <v>0</v>
      </c>
      <c r="I285" s="193"/>
      <c r="J285" s="18"/>
      <c r="K285" s="13"/>
      <c r="L285" s="13"/>
      <c r="M285" s="13"/>
      <c r="N285" s="13"/>
      <c r="O285" s="13"/>
      <c r="P285" s="13"/>
      <c r="Q285" s="35"/>
      <c r="R285" s="35"/>
      <c r="S285" s="35"/>
      <c r="T285" s="1"/>
      <c r="U285" s="1"/>
      <c r="V285" s="1"/>
    </row>
    <row r="286" ht="15.75" hidden="1" customHeight="1">
      <c r="A286" s="13"/>
      <c r="B286" s="13"/>
      <c r="C286" s="169" t="s">
        <v>321</v>
      </c>
      <c r="D286" s="66" t="s">
        <v>22</v>
      </c>
      <c r="E286" s="15"/>
      <c r="F286" s="16">
        <v>0.0</v>
      </c>
      <c r="G286" s="17">
        <v>10.0</v>
      </c>
      <c r="H286" s="17">
        <f t="shared" si="14"/>
        <v>0</v>
      </c>
      <c r="I286" s="18"/>
      <c r="J286" s="18"/>
      <c r="K286" s="13"/>
      <c r="L286" s="13"/>
      <c r="M286" s="19"/>
      <c r="N286" s="13"/>
      <c r="O286" s="13"/>
      <c r="P286" s="13"/>
      <c r="Q286" s="35"/>
      <c r="R286" s="35"/>
      <c r="S286" s="35"/>
      <c r="T286" s="1"/>
      <c r="U286" s="1"/>
      <c r="V286" s="1"/>
    </row>
    <row r="287" ht="15.75" customHeight="1">
      <c r="A287" s="13"/>
      <c r="B287" s="13" t="s">
        <v>239</v>
      </c>
      <c r="C287" s="195" t="s">
        <v>322</v>
      </c>
      <c r="D287" s="14" t="s">
        <v>20</v>
      </c>
      <c r="E287" s="15"/>
      <c r="F287" s="16">
        <v>1.0</v>
      </c>
      <c r="G287" s="34">
        <v>300.0</v>
      </c>
      <c r="H287" s="17">
        <f t="shared" si="14"/>
        <v>300</v>
      </c>
      <c r="I287" s="18"/>
      <c r="J287" s="18"/>
      <c r="K287" s="13"/>
      <c r="L287" s="13"/>
      <c r="M287" s="19"/>
      <c r="N287" s="13"/>
      <c r="O287" s="19"/>
      <c r="P287" s="19"/>
      <c r="Q287" s="35"/>
      <c r="R287" s="35"/>
      <c r="S287" s="35"/>
      <c r="T287" s="1"/>
      <c r="U287" s="1"/>
      <c r="V287" s="1"/>
    </row>
    <row r="288" ht="15.75" customHeight="1">
      <c r="A288" s="13"/>
      <c r="B288" s="13"/>
      <c r="C288" s="169" t="s">
        <v>323</v>
      </c>
      <c r="D288" s="70" t="s">
        <v>24</v>
      </c>
      <c r="E288" s="15"/>
      <c r="F288" s="16">
        <v>1.0</v>
      </c>
      <c r="G288" s="34">
        <v>80.0</v>
      </c>
      <c r="H288" s="17">
        <f t="shared" si="14"/>
        <v>80</v>
      </c>
      <c r="I288" s="18"/>
      <c r="J288" s="18"/>
      <c r="K288" s="13"/>
      <c r="L288" s="63"/>
      <c r="M288" s="63"/>
      <c r="N288" s="63"/>
      <c r="O288" s="63"/>
      <c r="P288" s="63"/>
      <c r="Q288" s="35"/>
      <c r="R288" s="35"/>
      <c r="S288" s="35"/>
      <c r="T288" s="1"/>
      <c r="U288" s="1"/>
      <c r="V288" s="1"/>
    </row>
    <row r="289" ht="15.75" customHeight="1">
      <c r="A289" s="13"/>
      <c r="B289" s="13"/>
      <c r="C289" s="169" t="s">
        <v>324</v>
      </c>
      <c r="D289" s="14" t="s">
        <v>20</v>
      </c>
      <c r="E289" s="15"/>
      <c r="F289" s="16">
        <v>1.0</v>
      </c>
      <c r="G289" s="17">
        <v>35.0</v>
      </c>
      <c r="H289" s="17">
        <f t="shared" si="14"/>
        <v>35</v>
      </c>
      <c r="I289" s="18"/>
      <c r="J289" s="18"/>
      <c r="K289" s="13"/>
      <c r="L289" s="13"/>
      <c r="M289" s="19"/>
      <c r="N289" s="13"/>
      <c r="O289" s="19"/>
      <c r="P289" s="19"/>
      <c r="Q289" s="35"/>
      <c r="R289" s="35"/>
      <c r="S289" s="35"/>
      <c r="T289" s="1"/>
      <c r="U289" s="1"/>
      <c r="V289" s="1"/>
    </row>
    <row r="290" ht="15.75" hidden="1" customHeight="1">
      <c r="A290" s="13"/>
      <c r="B290" s="13"/>
      <c r="C290" s="169" t="s">
        <v>258</v>
      </c>
      <c r="D290" s="66" t="s">
        <v>22</v>
      </c>
      <c r="E290" s="15"/>
      <c r="F290" s="16">
        <v>0.0</v>
      </c>
      <c r="G290" s="17">
        <v>150.0</v>
      </c>
      <c r="H290" s="17">
        <f t="shared" si="14"/>
        <v>0</v>
      </c>
      <c r="I290" s="18"/>
      <c r="J290" s="18"/>
      <c r="K290" s="13"/>
      <c r="L290" s="13"/>
      <c r="M290" s="19"/>
      <c r="N290" s="13"/>
      <c r="O290" s="19"/>
      <c r="P290" s="19"/>
      <c r="Q290" s="35"/>
      <c r="R290" s="35"/>
      <c r="S290" s="35"/>
      <c r="T290" s="1"/>
      <c r="U290" s="1"/>
      <c r="V290" s="1"/>
    </row>
    <row r="291" ht="15.75" customHeight="1">
      <c r="A291" s="13"/>
      <c r="B291" s="13" t="s">
        <v>18</v>
      </c>
      <c r="C291" s="196" t="s">
        <v>325</v>
      </c>
      <c r="D291" s="150" t="s">
        <v>22</v>
      </c>
      <c r="E291" s="47" t="s">
        <v>326</v>
      </c>
      <c r="F291" s="48">
        <v>1.0</v>
      </c>
      <c r="G291" s="49">
        <v>46.8</v>
      </c>
      <c r="H291" s="50">
        <f t="shared" si="14"/>
        <v>46.8</v>
      </c>
      <c r="I291" s="18"/>
      <c r="J291" s="18"/>
      <c r="K291" s="13"/>
      <c r="L291" s="13"/>
      <c r="M291" s="13"/>
      <c r="N291" s="13"/>
      <c r="O291" s="19"/>
      <c r="P291" s="19"/>
      <c r="Q291" s="35"/>
      <c r="R291" s="35"/>
      <c r="S291" s="35"/>
      <c r="T291" s="1"/>
      <c r="U291" s="1"/>
      <c r="V291" s="1"/>
    </row>
    <row r="292" ht="15.75" hidden="1" customHeight="1">
      <c r="A292" s="13"/>
      <c r="B292" s="13"/>
      <c r="C292" s="197" t="s">
        <v>327</v>
      </c>
      <c r="D292" s="198" t="s">
        <v>22</v>
      </c>
      <c r="E292" s="54" t="s">
        <v>328</v>
      </c>
      <c r="F292" s="56">
        <v>0.0</v>
      </c>
      <c r="G292" s="57">
        <v>321.3</v>
      </c>
      <c r="H292" s="57">
        <f t="shared" si="14"/>
        <v>0</v>
      </c>
      <c r="I292" s="18"/>
      <c r="J292" s="18"/>
      <c r="K292" s="13"/>
      <c r="L292" s="13"/>
      <c r="M292" s="13"/>
      <c r="N292" s="13"/>
      <c r="O292" s="19"/>
      <c r="P292" s="19"/>
      <c r="Q292" s="35"/>
      <c r="R292" s="35"/>
      <c r="S292" s="35"/>
      <c r="T292" s="1"/>
      <c r="U292" s="1"/>
      <c r="V292" s="1"/>
    </row>
    <row r="293" ht="15.75" customHeight="1">
      <c r="A293" s="15"/>
      <c r="B293" s="52" t="s">
        <v>18</v>
      </c>
      <c r="C293" s="196" t="s">
        <v>329</v>
      </c>
      <c r="D293" s="150" t="s">
        <v>22</v>
      </c>
      <c r="E293" s="199" t="s">
        <v>330</v>
      </c>
      <c r="F293" s="48">
        <v>2.0</v>
      </c>
      <c r="G293" s="49">
        <v>25.2</v>
      </c>
      <c r="H293" s="50">
        <f t="shared" si="14"/>
        <v>50.4</v>
      </c>
      <c r="I293" s="51"/>
      <c r="J293" s="51"/>
      <c r="K293" s="52"/>
      <c r="L293" s="52"/>
      <c r="M293" s="52"/>
      <c r="N293" s="52"/>
      <c r="O293" s="200"/>
      <c r="P293" s="200"/>
      <c r="Q293" s="1"/>
      <c r="R293" s="1"/>
      <c r="S293" s="1"/>
      <c r="T293" s="1"/>
      <c r="U293" s="1"/>
      <c r="V293" s="1"/>
    </row>
    <row r="294" ht="15.75" customHeight="1">
      <c r="A294" s="53"/>
      <c r="B294" s="54" t="s">
        <v>18</v>
      </c>
      <c r="C294" s="197" t="s">
        <v>331</v>
      </c>
      <c r="D294" s="198" t="s">
        <v>22</v>
      </c>
      <c r="E294" s="201" t="s">
        <v>332</v>
      </c>
      <c r="F294" s="56">
        <v>1.0</v>
      </c>
      <c r="G294" s="159">
        <v>48.0</v>
      </c>
      <c r="H294" s="57">
        <f t="shared" si="14"/>
        <v>48</v>
      </c>
      <c r="I294" s="58"/>
      <c r="J294" s="58"/>
      <c r="K294" s="54"/>
      <c r="L294" s="54"/>
      <c r="M294" s="54"/>
      <c r="N294" s="54"/>
      <c r="O294" s="202"/>
      <c r="P294" s="202"/>
      <c r="Q294" s="1"/>
      <c r="R294" s="1"/>
      <c r="S294" s="1"/>
      <c r="T294" s="1"/>
      <c r="U294" s="1"/>
      <c r="V294" s="1"/>
    </row>
    <row r="295" ht="15.75" customHeight="1">
      <c r="A295" s="53"/>
      <c r="B295" s="54" t="s">
        <v>18</v>
      </c>
      <c r="C295" s="203" t="s">
        <v>333</v>
      </c>
      <c r="D295" s="198" t="s">
        <v>22</v>
      </c>
      <c r="E295" s="204" t="s">
        <v>334</v>
      </c>
      <c r="F295" s="56">
        <v>1.0</v>
      </c>
      <c r="G295" s="159">
        <v>46.8</v>
      </c>
      <c r="H295" s="57">
        <f t="shared" si="14"/>
        <v>46.8</v>
      </c>
      <c r="I295" s="58"/>
      <c r="J295" s="58"/>
      <c r="K295" s="54"/>
      <c r="L295" s="54"/>
      <c r="M295" s="54"/>
      <c r="N295" s="54"/>
      <c r="O295" s="202"/>
      <c r="P295" s="202"/>
      <c r="Q295" s="1"/>
      <c r="R295" s="1"/>
      <c r="S295" s="1"/>
      <c r="T295" s="1"/>
      <c r="U295" s="1"/>
      <c r="V295" s="1"/>
    </row>
    <row r="296" ht="15.75" hidden="1" customHeight="1">
      <c r="A296" s="53"/>
      <c r="B296" s="52" t="s">
        <v>18</v>
      </c>
      <c r="C296" s="196" t="s">
        <v>335</v>
      </c>
      <c r="D296" s="150" t="s">
        <v>22</v>
      </c>
      <c r="E296" s="52"/>
      <c r="F296" s="48">
        <v>0.0</v>
      </c>
      <c r="G296" s="50">
        <v>29.69</v>
      </c>
      <c r="H296" s="50">
        <f t="shared" si="14"/>
        <v>0</v>
      </c>
      <c r="I296" s="58"/>
      <c r="J296" s="58"/>
      <c r="K296" s="54"/>
      <c r="L296" s="54"/>
      <c r="M296" s="54"/>
      <c r="N296" s="54"/>
      <c r="O296" s="202"/>
      <c r="P296" s="202"/>
      <c r="Q296" s="1"/>
      <c r="R296" s="1"/>
      <c r="S296" s="1"/>
      <c r="T296" s="1"/>
      <c r="U296" s="1"/>
      <c r="V296" s="1"/>
    </row>
    <row r="297" ht="15.75" hidden="1" customHeight="1">
      <c r="A297" s="53"/>
      <c r="B297" s="54" t="s">
        <v>18</v>
      </c>
      <c r="C297" s="197" t="s">
        <v>336</v>
      </c>
      <c r="D297" s="198" t="s">
        <v>22</v>
      </c>
      <c r="E297" s="54" t="s">
        <v>337</v>
      </c>
      <c r="F297" s="56">
        <v>0.0</v>
      </c>
      <c r="G297" s="57">
        <v>29.99</v>
      </c>
      <c r="H297" s="57">
        <f t="shared" si="14"/>
        <v>0</v>
      </c>
      <c r="I297" s="58"/>
      <c r="J297" s="58"/>
      <c r="K297" s="54"/>
      <c r="L297" s="54"/>
      <c r="M297" s="54"/>
      <c r="N297" s="54"/>
      <c r="O297" s="202"/>
      <c r="P297" s="202"/>
      <c r="Q297" s="1"/>
      <c r="R297" s="1"/>
      <c r="S297" s="1"/>
      <c r="T297" s="1"/>
      <c r="U297" s="1"/>
      <c r="V297" s="1"/>
    </row>
    <row r="298" ht="15.75" hidden="1" customHeight="1">
      <c r="A298" s="15"/>
      <c r="B298" s="54" t="s">
        <v>18</v>
      </c>
      <c r="C298" s="203" t="s">
        <v>338</v>
      </c>
      <c r="D298" s="198" t="s">
        <v>22</v>
      </c>
      <c r="E298" s="54" t="s">
        <v>339</v>
      </c>
      <c r="F298" s="56">
        <v>0.0</v>
      </c>
      <c r="G298" s="57">
        <v>16.69</v>
      </c>
      <c r="H298" s="57">
        <f t="shared" si="14"/>
        <v>0</v>
      </c>
      <c r="I298" s="51"/>
      <c r="J298" s="51"/>
      <c r="K298" s="52"/>
      <c r="L298" s="52"/>
      <c r="M298" s="52"/>
      <c r="N298" s="52"/>
      <c r="O298" s="200"/>
      <c r="P298" s="200"/>
      <c r="Q298" s="1"/>
      <c r="R298" s="1"/>
      <c r="S298" s="1"/>
      <c r="T298" s="1"/>
      <c r="U298" s="1"/>
      <c r="V298" s="1"/>
    </row>
    <row r="299" ht="15.75" hidden="1" customHeight="1">
      <c r="A299" s="53"/>
      <c r="B299" s="52" t="s">
        <v>18</v>
      </c>
      <c r="C299" s="196" t="s">
        <v>340</v>
      </c>
      <c r="D299" s="150" t="s">
        <v>22</v>
      </c>
      <c r="E299" s="52"/>
      <c r="F299" s="48">
        <v>0.0</v>
      </c>
      <c r="G299" s="50">
        <v>29.69</v>
      </c>
      <c r="H299" s="50">
        <f t="shared" si="14"/>
        <v>0</v>
      </c>
      <c r="I299" s="58"/>
      <c r="J299" s="58"/>
      <c r="K299" s="54"/>
      <c r="L299" s="54"/>
      <c r="M299" s="54"/>
      <c r="N299" s="54"/>
      <c r="O299" s="202"/>
      <c r="P299" s="202"/>
      <c r="Q299" s="1"/>
      <c r="R299" s="1"/>
      <c r="S299" s="1"/>
      <c r="T299" s="1"/>
      <c r="U299" s="1"/>
      <c r="V299" s="1"/>
    </row>
    <row r="300" ht="15.75" hidden="1" customHeight="1">
      <c r="A300" s="53"/>
      <c r="B300" s="54" t="s">
        <v>18</v>
      </c>
      <c r="C300" s="197" t="s">
        <v>341</v>
      </c>
      <c r="D300" s="198" t="s">
        <v>22</v>
      </c>
      <c r="E300" s="54" t="s">
        <v>337</v>
      </c>
      <c r="F300" s="56">
        <v>0.0</v>
      </c>
      <c r="G300" s="57">
        <v>29.99</v>
      </c>
      <c r="H300" s="57">
        <f t="shared" si="14"/>
        <v>0</v>
      </c>
      <c r="I300" s="58"/>
      <c r="J300" s="58"/>
      <c r="K300" s="54"/>
      <c r="L300" s="54"/>
      <c r="M300" s="54"/>
      <c r="N300" s="54"/>
      <c r="O300" s="202"/>
      <c r="P300" s="202"/>
      <c r="Q300" s="1"/>
      <c r="R300" s="1"/>
      <c r="S300" s="1"/>
      <c r="T300" s="1"/>
      <c r="U300" s="1"/>
      <c r="V300" s="1"/>
    </row>
    <row r="301" ht="15.75" hidden="1" customHeight="1">
      <c r="A301" s="53"/>
      <c r="B301" s="54" t="s">
        <v>18</v>
      </c>
      <c r="C301" s="197" t="s">
        <v>342</v>
      </c>
      <c r="D301" s="198" t="s">
        <v>22</v>
      </c>
      <c r="E301" s="54" t="s">
        <v>343</v>
      </c>
      <c r="F301" s="56">
        <v>0.0</v>
      </c>
      <c r="G301" s="57">
        <v>17.99</v>
      </c>
      <c r="H301" s="57">
        <f t="shared" si="14"/>
        <v>0</v>
      </c>
      <c r="I301" s="58"/>
      <c r="J301" s="58"/>
      <c r="K301" s="54"/>
      <c r="L301" s="54"/>
      <c r="M301" s="54"/>
      <c r="N301" s="54"/>
      <c r="O301" s="202"/>
      <c r="P301" s="202"/>
      <c r="Q301" s="1"/>
      <c r="R301" s="1"/>
      <c r="S301" s="1"/>
      <c r="T301" s="1"/>
      <c r="U301" s="1"/>
      <c r="V301" s="1"/>
    </row>
    <row r="302" ht="15.75" hidden="1" customHeight="1">
      <c r="A302" s="15"/>
      <c r="B302" s="54" t="s">
        <v>18</v>
      </c>
      <c r="C302" s="197" t="s">
        <v>344</v>
      </c>
      <c r="D302" s="198" t="s">
        <v>22</v>
      </c>
      <c r="E302" s="205" t="s">
        <v>345</v>
      </c>
      <c r="F302" s="158">
        <v>0.0</v>
      </c>
      <c r="G302" s="57">
        <v>19.0</v>
      </c>
      <c r="H302" s="57">
        <f t="shared" si="14"/>
        <v>0</v>
      </c>
      <c r="I302" s="51"/>
      <c r="J302" s="51"/>
      <c r="K302" s="52"/>
      <c r="L302" s="52"/>
      <c r="M302" s="52"/>
      <c r="N302" s="52"/>
      <c r="O302" s="200"/>
      <c r="P302" s="200"/>
      <c r="Q302" s="1"/>
      <c r="R302" s="1"/>
      <c r="S302" s="1"/>
      <c r="T302" s="1"/>
      <c r="U302" s="1"/>
      <c r="V302" s="1"/>
    </row>
    <row r="303" ht="15.75" hidden="1" customHeight="1">
      <c r="A303" s="53"/>
      <c r="B303" s="206" t="s">
        <v>18</v>
      </c>
      <c r="C303" s="197" t="s">
        <v>346</v>
      </c>
      <c r="D303" s="198" t="s">
        <v>22</v>
      </c>
      <c r="E303" s="205" t="s">
        <v>347</v>
      </c>
      <c r="F303" s="158">
        <v>0.0</v>
      </c>
      <c r="G303" s="57">
        <v>35.0</v>
      </c>
      <c r="H303" s="57">
        <f t="shared" si="14"/>
        <v>0</v>
      </c>
      <c r="I303" s="58"/>
      <c r="J303" s="58"/>
      <c r="K303" s="54"/>
      <c r="L303" s="54"/>
      <c r="M303" s="54"/>
      <c r="N303" s="54"/>
      <c r="O303" s="202"/>
      <c r="P303" s="202"/>
      <c r="Q303" s="1"/>
      <c r="R303" s="1"/>
      <c r="S303" s="1"/>
      <c r="T303" s="1"/>
      <c r="U303" s="1"/>
      <c r="V303" s="1"/>
    </row>
    <row r="304" ht="15.75" customHeight="1">
      <c r="A304" s="53"/>
      <c r="B304" s="13" t="s">
        <v>18</v>
      </c>
      <c r="C304" s="196" t="s">
        <v>348</v>
      </c>
      <c r="D304" s="150" t="s">
        <v>22</v>
      </c>
      <c r="E304" s="199" t="s">
        <v>349</v>
      </c>
      <c r="F304" s="48">
        <v>1.0</v>
      </c>
      <c r="G304" s="49">
        <v>24.0</v>
      </c>
      <c r="H304" s="50">
        <f t="shared" si="14"/>
        <v>24</v>
      </c>
      <c r="I304" s="58"/>
      <c r="J304" s="58"/>
      <c r="K304" s="54"/>
      <c r="L304" s="54"/>
      <c r="M304" s="54"/>
      <c r="N304" s="54"/>
      <c r="O304" s="202"/>
      <c r="P304" s="202"/>
      <c r="Q304" s="1"/>
      <c r="R304" s="1"/>
      <c r="S304" s="1"/>
      <c r="T304" s="1"/>
      <c r="U304" s="1"/>
      <c r="V304" s="1"/>
    </row>
    <row r="305" ht="15.75" customHeight="1">
      <c r="A305" s="53"/>
      <c r="B305" s="13" t="s">
        <v>350</v>
      </c>
      <c r="C305" s="196" t="s">
        <v>351</v>
      </c>
      <c r="D305" s="150" t="s">
        <v>22</v>
      </c>
      <c r="E305" s="207" t="s">
        <v>352</v>
      </c>
      <c r="F305" s="48">
        <v>1.0</v>
      </c>
      <c r="G305" s="49">
        <v>420.0</v>
      </c>
      <c r="H305" s="50">
        <f t="shared" si="14"/>
        <v>420</v>
      </c>
      <c r="I305" s="58"/>
      <c r="J305" s="58"/>
      <c r="K305" s="54"/>
      <c r="L305" s="54"/>
      <c r="M305" s="54"/>
      <c r="N305" s="54"/>
      <c r="O305" s="202"/>
      <c r="P305" s="202"/>
      <c r="Q305" s="1"/>
      <c r="R305" s="1"/>
      <c r="S305" s="1"/>
      <c r="T305" s="1"/>
      <c r="U305" s="1"/>
      <c r="V305" s="1"/>
    </row>
    <row r="306" ht="15.75" customHeight="1">
      <c r="A306" s="13"/>
      <c r="B306" s="206" t="s">
        <v>350</v>
      </c>
      <c r="C306" s="197" t="s">
        <v>353</v>
      </c>
      <c r="D306" s="198" t="s">
        <v>22</v>
      </c>
      <c r="E306" s="208" t="s">
        <v>352</v>
      </c>
      <c r="F306" s="56">
        <v>1.0</v>
      </c>
      <c r="G306" s="159">
        <v>172.0</v>
      </c>
      <c r="H306" s="57">
        <f t="shared" si="14"/>
        <v>172</v>
      </c>
      <c r="I306" s="18"/>
      <c r="J306" s="18"/>
      <c r="K306" s="13"/>
      <c r="L306" s="13"/>
      <c r="M306" s="13"/>
      <c r="N306" s="13"/>
      <c r="O306" s="19"/>
      <c r="P306" s="19"/>
      <c r="Q306" s="35"/>
      <c r="R306" s="35"/>
      <c r="S306" s="35"/>
      <c r="T306" s="1"/>
      <c r="U306" s="1"/>
      <c r="V306" s="1"/>
    </row>
    <row r="307" ht="15.75" hidden="1" customHeight="1">
      <c r="A307" s="13"/>
      <c r="B307" s="206"/>
      <c r="C307" s="197" t="s">
        <v>354</v>
      </c>
      <c r="D307" s="198" t="s">
        <v>22</v>
      </c>
      <c r="E307" s="208" t="s">
        <v>352</v>
      </c>
      <c r="F307" s="56">
        <v>0.0</v>
      </c>
      <c r="G307" s="159">
        <v>97.0</v>
      </c>
      <c r="H307" s="57">
        <f t="shared" si="14"/>
        <v>0</v>
      </c>
      <c r="I307" s="18"/>
      <c r="J307" s="18"/>
      <c r="K307" s="13"/>
      <c r="L307" s="13"/>
      <c r="M307" s="13"/>
      <c r="N307" s="13"/>
      <c r="O307" s="13"/>
      <c r="P307" s="13"/>
      <c r="Q307" s="35"/>
      <c r="R307" s="35"/>
      <c r="S307" s="35"/>
      <c r="T307" s="1"/>
      <c r="U307" s="1"/>
      <c r="V307" s="1"/>
    </row>
    <row r="308" ht="15.75" hidden="1" customHeight="1">
      <c r="A308" s="13"/>
      <c r="B308" s="156" t="s">
        <v>350</v>
      </c>
      <c r="C308" s="197" t="s">
        <v>355</v>
      </c>
      <c r="D308" s="198" t="s">
        <v>22</v>
      </c>
      <c r="E308" s="208" t="s">
        <v>356</v>
      </c>
      <c r="F308" s="56">
        <v>0.0</v>
      </c>
      <c r="G308" s="159">
        <v>366.0</v>
      </c>
      <c r="H308" s="57">
        <f t="shared" si="14"/>
        <v>0</v>
      </c>
      <c r="I308" s="18"/>
      <c r="J308" s="18"/>
      <c r="K308" s="13"/>
      <c r="L308" s="13"/>
      <c r="M308" s="13"/>
      <c r="N308" s="13"/>
      <c r="O308" s="13"/>
      <c r="P308" s="13"/>
      <c r="Q308" s="35"/>
      <c r="R308" s="35"/>
      <c r="S308" s="35"/>
      <c r="T308" s="1"/>
      <c r="U308" s="1"/>
      <c r="V308" s="1"/>
    </row>
    <row r="309" ht="15.75" hidden="1" customHeight="1">
      <c r="A309" s="13"/>
      <c r="B309" s="206" t="s">
        <v>350</v>
      </c>
      <c r="C309" s="197" t="s">
        <v>357</v>
      </c>
      <c r="D309" s="198" t="s">
        <v>22</v>
      </c>
      <c r="E309" s="208" t="s">
        <v>356</v>
      </c>
      <c r="F309" s="56">
        <v>0.0</v>
      </c>
      <c r="G309" s="159">
        <v>107.5</v>
      </c>
      <c r="H309" s="57">
        <f t="shared" si="14"/>
        <v>0</v>
      </c>
      <c r="I309" s="18"/>
      <c r="J309" s="18"/>
      <c r="K309" s="13"/>
      <c r="L309" s="13"/>
      <c r="M309" s="19"/>
      <c r="N309" s="13"/>
      <c r="O309" s="19"/>
      <c r="P309" s="19"/>
      <c r="Q309" s="35"/>
      <c r="R309" s="35"/>
      <c r="S309" s="35"/>
      <c r="T309" s="1"/>
      <c r="U309" s="1"/>
      <c r="V309" s="1"/>
    </row>
    <row r="310" ht="15.75" hidden="1" customHeight="1">
      <c r="A310" s="13"/>
      <c r="B310" s="156" t="s">
        <v>350</v>
      </c>
      <c r="C310" s="197" t="s">
        <v>358</v>
      </c>
      <c r="D310" s="198" t="s">
        <v>22</v>
      </c>
      <c r="E310" s="208" t="s">
        <v>356</v>
      </c>
      <c r="F310" s="56">
        <v>0.0</v>
      </c>
      <c r="G310" s="159">
        <v>97.0</v>
      </c>
      <c r="H310" s="57">
        <f t="shared" si="14"/>
        <v>0</v>
      </c>
      <c r="I310" s="18"/>
      <c r="J310" s="18"/>
      <c r="K310" s="13"/>
      <c r="L310" s="27"/>
      <c r="M310" s="28"/>
      <c r="N310" s="27"/>
      <c r="O310" s="28"/>
      <c r="P310" s="27"/>
      <c r="Q310" s="35"/>
      <c r="R310" s="35"/>
      <c r="S310" s="35"/>
      <c r="T310" s="1"/>
      <c r="U310" s="1"/>
      <c r="V310" s="1"/>
    </row>
    <row r="311" ht="15.75" hidden="1" customHeight="1">
      <c r="A311" s="13"/>
      <c r="B311" s="13" t="s">
        <v>18</v>
      </c>
      <c r="C311" s="196" t="s">
        <v>359</v>
      </c>
      <c r="D311" s="150" t="s">
        <v>22</v>
      </c>
      <c r="E311" s="52" t="s">
        <v>360</v>
      </c>
      <c r="F311" s="48">
        <v>0.0</v>
      </c>
      <c r="G311" s="50">
        <v>18.0</v>
      </c>
      <c r="H311" s="50">
        <f t="shared" si="14"/>
        <v>0</v>
      </c>
      <c r="I311" s="18"/>
      <c r="J311" s="18"/>
      <c r="K311" s="13"/>
      <c r="L311" s="27"/>
      <c r="M311" s="28"/>
      <c r="N311" s="27"/>
      <c r="O311" s="28"/>
      <c r="P311" s="27"/>
      <c r="Q311" s="35"/>
      <c r="R311" s="35"/>
      <c r="S311" s="35"/>
      <c r="T311" s="1"/>
      <c r="U311" s="1"/>
      <c r="V311" s="1"/>
    </row>
    <row r="312" ht="15.75" customHeight="1">
      <c r="A312" s="13"/>
      <c r="B312" s="13" t="s">
        <v>361</v>
      </c>
      <c r="C312" s="169" t="s">
        <v>362</v>
      </c>
      <c r="D312" s="66" t="s">
        <v>22</v>
      </c>
      <c r="E312" s="15" t="s">
        <v>363</v>
      </c>
      <c r="F312" s="16">
        <v>4.0</v>
      </c>
      <c r="G312" s="17">
        <v>11.0</v>
      </c>
      <c r="H312" s="17">
        <f t="shared" si="14"/>
        <v>44</v>
      </c>
      <c r="I312" s="18"/>
      <c r="J312" s="18"/>
      <c r="K312" s="13"/>
      <c r="L312" s="27"/>
      <c r="M312" s="28"/>
      <c r="N312" s="27"/>
      <c r="O312" s="28"/>
      <c r="P312" s="27"/>
      <c r="Q312" s="35"/>
      <c r="R312" s="35"/>
      <c r="S312" s="35"/>
      <c r="T312" s="1"/>
      <c r="U312" s="1"/>
      <c r="V312" s="1"/>
    </row>
    <row r="313" ht="15.75" hidden="1" customHeight="1">
      <c r="A313" s="13"/>
      <c r="B313" s="13" t="s">
        <v>361</v>
      </c>
      <c r="C313" s="169" t="s">
        <v>364</v>
      </c>
      <c r="D313" s="66" t="s">
        <v>22</v>
      </c>
      <c r="E313" s="15" t="s">
        <v>365</v>
      </c>
      <c r="F313" s="16">
        <v>0.0</v>
      </c>
      <c r="G313" s="17">
        <v>6.0</v>
      </c>
      <c r="H313" s="17">
        <f t="shared" si="14"/>
        <v>0</v>
      </c>
      <c r="I313" s="18"/>
      <c r="J313" s="18"/>
      <c r="K313" s="13"/>
      <c r="L313" s="27"/>
      <c r="M313" s="28"/>
      <c r="N313" s="27"/>
      <c r="O313" s="28"/>
      <c r="P313" s="27"/>
      <c r="Q313" s="35"/>
      <c r="R313" s="35"/>
      <c r="S313" s="35"/>
      <c r="T313" s="1"/>
      <c r="U313" s="1"/>
      <c r="V313" s="1"/>
    </row>
    <row r="314" ht="15.75" customHeight="1">
      <c r="A314" s="13"/>
      <c r="B314" s="13" t="s">
        <v>974</v>
      </c>
      <c r="C314" s="169" t="s">
        <v>263</v>
      </c>
      <c r="D314" s="66" t="s">
        <v>22</v>
      </c>
      <c r="E314" s="15" t="s">
        <v>612</v>
      </c>
      <c r="F314" s="16">
        <v>2.0</v>
      </c>
      <c r="G314" s="17">
        <v>180.0</v>
      </c>
      <c r="H314" s="17">
        <f t="shared" si="14"/>
        <v>360</v>
      </c>
      <c r="I314" s="18"/>
      <c r="J314" s="18"/>
      <c r="K314" s="13"/>
      <c r="L314" s="27"/>
      <c r="M314" s="28"/>
      <c r="N314" s="27"/>
      <c r="O314" s="28"/>
      <c r="P314" s="27"/>
      <c r="Q314" s="35"/>
      <c r="R314" s="35"/>
      <c r="S314" s="35"/>
      <c r="T314" s="1"/>
      <c r="U314" s="1"/>
      <c r="V314" s="1"/>
    </row>
    <row r="315" ht="15.75" customHeight="1">
      <c r="A315" s="13"/>
      <c r="B315" s="13"/>
      <c r="C315" s="13" t="s">
        <v>67</v>
      </c>
      <c r="D315" s="70" t="s">
        <v>24</v>
      </c>
      <c r="E315" s="15"/>
      <c r="F315" s="16">
        <v>2.0</v>
      </c>
      <c r="G315" s="17">
        <v>18.0</v>
      </c>
      <c r="H315" s="17">
        <f t="shared" si="14"/>
        <v>36</v>
      </c>
      <c r="I315" s="18"/>
      <c r="J315" s="18"/>
      <c r="K315" s="13"/>
      <c r="L315" s="95"/>
      <c r="M315" s="96"/>
      <c r="N315" s="95"/>
      <c r="O315" s="95"/>
      <c r="P315" s="95"/>
      <c r="Q315" s="35"/>
      <c r="R315" s="35"/>
      <c r="S315" s="35"/>
      <c r="T315" s="1"/>
      <c r="U315" s="1"/>
      <c r="V315" s="1"/>
    </row>
    <row r="316" ht="15.75" customHeight="1">
      <c r="A316" s="13"/>
      <c r="B316" s="13" t="s">
        <v>277</v>
      </c>
      <c r="C316" s="169" t="s">
        <v>366</v>
      </c>
      <c r="D316" s="14" t="s">
        <v>20</v>
      </c>
      <c r="E316" s="155" t="s">
        <v>367</v>
      </c>
      <c r="F316" s="16">
        <v>1.0</v>
      </c>
      <c r="G316" s="17">
        <v>348.0</v>
      </c>
      <c r="H316" s="17">
        <f t="shared" si="14"/>
        <v>348</v>
      </c>
      <c r="I316" s="18"/>
      <c r="J316" s="18"/>
      <c r="K316" s="13"/>
      <c r="L316" s="95"/>
      <c r="M316" s="96"/>
      <c r="N316" s="95"/>
      <c r="O316" s="95"/>
      <c r="P316" s="95"/>
      <c r="Q316" s="35"/>
      <c r="R316" s="35"/>
      <c r="S316" s="35"/>
      <c r="T316" s="1"/>
      <c r="U316" s="1"/>
      <c r="V316" s="1"/>
    </row>
    <row r="317" ht="15.75" customHeight="1">
      <c r="A317" s="13"/>
      <c r="B317" s="13" t="s">
        <v>18</v>
      </c>
      <c r="C317" s="169" t="s">
        <v>280</v>
      </c>
      <c r="D317" s="14" t="s">
        <v>20</v>
      </c>
      <c r="E317" s="33" t="s">
        <v>368</v>
      </c>
      <c r="F317" s="16">
        <v>1.0</v>
      </c>
      <c r="G317" s="34">
        <v>20.0</v>
      </c>
      <c r="H317" s="17">
        <f t="shared" si="14"/>
        <v>20</v>
      </c>
      <c r="I317" s="18"/>
      <c r="J317" s="18"/>
      <c r="K317" s="13"/>
      <c r="L317" s="13"/>
      <c r="M317" s="19"/>
      <c r="N317" s="13"/>
      <c r="O317" s="19"/>
      <c r="P317" s="19"/>
      <c r="Q317" s="35"/>
      <c r="R317" s="35"/>
      <c r="S317" s="35"/>
      <c r="T317" s="1"/>
      <c r="U317" s="1"/>
      <c r="V317" s="1"/>
    </row>
    <row r="318" ht="15.75" customHeight="1">
      <c r="A318" s="13"/>
      <c r="B318" s="13"/>
      <c r="C318" s="169" t="s">
        <v>282</v>
      </c>
      <c r="D318" s="70" t="s">
        <v>24</v>
      </c>
      <c r="E318" s="15"/>
      <c r="F318" s="16">
        <v>1.0</v>
      </c>
      <c r="G318" s="17">
        <v>80.0</v>
      </c>
      <c r="H318" s="17">
        <f t="shared" si="14"/>
        <v>80</v>
      </c>
      <c r="I318" s="18"/>
      <c r="J318" s="18"/>
      <c r="K318" s="13"/>
      <c r="L318" s="63"/>
      <c r="M318" s="79"/>
      <c r="N318" s="63"/>
      <c r="O318" s="79"/>
      <c r="P318" s="79"/>
      <c r="Q318" s="35"/>
      <c r="R318" s="35"/>
      <c r="S318" s="35"/>
      <c r="T318" s="1"/>
      <c r="U318" s="1"/>
      <c r="V318" s="1"/>
    </row>
    <row r="319" ht="15.75" hidden="1" customHeight="1">
      <c r="A319" s="13"/>
      <c r="B319" s="13" t="s">
        <v>18</v>
      </c>
      <c r="C319" s="169" t="s">
        <v>283</v>
      </c>
      <c r="D319" s="14" t="s">
        <v>20</v>
      </c>
      <c r="E319" s="15" t="s">
        <v>284</v>
      </c>
      <c r="F319" s="16">
        <v>0.0</v>
      </c>
      <c r="G319" s="17">
        <v>12.0</v>
      </c>
      <c r="H319" s="17">
        <f t="shared" si="14"/>
        <v>0</v>
      </c>
      <c r="I319" s="18"/>
      <c r="J319" s="18"/>
      <c r="K319" s="13"/>
      <c r="L319" s="13"/>
      <c r="M319" s="19"/>
      <c r="N319" s="13"/>
      <c r="O319" s="38"/>
      <c r="P319" s="19"/>
      <c r="Q319" s="35"/>
      <c r="R319" s="35"/>
      <c r="S319" s="35"/>
      <c r="T319" s="1"/>
      <c r="U319" s="1"/>
      <c r="V319" s="1"/>
    </row>
    <row r="320" ht="15.75" customHeight="1">
      <c r="A320" s="13"/>
      <c r="B320" s="13" t="s">
        <v>369</v>
      </c>
      <c r="C320" s="169" t="s">
        <v>370</v>
      </c>
      <c r="D320" s="14" t="s">
        <v>20</v>
      </c>
      <c r="E320" s="15">
        <v>8.49069896E8</v>
      </c>
      <c r="F320" s="16">
        <v>1.0</v>
      </c>
      <c r="G320" s="17">
        <v>5.0</v>
      </c>
      <c r="H320" s="17">
        <f t="shared" si="14"/>
        <v>5</v>
      </c>
      <c r="I320" s="18"/>
      <c r="J320" s="18"/>
      <c r="K320" s="13"/>
      <c r="L320" s="27"/>
      <c r="M320" s="27"/>
      <c r="N320" s="27"/>
      <c r="O320" s="27"/>
      <c r="P320" s="27"/>
      <c r="Q320" s="35"/>
      <c r="R320" s="35"/>
      <c r="S320" s="35"/>
      <c r="T320" s="1"/>
      <c r="U320" s="1"/>
      <c r="V320" s="1"/>
    </row>
    <row r="321" ht="15.75" customHeight="1">
      <c r="A321" s="13"/>
      <c r="B321" s="13" t="s">
        <v>18</v>
      </c>
      <c r="C321" s="169" t="s">
        <v>371</v>
      </c>
      <c r="D321" s="14" t="s">
        <v>20</v>
      </c>
      <c r="E321" s="15" t="s">
        <v>286</v>
      </c>
      <c r="F321" s="16">
        <v>2.0</v>
      </c>
      <c r="G321" s="17">
        <v>3.0</v>
      </c>
      <c r="H321" s="17">
        <f t="shared" si="14"/>
        <v>6</v>
      </c>
      <c r="I321" s="18"/>
      <c r="J321" s="18"/>
      <c r="K321" s="13"/>
      <c r="L321" s="63"/>
      <c r="M321" s="63"/>
      <c r="N321" s="63"/>
      <c r="O321" s="63"/>
      <c r="P321" s="63"/>
      <c r="Q321" s="35"/>
      <c r="R321" s="35"/>
      <c r="S321" s="35"/>
      <c r="T321" s="1"/>
      <c r="U321" s="1"/>
      <c r="V321" s="1"/>
    </row>
    <row r="322" ht="15.75" hidden="1" customHeight="1">
      <c r="A322" s="13"/>
      <c r="B322" s="13" t="s">
        <v>18</v>
      </c>
      <c r="C322" s="195" t="s">
        <v>372</v>
      </c>
      <c r="D322" s="14" t="s">
        <v>20</v>
      </c>
      <c r="E322" s="210"/>
      <c r="F322" s="228">
        <v>0.0</v>
      </c>
      <c r="G322" s="212">
        <v>70.0</v>
      </c>
      <c r="H322" s="17">
        <f t="shared" si="14"/>
        <v>0</v>
      </c>
      <c r="I322" s="18"/>
      <c r="J322" s="18"/>
      <c r="K322" s="13"/>
      <c r="L322" s="27"/>
      <c r="M322" s="28"/>
      <c r="N322" s="27"/>
      <c r="O322" s="28"/>
      <c r="P322" s="28"/>
      <c r="Q322" s="35"/>
      <c r="R322" s="35"/>
      <c r="S322" s="35"/>
      <c r="T322" s="1"/>
      <c r="U322" s="1"/>
      <c r="V322" s="1"/>
    </row>
    <row r="323" ht="15.75" hidden="1" customHeight="1">
      <c r="A323" s="13"/>
      <c r="B323" s="13"/>
      <c r="C323" s="169" t="s">
        <v>70</v>
      </c>
      <c r="D323" s="14" t="s">
        <v>20</v>
      </c>
      <c r="E323" s="15"/>
      <c r="F323" s="40">
        <v>0.0</v>
      </c>
      <c r="G323" s="34">
        <v>60.0</v>
      </c>
      <c r="H323" s="17">
        <f t="shared" si="14"/>
        <v>0</v>
      </c>
      <c r="I323" s="18"/>
      <c r="J323" s="18"/>
      <c r="K323" s="18"/>
      <c r="L323" s="13"/>
      <c r="M323" s="19"/>
      <c r="N323" s="13"/>
      <c r="O323" s="19"/>
      <c r="P323" s="19"/>
      <c r="Q323" s="35"/>
      <c r="R323" s="35"/>
      <c r="S323" s="35"/>
      <c r="T323" s="1"/>
      <c r="U323" s="1"/>
      <c r="V323" s="1"/>
    </row>
    <row r="324" ht="15.75" hidden="1" customHeight="1">
      <c r="A324" s="13"/>
      <c r="B324" s="13" t="s">
        <v>373</v>
      </c>
      <c r="C324" s="169" t="s">
        <v>69</v>
      </c>
      <c r="D324" s="14" t="s">
        <v>20</v>
      </c>
      <c r="E324" s="15"/>
      <c r="F324" s="16">
        <v>0.0</v>
      </c>
      <c r="G324" s="17">
        <v>70.0</v>
      </c>
      <c r="H324" s="17">
        <f t="shared" si="14"/>
        <v>0</v>
      </c>
      <c r="I324" s="18"/>
      <c r="J324" s="18"/>
      <c r="K324" s="13"/>
      <c r="L324" s="27"/>
      <c r="M324" s="28"/>
      <c r="N324" s="27"/>
      <c r="O324" s="28"/>
      <c r="P324" s="28"/>
      <c r="Q324" s="35"/>
      <c r="R324" s="35"/>
      <c r="S324" s="35"/>
      <c r="T324" s="1"/>
      <c r="U324" s="1"/>
      <c r="V324" s="1"/>
    </row>
    <row r="325" ht="15.75" hidden="1" customHeight="1">
      <c r="A325" s="13"/>
      <c r="B325" s="13"/>
      <c r="C325" s="169" t="s">
        <v>374</v>
      </c>
      <c r="D325" s="70" t="s">
        <v>24</v>
      </c>
      <c r="E325" s="15"/>
      <c r="F325" s="16">
        <v>0.0</v>
      </c>
      <c r="G325" s="17">
        <v>207.0</v>
      </c>
      <c r="H325" s="17">
        <f t="shared" si="14"/>
        <v>0</v>
      </c>
      <c r="I325" s="18"/>
      <c r="J325" s="18"/>
      <c r="K325" s="13"/>
      <c r="L325" s="107"/>
      <c r="M325" s="214"/>
      <c r="N325" s="13"/>
      <c r="O325" s="13"/>
      <c r="P325" s="13"/>
      <c r="Q325" s="35"/>
      <c r="R325" s="35"/>
      <c r="S325" s="35"/>
      <c r="T325" s="1"/>
      <c r="U325" s="1"/>
      <c r="V325" s="1"/>
    </row>
    <row r="326" ht="15.75" hidden="1" customHeight="1">
      <c r="A326" s="13"/>
      <c r="B326" s="13"/>
      <c r="C326" s="169" t="s">
        <v>375</v>
      </c>
      <c r="D326" s="70" t="s">
        <v>24</v>
      </c>
      <c r="E326" s="15"/>
      <c r="F326" s="16">
        <v>0.0</v>
      </c>
      <c r="G326" s="17">
        <v>450.0</v>
      </c>
      <c r="H326" s="17">
        <f t="shared" si="14"/>
        <v>0</v>
      </c>
      <c r="I326" s="18"/>
      <c r="J326" s="18"/>
      <c r="K326" s="13"/>
      <c r="L326" s="63"/>
      <c r="M326" s="63"/>
      <c r="N326" s="63"/>
      <c r="O326" s="63"/>
      <c r="P326" s="63"/>
      <c r="Q326" s="35"/>
      <c r="R326" s="35"/>
      <c r="S326" s="35"/>
      <c r="T326" s="1"/>
      <c r="U326" s="1"/>
      <c r="V326" s="1"/>
    </row>
    <row r="327" ht="15.75" hidden="1" customHeight="1">
      <c r="A327" s="13"/>
      <c r="B327" s="13"/>
      <c r="C327" s="13" t="s">
        <v>71</v>
      </c>
      <c r="D327" s="213" t="s">
        <v>24</v>
      </c>
      <c r="E327" s="52"/>
      <c r="F327" s="48">
        <v>0.0</v>
      </c>
      <c r="G327" s="50">
        <v>80.0</v>
      </c>
      <c r="H327" s="50">
        <f t="shared" si="14"/>
        <v>0</v>
      </c>
      <c r="I327" s="18"/>
      <c r="J327" s="18"/>
      <c r="K327" s="13" t="s">
        <v>376</v>
      </c>
      <c r="L327" s="63"/>
      <c r="M327" s="63"/>
      <c r="N327" s="63"/>
      <c r="O327" s="63"/>
      <c r="P327" s="63"/>
      <c r="Q327" s="35"/>
      <c r="R327" s="35"/>
      <c r="S327" s="35"/>
      <c r="T327" s="1"/>
      <c r="U327" s="1"/>
      <c r="V327" s="1"/>
    </row>
    <row r="328" ht="15.75" hidden="1" customHeight="1">
      <c r="A328" s="13"/>
      <c r="B328" s="13" t="s">
        <v>18</v>
      </c>
      <c r="C328" s="13" t="s">
        <v>377</v>
      </c>
      <c r="D328" s="14" t="s">
        <v>20</v>
      </c>
      <c r="E328" s="52" t="s">
        <v>28</v>
      </c>
      <c r="F328" s="48">
        <v>0.0</v>
      </c>
      <c r="G328" s="50">
        <v>70.0</v>
      </c>
      <c r="H328" s="50">
        <f t="shared" si="14"/>
        <v>0</v>
      </c>
      <c r="I328" s="18"/>
      <c r="J328" s="18"/>
      <c r="K328" s="13"/>
      <c r="L328" s="63"/>
      <c r="M328" s="63"/>
      <c r="N328" s="63"/>
      <c r="O328" s="63"/>
      <c r="P328" s="63"/>
      <c r="Q328" s="35"/>
      <c r="R328" s="35"/>
      <c r="S328" s="35"/>
      <c r="T328" s="1"/>
      <c r="U328" s="1"/>
      <c r="V328" s="1"/>
    </row>
    <row r="329" ht="15.75" hidden="1" customHeight="1">
      <c r="A329" s="13"/>
      <c r="B329" s="13"/>
      <c r="C329" s="13" t="s">
        <v>221</v>
      </c>
      <c r="D329" s="213" t="s">
        <v>24</v>
      </c>
      <c r="E329" s="52"/>
      <c r="F329" s="215">
        <v>0.0</v>
      </c>
      <c r="G329" s="50">
        <v>50.0</v>
      </c>
      <c r="H329" s="50">
        <f t="shared" si="14"/>
        <v>0</v>
      </c>
      <c r="I329" s="18"/>
      <c r="J329" s="18"/>
      <c r="K329" s="13"/>
      <c r="L329" s="63"/>
      <c r="M329" s="63"/>
      <c r="N329" s="63"/>
      <c r="O329" s="63"/>
      <c r="P329" s="63"/>
      <c r="Q329" s="35"/>
      <c r="R329" s="35"/>
      <c r="S329" s="35"/>
      <c r="T329" s="1"/>
      <c r="U329" s="1"/>
      <c r="V329" s="1"/>
    </row>
    <row r="330" ht="15.75" hidden="1" customHeight="1">
      <c r="A330" s="13"/>
      <c r="B330" s="43" t="s">
        <v>18</v>
      </c>
      <c r="C330" s="156" t="s">
        <v>230</v>
      </c>
      <c r="D330" s="14" t="s">
        <v>20</v>
      </c>
      <c r="E330" s="157" t="s">
        <v>231</v>
      </c>
      <c r="F330" s="158">
        <v>0.0</v>
      </c>
      <c r="G330" s="159">
        <v>35.0</v>
      </c>
      <c r="H330" s="50">
        <f t="shared" si="14"/>
        <v>0</v>
      </c>
      <c r="I330" s="18"/>
      <c r="J330" s="18"/>
      <c r="K330" s="13"/>
      <c r="L330" s="63"/>
      <c r="M330" s="63"/>
      <c r="N330" s="63"/>
      <c r="O330" s="63"/>
      <c r="P330" s="63"/>
      <c r="Q330" s="35"/>
      <c r="R330" s="35"/>
      <c r="S330" s="35"/>
      <c r="T330" s="1"/>
      <c r="U330" s="1"/>
      <c r="V330" s="1"/>
    </row>
    <row r="331" ht="15.75" hidden="1" customHeight="1">
      <c r="A331" s="13"/>
      <c r="B331" s="43"/>
      <c r="C331" s="156" t="s">
        <v>232</v>
      </c>
      <c r="D331" s="70" t="s">
        <v>24</v>
      </c>
      <c r="E331" s="160"/>
      <c r="F331" s="158">
        <v>0.0</v>
      </c>
      <c r="G331" s="159">
        <v>150.0</v>
      </c>
      <c r="H331" s="50">
        <f t="shared" si="14"/>
        <v>0</v>
      </c>
      <c r="I331" s="18"/>
      <c r="J331" s="18"/>
      <c r="K331" s="13"/>
      <c r="L331" s="63"/>
      <c r="M331" s="63"/>
      <c r="N331" s="63"/>
      <c r="O331" s="63"/>
      <c r="P331" s="63"/>
      <c r="Q331" s="35"/>
      <c r="R331" s="35"/>
      <c r="S331" s="35"/>
      <c r="T331" s="1"/>
      <c r="U331" s="1"/>
      <c r="V331" s="1"/>
    </row>
    <row r="332" ht="15.75" hidden="1" customHeight="1">
      <c r="A332" s="13"/>
      <c r="B332" s="13"/>
      <c r="C332" s="206" t="s">
        <v>222</v>
      </c>
      <c r="D332" s="216" t="s">
        <v>24</v>
      </c>
      <c r="E332" s="54"/>
      <c r="F332" s="56">
        <v>0.0</v>
      </c>
      <c r="G332" s="57">
        <v>40.0</v>
      </c>
      <c r="H332" s="57">
        <f t="shared" si="14"/>
        <v>0</v>
      </c>
      <c r="I332" s="18"/>
      <c r="J332" s="18"/>
      <c r="K332" s="13"/>
      <c r="L332" s="63"/>
      <c r="M332" s="63"/>
      <c r="N332" s="63"/>
      <c r="O332" s="63"/>
      <c r="P332" s="63"/>
      <c r="Q332" s="35"/>
      <c r="R332" s="35"/>
      <c r="S332" s="35"/>
      <c r="T332" s="1"/>
      <c r="U332" s="1"/>
      <c r="V332" s="1"/>
    </row>
    <row r="333" ht="28.5" customHeight="1">
      <c r="A333" s="6"/>
      <c r="B333" s="172" t="s">
        <v>415</v>
      </c>
      <c r="C333" s="7">
        <f>SUM(H334:H404)</f>
        <v>6185.31</v>
      </c>
      <c r="D333" s="148"/>
      <c r="E333" s="148"/>
      <c r="F333" s="83"/>
      <c r="G333" s="82"/>
      <c r="H333" s="82"/>
      <c r="I333" s="82"/>
      <c r="J333" s="82"/>
      <c r="K333" s="83"/>
      <c r="L333" s="83"/>
      <c r="M333" s="83"/>
      <c r="N333" s="83"/>
      <c r="O333" s="83"/>
      <c r="P333" s="83"/>
      <c r="Q333" s="35"/>
      <c r="R333" s="35"/>
      <c r="S333" s="35"/>
      <c r="T333" s="1"/>
      <c r="U333" s="1"/>
      <c r="V333" s="1"/>
    </row>
    <row r="334" ht="15.75" customHeight="1">
      <c r="A334" s="13"/>
      <c r="B334" s="43" t="s">
        <v>64</v>
      </c>
      <c r="C334" s="169" t="s">
        <v>191</v>
      </c>
      <c r="D334" s="66" t="s">
        <v>22</v>
      </c>
      <c r="E334" s="15"/>
      <c r="F334" s="16">
        <v>1.0</v>
      </c>
      <c r="G334" s="34">
        <v>100.0</v>
      </c>
      <c r="H334" s="17">
        <f t="shared" ref="H334:H404" si="15">SUM(F334*G334)</f>
        <v>100</v>
      </c>
      <c r="I334" s="18"/>
      <c r="J334" s="18"/>
      <c r="K334" s="13"/>
      <c r="L334" s="13"/>
      <c r="M334" s="13"/>
      <c r="N334" s="13"/>
      <c r="O334" s="13"/>
      <c r="P334" s="13"/>
      <c r="Q334" s="35"/>
      <c r="R334" s="35"/>
      <c r="S334" s="35"/>
      <c r="T334" s="1"/>
      <c r="U334" s="1"/>
      <c r="V334" s="1"/>
    </row>
    <row r="335" ht="15.75" customHeight="1">
      <c r="A335" s="13"/>
      <c r="B335" s="13" t="s">
        <v>18</v>
      </c>
      <c r="C335" s="169" t="s">
        <v>416</v>
      </c>
      <c r="D335" s="14" t="s">
        <v>20</v>
      </c>
      <c r="E335" s="15"/>
      <c r="F335" s="16">
        <v>1.0</v>
      </c>
      <c r="G335" s="17">
        <v>5.0</v>
      </c>
      <c r="H335" s="17">
        <f t="shared" si="15"/>
        <v>5</v>
      </c>
      <c r="I335" s="18"/>
      <c r="J335" s="18"/>
      <c r="K335" s="13"/>
      <c r="L335" s="13"/>
      <c r="M335" s="19"/>
      <c r="N335" s="19"/>
      <c r="O335" s="38"/>
      <c r="P335" s="19"/>
      <c r="Q335" s="35"/>
      <c r="R335" s="35"/>
      <c r="S335" s="35"/>
      <c r="T335" s="1"/>
      <c r="U335" s="1"/>
      <c r="V335" s="1"/>
    </row>
    <row r="336" ht="15.75" customHeight="1">
      <c r="A336" s="13"/>
      <c r="B336" s="13" t="s">
        <v>18</v>
      </c>
      <c r="C336" s="169" t="s">
        <v>296</v>
      </c>
      <c r="D336" s="14" t="s">
        <v>20</v>
      </c>
      <c r="E336" s="218" t="s">
        <v>417</v>
      </c>
      <c r="F336" s="16">
        <v>1.0</v>
      </c>
      <c r="G336" s="34">
        <v>132.0</v>
      </c>
      <c r="H336" s="17">
        <f t="shared" si="15"/>
        <v>132</v>
      </c>
      <c r="I336" s="18"/>
      <c r="J336" s="18"/>
      <c r="K336" s="13"/>
      <c r="L336" s="27"/>
      <c r="M336" s="28"/>
      <c r="N336" s="27"/>
      <c r="O336" s="28"/>
      <c r="P336" s="27"/>
      <c r="Q336" s="35"/>
      <c r="R336" s="35"/>
      <c r="S336" s="35"/>
      <c r="T336" s="1"/>
      <c r="U336" s="1"/>
      <c r="V336" s="1"/>
    </row>
    <row r="337" ht="15.75" customHeight="1">
      <c r="A337" s="13"/>
      <c r="B337" s="13"/>
      <c r="C337" s="169" t="s">
        <v>298</v>
      </c>
      <c r="D337" s="70" t="s">
        <v>24</v>
      </c>
      <c r="E337" s="15"/>
      <c r="F337" s="16">
        <v>1.0</v>
      </c>
      <c r="G337" s="17">
        <v>95.0</v>
      </c>
      <c r="H337" s="17">
        <f t="shared" si="15"/>
        <v>95</v>
      </c>
      <c r="I337" s="18"/>
      <c r="J337" s="18"/>
      <c r="K337" s="13"/>
      <c r="L337" s="63"/>
      <c r="M337" s="63"/>
      <c r="N337" s="63"/>
      <c r="O337" s="63"/>
      <c r="P337" s="63"/>
      <c r="Q337" s="35"/>
      <c r="R337" s="35"/>
      <c r="S337" s="35"/>
      <c r="T337" s="1"/>
      <c r="U337" s="1"/>
      <c r="V337" s="1"/>
    </row>
    <row r="338" ht="15.75" hidden="1" customHeight="1">
      <c r="A338" s="13"/>
      <c r="B338" s="13"/>
      <c r="C338" s="169" t="s">
        <v>299</v>
      </c>
      <c r="D338" s="70" t="s">
        <v>24</v>
      </c>
      <c r="E338" s="15"/>
      <c r="F338" s="16">
        <v>0.0</v>
      </c>
      <c r="G338" s="17">
        <v>120.0</v>
      </c>
      <c r="H338" s="17">
        <f t="shared" si="15"/>
        <v>0</v>
      </c>
      <c r="I338" s="18"/>
      <c r="J338" s="18"/>
      <c r="K338" s="13"/>
      <c r="L338" s="63"/>
      <c r="M338" s="63"/>
      <c r="N338" s="63"/>
      <c r="O338" s="63"/>
      <c r="P338" s="63"/>
      <c r="Q338" s="35"/>
      <c r="R338" s="35"/>
      <c r="S338" s="35"/>
      <c r="T338" s="1"/>
      <c r="U338" s="1"/>
      <c r="V338" s="1"/>
    </row>
    <row r="339" ht="15.75" customHeight="1">
      <c r="A339" s="13"/>
      <c r="B339" s="13" t="s">
        <v>18</v>
      </c>
      <c r="C339" s="169" t="s">
        <v>300</v>
      </c>
      <c r="D339" s="14" t="s">
        <v>20</v>
      </c>
      <c r="E339" s="15"/>
      <c r="F339" s="40">
        <v>6.0</v>
      </c>
      <c r="G339" s="17">
        <v>5.0</v>
      </c>
      <c r="H339" s="17">
        <f t="shared" si="15"/>
        <v>30</v>
      </c>
      <c r="I339" s="18"/>
      <c r="J339" s="18"/>
      <c r="K339" s="13"/>
      <c r="L339" s="27"/>
      <c r="M339" s="27"/>
      <c r="N339" s="27"/>
      <c r="O339" s="27"/>
      <c r="P339" s="27"/>
      <c r="Q339" s="35"/>
      <c r="R339" s="35"/>
      <c r="S339" s="35"/>
      <c r="T339" s="1"/>
      <c r="U339" s="1"/>
      <c r="V339" s="1"/>
    </row>
    <row r="340" ht="15.75" hidden="1" customHeight="1">
      <c r="A340" s="13"/>
      <c r="B340" s="13" t="s">
        <v>18</v>
      </c>
      <c r="C340" s="169" t="s">
        <v>301</v>
      </c>
      <c r="D340" s="14" t="s">
        <v>20</v>
      </c>
      <c r="E340" s="15" t="s">
        <v>302</v>
      </c>
      <c r="F340" s="16">
        <v>0.0</v>
      </c>
      <c r="G340" s="17">
        <v>6.2</v>
      </c>
      <c r="H340" s="17">
        <f t="shared" si="15"/>
        <v>0</v>
      </c>
      <c r="I340" s="18"/>
      <c r="J340" s="18"/>
      <c r="K340" s="13"/>
      <c r="L340" s="27"/>
      <c r="M340" s="27"/>
      <c r="N340" s="27"/>
      <c r="O340" s="27"/>
      <c r="P340" s="27"/>
      <c r="Q340" s="35"/>
      <c r="R340" s="35"/>
      <c r="S340" s="35"/>
      <c r="T340" s="1"/>
      <c r="U340" s="1"/>
      <c r="V340" s="1"/>
    </row>
    <row r="341" ht="15.75" hidden="1" customHeight="1">
      <c r="A341" s="13"/>
      <c r="B341" s="13"/>
      <c r="C341" s="169" t="s">
        <v>303</v>
      </c>
      <c r="D341" s="70" t="s">
        <v>24</v>
      </c>
      <c r="E341" s="15"/>
      <c r="F341" s="16">
        <v>0.0</v>
      </c>
      <c r="G341" s="17">
        <v>40.0</v>
      </c>
      <c r="H341" s="17">
        <f t="shared" si="15"/>
        <v>0</v>
      </c>
      <c r="I341" s="18"/>
      <c r="J341" s="18"/>
      <c r="K341" s="13"/>
      <c r="L341" s="27"/>
      <c r="M341" s="27"/>
      <c r="N341" s="27"/>
      <c r="O341" s="27"/>
      <c r="P341" s="27"/>
      <c r="Q341" s="35"/>
      <c r="R341" s="35"/>
      <c r="S341" s="35"/>
      <c r="T341" s="1"/>
      <c r="U341" s="1"/>
      <c r="V341" s="1"/>
    </row>
    <row r="342" ht="15.75" hidden="1" customHeight="1">
      <c r="A342" s="13"/>
      <c r="B342" s="13" t="s">
        <v>18</v>
      </c>
      <c r="C342" s="169" t="s">
        <v>47</v>
      </c>
      <c r="D342" s="14" t="s">
        <v>20</v>
      </c>
      <c r="E342" s="15" t="s">
        <v>418</v>
      </c>
      <c r="F342" s="16">
        <v>0.0</v>
      </c>
      <c r="G342" s="17">
        <v>63.0</v>
      </c>
      <c r="H342" s="17">
        <f t="shared" si="15"/>
        <v>0</v>
      </c>
      <c r="I342" s="18"/>
      <c r="J342" s="18"/>
      <c r="K342" s="13"/>
      <c r="L342" s="27"/>
      <c r="M342" s="27"/>
      <c r="N342" s="27"/>
      <c r="O342" s="27"/>
      <c r="P342" s="27"/>
      <c r="Q342" s="35"/>
      <c r="R342" s="35"/>
      <c r="S342" s="35"/>
      <c r="T342" s="1"/>
      <c r="U342" s="1"/>
      <c r="V342" s="1"/>
    </row>
    <row r="343" ht="15.75" hidden="1" customHeight="1">
      <c r="A343" s="13"/>
      <c r="B343" s="13"/>
      <c r="C343" s="169" t="s">
        <v>304</v>
      </c>
      <c r="D343" s="70" t="s">
        <v>24</v>
      </c>
      <c r="E343" s="15"/>
      <c r="F343" s="16">
        <v>0.0</v>
      </c>
      <c r="G343" s="17">
        <v>120.0</v>
      </c>
      <c r="H343" s="17">
        <f t="shared" si="15"/>
        <v>0</v>
      </c>
      <c r="I343" s="18"/>
      <c r="J343" s="18"/>
      <c r="K343" s="13"/>
      <c r="L343" s="27"/>
      <c r="M343" s="27"/>
      <c r="N343" s="27"/>
      <c r="O343" s="27"/>
      <c r="P343" s="27"/>
      <c r="Q343" s="35"/>
      <c r="R343" s="35"/>
      <c r="S343" s="35"/>
      <c r="T343" s="1"/>
      <c r="U343" s="1"/>
      <c r="V343" s="1"/>
    </row>
    <row r="344" ht="15.75" hidden="1" customHeight="1">
      <c r="A344" s="13"/>
      <c r="B344" s="13" t="s">
        <v>18</v>
      </c>
      <c r="C344" s="169" t="s">
        <v>389</v>
      </c>
      <c r="D344" s="14" t="s">
        <v>20</v>
      </c>
      <c r="E344" s="15"/>
      <c r="F344" s="16">
        <v>0.0</v>
      </c>
      <c r="G344" s="17">
        <v>5.0</v>
      </c>
      <c r="H344" s="17">
        <f t="shared" si="15"/>
        <v>0</v>
      </c>
      <c r="I344" s="18"/>
      <c r="J344" s="18"/>
      <c r="K344" s="13"/>
      <c r="L344" s="27"/>
      <c r="M344" s="27"/>
      <c r="N344" s="27"/>
      <c r="O344" s="27"/>
      <c r="P344" s="27"/>
      <c r="Q344" s="35"/>
      <c r="R344" s="35"/>
      <c r="S344" s="35"/>
      <c r="T344" s="1"/>
      <c r="U344" s="1"/>
      <c r="V344" s="1"/>
    </row>
    <row r="345" ht="15.75" customHeight="1">
      <c r="A345" s="13"/>
      <c r="B345" s="364" t="s">
        <v>234</v>
      </c>
      <c r="C345" s="373" t="s">
        <v>305</v>
      </c>
      <c r="D345" s="366" t="s">
        <v>32</v>
      </c>
      <c r="E345" s="367" t="s">
        <v>419</v>
      </c>
      <c r="F345" s="368">
        <v>2.0</v>
      </c>
      <c r="G345" s="369">
        <v>451.4</v>
      </c>
      <c r="H345" s="370">
        <f t="shared" si="15"/>
        <v>902.8</v>
      </c>
      <c r="I345" s="18"/>
      <c r="J345" s="18"/>
      <c r="K345" s="13"/>
      <c r="L345" s="13"/>
      <c r="M345" s="13"/>
      <c r="N345" s="13"/>
      <c r="O345" s="13"/>
      <c r="P345" s="13"/>
      <c r="Q345" s="35"/>
      <c r="R345" s="35"/>
      <c r="S345" s="35"/>
      <c r="T345" s="1"/>
      <c r="U345" s="1"/>
      <c r="V345" s="1"/>
    </row>
    <row r="346" ht="15.75" customHeight="1">
      <c r="A346" s="13"/>
      <c r="B346" s="382" t="s">
        <v>217</v>
      </c>
      <c r="C346" s="383" t="s">
        <v>307</v>
      </c>
      <c r="D346" s="384" t="s">
        <v>32</v>
      </c>
      <c r="E346" s="385">
        <v>82570.0</v>
      </c>
      <c r="F346" s="386">
        <v>1.0</v>
      </c>
      <c r="G346" s="387">
        <v>387.84</v>
      </c>
      <c r="H346" s="388">
        <f t="shared" si="15"/>
        <v>387.84</v>
      </c>
      <c r="I346" s="18"/>
      <c r="J346" s="18"/>
      <c r="K346" s="43" t="s">
        <v>996</v>
      </c>
      <c r="L346" s="27"/>
      <c r="M346" s="28"/>
      <c r="N346" s="27"/>
      <c r="O346" s="27"/>
      <c r="P346" s="27"/>
      <c r="Q346" s="35"/>
      <c r="R346" s="35"/>
      <c r="S346" s="35"/>
      <c r="T346" s="1"/>
      <c r="U346" s="1"/>
      <c r="V346" s="1"/>
    </row>
    <row r="347" ht="15.75" customHeight="1">
      <c r="A347" s="13"/>
      <c r="B347" s="382" t="s">
        <v>217</v>
      </c>
      <c r="C347" s="383" t="s">
        <v>308</v>
      </c>
      <c r="D347" s="384" t="s">
        <v>32</v>
      </c>
      <c r="E347" s="385">
        <v>82572.0</v>
      </c>
      <c r="F347" s="389">
        <v>1.0</v>
      </c>
      <c r="G347" s="387">
        <v>1014.55</v>
      </c>
      <c r="H347" s="388">
        <f t="shared" si="15"/>
        <v>1014.55</v>
      </c>
      <c r="I347" s="18"/>
      <c r="J347" s="18"/>
      <c r="K347" s="43" t="s">
        <v>996</v>
      </c>
      <c r="L347" s="27"/>
      <c r="M347" s="28"/>
      <c r="N347" s="27"/>
      <c r="O347" s="28"/>
      <c r="P347" s="28"/>
      <c r="Q347" s="35"/>
      <c r="R347" s="35"/>
      <c r="S347" s="35"/>
      <c r="T347" s="1"/>
      <c r="U347" s="1"/>
      <c r="V347" s="1"/>
    </row>
    <row r="348" ht="15.75" hidden="1" customHeight="1">
      <c r="A348" s="130"/>
      <c r="B348" s="130" t="s">
        <v>18</v>
      </c>
      <c r="C348" s="175" t="s">
        <v>309</v>
      </c>
      <c r="D348" s="176" t="s">
        <v>20</v>
      </c>
      <c r="E348" s="177" t="s">
        <v>310</v>
      </c>
      <c r="F348" s="178">
        <v>0.0</v>
      </c>
      <c r="G348" s="179">
        <v>15.0</v>
      </c>
      <c r="H348" s="179">
        <f t="shared" si="15"/>
        <v>0</v>
      </c>
      <c r="I348" s="180"/>
      <c r="J348" s="180"/>
      <c r="K348" s="130"/>
      <c r="L348" s="130"/>
      <c r="M348" s="181"/>
      <c r="N348" s="130"/>
      <c r="O348" s="181"/>
      <c r="P348" s="181"/>
      <c r="Q348" s="182"/>
      <c r="R348" s="182"/>
      <c r="S348" s="182"/>
      <c r="T348" s="182"/>
      <c r="U348" s="182"/>
      <c r="V348" s="182"/>
    </row>
    <row r="349" ht="15.75" hidden="1" customHeight="1">
      <c r="A349" s="130"/>
      <c r="B349" s="130" t="s">
        <v>18</v>
      </c>
      <c r="C349" s="175" t="s">
        <v>311</v>
      </c>
      <c r="D349" s="176" t="s">
        <v>20</v>
      </c>
      <c r="E349" s="177" t="s">
        <v>312</v>
      </c>
      <c r="F349" s="178">
        <v>0.0</v>
      </c>
      <c r="G349" s="179">
        <v>15.0</v>
      </c>
      <c r="H349" s="179">
        <f t="shared" si="15"/>
        <v>0</v>
      </c>
      <c r="I349" s="180"/>
      <c r="J349" s="180"/>
      <c r="K349" s="130"/>
      <c r="L349" s="130"/>
      <c r="M349" s="181"/>
      <c r="N349" s="130"/>
      <c r="O349" s="181"/>
      <c r="P349" s="181"/>
      <c r="Q349" s="182"/>
      <c r="R349" s="182"/>
      <c r="S349" s="182"/>
      <c r="T349" s="182"/>
      <c r="U349" s="182"/>
      <c r="V349" s="182"/>
    </row>
    <row r="350" ht="15.75" hidden="1" customHeight="1">
      <c r="A350" s="130"/>
      <c r="B350" s="130" t="s">
        <v>18</v>
      </c>
      <c r="C350" s="175" t="s">
        <v>313</v>
      </c>
      <c r="D350" s="176" t="s">
        <v>20</v>
      </c>
      <c r="E350" s="177" t="s">
        <v>314</v>
      </c>
      <c r="F350" s="178">
        <v>0.0</v>
      </c>
      <c r="G350" s="179">
        <v>1.6</v>
      </c>
      <c r="H350" s="179">
        <f t="shared" si="15"/>
        <v>0</v>
      </c>
      <c r="I350" s="180"/>
      <c r="J350" s="180"/>
      <c r="K350" s="130"/>
      <c r="L350" s="130"/>
      <c r="M350" s="181"/>
      <c r="N350" s="130"/>
      <c r="O350" s="181"/>
      <c r="P350" s="181"/>
      <c r="Q350" s="182"/>
      <c r="R350" s="182"/>
      <c r="S350" s="182"/>
      <c r="T350" s="182"/>
      <c r="U350" s="182"/>
      <c r="V350" s="182"/>
    </row>
    <row r="351" ht="15.75" hidden="1" customHeight="1">
      <c r="A351" s="13"/>
      <c r="B351" s="13"/>
      <c r="C351" s="169" t="s">
        <v>59</v>
      </c>
      <c r="D351" s="101" t="s">
        <v>32</v>
      </c>
      <c r="E351" s="15" t="s">
        <v>60</v>
      </c>
      <c r="F351" s="16">
        <v>0.0</v>
      </c>
      <c r="G351" s="17">
        <v>0.0</v>
      </c>
      <c r="H351" s="17">
        <f t="shared" si="15"/>
        <v>0</v>
      </c>
      <c r="I351" s="18"/>
      <c r="J351" s="18"/>
      <c r="K351" s="13"/>
      <c r="L351" s="27"/>
      <c r="M351" s="28"/>
      <c r="N351" s="27"/>
      <c r="O351" s="28"/>
      <c r="P351" s="28"/>
      <c r="Q351" s="35"/>
      <c r="R351" s="35"/>
      <c r="S351" s="35"/>
      <c r="T351" s="1"/>
      <c r="U351" s="1"/>
      <c r="V351" s="1"/>
    </row>
    <row r="352" ht="15.75" customHeight="1">
      <c r="A352" s="13"/>
      <c r="B352" s="390" t="s">
        <v>234</v>
      </c>
      <c r="C352" s="391" t="s">
        <v>259</v>
      </c>
      <c r="D352" s="366" t="s">
        <v>32</v>
      </c>
      <c r="E352" s="367">
        <v>506.0</v>
      </c>
      <c r="F352" s="368">
        <v>1.0</v>
      </c>
      <c r="G352" s="369">
        <v>238.0</v>
      </c>
      <c r="H352" s="370">
        <f t="shared" si="15"/>
        <v>238</v>
      </c>
      <c r="I352" s="18"/>
      <c r="J352" s="18"/>
      <c r="K352" s="13"/>
      <c r="L352" s="27"/>
      <c r="M352" s="28"/>
      <c r="N352" s="27"/>
      <c r="O352" s="28"/>
      <c r="P352" s="28"/>
      <c r="Q352" s="35"/>
      <c r="R352" s="35"/>
      <c r="S352" s="35"/>
      <c r="T352" s="1"/>
      <c r="U352" s="1"/>
      <c r="V352" s="1"/>
    </row>
    <row r="353" ht="15.75" hidden="1" customHeight="1">
      <c r="A353" s="13"/>
      <c r="B353" s="18" t="s">
        <v>18</v>
      </c>
      <c r="C353" s="169" t="s">
        <v>315</v>
      </c>
      <c r="D353" s="14" t="s">
        <v>20</v>
      </c>
      <c r="E353" s="33" t="s">
        <v>420</v>
      </c>
      <c r="F353" s="40">
        <v>0.0</v>
      </c>
      <c r="G353" s="17">
        <v>40.0</v>
      </c>
      <c r="H353" s="17">
        <f t="shared" si="15"/>
        <v>0</v>
      </c>
      <c r="I353" s="18"/>
      <c r="J353" s="18"/>
      <c r="K353" s="13"/>
      <c r="L353" s="27"/>
      <c r="M353" s="28"/>
      <c r="N353" s="27"/>
      <c r="O353" s="28"/>
      <c r="P353" s="28"/>
      <c r="Q353" s="35"/>
      <c r="R353" s="35"/>
      <c r="S353" s="35"/>
      <c r="T353" s="1"/>
      <c r="U353" s="1"/>
      <c r="V353" s="1"/>
    </row>
    <row r="354" ht="15.75" hidden="1" customHeight="1">
      <c r="A354" s="13"/>
      <c r="B354" s="166"/>
      <c r="C354" s="188" t="s">
        <v>259</v>
      </c>
      <c r="D354" s="167" t="s">
        <v>32</v>
      </c>
      <c r="E354" s="219"/>
      <c r="F354" s="190">
        <v>0.0</v>
      </c>
      <c r="G354" s="192">
        <v>0.0</v>
      </c>
      <c r="H354" s="192">
        <f t="shared" si="15"/>
        <v>0</v>
      </c>
      <c r="I354" s="193"/>
      <c r="J354" s="18"/>
      <c r="K354" s="13"/>
      <c r="L354" s="27"/>
      <c r="M354" s="28"/>
      <c r="N354" s="27"/>
      <c r="O354" s="27"/>
      <c r="P354" s="27"/>
      <c r="Q354" s="35"/>
      <c r="R354" s="35"/>
      <c r="S354" s="35"/>
      <c r="T354" s="1"/>
      <c r="U354" s="1"/>
      <c r="V354" s="1"/>
    </row>
    <row r="355" ht="15.75" hidden="1" customHeight="1">
      <c r="A355" s="13"/>
      <c r="B355" s="166" t="s">
        <v>397</v>
      </c>
      <c r="C355" s="188" t="s">
        <v>318</v>
      </c>
      <c r="D355" s="167" t="s">
        <v>32</v>
      </c>
      <c r="E355" s="219" t="s">
        <v>398</v>
      </c>
      <c r="F355" s="190">
        <v>0.0</v>
      </c>
      <c r="G355" s="192">
        <v>354.0</v>
      </c>
      <c r="H355" s="192">
        <f t="shared" si="15"/>
        <v>0</v>
      </c>
      <c r="I355" s="193"/>
      <c r="J355" s="18"/>
      <c r="K355" s="13"/>
      <c r="L355" s="13"/>
      <c r="M355" s="13"/>
      <c r="N355" s="13"/>
      <c r="O355" s="13"/>
      <c r="P355" s="13"/>
      <c r="Q355" s="35"/>
      <c r="R355" s="35"/>
      <c r="S355" s="35"/>
      <c r="T355" s="1"/>
      <c r="U355" s="1"/>
      <c r="V355" s="1"/>
    </row>
    <row r="356" ht="15.75" hidden="1" customHeight="1">
      <c r="A356" s="13"/>
      <c r="B356" s="13" t="s">
        <v>320</v>
      </c>
      <c r="C356" s="169" t="s">
        <v>321</v>
      </c>
      <c r="D356" s="66" t="s">
        <v>22</v>
      </c>
      <c r="E356" s="15"/>
      <c r="F356" s="16">
        <v>0.0</v>
      </c>
      <c r="G356" s="17">
        <v>10.0</v>
      </c>
      <c r="H356" s="17">
        <f t="shared" si="15"/>
        <v>0</v>
      </c>
      <c r="I356" s="18"/>
      <c r="J356" s="18"/>
      <c r="K356" s="13"/>
      <c r="L356" s="13"/>
      <c r="M356" s="19"/>
      <c r="N356" s="13"/>
      <c r="O356" s="13"/>
      <c r="P356" s="13"/>
      <c r="Q356" s="35"/>
      <c r="R356" s="35"/>
      <c r="S356" s="35"/>
      <c r="T356" s="1"/>
      <c r="U356" s="1"/>
      <c r="V356" s="1"/>
    </row>
    <row r="357" ht="15.75" customHeight="1">
      <c r="A357" s="13"/>
      <c r="B357" s="13" t="s">
        <v>239</v>
      </c>
      <c r="C357" s="195" t="s">
        <v>322</v>
      </c>
      <c r="D357" s="14" t="s">
        <v>20</v>
      </c>
      <c r="E357" s="15"/>
      <c r="F357" s="16">
        <v>1.0</v>
      </c>
      <c r="G357" s="34">
        <v>877.0</v>
      </c>
      <c r="H357" s="17">
        <f t="shared" si="15"/>
        <v>877</v>
      </c>
      <c r="I357" s="18"/>
      <c r="J357" s="18"/>
      <c r="K357" s="13"/>
      <c r="L357" s="13"/>
      <c r="M357" s="19"/>
      <c r="N357" s="13"/>
      <c r="O357" s="19"/>
      <c r="P357" s="19"/>
      <c r="Q357" s="35"/>
      <c r="R357" s="35"/>
      <c r="S357" s="35"/>
      <c r="T357" s="1"/>
      <c r="U357" s="1"/>
      <c r="V357" s="1"/>
    </row>
    <row r="358" ht="15.75" customHeight="1">
      <c r="A358" s="13"/>
      <c r="B358" s="13"/>
      <c r="C358" s="169" t="s">
        <v>323</v>
      </c>
      <c r="D358" s="70" t="s">
        <v>24</v>
      </c>
      <c r="E358" s="15"/>
      <c r="F358" s="16">
        <v>1.0</v>
      </c>
      <c r="G358" s="17">
        <v>80.0</v>
      </c>
      <c r="H358" s="17">
        <f t="shared" si="15"/>
        <v>80</v>
      </c>
      <c r="I358" s="18"/>
      <c r="J358" s="18"/>
      <c r="K358" s="13"/>
      <c r="L358" s="63"/>
      <c r="M358" s="63"/>
      <c r="N358" s="63"/>
      <c r="O358" s="63"/>
      <c r="P358" s="63"/>
      <c r="Q358" s="35"/>
      <c r="R358" s="35"/>
      <c r="S358" s="35"/>
      <c r="T358" s="1"/>
      <c r="U358" s="1"/>
      <c r="V358" s="1"/>
    </row>
    <row r="359" ht="15.75" customHeight="1">
      <c r="A359" s="13"/>
      <c r="B359" s="13"/>
      <c r="C359" s="169" t="s">
        <v>324</v>
      </c>
      <c r="D359" s="14" t="s">
        <v>20</v>
      </c>
      <c r="E359" s="15"/>
      <c r="F359" s="16">
        <v>1.0</v>
      </c>
      <c r="G359" s="17">
        <v>35.0</v>
      </c>
      <c r="H359" s="17">
        <f t="shared" si="15"/>
        <v>35</v>
      </c>
      <c r="I359" s="18"/>
      <c r="J359" s="18"/>
      <c r="K359" s="13"/>
      <c r="L359" s="13"/>
      <c r="M359" s="19"/>
      <c r="N359" s="13"/>
      <c r="O359" s="19"/>
      <c r="P359" s="19"/>
      <c r="Q359" s="35"/>
      <c r="R359" s="35"/>
      <c r="S359" s="35"/>
      <c r="T359" s="1"/>
      <c r="U359" s="1"/>
      <c r="V359" s="1"/>
    </row>
    <row r="360" ht="15.75" hidden="1" customHeight="1">
      <c r="A360" s="13"/>
      <c r="B360" s="13"/>
      <c r="C360" s="169" t="s">
        <v>258</v>
      </c>
      <c r="D360" s="66" t="s">
        <v>22</v>
      </c>
      <c r="E360" s="15"/>
      <c r="F360" s="16">
        <v>0.0</v>
      </c>
      <c r="G360" s="17">
        <v>150.0</v>
      </c>
      <c r="H360" s="17">
        <f t="shared" si="15"/>
        <v>0</v>
      </c>
      <c r="I360" s="18"/>
      <c r="J360" s="18"/>
      <c r="K360" s="13"/>
      <c r="L360" s="13"/>
      <c r="M360" s="19"/>
      <c r="N360" s="13"/>
      <c r="O360" s="19"/>
      <c r="P360" s="19"/>
      <c r="Q360" s="35"/>
      <c r="R360" s="35"/>
      <c r="S360" s="35"/>
      <c r="T360" s="1"/>
      <c r="U360" s="1"/>
      <c r="V360" s="1"/>
    </row>
    <row r="361" ht="15.75" customHeight="1">
      <c r="A361" s="13"/>
      <c r="B361" s="43" t="s">
        <v>18</v>
      </c>
      <c r="C361" s="196" t="s">
        <v>421</v>
      </c>
      <c r="D361" s="150" t="s">
        <v>22</v>
      </c>
      <c r="E361" s="229" t="s">
        <v>422</v>
      </c>
      <c r="F361" s="215">
        <v>2.0</v>
      </c>
      <c r="G361" s="49">
        <v>72.0</v>
      </c>
      <c r="H361" s="50">
        <f t="shared" si="15"/>
        <v>144</v>
      </c>
      <c r="I361" s="18"/>
      <c r="J361" s="18"/>
      <c r="K361" s="13"/>
      <c r="L361" s="13"/>
      <c r="M361" s="13"/>
      <c r="N361" s="13"/>
      <c r="O361" s="19"/>
      <c r="P361" s="19"/>
      <c r="Q361" s="35"/>
      <c r="R361" s="35"/>
      <c r="S361" s="35"/>
      <c r="T361" s="1"/>
      <c r="U361" s="1"/>
      <c r="V361" s="1"/>
    </row>
    <row r="362" ht="15.75" hidden="1" customHeight="1">
      <c r="A362" s="13"/>
      <c r="B362" s="13" t="s">
        <v>18</v>
      </c>
      <c r="C362" s="196" t="s">
        <v>325</v>
      </c>
      <c r="D362" s="150" t="s">
        <v>22</v>
      </c>
      <c r="E362" s="199" t="s">
        <v>423</v>
      </c>
      <c r="F362" s="215">
        <v>0.0</v>
      </c>
      <c r="G362" s="50">
        <v>150.0</v>
      </c>
      <c r="H362" s="50">
        <f t="shared" si="15"/>
        <v>0</v>
      </c>
      <c r="I362" s="18"/>
      <c r="J362" s="18"/>
      <c r="K362" s="13"/>
      <c r="L362" s="13"/>
      <c r="M362" s="13"/>
      <c r="N362" s="13"/>
      <c r="O362" s="19"/>
      <c r="P362" s="19"/>
      <c r="Q362" s="35"/>
      <c r="R362" s="35"/>
      <c r="S362" s="35"/>
      <c r="T362" s="1"/>
      <c r="U362" s="1"/>
      <c r="V362" s="1"/>
    </row>
    <row r="363" ht="15.75" hidden="1" customHeight="1">
      <c r="A363" s="15"/>
      <c r="B363" s="52" t="s">
        <v>18</v>
      </c>
      <c r="C363" s="196" t="s">
        <v>329</v>
      </c>
      <c r="D363" s="150" t="s">
        <v>22</v>
      </c>
      <c r="E363" s="199" t="s">
        <v>330</v>
      </c>
      <c r="F363" s="215">
        <v>0.0</v>
      </c>
      <c r="G363" s="49">
        <v>25.2</v>
      </c>
      <c r="H363" s="50">
        <f t="shared" si="15"/>
        <v>0</v>
      </c>
      <c r="I363" s="51"/>
      <c r="J363" s="51"/>
      <c r="K363" s="52"/>
      <c r="L363" s="52"/>
      <c r="M363" s="52"/>
      <c r="N363" s="52"/>
      <c r="O363" s="200"/>
      <c r="P363" s="200"/>
      <c r="Q363" s="1"/>
      <c r="R363" s="1"/>
      <c r="S363" s="1"/>
      <c r="T363" s="1"/>
      <c r="U363" s="1"/>
      <c r="V363" s="1"/>
    </row>
    <row r="364" ht="15.75" hidden="1" customHeight="1">
      <c r="A364" s="53"/>
      <c r="B364" s="54" t="s">
        <v>18</v>
      </c>
      <c r="C364" s="197" t="s">
        <v>331</v>
      </c>
      <c r="D364" s="198" t="s">
        <v>22</v>
      </c>
      <c r="E364" s="201" t="s">
        <v>332</v>
      </c>
      <c r="F364" s="158">
        <v>0.0</v>
      </c>
      <c r="G364" s="159">
        <v>48.0</v>
      </c>
      <c r="H364" s="57">
        <f t="shared" si="15"/>
        <v>0</v>
      </c>
      <c r="I364" s="58"/>
      <c r="J364" s="58"/>
      <c r="K364" s="54"/>
      <c r="L364" s="54"/>
      <c r="M364" s="54"/>
      <c r="N364" s="54"/>
      <c r="O364" s="202"/>
      <c r="P364" s="202"/>
      <c r="Q364" s="1"/>
      <c r="R364" s="1"/>
      <c r="S364" s="1"/>
      <c r="T364" s="1"/>
      <c r="U364" s="1"/>
      <c r="V364" s="1"/>
    </row>
    <row r="365" ht="15.75" hidden="1" customHeight="1">
      <c r="A365" s="53"/>
      <c r="B365" s="54" t="s">
        <v>18</v>
      </c>
      <c r="C365" s="203" t="s">
        <v>333</v>
      </c>
      <c r="D365" s="198" t="s">
        <v>22</v>
      </c>
      <c r="E365" s="204" t="s">
        <v>334</v>
      </c>
      <c r="F365" s="158">
        <v>0.0</v>
      </c>
      <c r="G365" s="159">
        <v>46.8</v>
      </c>
      <c r="H365" s="57">
        <f t="shared" si="15"/>
        <v>0</v>
      </c>
      <c r="I365" s="58"/>
      <c r="J365" s="58"/>
      <c r="K365" s="54"/>
      <c r="L365" s="54"/>
      <c r="M365" s="54"/>
      <c r="N365" s="54"/>
      <c r="O365" s="202"/>
      <c r="P365" s="202"/>
      <c r="Q365" s="1"/>
      <c r="R365" s="1"/>
      <c r="S365" s="1"/>
      <c r="T365" s="1"/>
      <c r="U365" s="1"/>
      <c r="V365" s="1"/>
    </row>
    <row r="366" ht="15.75" hidden="1" customHeight="1">
      <c r="A366" s="53"/>
      <c r="B366" s="52" t="s">
        <v>18</v>
      </c>
      <c r="C366" s="196" t="s">
        <v>335</v>
      </c>
      <c r="D366" s="150" t="s">
        <v>22</v>
      </c>
      <c r="E366" s="44"/>
      <c r="F366" s="48">
        <v>0.0</v>
      </c>
      <c r="G366" s="50">
        <v>29.69</v>
      </c>
      <c r="H366" s="50">
        <f t="shared" si="15"/>
        <v>0</v>
      </c>
      <c r="I366" s="58"/>
      <c r="J366" s="58"/>
      <c r="K366" s="54"/>
      <c r="L366" s="54"/>
      <c r="M366" s="54"/>
      <c r="N366" s="54"/>
      <c r="O366" s="202"/>
      <c r="P366" s="202"/>
      <c r="Q366" s="1"/>
      <c r="R366" s="1"/>
      <c r="S366" s="1"/>
      <c r="T366" s="1"/>
      <c r="U366" s="1"/>
      <c r="V366" s="1"/>
    </row>
    <row r="367" ht="15.75" hidden="1" customHeight="1">
      <c r="A367" s="15"/>
      <c r="B367" s="54" t="s">
        <v>18</v>
      </c>
      <c r="C367" s="197" t="s">
        <v>336</v>
      </c>
      <c r="D367" s="198" t="s">
        <v>22</v>
      </c>
      <c r="E367" s="54" t="s">
        <v>337</v>
      </c>
      <c r="F367" s="56">
        <v>0.0</v>
      </c>
      <c r="G367" s="57">
        <v>29.99</v>
      </c>
      <c r="H367" s="57">
        <f t="shared" si="15"/>
        <v>0</v>
      </c>
      <c r="I367" s="51"/>
      <c r="J367" s="51"/>
      <c r="K367" s="52"/>
      <c r="L367" s="52"/>
      <c r="M367" s="52"/>
      <c r="N367" s="52"/>
      <c r="O367" s="200"/>
      <c r="P367" s="200"/>
      <c r="Q367" s="1"/>
      <c r="R367" s="1"/>
      <c r="S367" s="1"/>
      <c r="T367" s="1"/>
      <c r="U367" s="1"/>
      <c r="V367" s="1"/>
    </row>
    <row r="368" ht="15.75" hidden="1" customHeight="1">
      <c r="A368" s="53"/>
      <c r="B368" s="54" t="s">
        <v>18</v>
      </c>
      <c r="C368" s="203" t="s">
        <v>338</v>
      </c>
      <c r="D368" s="198" t="s">
        <v>22</v>
      </c>
      <c r="E368" s="54" t="s">
        <v>339</v>
      </c>
      <c r="F368" s="56">
        <v>0.0</v>
      </c>
      <c r="G368" s="57">
        <v>16.69</v>
      </c>
      <c r="H368" s="57">
        <f t="shared" si="15"/>
        <v>0</v>
      </c>
      <c r="I368" s="58"/>
      <c r="J368" s="58"/>
      <c r="K368" s="54"/>
      <c r="L368" s="54"/>
      <c r="M368" s="54"/>
      <c r="N368" s="54"/>
      <c r="O368" s="202"/>
      <c r="P368" s="202"/>
      <c r="Q368" s="1"/>
      <c r="R368" s="1"/>
      <c r="S368" s="1"/>
      <c r="T368" s="1"/>
      <c r="U368" s="1"/>
      <c r="V368" s="1"/>
    </row>
    <row r="369" ht="15.75" customHeight="1">
      <c r="A369" s="53"/>
      <c r="B369" s="52" t="s">
        <v>18</v>
      </c>
      <c r="C369" s="196" t="s">
        <v>340</v>
      </c>
      <c r="D369" s="150" t="s">
        <v>22</v>
      </c>
      <c r="E369" s="199" t="s">
        <v>330</v>
      </c>
      <c r="F369" s="215">
        <v>4.0</v>
      </c>
      <c r="G369" s="49">
        <v>24.33</v>
      </c>
      <c r="H369" s="50">
        <f t="shared" si="15"/>
        <v>97.32</v>
      </c>
      <c r="I369" s="58"/>
      <c r="J369" s="58"/>
      <c r="K369" s="54"/>
      <c r="L369" s="54"/>
      <c r="M369" s="54"/>
      <c r="N369" s="54"/>
      <c r="O369" s="202"/>
      <c r="P369" s="202"/>
      <c r="Q369" s="1"/>
      <c r="R369" s="1"/>
      <c r="S369" s="1"/>
      <c r="T369" s="1"/>
      <c r="U369" s="1"/>
      <c r="V369" s="1"/>
    </row>
    <row r="370" ht="15.75" customHeight="1">
      <c r="A370" s="53"/>
      <c r="B370" s="54" t="s">
        <v>18</v>
      </c>
      <c r="C370" s="197" t="s">
        <v>341</v>
      </c>
      <c r="D370" s="198" t="s">
        <v>22</v>
      </c>
      <c r="E370" s="230" t="s">
        <v>424</v>
      </c>
      <c r="F370" s="158">
        <v>2.0</v>
      </c>
      <c r="G370" s="159">
        <v>33.6</v>
      </c>
      <c r="H370" s="57">
        <f t="shared" si="15"/>
        <v>67.2</v>
      </c>
      <c r="I370" s="58"/>
      <c r="J370" s="58"/>
      <c r="K370" s="54"/>
      <c r="L370" s="54"/>
      <c r="M370" s="54"/>
      <c r="N370" s="54"/>
      <c r="O370" s="202"/>
      <c r="P370" s="202"/>
      <c r="Q370" s="1"/>
      <c r="R370" s="1"/>
      <c r="S370" s="1"/>
      <c r="T370" s="1"/>
      <c r="U370" s="1"/>
      <c r="V370" s="1"/>
    </row>
    <row r="371" ht="15.75" customHeight="1">
      <c r="A371" s="15"/>
      <c r="B371" s="54" t="s">
        <v>18</v>
      </c>
      <c r="C371" s="197" t="s">
        <v>342</v>
      </c>
      <c r="D371" s="198" t="s">
        <v>22</v>
      </c>
      <c r="E371" s="230" t="s">
        <v>962</v>
      </c>
      <c r="F371" s="158">
        <v>2.0</v>
      </c>
      <c r="G371" s="159">
        <v>39.6</v>
      </c>
      <c r="H371" s="57">
        <f t="shared" si="15"/>
        <v>79.2</v>
      </c>
      <c r="I371" s="51"/>
      <c r="J371" s="51"/>
      <c r="K371" s="52"/>
      <c r="L371" s="52"/>
      <c r="M371" s="52"/>
      <c r="N371" s="52"/>
      <c r="O371" s="200"/>
      <c r="P371" s="200"/>
      <c r="Q371" s="1"/>
      <c r="R371" s="1"/>
      <c r="S371" s="1"/>
      <c r="T371" s="1"/>
      <c r="U371" s="1"/>
      <c r="V371" s="1"/>
    </row>
    <row r="372" ht="15.75" hidden="1" customHeight="1">
      <c r="A372" s="53"/>
      <c r="B372" s="54" t="s">
        <v>18</v>
      </c>
      <c r="C372" s="197" t="s">
        <v>344</v>
      </c>
      <c r="D372" s="198" t="s">
        <v>22</v>
      </c>
      <c r="E372" s="205" t="s">
        <v>345</v>
      </c>
      <c r="F372" s="158">
        <v>0.0</v>
      </c>
      <c r="G372" s="57">
        <v>19.0</v>
      </c>
      <c r="H372" s="57">
        <f t="shared" si="15"/>
        <v>0</v>
      </c>
      <c r="I372" s="58"/>
      <c r="J372" s="58"/>
      <c r="K372" s="54"/>
      <c r="L372" s="54"/>
      <c r="M372" s="54"/>
      <c r="N372" s="54"/>
      <c r="O372" s="202"/>
      <c r="P372" s="202"/>
      <c r="Q372" s="1"/>
      <c r="R372" s="1"/>
      <c r="S372" s="1"/>
      <c r="T372" s="1"/>
      <c r="U372" s="1"/>
      <c r="V372" s="1"/>
    </row>
    <row r="373" ht="15.75" hidden="1" customHeight="1">
      <c r="A373" s="53"/>
      <c r="B373" s="206" t="s">
        <v>18</v>
      </c>
      <c r="C373" s="197" t="s">
        <v>346</v>
      </c>
      <c r="D373" s="198" t="s">
        <v>22</v>
      </c>
      <c r="E373" s="205" t="s">
        <v>347</v>
      </c>
      <c r="F373" s="158">
        <v>0.0</v>
      </c>
      <c r="G373" s="57">
        <v>35.0</v>
      </c>
      <c r="H373" s="57">
        <f t="shared" si="15"/>
        <v>0</v>
      </c>
      <c r="I373" s="58"/>
      <c r="J373" s="58"/>
      <c r="K373" s="54"/>
      <c r="L373" s="54"/>
      <c r="M373" s="54"/>
      <c r="N373" s="54"/>
      <c r="O373" s="202"/>
      <c r="P373" s="202"/>
      <c r="Q373" s="1"/>
      <c r="R373" s="1"/>
      <c r="S373" s="1"/>
      <c r="T373" s="1"/>
      <c r="U373" s="1"/>
      <c r="V373" s="1"/>
    </row>
    <row r="374" ht="15.75" hidden="1" customHeight="1">
      <c r="A374" s="53"/>
      <c r="B374" s="13" t="s">
        <v>18</v>
      </c>
      <c r="C374" s="196" t="s">
        <v>348</v>
      </c>
      <c r="D374" s="150" t="s">
        <v>22</v>
      </c>
      <c r="E374" s="199" t="s">
        <v>349</v>
      </c>
      <c r="F374" s="215">
        <v>0.0</v>
      </c>
      <c r="G374" s="49">
        <v>24.0</v>
      </c>
      <c r="H374" s="50">
        <f t="shared" si="15"/>
        <v>0</v>
      </c>
      <c r="I374" s="58"/>
      <c r="J374" s="58"/>
      <c r="K374" s="54"/>
      <c r="L374" s="54"/>
      <c r="M374" s="54"/>
      <c r="N374" s="54"/>
      <c r="O374" s="202"/>
      <c r="P374" s="202"/>
      <c r="Q374" s="1"/>
      <c r="R374" s="1"/>
      <c r="S374" s="1"/>
      <c r="T374" s="1"/>
      <c r="U374" s="1"/>
      <c r="V374" s="1"/>
    </row>
    <row r="375" ht="15.75" hidden="1" customHeight="1">
      <c r="A375" s="13"/>
      <c r="B375" s="13" t="s">
        <v>350</v>
      </c>
      <c r="C375" s="196" t="s">
        <v>351</v>
      </c>
      <c r="D375" s="150" t="s">
        <v>22</v>
      </c>
      <c r="E375" s="207" t="s">
        <v>352</v>
      </c>
      <c r="F375" s="215">
        <v>0.0</v>
      </c>
      <c r="G375" s="49">
        <v>420.0</v>
      </c>
      <c r="H375" s="50">
        <f t="shared" si="15"/>
        <v>0</v>
      </c>
      <c r="I375" s="18"/>
      <c r="J375" s="18"/>
      <c r="K375" s="13"/>
      <c r="L375" s="13"/>
      <c r="M375" s="13"/>
      <c r="N375" s="13"/>
      <c r="O375" s="19"/>
      <c r="P375" s="19"/>
      <c r="Q375" s="35"/>
      <c r="R375" s="35"/>
      <c r="S375" s="35"/>
      <c r="T375" s="1"/>
      <c r="U375" s="1"/>
      <c r="V375" s="1"/>
    </row>
    <row r="376" ht="15.75" hidden="1" customHeight="1">
      <c r="A376" s="53"/>
      <c r="B376" s="206" t="s">
        <v>350</v>
      </c>
      <c r="C376" s="197" t="s">
        <v>353</v>
      </c>
      <c r="D376" s="198" t="s">
        <v>22</v>
      </c>
      <c r="E376" s="208" t="s">
        <v>352</v>
      </c>
      <c r="F376" s="158">
        <v>0.0</v>
      </c>
      <c r="G376" s="159">
        <v>172.0</v>
      </c>
      <c r="H376" s="57">
        <f t="shared" si="15"/>
        <v>0</v>
      </c>
      <c r="I376" s="58"/>
      <c r="J376" s="58"/>
      <c r="K376" s="54"/>
      <c r="L376" s="54"/>
      <c r="M376" s="54"/>
      <c r="N376" s="54"/>
      <c r="O376" s="202"/>
      <c r="P376" s="202"/>
      <c r="Q376" s="1"/>
      <c r="R376" s="1"/>
      <c r="S376" s="1"/>
      <c r="T376" s="1"/>
      <c r="U376" s="1"/>
      <c r="V376" s="1"/>
    </row>
    <row r="377" ht="15.75" hidden="1" customHeight="1">
      <c r="A377" s="13"/>
      <c r="B377" s="130" t="s">
        <v>426</v>
      </c>
      <c r="C377" s="197" t="s">
        <v>354</v>
      </c>
      <c r="D377" s="198" t="s">
        <v>22</v>
      </c>
      <c r="E377" s="208" t="s">
        <v>352</v>
      </c>
      <c r="F377" s="56">
        <v>0.0</v>
      </c>
      <c r="G377" s="159">
        <v>97.0</v>
      </c>
      <c r="H377" s="57">
        <f t="shared" si="15"/>
        <v>0</v>
      </c>
      <c r="I377" s="18"/>
      <c r="J377" s="18"/>
      <c r="K377" s="13"/>
      <c r="L377" s="13"/>
      <c r="M377" s="13"/>
      <c r="N377" s="13"/>
      <c r="O377" s="13"/>
      <c r="P377" s="13"/>
      <c r="Q377" s="35"/>
      <c r="R377" s="35"/>
      <c r="S377" s="35"/>
      <c r="T377" s="1"/>
      <c r="U377" s="1"/>
      <c r="V377" s="1"/>
    </row>
    <row r="378" ht="15.75" hidden="1" customHeight="1">
      <c r="A378" s="13"/>
      <c r="B378" s="156" t="s">
        <v>350</v>
      </c>
      <c r="C378" s="197" t="s">
        <v>355</v>
      </c>
      <c r="D378" s="198" t="s">
        <v>22</v>
      </c>
      <c r="E378" s="208" t="s">
        <v>356</v>
      </c>
      <c r="F378" s="56">
        <v>0.0</v>
      </c>
      <c r="G378" s="159">
        <v>366.0</v>
      </c>
      <c r="H378" s="57">
        <f t="shared" si="15"/>
        <v>0</v>
      </c>
      <c r="I378" s="18"/>
      <c r="J378" s="18"/>
      <c r="K378" s="13"/>
      <c r="L378" s="13"/>
      <c r="M378" s="13"/>
      <c r="N378" s="13"/>
      <c r="O378" s="13"/>
      <c r="P378" s="13"/>
      <c r="Q378" s="35"/>
      <c r="R378" s="35"/>
      <c r="S378" s="35"/>
      <c r="T378" s="1"/>
      <c r="U378" s="1"/>
      <c r="V378" s="1"/>
    </row>
    <row r="379" ht="15.75" hidden="1" customHeight="1">
      <c r="A379" s="13"/>
      <c r="B379" s="206" t="s">
        <v>350</v>
      </c>
      <c r="C379" s="197" t="s">
        <v>357</v>
      </c>
      <c r="D379" s="198" t="s">
        <v>22</v>
      </c>
      <c r="E379" s="208" t="s">
        <v>356</v>
      </c>
      <c r="F379" s="56">
        <v>0.0</v>
      </c>
      <c r="G379" s="159">
        <v>107.5</v>
      </c>
      <c r="H379" s="57">
        <f t="shared" si="15"/>
        <v>0</v>
      </c>
      <c r="I379" s="18"/>
      <c r="J379" s="18"/>
      <c r="K379" s="13"/>
      <c r="L379" s="13"/>
      <c r="M379" s="19"/>
      <c r="N379" s="13"/>
      <c r="O379" s="19"/>
      <c r="P379" s="19"/>
      <c r="Q379" s="35"/>
      <c r="R379" s="35"/>
      <c r="S379" s="35"/>
      <c r="T379" s="1"/>
      <c r="U379" s="1"/>
      <c r="V379" s="1"/>
    </row>
    <row r="380" ht="15.75" hidden="1" customHeight="1">
      <c r="A380" s="13"/>
      <c r="B380" s="156" t="s">
        <v>350</v>
      </c>
      <c r="C380" s="197" t="s">
        <v>358</v>
      </c>
      <c r="D380" s="198" t="s">
        <v>22</v>
      </c>
      <c r="E380" s="208" t="s">
        <v>356</v>
      </c>
      <c r="F380" s="56">
        <v>0.0</v>
      </c>
      <c r="G380" s="159">
        <v>97.0</v>
      </c>
      <c r="H380" s="57">
        <f t="shared" si="15"/>
        <v>0</v>
      </c>
      <c r="I380" s="18"/>
      <c r="J380" s="18"/>
      <c r="K380" s="13"/>
      <c r="L380" s="27"/>
      <c r="M380" s="28"/>
      <c r="N380" s="27"/>
      <c r="O380" s="28"/>
      <c r="P380" s="27"/>
      <c r="Q380" s="35"/>
      <c r="R380" s="35"/>
      <c r="S380" s="35"/>
      <c r="T380" s="1"/>
      <c r="U380" s="1"/>
      <c r="V380" s="1"/>
    </row>
    <row r="381" ht="15.75" hidden="1" customHeight="1">
      <c r="A381" s="13"/>
      <c r="B381" s="13" t="s">
        <v>18</v>
      </c>
      <c r="C381" s="196" t="s">
        <v>359</v>
      </c>
      <c r="D381" s="150" t="s">
        <v>22</v>
      </c>
      <c r="E381" s="52" t="s">
        <v>360</v>
      </c>
      <c r="F381" s="48">
        <v>0.0</v>
      </c>
      <c r="G381" s="50">
        <v>18.0</v>
      </c>
      <c r="H381" s="50">
        <f t="shared" si="15"/>
        <v>0</v>
      </c>
      <c r="I381" s="18"/>
      <c r="J381" s="18"/>
      <c r="K381" s="13"/>
      <c r="L381" s="27"/>
      <c r="M381" s="28"/>
      <c r="N381" s="27"/>
      <c r="O381" s="28"/>
      <c r="P381" s="27"/>
      <c r="Q381" s="35"/>
      <c r="R381" s="35"/>
      <c r="S381" s="35"/>
      <c r="T381" s="1"/>
      <c r="U381" s="1"/>
      <c r="V381" s="1"/>
    </row>
    <row r="382" ht="15.75" customHeight="1">
      <c r="A382" s="13"/>
      <c r="B382" s="130" t="s">
        <v>426</v>
      </c>
      <c r="C382" s="232" t="s">
        <v>407</v>
      </c>
      <c r="D382" s="233" t="s">
        <v>22</v>
      </c>
      <c r="E382" s="130"/>
      <c r="F382" s="178">
        <v>2.0</v>
      </c>
      <c r="G382" s="234">
        <v>300.0</v>
      </c>
      <c r="H382" s="179">
        <f t="shared" si="15"/>
        <v>600</v>
      </c>
      <c r="I382" s="18"/>
      <c r="J382" s="18"/>
      <c r="K382" s="13"/>
      <c r="L382" s="27"/>
      <c r="M382" s="28"/>
      <c r="N382" s="27"/>
      <c r="O382" s="28"/>
      <c r="P382" s="27"/>
      <c r="Q382" s="35"/>
      <c r="R382" s="35"/>
      <c r="S382" s="35"/>
      <c r="T382" s="1"/>
      <c r="U382" s="1"/>
      <c r="V382" s="1"/>
    </row>
    <row r="383" ht="15.75" customHeight="1">
      <c r="A383" s="13"/>
      <c r="B383" s="231" t="s">
        <v>350</v>
      </c>
      <c r="C383" s="232" t="s">
        <v>427</v>
      </c>
      <c r="D383" s="233" t="s">
        <v>22</v>
      </c>
      <c r="E383" s="231" t="s">
        <v>428</v>
      </c>
      <c r="F383" s="178">
        <v>2.0</v>
      </c>
      <c r="G383" s="235">
        <v>107.5</v>
      </c>
      <c r="H383" s="179">
        <f t="shared" si="15"/>
        <v>215</v>
      </c>
      <c r="I383" s="18"/>
      <c r="J383" s="18"/>
      <c r="K383" s="13"/>
      <c r="L383" s="27"/>
      <c r="M383" s="28"/>
      <c r="N383" s="27"/>
      <c r="O383" s="28"/>
      <c r="P383" s="27"/>
      <c r="Q383" s="35"/>
      <c r="R383" s="35"/>
      <c r="S383" s="35"/>
      <c r="T383" s="1"/>
      <c r="U383" s="1"/>
      <c r="V383" s="1"/>
    </row>
    <row r="384" ht="15.75" customHeight="1">
      <c r="A384" s="13"/>
      <c r="B384" s="231" t="s">
        <v>350</v>
      </c>
      <c r="C384" s="232" t="s">
        <v>429</v>
      </c>
      <c r="D384" s="233" t="s">
        <v>22</v>
      </c>
      <c r="E384" s="130"/>
      <c r="F384" s="178">
        <v>2.0</v>
      </c>
      <c r="G384" s="235">
        <v>97.0</v>
      </c>
      <c r="H384" s="179">
        <f t="shared" si="15"/>
        <v>194</v>
      </c>
      <c r="I384" s="18"/>
      <c r="J384" s="18"/>
      <c r="K384" s="13"/>
      <c r="L384" s="27"/>
      <c r="M384" s="28"/>
      <c r="N384" s="27"/>
      <c r="O384" s="28"/>
      <c r="P384" s="27"/>
      <c r="Q384" s="35"/>
      <c r="R384" s="35"/>
      <c r="S384" s="35"/>
      <c r="T384" s="1"/>
      <c r="U384" s="1"/>
      <c r="V384" s="1"/>
    </row>
    <row r="385" ht="15.75" customHeight="1">
      <c r="A385" s="13"/>
      <c r="B385" s="130" t="s">
        <v>18</v>
      </c>
      <c r="C385" s="232" t="s">
        <v>409</v>
      </c>
      <c r="D385" s="233" t="s">
        <v>22</v>
      </c>
      <c r="E385" s="236" t="s">
        <v>430</v>
      </c>
      <c r="F385" s="178">
        <v>2.0</v>
      </c>
      <c r="G385" s="235">
        <v>19.2</v>
      </c>
      <c r="H385" s="179">
        <f t="shared" si="15"/>
        <v>38.4</v>
      </c>
      <c r="I385" s="18"/>
      <c r="J385" s="18"/>
      <c r="K385" s="13"/>
      <c r="L385" s="27"/>
      <c r="M385" s="28"/>
      <c r="N385" s="27"/>
      <c r="O385" s="28"/>
      <c r="P385" s="27"/>
      <c r="Q385" s="35"/>
      <c r="R385" s="35"/>
      <c r="S385" s="35"/>
      <c r="T385" s="1"/>
      <c r="U385" s="1"/>
      <c r="V385" s="1"/>
    </row>
    <row r="386" ht="15.75" hidden="1" customHeight="1">
      <c r="A386" s="13"/>
      <c r="B386" s="13" t="s">
        <v>361</v>
      </c>
      <c r="C386" s="169" t="s">
        <v>362</v>
      </c>
      <c r="D386" s="66" t="s">
        <v>22</v>
      </c>
      <c r="E386" s="15" t="s">
        <v>363</v>
      </c>
      <c r="F386" s="40">
        <v>0.0</v>
      </c>
      <c r="G386" s="17">
        <v>11.0</v>
      </c>
      <c r="H386" s="17">
        <f t="shared" si="15"/>
        <v>0</v>
      </c>
      <c r="I386" s="18"/>
      <c r="J386" s="18"/>
      <c r="K386" s="13"/>
      <c r="L386" s="27"/>
      <c r="M386" s="28"/>
      <c r="N386" s="27"/>
      <c r="O386" s="28"/>
      <c r="P386" s="27"/>
      <c r="Q386" s="35"/>
      <c r="R386" s="35"/>
      <c r="S386" s="35"/>
      <c r="T386" s="1"/>
      <c r="U386" s="1"/>
      <c r="V386" s="1"/>
    </row>
    <row r="387" ht="15.75" customHeight="1">
      <c r="A387" s="13"/>
      <c r="B387" s="13" t="s">
        <v>361</v>
      </c>
      <c r="C387" s="169" t="s">
        <v>364</v>
      </c>
      <c r="D387" s="66" t="s">
        <v>22</v>
      </c>
      <c r="E387" s="15" t="s">
        <v>365</v>
      </c>
      <c r="F387" s="40">
        <v>8.0</v>
      </c>
      <c r="G387" s="17">
        <v>6.0</v>
      </c>
      <c r="H387" s="17">
        <f t="shared" si="15"/>
        <v>48</v>
      </c>
      <c r="I387" s="18"/>
      <c r="J387" s="18"/>
      <c r="K387" s="13"/>
      <c r="L387" s="27"/>
      <c r="M387" s="28"/>
      <c r="N387" s="27"/>
      <c r="O387" s="28"/>
      <c r="P387" s="27"/>
      <c r="Q387" s="35"/>
      <c r="R387" s="35"/>
      <c r="S387" s="35"/>
      <c r="T387" s="1"/>
      <c r="U387" s="1"/>
      <c r="V387" s="1"/>
    </row>
    <row r="388" ht="15.75" hidden="1" customHeight="1">
      <c r="A388" s="13"/>
      <c r="B388" s="43" t="s">
        <v>64</v>
      </c>
      <c r="C388" s="169" t="s">
        <v>263</v>
      </c>
      <c r="D388" s="66" t="s">
        <v>22</v>
      </c>
      <c r="E388" s="15"/>
      <c r="F388" s="40">
        <v>0.0</v>
      </c>
      <c r="G388" s="17">
        <v>180.0</v>
      </c>
      <c r="H388" s="17">
        <f t="shared" si="15"/>
        <v>0</v>
      </c>
      <c r="I388" s="18"/>
      <c r="J388" s="18"/>
      <c r="K388" s="13"/>
      <c r="L388" s="27"/>
      <c r="M388" s="28"/>
      <c r="N388" s="27"/>
      <c r="O388" s="28"/>
      <c r="P388" s="27"/>
      <c r="Q388" s="35"/>
      <c r="R388" s="35"/>
      <c r="S388" s="35"/>
      <c r="T388" s="1"/>
      <c r="U388" s="1"/>
      <c r="V388" s="1"/>
    </row>
    <row r="389" ht="15.75" hidden="1" customHeight="1">
      <c r="A389" s="13"/>
      <c r="B389" s="13"/>
      <c r="C389" s="13" t="s">
        <v>67</v>
      </c>
      <c r="D389" s="70" t="s">
        <v>24</v>
      </c>
      <c r="E389" s="15"/>
      <c r="F389" s="40">
        <v>0.0</v>
      </c>
      <c r="G389" s="17">
        <v>18.0</v>
      </c>
      <c r="H389" s="17">
        <f t="shared" si="15"/>
        <v>0</v>
      </c>
      <c r="I389" s="18"/>
      <c r="J389" s="18"/>
      <c r="K389" s="13"/>
      <c r="L389" s="27"/>
      <c r="M389" s="28"/>
      <c r="N389" s="27"/>
      <c r="O389" s="28"/>
      <c r="P389" s="27"/>
      <c r="Q389" s="35"/>
      <c r="R389" s="35"/>
      <c r="S389" s="35"/>
      <c r="T389" s="1"/>
      <c r="U389" s="1"/>
      <c r="V389" s="1"/>
    </row>
    <row r="390" ht="15.75" customHeight="1">
      <c r="A390" s="13"/>
      <c r="B390" s="43" t="s">
        <v>88</v>
      </c>
      <c r="C390" s="195" t="s">
        <v>431</v>
      </c>
      <c r="D390" s="14" t="s">
        <v>20</v>
      </c>
      <c r="E390" s="171" t="s">
        <v>412</v>
      </c>
      <c r="F390" s="16">
        <v>1.0</v>
      </c>
      <c r="G390" s="34">
        <v>334.0</v>
      </c>
      <c r="H390" s="17">
        <f t="shared" si="15"/>
        <v>334</v>
      </c>
      <c r="I390" s="18"/>
      <c r="J390" s="18"/>
      <c r="K390" s="13"/>
      <c r="L390" s="27"/>
      <c r="M390" s="28"/>
      <c r="N390" s="27"/>
      <c r="O390" s="28"/>
      <c r="P390" s="27"/>
      <c r="Q390" s="35"/>
      <c r="R390" s="35"/>
      <c r="S390" s="35"/>
      <c r="T390" s="1"/>
      <c r="U390" s="1"/>
      <c r="V390" s="1"/>
    </row>
    <row r="391" ht="15.75" customHeight="1">
      <c r="A391" s="13"/>
      <c r="B391" s="13" t="s">
        <v>18</v>
      </c>
      <c r="C391" s="169" t="s">
        <v>280</v>
      </c>
      <c r="D391" s="14" t="s">
        <v>20</v>
      </c>
      <c r="E391" s="33" t="s">
        <v>368</v>
      </c>
      <c r="F391" s="16">
        <v>1.0</v>
      </c>
      <c r="G391" s="34">
        <v>20.0</v>
      </c>
      <c r="H391" s="17">
        <f t="shared" si="15"/>
        <v>20</v>
      </c>
      <c r="I391" s="18"/>
      <c r="J391" s="18"/>
      <c r="K391" s="13"/>
      <c r="L391" s="27"/>
      <c r="M391" s="28"/>
      <c r="N391" s="27"/>
      <c r="O391" s="28"/>
      <c r="P391" s="27"/>
      <c r="Q391" s="35"/>
      <c r="R391" s="35"/>
      <c r="S391" s="35"/>
      <c r="T391" s="1"/>
      <c r="U391" s="1"/>
      <c r="V391" s="1"/>
    </row>
    <row r="392" ht="15.75" customHeight="1">
      <c r="A392" s="13"/>
      <c r="B392" s="13"/>
      <c r="C392" s="169" t="s">
        <v>282</v>
      </c>
      <c r="D392" s="70" t="s">
        <v>24</v>
      </c>
      <c r="E392" s="15"/>
      <c r="F392" s="16">
        <v>1.0</v>
      </c>
      <c r="G392" s="17">
        <v>80.0</v>
      </c>
      <c r="H392" s="17">
        <f t="shared" si="15"/>
        <v>80</v>
      </c>
      <c r="I392" s="18"/>
      <c r="J392" s="18"/>
      <c r="K392" s="13"/>
      <c r="L392" s="27"/>
      <c r="M392" s="28"/>
      <c r="N392" s="27"/>
      <c r="O392" s="28"/>
      <c r="P392" s="27"/>
      <c r="Q392" s="35"/>
      <c r="R392" s="35"/>
      <c r="S392" s="35"/>
      <c r="T392" s="1"/>
      <c r="U392" s="1"/>
      <c r="V392" s="1"/>
    </row>
    <row r="393" ht="15.75" hidden="1" customHeight="1">
      <c r="A393" s="13"/>
      <c r="B393" s="13" t="s">
        <v>18</v>
      </c>
      <c r="C393" s="169" t="s">
        <v>283</v>
      </c>
      <c r="D393" s="14" t="s">
        <v>20</v>
      </c>
      <c r="E393" s="15" t="s">
        <v>284</v>
      </c>
      <c r="F393" s="16">
        <v>0.0</v>
      </c>
      <c r="G393" s="17">
        <v>12.0</v>
      </c>
      <c r="H393" s="17">
        <f t="shared" si="15"/>
        <v>0</v>
      </c>
      <c r="I393" s="18"/>
      <c r="J393" s="18"/>
      <c r="K393" s="13"/>
      <c r="L393" s="95"/>
      <c r="M393" s="96"/>
      <c r="N393" s="95"/>
      <c r="O393" s="95"/>
      <c r="P393" s="95"/>
      <c r="Q393" s="35"/>
      <c r="R393" s="35"/>
      <c r="S393" s="35"/>
      <c r="T393" s="1"/>
      <c r="U393" s="1"/>
      <c r="V393" s="1"/>
    </row>
    <row r="394" ht="15.75" customHeight="1">
      <c r="A394" s="13"/>
      <c r="B394" s="13" t="s">
        <v>369</v>
      </c>
      <c r="C394" s="169" t="s">
        <v>370</v>
      </c>
      <c r="D394" s="14" t="s">
        <v>20</v>
      </c>
      <c r="E394" s="15">
        <v>8.49069896E8</v>
      </c>
      <c r="F394" s="16">
        <v>1.0</v>
      </c>
      <c r="G394" s="17">
        <v>5.0</v>
      </c>
      <c r="H394" s="17">
        <f t="shared" si="15"/>
        <v>5</v>
      </c>
      <c r="I394" s="18"/>
      <c r="J394" s="18"/>
      <c r="K394" s="13"/>
      <c r="L394" s="95"/>
      <c r="M394" s="96"/>
      <c r="N394" s="95"/>
      <c r="O394" s="95"/>
      <c r="P394" s="95"/>
      <c r="Q394" s="35"/>
      <c r="R394" s="35"/>
      <c r="S394" s="35"/>
      <c r="T394" s="1"/>
      <c r="U394" s="1"/>
      <c r="V394" s="1"/>
    </row>
    <row r="395" ht="15.75" customHeight="1">
      <c r="A395" s="13"/>
      <c r="B395" s="13" t="s">
        <v>18</v>
      </c>
      <c r="C395" s="169" t="s">
        <v>371</v>
      </c>
      <c r="D395" s="14" t="s">
        <v>20</v>
      </c>
      <c r="E395" s="15" t="s">
        <v>286</v>
      </c>
      <c r="F395" s="16">
        <v>2.0</v>
      </c>
      <c r="G395" s="17">
        <v>3.0</v>
      </c>
      <c r="H395" s="17">
        <f t="shared" si="15"/>
        <v>6</v>
      </c>
      <c r="I395" s="18"/>
      <c r="J395" s="18"/>
      <c r="K395" s="13"/>
      <c r="L395" s="13"/>
      <c r="M395" s="19"/>
      <c r="N395" s="13"/>
      <c r="O395" s="19"/>
      <c r="P395" s="19"/>
      <c r="Q395" s="35"/>
      <c r="R395" s="35"/>
      <c r="S395" s="35"/>
      <c r="T395" s="1"/>
      <c r="U395" s="1"/>
      <c r="V395" s="1"/>
    </row>
    <row r="396" ht="15.75" customHeight="1">
      <c r="A396" s="13"/>
      <c r="B396" s="13" t="s">
        <v>18</v>
      </c>
      <c r="C396" s="195" t="s">
        <v>372</v>
      </c>
      <c r="D396" s="14" t="s">
        <v>20</v>
      </c>
      <c r="E396" s="210"/>
      <c r="F396" s="228">
        <v>2.0</v>
      </c>
      <c r="G396" s="212">
        <v>70.0</v>
      </c>
      <c r="H396" s="17">
        <f t="shared" si="15"/>
        <v>140</v>
      </c>
      <c r="I396" s="18"/>
      <c r="J396" s="18"/>
      <c r="K396" s="13"/>
      <c r="L396" s="63"/>
      <c r="M396" s="79"/>
      <c r="N396" s="63"/>
      <c r="O396" s="79"/>
      <c r="P396" s="79"/>
      <c r="Q396" s="35"/>
      <c r="R396" s="35"/>
      <c r="S396" s="35"/>
      <c r="T396" s="1"/>
      <c r="U396" s="1"/>
      <c r="V396" s="1"/>
    </row>
    <row r="397" ht="15.75" customHeight="1">
      <c r="A397" s="13"/>
      <c r="B397" s="13"/>
      <c r="C397" s="169" t="s">
        <v>70</v>
      </c>
      <c r="D397" s="14" t="s">
        <v>20</v>
      </c>
      <c r="E397" s="15"/>
      <c r="F397" s="40">
        <v>2.0</v>
      </c>
      <c r="G397" s="34">
        <v>60.0</v>
      </c>
      <c r="H397" s="17">
        <f t="shared" si="15"/>
        <v>120</v>
      </c>
      <c r="I397" s="18"/>
      <c r="J397" s="18"/>
      <c r="K397" s="13"/>
      <c r="L397" s="13"/>
      <c r="M397" s="19"/>
      <c r="N397" s="13"/>
      <c r="O397" s="38"/>
      <c r="P397" s="19"/>
      <c r="Q397" s="35"/>
      <c r="R397" s="35"/>
      <c r="S397" s="35"/>
      <c r="T397" s="1"/>
      <c r="U397" s="1"/>
      <c r="V397" s="1"/>
    </row>
    <row r="398" ht="15.75" hidden="1" customHeight="1">
      <c r="A398" s="13"/>
      <c r="B398" s="13" t="s">
        <v>373</v>
      </c>
      <c r="C398" s="169" t="s">
        <v>69</v>
      </c>
      <c r="D398" s="14" t="s">
        <v>20</v>
      </c>
      <c r="E398" s="15"/>
      <c r="F398" s="16">
        <v>0.0</v>
      </c>
      <c r="G398" s="17">
        <v>70.0</v>
      </c>
      <c r="H398" s="17">
        <f t="shared" si="15"/>
        <v>0</v>
      </c>
      <c r="I398" s="18"/>
      <c r="J398" s="18"/>
      <c r="K398" s="13"/>
      <c r="L398" s="27"/>
      <c r="M398" s="27"/>
      <c r="N398" s="27"/>
      <c r="O398" s="27"/>
      <c r="P398" s="27"/>
      <c r="Q398" s="35"/>
      <c r="R398" s="35"/>
      <c r="S398" s="35"/>
      <c r="T398" s="1"/>
      <c r="U398" s="1"/>
      <c r="V398" s="1"/>
    </row>
    <row r="399" ht="15.75" hidden="1" customHeight="1">
      <c r="A399" s="13"/>
      <c r="B399" s="13"/>
      <c r="C399" s="169" t="s">
        <v>374</v>
      </c>
      <c r="D399" s="70" t="s">
        <v>24</v>
      </c>
      <c r="E399" s="15"/>
      <c r="F399" s="16">
        <v>0.0</v>
      </c>
      <c r="G399" s="17">
        <v>207.0</v>
      </c>
      <c r="H399" s="17">
        <f t="shared" si="15"/>
        <v>0</v>
      </c>
      <c r="I399" s="18"/>
      <c r="J399" s="18"/>
      <c r="K399" s="13"/>
      <c r="L399" s="63"/>
      <c r="M399" s="63"/>
      <c r="N399" s="63"/>
      <c r="O399" s="63"/>
      <c r="P399" s="63"/>
      <c r="Q399" s="35"/>
      <c r="R399" s="35"/>
      <c r="S399" s="35"/>
      <c r="T399" s="1"/>
      <c r="U399" s="1"/>
      <c r="V399" s="1"/>
    </row>
    <row r="400" ht="15.75" hidden="1" customHeight="1">
      <c r="A400" s="13"/>
      <c r="B400" s="13"/>
      <c r="C400" s="169" t="s">
        <v>375</v>
      </c>
      <c r="D400" s="70" t="s">
        <v>24</v>
      </c>
      <c r="E400" s="15"/>
      <c r="F400" s="16">
        <v>0.0</v>
      </c>
      <c r="G400" s="17">
        <v>450.0</v>
      </c>
      <c r="H400" s="17">
        <f t="shared" si="15"/>
        <v>0</v>
      </c>
      <c r="I400" s="18"/>
      <c r="J400" s="18"/>
      <c r="K400" s="13"/>
      <c r="L400" s="27"/>
      <c r="M400" s="28"/>
      <c r="N400" s="27"/>
      <c r="O400" s="28"/>
      <c r="P400" s="28"/>
      <c r="Q400" s="35"/>
      <c r="R400" s="35"/>
      <c r="S400" s="35"/>
      <c r="T400" s="1"/>
      <c r="U400" s="1"/>
      <c r="V400" s="1"/>
    </row>
    <row r="401" ht="15.75" hidden="1" customHeight="1">
      <c r="A401" s="13"/>
      <c r="B401" s="13"/>
      <c r="C401" s="13" t="s">
        <v>71</v>
      </c>
      <c r="D401" s="213" t="s">
        <v>24</v>
      </c>
      <c r="E401" s="52"/>
      <c r="F401" s="48">
        <v>0.0</v>
      </c>
      <c r="G401" s="50">
        <v>80.0</v>
      </c>
      <c r="H401" s="50">
        <f t="shared" si="15"/>
        <v>0</v>
      </c>
      <c r="I401" s="18"/>
      <c r="J401" s="18"/>
      <c r="K401" s="18"/>
      <c r="L401" s="13"/>
      <c r="M401" s="19"/>
      <c r="N401" s="13"/>
      <c r="O401" s="19"/>
      <c r="P401" s="19"/>
      <c r="Q401" s="35"/>
      <c r="R401" s="35"/>
      <c r="S401" s="35"/>
      <c r="T401" s="1"/>
      <c r="U401" s="1"/>
      <c r="V401" s="1"/>
    </row>
    <row r="402" ht="15.75" hidden="1" customHeight="1">
      <c r="A402" s="13"/>
      <c r="B402" s="13" t="s">
        <v>18</v>
      </c>
      <c r="C402" s="13" t="s">
        <v>377</v>
      </c>
      <c r="D402" s="14" t="s">
        <v>20</v>
      </c>
      <c r="E402" s="52" t="s">
        <v>28</v>
      </c>
      <c r="F402" s="48">
        <v>0.0</v>
      </c>
      <c r="G402" s="50">
        <v>70.0</v>
      </c>
      <c r="H402" s="50">
        <f t="shared" si="15"/>
        <v>0</v>
      </c>
      <c r="I402" s="18"/>
      <c r="J402" s="18"/>
      <c r="K402" s="13"/>
      <c r="L402" s="27"/>
      <c r="M402" s="28"/>
      <c r="N402" s="27"/>
      <c r="O402" s="28"/>
      <c r="P402" s="28"/>
      <c r="Q402" s="35"/>
      <c r="R402" s="35"/>
      <c r="S402" s="35"/>
      <c r="T402" s="1"/>
      <c r="U402" s="1"/>
      <c r="V402" s="1"/>
    </row>
    <row r="403" ht="15.75" customHeight="1">
      <c r="A403" s="13"/>
      <c r="B403" s="13"/>
      <c r="C403" s="13" t="s">
        <v>221</v>
      </c>
      <c r="D403" s="213" t="s">
        <v>24</v>
      </c>
      <c r="E403" s="52"/>
      <c r="F403" s="215">
        <v>2.0</v>
      </c>
      <c r="G403" s="50">
        <v>50.0</v>
      </c>
      <c r="H403" s="50">
        <f t="shared" si="15"/>
        <v>100</v>
      </c>
      <c r="I403" s="239"/>
      <c r="J403" s="239"/>
      <c r="K403" s="170"/>
      <c r="L403" s="107"/>
      <c r="M403" s="214"/>
      <c r="N403" s="13"/>
      <c r="O403" s="13"/>
      <c r="P403" s="13"/>
      <c r="Q403" s="35"/>
      <c r="R403" s="35"/>
      <c r="S403" s="35"/>
      <c r="T403" s="1"/>
      <c r="U403" s="1"/>
      <c r="V403" s="1"/>
    </row>
    <row r="404" ht="15.75" hidden="1" customHeight="1">
      <c r="A404" s="13"/>
      <c r="B404" s="13"/>
      <c r="C404" s="206" t="s">
        <v>222</v>
      </c>
      <c r="D404" s="216" t="s">
        <v>24</v>
      </c>
      <c r="E404" s="54"/>
      <c r="F404" s="56">
        <v>0.0</v>
      </c>
      <c r="G404" s="57">
        <v>40.0</v>
      </c>
      <c r="H404" s="57">
        <f t="shared" si="15"/>
        <v>0</v>
      </c>
      <c r="I404" s="18"/>
      <c r="J404" s="18"/>
      <c r="K404" s="13"/>
      <c r="L404" s="63"/>
      <c r="M404" s="63"/>
      <c r="N404" s="63"/>
      <c r="O404" s="63"/>
      <c r="P404" s="63"/>
      <c r="Q404" s="35"/>
      <c r="R404" s="35"/>
      <c r="S404" s="35"/>
      <c r="T404" s="1"/>
      <c r="U404" s="1"/>
      <c r="V404" s="1"/>
    </row>
    <row r="405" ht="30.75" customHeight="1">
      <c r="A405" s="217"/>
      <c r="B405" s="172" t="s">
        <v>959</v>
      </c>
      <c r="C405" s="7">
        <f>SUM(H406:H478)</f>
        <v>14157.6</v>
      </c>
      <c r="D405" s="148"/>
      <c r="E405" s="148"/>
      <c r="F405" s="81"/>
      <c r="G405" s="82"/>
      <c r="H405" s="82"/>
      <c r="I405" s="82"/>
      <c r="J405" s="82"/>
      <c r="K405" s="81"/>
      <c r="L405" s="83"/>
      <c r="M405" s="83"/>
      <c r="N405" s="83"/>
      <c r="O405" s="83"/>
      <c r="P405" s="83"/>
      <c r="Q405" s="35"/>
      <c r="R405" s="35"/>
      <c r="S405" s="35"/>
      <c r="T405" s="1"/>
      <c r="U405" s="1"/>
      <c r="V405" s="1"/>
    </row>
    <row r="406" ht="15.75" hidden="1" customHeight="1">
      <c r="A406" s="13"/>
      <c r="B406" s="13"/>
      <c r="C406" s="169" t="s">
        <v>191</v>
      </c>
      <c r="D406" s="66" t="s">
        <v>22</v>
      </c>
      <c r="E406" s="15"/>
      <c r="F406" s="16">
        <v>0.0</v>
      </c>
      <c r="G406" s="17">
        <v>100.0</v>
      </c>
      <c r="H406" s="17">
        <f t="shared" ref="H406:H510" si="16">SUM(F406*G406)</f>
        <v>0</v>
      </c>
      <c r="I406" s="18"/>
      <c r="J406" s="18"/>
      <c r="K406" s="13"/>
      <c r="L406" s="13"/>
      <c r="M406" s="13"/>
      <c r="N406" s="13"/>
      <c r="O406" s="13"/>
      <c r="P406" s="13"/>
      <c r="Q406" s="35"/>
      <c r="R406" s="35"/>
      <c r="S406" s="35"/>
      <c r="T406" s="1"/>
      <c r="U406" s="1"/>
      <c r="V406" s="1"/>
    </row>
    <row r="407" ht="15.75" hidden="1" customHeight="1">
      <c r="A407" s="13"/>
      <c r="B407" s="13" t="s">
        <v>18</v>
      </c>
      <c r="C407" s="169" t="s">
        <v>433</v>
      </c>
      <c r="D407" s="14" t="s">
        <v>20</v>
      </c>
      <c r="E407" s="15"/>
      <c r="F407" s="16">
        <v>0.0</v>
      </c>
      <c r="G407" s="17">
        <v>5.0</v>
      </c>
      <c r="H407" s="17">
        <f t="shared" si="16"/>
        <v>0</v>
      </c>
      <c r="I407" s="18"/>
      <c r="J407" s="18"/>
      <c r="K407" s="13"/>
      <c r="L407" s="13"/>
      <c r="M407" s="13"/>
      <c r="N407" s="13"/>
      <c r="O407" s="13"/>
      <c r="P407" s="13"/>
      <c r="Q407" s="35"/>
      <c r="R407" s="35"/>
      <c r="S407" s="35"/>
      <c r="T407" s="1"/>
      <c r="U407" s="1"/>
      <c r="V407" s="1"/>
    </row>
    <row r="408" ht="15.75" hidden="1" customHeight="1">
      <c r="A408" s="13"/>
      <c r="B408" s="13" t="s">
        <v>18</v>
      </c>
      <c r="C408" s="169" t="s">
        <v>19</v>
      </c>
      <c r="D408" s="14" t="s">
        <v>20</v>
      </c>
      <c r="E408" s="15"/>
      <c r="F408" s="16">
        <v>0.0</v>
      </c>
      <c r="G408" s="17">
        <v>0.0</v>
      </c>
      <c r="H408" s="17">
        <f t="shared" si="16"/>
        <v>0</v>
      </c>
      <c r="I408" s="18"/>
      <c r="J408" s="17"/>
      <c r="K408" s="13"/>
      <c r="L408" s="13"/>
      <c r="M408" s="19"/>
      <c r="N408" s="19"/>
      <c r="O408" s="38"/>
      <c r="P408" s="19"/>
      <c r="Q408" s="35"/>
      <c r="R408" s="35"/>
      <c r="S408" s="35"/>
      <c r="T408" s="1"/>
      <c r="U408" s="1"/>
      <c r="V408" s="1"/>
    </row>
    <row r="409" ht="15.75" hidden="1" customHeight="1">
      <c r="A409" s="13"/>
      <c r="B409" s="13" t="s">
        <v>18</v>
      </c>
      <c r="C409" s="169" t="s">
        <v>434</v>
      </c>
      <c r="D409" s="14" t="s">
        <v>20</v>
      </c>
      <c r="E409" s="15"/>
      <c r="F409" s="16">
        <v>0.0</v>
      </c>
      <c r="G409" s="17">
        <v>5.0</v>
      </c>
      <c r="H409" s="17">
        <f t="shared" si="16"/>
        <v>0</v>
      </c>
      <c r="I409" s="18"/>
      <c r="J409" s="17"/>
      <c r="K409" s="13"/>
      <c r="L409" s="13"/>
      <c r="M409" s="19"/>
      <c r="N409" s="19"/>
      <c r="O409" s="38"/>
      <c r="P409" s="19"/>
      <c r="Q409" s="35"/>
      <c r="R409" s="35"/>
      <c r="S409" s="35"/>
      <c r="T409" s="1"/>
      <c r="U409" s="1"/>
      <c r="V409" s="1"/>
    </row>
    <row r="410" ht="15.75" hidden="1" customHeight="1">
      <c r="A410" s="13"/>
      <c r="B410" s="13"/>
      <c r="C410" s="169" t="s">
        <v>435</v>
      </c>
      <c r="D410" s="70" t="s">
        <v>24</v>
      </c>
      <c r="E410" s="15"/>
      <c r="F410" s="16">
        <v>0.0</v>
      </c>
      <c r="G410" s="17">
        <v>103.5</v>
      </c>
      <c r="H410" s="17">
        <f t="shared" si="16"/>
        <v>0</v>
      </c>
      <c r="I410" s="18"/>
      <c r="J410" s="17"/>
      <c r="K410" s="13"/>
      <c r="L410" s="13"/>
      <c r="M410" s="19"/>
      <c r="N410" s="19"/>
      <c r="O410" s="38"/>
      <c r="P410" s="19"/>
      <c r="Q410" s="35"/>
      <c r="R410" s="35"/>
      <c r="S410" s="35"/>
      <c r="T410" s="1"/>
      <c r="U410" s="1"/>
      <c r="V410" s="1"/>
    </row>
    <row r="411" ht="15.75" customHeight="1">
      <c r="A411" s="13"/>
      <c r="B411" s="13" t="s">
        <v>18</v>
      </c>
      <c r="C411" s="169" t="s">
        <v>296</v>
      </c>
      <c r="D411" s="14" t="s">
        <v>20</v>
      </c>
      <c r="E411" s="218" t="s">
        <v>379</v>
      </c>
      <c r="F411" s="16">
        <v>1.0</v>
      </c>
      <c r="G411" s="34">
        <v>144.0</v>
      </c>
      <c r="H411" s="17">
        <f t="shared" si="16"/>
        <v>144</v>
      </c>
      <c r="I411" s="18"/>
      <c r="J411" s="17"/>
      <c r="K411" s="13"/>
      <c r="L411" s="13"/>
      <c r="M411" s="19"/>
      <c r="N411" s="19"/>
      <c r="O411" s="38"/>
      <c r="P411" s="19"/>
      <c r="Q411" s="35"/>
      <c r="R411" s="35"/>
      <c r="S411" s="35"/>
      <c r="T411" s="1"/>
      <c r="U411" s="1"/>
      <c r="V411" s="1"/>
    </row>
    <row r="412" ht="15.75" customHeight="1">
      <c r="A412" s="13"/>
      <c r="B412" s="13" t="s">
        <v>18</v>
      </c>
      <c r="C412" s="169" t="s">
        <v>300</v>
      </c>
      <c r="D412" s="14" t="s">
        <v>20</v>
      </c>
      <c r="E412" s="15"/>
      <c r="F412" s="16">
        <v>6.0</v>
      </c>
      <c r="G412" s="17">
        <v>5.0</v>
      </c>
      <c r="H412" s="17">
        <f t="shared" si="16"/>
        <v>30</v>
      </c>
      <c r="I412" s="18"/>
      <c r="J412" s="17"/>
      <c r="K412" s="13"/>
      <c r="L412" s="13"/>
      <c r="M412" s="19"/>
      <c r="N412" s="19"/>
      <c r="O412" s="38"/>
      <c r="P412" s="19"/>
      <c r="Q412" s="35"/>
      <c r="R412" s="35"/>
      <c r="S412" s="35"/>
      <c r="T412" s="1"/>
      <c r="U412" s="1"/>
      <c r="V412" s="1"/>
    </row>
    <row r="413" ht="15.75" hidden="1" customHeight="1">
      <c r="A413" s="13"/>
      <c r="B413" s="13"/>
      <c r="C413" s="169" t="s">
        <v>19</v>
      </c>
      <c r="D413" s="14" t="s">
        <v>20</v>
      </c>
      <c r="E413" s="155" t="s">
        <v>438</v>
      </c>
      <c r="F413" s="40">
        <v>0.0</v>
      </c>
      <c r="G413" s="17">
        <v>5.0</v>
      </c>
      <c r="H413" s="17">
        <f t="shared" si="16"/>
        <v>0</v>
      </c>
      <c r="I413" s="18"/>
      <c r="J413" s="17"/>
      <c r="K413" s="13"/>
      <c r="L413" s="13"/>
      <c r="M413" s="19"/>
      <c r="N413" s="19"/>
      <c r="O413" s="38"/>
      <c r="P413" s="19"/>
      <c r="Q413" s="35"/>
      <c r="R413" s="35"/>
      <c r="S413" s="35"/>
      <c r="T413" s="1"/>
      <c r="U413" s="1"/>
      <c r="V413" s="1"/>
    </row>
    <row r="414" ht="15.75" customHeight="1">
      <c r="A414" s="13"/>
      <c r="B414" s="13"/>
      <c r="C414" s="169" t="s">
        <v>380</v>
      </c>
      <c r="D414" s="70" t="s">
        <v>24</v>
      </c>
      <c r="E414" s="15"/>
      <c r="F414" s="40">
        <v>1.0</v>
      </c>
      <c r="G414" s="17">
        <v>95.0</v>
      </c>
      <c r="H414" s="17">
        <f t="shared" si="16"/>
        <v>95</v>
      </c>
      <c r="I414" s="18"/>
      <c r="J414" s="17"/>
      <c r="K414" s="13"/>
      <c r="L414" s="13"/>
      <c r="M414" s="19"/>
      <c r="N414" s="19"/>
      <c r="O414" s="38"/>
      <c r="P414" s="19"/>
      <c r="Q414" s="35"/>
      <c r="R414" s="35"/>
      <c r="S414" s="35"/>
      <c r="T414" s="1"/>
      <c r="U414" s="1"/>
      <c r="V414" s="1"/>
    </row>
    <row r="415" ht="15.75" hidden="1" customHeight="1">
      <c r="A415" s="13"/>
      <c r="B415" s="13"/>
      <c r="C415" s="169" t="s">
        <v>440</v>
      </c>
      <c r="D415" s="70" t="s">
        <v>24</v>
      </c>
      <c r="E415" s="15"/>
      <c r="F415" s="16">
        <v>0.0</v>
      </c>
      <c r="G415" s="17">
        <v>200.0</v>
      </c>
      <c r="H415" s="17">
        <f t="shared" si="16"/>
        <v>0</v>
      </c>
      <c r="I415" s="18"/>
      <c r="J415" s="17"/>
      <c r="K415" s="13"/>
      <c r="L415" s="13"/>
      <c r="M415" s="19"/>
      <c r="N415" s="19"/>
      <c r="O415" s="38"/>
      <c r="P415" s="19"/>
      <c r="Q415" s="35"/>
      <c r="R415" s="35"/>
      <c r="S415" s="35"/>
      <c r="T415" s="1"/>
      <c r="U415" s="1"/>
      <c r="V415" s="1"/>
    </row>
    <row r="416" ht="15.75" customHeight="1">
      <c r="A416" s="13"/>
      <c r="B416" s="13" t="s">
        <v>637</v>
      </c>
      <c r="C416" s="169" t="s">
        <v>436</v>
      </c>
      <c r="D416" s="101" t="s">
        <v>32</v>
      </c>
      <c r="E416" s="219"/>
      <c r="F416" s="190">
        <v>1.0</v>
      </c>
      <c r="G416" s="191">
        <v>11000.0</v>
      </c>
      <c r="H416" s="192">
        <f t="shared" si="16"/>
        <v>11000</v>
      </c>
      <c r="I416" s="193"/>
      <c r="J416" s="18"/>
      <c r="K416" s="13"/>
      <c r="L416" s="13"/>
      <c r="M416" s="19"/>
      <c r="N416" s="13"/>
      <c r="O416" s="19"/>
      <c r="P416" s="13"/>
      <c r="Q416" s="35"/>
      <c r="R416" s="35"/>
      <c r="S416" s="35"/>
      <c r="T416" s="1"/>
      <c r="U416" s="1"/>
      <c r="V416" s="1"/>
    </row>
    <row r="417" ht="15.75" hidden="1" customHeight="1">
      <c r="A417" s="13"/>
      <c r="B417" s="13"/>
      <c r="C417" s="169" t="s">
        <v>307</v>
      </c>
      <c r="D417" s="101" t="s">
        <v>32</v>
      </c>
      <c r="E417" s="219"/>
      <c r="F417" s="190">
        <v>0.0</v>
      </c>
      <c r="G417" s="192">
        <v>0.0</v>
      </c>
      <c r="H417" s="192">
        <f t="shared" si="16"/>
        <v>0</v>
      </c>
      <c r="I417" s="193"/>
      <c r="J417" s="18"/>
      <c r="K417" s="13"/>
      <c r="L417" s="27"/>
      <c r="M417" s="27"/>
      <c r="N417" s="27"/>
      <c r="O417" s="27"/>
      <c r="P417" s="27"/>
      <c r="Q417" s="35"/>
      <c r="R417" s="35"/>
      <c r="S417" s="35"/>
      <c r="T417" s="1"/>
      <c r="U417" s="1"/>
      <c r="V417" s="1"/>
    </row>
    <row r="418" ht="15.75" customHeight="1">
      <c r="A418" s="13"/>
      <c r="B418" s="18" t="s">
        <v>264</v>
      </c>
      <c r="C418" s="169" t="s">
        <v>308</v>
      </c>
      <c r="D418" s="101" t="s">
        <v>32</v>
      </c>
      <c r="E418" s="15">
        <v>201303.0</v>
      </c>
      <c r="F418" s="190">
        <v>1.0</v>
      </c>
      <c r="G418" s="191">
        <v>604.8</v>
      </c>
      <c r="H418" s="192">
        <f t="shared" si="16"/>
        <v>604.8</v>
      </c>
      <c r="I418" s="193"/>
      <c r="J418" s="18"/>
      <c r="K418" s="13"/>
      <c r="L418" s="27"/>
      <c r="M418" s="241"/>
      <c r="N418" s="27"/>
      <c r="O418" s="27"/>
      <c r="P418" s="27"/>
      <c r="Q418" s="35"/>
      <c r="R418" s="35"/>
      <c r="S418" s="35"/>
      <c r="T418" s="1"/>
      <c r="U418" s="1"/>
      <c r="V418" s="1"/>
    </row>
    <row r="419" ht="15.75" hidden="1" customHeight="1">
      <c r="A419" s="13"/>
      <c r="B419" s="18" t="s">
        <v>18</v>
      </c>
      <c r="C419" s="169" t="s">
        <v>447</v>
      </c>
      <c r="D419" s="46" t="s">
        <v>20</v>
      </c>
      <c r="E419" s="207" t="s">
        <v>448</v>
      </c>
      <c r="F419" s="242">
        <v>0.0</v>
      </c>
      <c r="G419" s="243">
        <v>19.0</v>
      </c>
      <c r="H419" s="192">
        <f t="shared" si="16"/>
        <v>0</v>
      </c>
      <c r="I419" s="193"/>
      <c r="J419" s="18"/>
      <c r="K419" s="13"/>
      <c r="L419" s="27"/>
      <c r="M419" s="241"/>
      <c r="N419" s="27"/>
      <c r="O419" s="27"/>
      <c r="P419" s="27"/>
      <c r="Q419" s="35"/>
      <c r="R419" s="35"/>
      <c r="S419" s="35"/>
      <c r="T419" s="1"/>
      <c r="U419" s="1"/>
      <c r="V419" s="1"/>
    </row>
    <row r="420" ht="15.75" hidden="1" customHeight="1">
      <c r="A420" s="13"/>
      <c r="B420" s="18" t="s">
        <v>18</v>
      </c>
      <c r="C420" s="169" t="s">
        <v>447</v>
      </c>
      <c r="D420" s="46" t="s">
        <v>20</v>
      </c>
      <c r="E420" s="207" t="s">
        <v>449</v>
      </c>
      <c r="F420" s="242">
        <v>0.0</v>
      </c>
      <c r="G420" s="243">
        <v>15.0</v>
      </c>
      <c r="H420" s="192">
        <f t="shared" si="16"/>
        <v>0</v>
      </c>
      <c r="I420" s="193"/>
      <c r="J420" s="18"/>
      <c r="K420" s="13"/>
      <c r="L420" s="27"/>
      <c r="M420" s="241"/>
      <c r="N420" s="27"/>
      <c r="O420" s="27"/>
      <c r="P420" s="27"/>
      <c r="Q420" s="35"/>
      <c r="R420" s="35"/>
      <c r="S420" s="35"/>
      <c r="T420" s="1"/>
      <c r="U420" s="1"/>
      <c r="V420" s="1"/>
    </row>
    <row r="421" ht="15.75" hidden="1" customHeight="1">
      <c r="A421" s="13"/>
      <c r="B421" s="18" t="s">
        <v>18</v>
      </c>
      <c r="C421" s="169" t="s">
        <v>450</v>
      </c>
      <c r="D421" s="46" t="s">
        <v>20</v>
      </c>
      <c r="E421" s="52" t="s">
        <v>451</v>
      </c>
      <c r="F421" s="48">
        <v>0.0</v>
      </c>
      <c r="G421" s="50">
        <v>19.99</v>
      </c>
      <c r="H421" s="50">
        <f t="shared" si="16"/>
        <v>0</v>
      </c>
      <c r="I421" s="193"/>
      <c r="J421" s="18"/>
      <c r="K421" s="13"/>
      <c r="L421" s="27"/>
      <c r="M421" s="241"/>
      <c r="N421" s="27"/>
      <c r="O421" s="27"/>
      <c r="P421" s="27"/>
      <c r="Q421" s="35"/>
      <c r="R421" s="35"/>
      <c r="S421" s="35"/>
      <c r="T421" s="1"/>
      <c r="U421" s="1"/>
      <c r="V421" s="1"/>
    </row>
    <row r="422" ht="15.75" customHeight="1">
      <c r="A422" s="13"/>
      <c r="B422" s="13" t="s">
        <v>18</v>
      </c>
      <c r="C422" s="195" t="s">
        <v>390</v>
      </c>
      <c r="D422" s="66" t="s">
        <v>22</v>
      </c>
      <c r="E422" s="171" t="s">
        <v>391</v>
      </c>
      <c r="F422" s="40">
        <v>2.0</v>
      </c>
      <c r="G422" s="34">
        <v>42.0</v>
      </c>
      <c r="H422" s="17">
        <f t="shared" si="16"/>
        <v>84</v>
      </c>
      <c r="I422" s="18"/>
      <c r="J422" s="18"/>
      <c r="K422" s="13"/>
      <c r="L422" s="13"/>
      <c r="M422" s="13"/>
      <c r="N422" s="13"/>
      <c r="O422" s="13"/>
      <c r="P422" s="13"/>
      <c r="Q422" s="35"/>
      <c r="R422" s="35"/>
      <c r="S422" s="35"/>
      <c r="T422" s="1"/>
      <c r="U422" s="1"/>
      <c r="V422" s="1"/>
    </row>
    <row r="423" ht="15.75" customHeight="1">
      <c r="A423" s="13"/>
      <c r="B423" s="13" t="s">
        <v>18</v>
      </c>
      <c r="C423" s="195" t="s">
        <v>960</v>
      </c>
      <c r="D423" s="66" t="s">
        <v>22</v>
      </c>
      <c r="E423" s="171" t="s">
        <v>961</v>
      </c>
      <c r="F423" s="40">
        <v>2.0</v>
      </c>
      <c r="G423" s="34">
        <v>60.0</v>
      </c>
      <c r="H423" s="17">
        <f t="shared" si="16"/>
        <v>120</v>
      </c>
      <c r="I423" s="18"/>
      <c r="J423" s="18"/>
      <c r="K423" s="13"/>
      <c r="L423" s="13"/>
      <c r="M423" s="13"/>
      <c r="N423" s="13"/>
      <c r="O423" s="13"/>
      <c r="P423" s="13"/>
      <c r="Q423" s="35"/>
      <c r="R423" s="35"/>
      <c r="S423" s="35"/>
      <c r="T423" s="1"/>
      <c r="U423" s="1"/>
      <c r="V423" s="1"/>
    </row>
    <row r="424" ht="15.75" hidden="1" customHeight="1">
      <c r="A424" s="13"/>
      <c r="B424" s="13" t="s">
        <v>454</v>
      </c>
      <c r="C424" s="169" t="s">
        <v>321</v>
      </c>
      <c r="D424" s="66" t="s">
        <v>22</v>
      </c>
      <c r="E424" s="15"/>
      <c r="F424" s="16">
        <v>0.0</v>
      </c>
      <c r="G424" s="17">
        <v>10.0</v>
      </c>
      <c r="H424" s="17">
        <f t="shared" si="16"/>
        <v>0</v>
      </c>
      <c r="I424" s="18"/>
      <c r="J424" s="18"/>
      <c r="K424" s="13"/>
      <c r="L424" s="13"/>
      <c r="M424" s="19"/>
      <c r="N424" s="13"/>
      <c r="O424" s="13"/>
      <c r="P424" s="13"/>
      <c r="Q424" s="35"/>
      <c r="R424" s="35"/>
      <c r="S424" s="35"/>
      <c r="T424" s="1"/>
      <c r="U424" s="1"/>
      <c r="V424" s="1"/>
    </row>
    <row r="425" ht="15.75" customHeight="1">
      <c r="A425" s="13"/>
      <c r="B425" s="13" t="s">
        <v>18</v>
      </c>
      <c r="C425" s="169" t="s">
        <v>394</v>
      </c>
      <c r="D425" s="66" t="s">
        <v>22</v>
      </c>
      <c r="E425" s="171" t="s">
        <v>395</v>
      </c>
      <c r="F425" s="16">
        <v>4.0</v>
      </c>
      <c r="G425" s="34">
        <v>80.4</v>
      </c>
      <c r="H425" s="17">
        <f t="shared" si="16"/>
        <v>321.6</v>
      </c>
      <c r="I425" s="18"/>
      <c r="J425" s="18"/>
      <c r="K425" s="13"/>
      <c r="L425" s="13"/>
      <c r="M425" s="13"/>
      <c r="N425" s="13"/>
      <c r="O425" s="13"/>
      <c r="P425" s="13"/>
      <c r="Q425" s="35"/>
      <c r="R425" s="35"/>
      <c r="S425" s="35"/>
      <c r="T425" s="1"/>
      <c r="U425" s="1"/>
      <c r="V425" s="1"/>
    </row>
    <row r="426" ht="15.75" customHeight="1">
      <c r="A426" s="13"/>
      <c r="B426" s="13" t="s">
        <v>399</v>
      </c>
      <c r="C426" s="196" t="s">
        <v>364</v>
      </c>
      <c r="D426" s="150" t="s">
        <v>22</v>
      </c>
      <c r="E426" s="52" t="s">
        <v>365</v>
      </c>
      <c r="F426" s="48">
        <v>8.0</v>
      </c>
      <c r="G426" s="50">
        <v>6.0</v>
      </c>
      <c r="H426" s="50">
        <f t="shared" si="16"/>
        <v>48</v>
      </c>
      <c r="I426" s="50"/>
      <c r="J426" s="18"/>
      <c r="K426" s="13"/>
      <c r="L426" s="13"/>
      <c r="M426" s="13"/>
      <c r="N426" s="13"/>
      <c r="O426" s="13"/>
      <c r="P426" s="13"/>
      <c r="Q426" s="35"/>
      <c r="R426" s="35"/>
      <c r="S426" s="35"/>
      <c r="T426" s="1"/>
      <c r="U426" s="1"/>
      <c r="V426" s="1"/>
    </row>
    <row r="427" ht="15.75" customHeight="1">
      <c r="A427" s="13"/>
      <c r="B427" s="13" t="s">
        <v>18</v>
      </c>
      <c r="C427" s="169" t="s">
        <v>400</v>
      </c>
      <c r="D427" s="150" t="s">
        <v>22</v>
      </c>
      <c r="E427" s="245" t="s">
        <v>997</v>
      </c>
      <c r="F427" s="215">
        <v>2.0</v>
      </c>
      <c r="G427" s="50">
        <v>50.0</v>
      </c>
      <c r="H427" s="50">
        <f t="shared" si="16"/>
        <v>100</v>
      </c>
      <c r="I427" s="50"/>
      <c r="J427" s="18"/>
      <c r="K427" s="13"/>
      <c r="L427" s="13"/>
      <c r="M427" s="13"/>
      <c r="N427" s="13"/>
      <c r="O427" s="13"/>
      <c r="P427" s="13"/>
      <c r="Q427" s="35"/>
      <c r="R427" s="35"/>
      <c r="S427" s="35"/>
      <c r="T427" s="1"/>
      <c r="U427" s="1"/>
      <c r="V427" s="1"/>
    </row>
    <row r="428" ht="15.75" hidden="1" customHeight="1">
      <c r="A428" s="13"/>
      <c r="B428" s="13" t="s">
        <v>18</v>
      </c>
      <c r="C428" s="196" t="s">
        <v>258</v>
      </c>
      <c r="D428" s="150" t="s">
        <v>22</v>
      </c>
      <c r="E428" s="245" t="s">
        <v>457</v>
      </c>
      <c r="F428" s="215">
        <v>0.0</v>
      </c>
      <c r="G428" s="50">
        <v>0.0</v>
      </c>
      <c r="H428" s="50">
        <f t="shared" si="16"/>
        <v>0</v>
      </c>
      <c r="I428" s="50"/>
      <c r="J428" s="18"/>
      <c r="K428" s="13"/>
      <c r="L428" s="13"/>
      <c r="M428" s="13"/>
      <c r="N428" s="13"/>
      <c r="O428" s="13"/>
      <c r="P428" s="13"/>
      <c r="Q428" s="35"/>
      <c r="R428" s="35"/>
      <c r="S428" s="35"/>
      <c r="T428" s="1"/>
      <c r="U428" s="1"/>
      <c r="V428" s="1"/>
    </row>
    <row r="429" ht="15.75" customHeight="1">
      <c r="A429" s="13"/>
      <c r="B429" s="13" t="s">
        <v>18</v>
      </c>
      <c r="C429" s="196" t="s">
        <v>401</v>
      </c>
      <c r="D429" s="66" t="s">
        <v>22</v>
      </c>
      <c r="E429" s="207"/>
      <c r="F429" s="48">
        <v>2.0</v>
      </c>
      <c r="G429" s="50">
        <v>50.0</v>
      </c>
      <c r="H429" s="17">
        <f t="shared" si="16"/>
        <v>100</v>
      </c>
      <c r="I429" s="51"/>
      <c r="J429" s="18"/>
      <c r="K429" s="13"/>
      <c r="L429" s="13"/>
      <c r="M429" s="13"/>
      <c r="N429" s="13"/>
      <c r="O429" s="13"/>
      <c r="P429" s="13"/>
      <c r="Q429" s="35"/>
      <c r="R429" s="35"/>
      <c r="S429" s="35"/>
      <c r="T429" s="1"/>
      <c r="U429" s="1"/>
      <c r="V429" s="1"/>
    </row>
    <row r="430" ht="15.75" customHeight="1">
      <c r="A430" s="13"/>
      <c r="B430" s="13" t="s">
        <v>18</v>
      </c>
      <c r="C430" s="196" t="s">
        <v>502</v>
      </c>
      <c r="D430" s="66" t="s">
        <v>22</v>
      </c>
      <c r="E430" s="246" t="s">
        <v>404</v>
      </c>
      <c r="F430" s="48">
        <v>1.0</v>
      </c>
      <c r="G430" s="49">
        <v>20.0</v>
      </c>
      <c r="H430" s="17">
        <f t="shared" si="16"/>
        <v>20</v>
      </c>
      <c r="I430" s="51"/>
      <c r="J430" s="18"/>
      <c r="K430" s="13"/>
      <c r="L430" s="13"/>
      <c r="M430" s="13"/>
      <c r="N430" s="13"/>
      <c r="O430" s="13"/>
      <c r="P430" s="13"/>
      <c r="Q430" s="35"/>
      <c r="R430" s="35"/>
      <c r="S430" s="35"/>
      <c r="T430" s="1"/>
      <c r="U430" s="1"/>
      <c r="V430" s="1"/>
    </row>
    <row r="431" ht="15.75" hidden="1" customHeight="1">
      <c r="A431" s="13"/>
      <c r="B431" s="13" t="s">
        <v>18</v>
      </c>
      <c r="C431" s="196" t="s">
        <v>459</v>
      </c>
      <c r="D431" s="66" t="s">
        <v>22</v>
      </c>
      <c r="E431" s="246" t="s">
        <v>460</v>
      </c>
      <c r="F431" s="215">
        <v>0.0</v>
      </c>
      <c r="G431" s="50">
        <v>0.0</v>
      </c>
      <c r="H431" s="17">
        <f t="shared" si="16"/>
        <v>0</v>
      </c>
      <c r="I431" s="51"/>
      <c r="J431" s="18"/>
      <c r="K431" s="13"/>
      <c r="L431" s="13"/>
      <c r="M431" s="13"/>
      <c r="N431" s="13"/>
      <c r="O431" s="13"/>
      <c r="P431" s="13"/>
      <c r="Q431" s="35"/>
      <c r="R431" s="35"/>
      <c r="S431" s="35"/>
      <c r="T431" s="1"/>
      <c r="U431" s="1"/>
      <c r="V431" s="1"/>
    </row>
    <row r="432" ht="15.75" customHeight="1">
      <c r="A432" s="13"/>
      <c r="B432" s="13"/>
      <c r="C432" s="169" t="s">
        <v>405</v>
      </c>
      <c r="D432" s="150" t="s">
        <v>22</v>
      </c>
      <c r="E432" s="52"/>
      <c r="F432" s="48">
        <v>5.0</v>
      </c>
      <c r="G432" s="50">
        <v>25.0</v>
      </c>
      <c r="H432" s="50">
        <f t="shared" si="16"/>
        <v>125</v>
      </c>
      <c r="I432" s="50"/>
      <c r="J432" s="18"/>
      <c r="K432" s="13"/>
      <c r="L432" s="13"/>
      <c r="M432" s="13"/>
      <c r="N432" s="13"/>
      <c r="O432" s="13"/>
      <c r="P432" s="13"/>
      <c r="Q432" s="35"/>
      <c r="R432" s="35"/>
      <c r="S432" s="35"/>
      <c r="T432" s="1"/>
      <c r="U432" s="1"/>
      <c r="V432" s="1"/>
    </row>
    <row r="433" ht="15.75" hidden="1" customHeight="1">
      <c r="A433" s="13"/>
      <c r="B433" s="13" t="s">
        <v>18</v>
      </c>
      <c r="C433" s="244" t="s">
        <v>461</v>
      </c>
      <c r="D433" s="150" t="s">
        <v>22</v>
      </c>
      <c r="E433" s="201" t="s">
        <v>462</v>
      </c>
      <c r="F433" s="158">
        <v>0.0</v>
      </c>
      <c r="G433" s="57">
        <v>0.0</v>
      </c>
      <c r="H433" s="50">
        <f t="shared" si="16"/>
        <v>0</v>
      </c>
      <c r="I433" s="57"/>
      <c r="J433" s="18"/>
      <c r="K433" s="13"/>
      <c r="L433" s="13"/>
      <c r="M433" s="13"/>
      <c r="N433" s="13"/>
      <c r="O433" s="13"/>
      <c r="P433" s="13"/>
      <c r="Q433" s="35"/>
      <c r="R433" s="35"/>
      <c r="S433" s="35"/>
      <c r="T433" s="1"/>
      <c r="U433" s="1"/>
      <c r="V433" s="1"/>
    </row>
    <row r="434" ht="15.75" hidden="1" customHeight="1">
      <c r="A434" s="13"/>
      <c r="B434" s="13" t="s">
        <v>463</v>
      </c>
      <c r="C434" s="244" t="s">
        <v>405</v>
      </c>
      <c r="D434" s="150" t="s">
        <v>22</v>
      </c>
      <c r="E434" s="201" t="s">
        <v>464</v>
      </c>
      <c r="F434" s="158">
        <v>0.0</v>
      </c>
      <c r="G434" s="57">
        <v>0.0</v>
      </c>
      <c r="H434" s="50">
        <f t="shared" si="16"/>
        <v>0</v>
      </c>
      <c r="I434" s="57"/>
      <c r="J434" s="18"/>
      <c r="K434" s="13"/>
      <c r="L434" s="13"/>
      <c r="M434" s="13"/>
      <c r="N434" s="13"/>
      <c r="O434" s="13"/>
      <c r="P434" s="13"/>
      <c r="Q434" s="35"/>
      <c r="R434" s="35"/>
      <c r="S434" s="35"/>
      <c r="T434" s="1"/>
      <c r="U434" s="1"/>
      <c r="V434" s="1"/>
    </row>
    <row r="435" ht="15.75" hidden="1" customHeight="1">
      <c r="A435" s="13"/>
      <c r="B435" s="13" t="s">
        <v>463</v>
      </c>
      <c r="C435" s="244" t="s">
        <v>465</v>
      </c>
      <c r="D435" s="150" t="s">
        <v>22</v>
      </c>
      <c r="E435" s="201" t="s">
        <v>466</v>
      </c>
      <c r="F435" s="158">
        <v>0.0</v>
      </c>
      <c r="G435" s="57">
        <v>0.0</v>
      </c>
      <c r="H435" s="50">
        <f t="shared" si="16"/>
        <v>0</v>
      </c>
      <c r="I435" s="57"/>
      <c r="J435" s="18"/>
      <c r="K435" s="13"/>
      <c r="L435" s="13"/>
      <c r="M435" s="13"/>
      <c r="N435" s="13"/>
      <c r="O435" s="13"/>
      <c r="P435" s="13"/>
      <c r="Q435" s="35"/>
      <c r="R435" s="35"/>
      <c r="S435" s="35"/>
      <c r="T435" s="1"/>
      <c r="U435" s="1"/>
      <c r="V435" s="1"/>
    </row>
    <row r="436" ht="15.75" hidden="1" customHeight="1">
      <c r="A436" s="13"/>
      <c r="B436" s="13" t="s">
        <v>18</v>
      </c>
      <c r="C436" s="244" t="s">
        <v>442</v>
      </c>
      <c r="D436" s="198" t="s">
        <v>22</v>
      </c>
      <c r="E436" s="201" t="s">
        <v>467</v>
      </c>
      <c r="F436" s="158">
        <v>0.0</v>
      </c>
      <c r="G436" s="57">
        <v>30.0</v>
      </c>
      <c r="H436" s="57">
        <f t="shared" si="16"/>
        <v>0</v>
      </c>
      <c r="I436" s="57"/>
      <c r="J436" s="18"/>
      <c r="K436" s="13"/>
      <c r="L436" s="13"/>
      <c r="M436" s="13"/>
      <c r="N436" s="13"/>
      <c r="O436" s="13"/>
      <c r="P436" s="13"/>
      <c r="Q436" s="35"/>
      <c r="R436" s="35"/>
      <c r="S436" s="35"/>
      <c r="T436" s="1"/>
      <c r="U436" s="1"/>
      <c r="V436" s="1"/>
    </row>
    <row r="437" ht="15.75" customHeight="1">
      <c r="A437" s="13"/>
      <c r="B437" s="13" t="s">
        <v>239</v>
      </c>
      <c r="C437" s="195" t="s">
        <v>406</v>
      </c>
      <c r="D437" s="14" t="s">
        <v>20</v>
      </c>
      <c r="E437" s="15"/>
      <c r="F437" s="16">
        <v>1.0</v>
      </c>
      <c r="G437" s="34">
        <v>575.0</v>
      </c>
      <c r="H437" s="17">
        <f t="shared" si="16"/>
        <v>575</v>
      </c>
      <c r="I437" s="18"/>
      <c r="J437" s="18"/>
      <c r="K437" s="13"/>
      <c r="L437" s="13"/>
      <c r="M437" s="13"/>
      <c r="N437" s="13"/>
      <c r="O437" s="13"/>
      <c r="P437" s="13"/>
      <c r="Q437" s="35"/>
      <c r="R437" s="35"/>
      <c r="S437" s="35"/>
      <c r="T437" s="1"/>
      <c r="U437" s="1"/>
      <c r="V437" s="1"/>
    </row>
    <row r="438" ht="15.75" hidden="1" customHeight="1">
      <c r="A438" s="13"/>
      <c r="B438" s="13"/>
      <c r="C438" s="169" t="s">
        <v>323</v>
      </c>
      <c r="D438" s="70" t="s">
        <v>24</v>
      </c>
      <c r="E438" s="15"/>
      <c r="F438" s="16">
        <v>0.0</v>
      </c>
      <c r="G438" s="17">
        <v>80.0</v>
      </c>
      <c r="H438" s="17">
        <f t="shared" si="16"/>
        <v>0</v>
      </c>
      <c r="I438" s="18"/>
      <c r="J438" s="18"/>
      <c r="K438" s="13"/>
      <c r="L438" s="13"/>
      <c r="M438" s="13"/>
      <c r="N438" s="13"/>
      <c r="O438" s="13"/>
      <c r="P438" s="13"/>
      <c r="Q438" s="35"/>
      <c r="R438" s="35"/>
      <c r="S438" s="35"/>
      <c r="T438" s="1"/>
      <c r="U438" s="1"/>
      <c r="V438" s="1"/>
    </row>
    <row r="439" ht="15.75" hidden="1" customHeight="1">
      <c r="A439" s="13"/>
      <c r="B439" s="13"/>
      <c r="C439" s="169" t="s">
        <v>324</v>
      </c>
      <c r="D439" s="14" t="s">
        <v>20</v>
      </c>
      <c r="E439" s="15"/>
      <c r="F439" s="16">
        <v>0.0</v>
      </c>
      <c r="G439" s="17">
        <v>35.0</v>
      </c>
      <c r="H439" s="17">
        <f t="shared" si="16"/>
        <v>0</v>
      </c>
      <c r="I439" s="18"/>
      <c r="J439" s="18"/>
      <c r="K439" s="13"/>
      <c r="L439" s="13"/>
      <c r="M439" s="19"/>
      <c r="N439" s="13"/>
      <c r="O439" s="19"/>
      <c r="P439" s="19"/>
      <c r="Q439" s="35"/>
      <c r="R439" s="35"/>
      <c r="S439" s="35"/>
      <c r="T439" s="1"/>
      <c r="U439" s="1"/>
      <c r="V439" s="1"/>
    </row>
    <row r="440" ht="15.75" hidden="1" customHeight="1">
      <c r="A440" s="13"/>
      <c r="B440" s="13"/>
      <c r="C440" s="169" t="s">
        <v>469</v>
      </c>
      <c r="D440" s="70" t="s">
        <v>24</v>
      </c>
      <c r="E440" s="15"/>
      <c r="F440" s="16">
        <v>0.0</v>
      </c>
      <c r="G440" s="17">
        <v>290.0</v>
      </c>
      <c r="H440" s="17">
        <f t="shared" si="16"/>
        <v>0</v>
      </c>
      <c r="I440" s="18"/>
      <c r="J440" s="18"/>
      <c r="K440" s="13"/>
      <c r="L440" s="63"/>
      <c r="M440" s="63"/>
      <c r="N440" s="63"/>
      <c r="O440" s="63"/>
      <c r="P440" s="63"/>
      <c r="Q440" s="35"/>
      <c r="R440" s="35"/>
      <c r="S440" s="35"/>
      <c r="T440" s="1"/>
      <c r="U440" s="1"/>
      <c r="V440" s="1"/>
    </row>
    <row r="441" ht="15.75" hidden="1" customHeight="1">
      <c r="A441" s="13"/>
      <c r="B441" s="13"/>
      <c r="C441" s="169" t="s">
        <v>470</v>
      </c>
      <c r="D441" s="14" t="s">
        <v>20</v>
      </c>
      <c r="E441" s="15"/>
      <c r="F441" s="16">
        <v>0.0</v>
      </c>
      <c r="G441" s="17">
        <v>150.0</v>
      </c>
      <c r="H441" s="17">
        <f t="shared" si="16"/>
        <v>0</v>
      </c>
      <c r="I441" s="18"/>
      <c r="J441" s="18"/>
      <c r="K441" s="13"/>
      <c r="L441" s="13"/>
      <c r="M441" s="19"/>
      <c r="N441" s="13"/>
      <c r="O441" s="19"/>
      <c r="P441" s="19"/>
      <c r="Q441" s="35"/>
      <c r="R441" s="35"/>
      <c r="S441" s="35"/>
      <c r="T441" s="1"/>
      <c r="U441" s="1"/>
      <c r="V441" s="1"/>
    </row>
    <row r="442" ht="15.75" hidden="1" customHeight="1">
      <c r="A442" s="13"/>
      <c r="B442" s="13"/>
      <c r="C442" s="169" t="s">
        <v>471</v>
      </c>
      <c r="D442" s="70" t="s">
        <v>24</v>
      </c>
      <c r="E442" s="15"/>
      <c r="F442" s="16">
        <v>0.0</v>
      </c>
      <c r="G442" s="17">
        <v>250.0</v>
      </c>
      <c r="H442" s="17">
        <f t="shared" si="16"/>
        <v>0</v>
      </c>
      <c r="I442" s="18"/>
      <c r="J442" s="18"/>
      <c r="K442" s="13"/>
      <c r="L442" s="13"/>
      <c r="M442" s="19"/>
      <c r="N442" s="13"/>
      <c r="O442" s="19"/>
      <c r="P442" s="19"/>
      <c r="Q442" s="35"/>
      <c r="R442" s="35"/>
      <c r="S442" s="35"/>
      <c r="T442" s="1"/>
      <c r="U442" s="1"/>
      <c r="V442" s="1"/>
    </row>
    <row r="443" ht="15.75" hidden="1" customHeight="1">
      <c r="A443" s="13"/>
      <c r="B443" s="13"/>
      <c r="C443" s="247" t="s">
        <v>472</v>
      </c>
      <c r="D443" s="14" t="s">
        <v>20</v>
      </c>
      <c r="E443" s="15"/>
      <c r="F443" s="16">
        <v>0.0</v>
      </c>
      <c r="G443" s="17">
        <v>150.0</v>
      </c>
      <c r="H443" s="17">
        <f t="shared" si="16"/>
        <v>0</v>
      </c>
      <c r="I443" s="18"/>
      <c r="J443" s="18"/>
      <c r="K443" s="13"/>
      <c r="L443" s="13"/>
      <c r="M443" s="19"/>
      <c r="N443" s="13"/>
      <c r="O443" s="19"/>
      <c r="P443" s="19"/>
      <c r="Q443" s="35"/>
      <c r="R443" s="35"/>
      <c r="S443" s="35"/>
      <c r="T443" s="1"/>
      <c r="U443" s="1"/>
      <c r="V443" s="1"/>
    </row>
    <row r="444" ht="15.75" hidden="1" customHeight="1">
      <c r="A444" s="13"/>
      <c r="B444" s="13" t="s">
        <v>18</v>
      </c>
      <c r="C444" s="196" t="s">
        <v>309</v>
      </c>
      <c r="D444" s="46" t="s">
        <v>20</v>
      </c>
      <c r="E444" s="207" t="s">
        <v>473</v>
      </c>
      <c r="F444" s="48">
        <v>0.0</v>
      </c>
      <c r="G444" s="50">
        <v>20.0</v>
      </c>
      <c r="H444" s="50">
        <f t="shared" si="16"/>
        <v>0</v>
      </c>
      <c r="I444" s="18"/>
      <c r="J444" s="18"/>
      <c r="K444" s="13"/>
      <c r="L444" s="13"/>
      <c r="M444" s="19"/>
      <c r="N444" s="13"/>
      <c r="O444" s="19"/>
      <c r="P444" s="19"/>
      <c r="Q444" s="35"/>
      <c r="R444" s="35"/>
      <c r="S444" s="35"/>
      <c r="T444" s="1"/>
      <c r="U444" s="1"/>
      <c r="V444" s="1"/>
    </row>
    <row r="445" ht="15.75" hidden="1" customHeight="1">
      <c r="A445" s="13"/>
      <c r="B445" s="206" t="s">
        <v>18</v>
      </c>
      <c r="C445" s="197" t="s">
        <v>474</v>
      </c>
      <c r="D445" s="55" t="s">
        <v>20</v>
      </c>
      <c r="E445" s="208" t="s">
        <v>475</v>
      </c>
      <c r="F445" s="56">
        <v>0.0</v>
      </c>
      <c r="G445" s="57">
        <v>24.0</v>
      </c>
      <c r="H445" s="57">
        <f t="shared" si="16"/>
        <v>0</v>
      </c>
      <c r="I445" s="18"/>
      <c r="J445" s="18"/>
      <c r="K445" s="13"/>
      <c r="L445" s="13"/>
      <c r="M445" s="19"/>
      <c r="N445" s="13"/>
      <c r="O445" s="19"/>
      <c r="P445" s="19"/>
      <c r="Q445" s="35"/>
      <c r="R445" s="35"/>
      <c r="S445" s="35"/>
      <c r="T445" s="1"/>
      <c r="U445" s="1"/>
      <c r="V445" s="1"/>
    </row>
    <row r="446" ht="15.75" hidden="1" customHeight="1">
      <c r="A446" s="13"/>
      <c r="B446" s="13"/>
      <c r="C446" s="169" t="s">
        <v>258</v>
      </c>
      <c r="D446" s="66" t="s">
        <v>22</v>
      </c>
      <c r="E446" s="15"/>
      <c r="F446" s="16">
        <v>0.0</v>
      </c>
      <c r="G446" s="17">
        <v>150.0</v>
      </c>
      <c r="H446" s="17">
        <f t="shared" si="16"/>
        <v>0</v>
      </c>
      <c r="I446" s="18"/>
      <c r="J446" s="17"/>
      <c r="K446" s="13"/>
      <c r="L446" s="13"/>
      <c r="M446" s="13"/>
      <c r="N446" s="13"/>
      <c r="O446" s="19"/>
      <c r="P446" s="19"/>
      <c r="Q446" s="35"/>
      <c r="R446" s="35"/>
      <c r="S446" s="35"/>
      <c r="T446" s="1"/>
      <c r="U446" s="1"/>
      <c r="V446" s="1"/>
    </row>
    <row r="447" ht="15.75" hidden="1" customHeight="1">
      <c r="A447" s="13"/>
      <c r="B447" s="13" t="s">
        <v>18</v>
      </c>
      <c r="C447" s="169" t="s">
        <v>476</v>
      </c>
      <c r="D447" s="66" t="s">
        <v>22</v>
      </c>
      <c r="E447" s="15" t="s">
        <v>477</v>
      </c>
      <c r="F447" s="16">
        <v>0.0</v>
      </c>
      <c r="G447" s="17">
        <v>15.0</v>
      </c>
      <c r="H447" s="17">
        <f t="shared" si="16"/>
        <v>0</v>
      </c>
      <c r="I447" s="18"/>
      <c r="J447" s="18"/>
      <c r="K447" s="13"/>
      <c r="L447" s="13"/>
      <c r="M447" s="13"/>
      <c r="N447" s="13"/>
      <c r="O447" s="13"/>
      <c r="P447" s="13"/>
      <c r="Q447" s="35"/>
      <c r="R447" s="35"/>
      <c r="S447" s="35"/>
      <c r="T447" s="1"/>
      <c r="U447" s="1"/>
      <c r="V447" s="1"/>
    </row>
    <row r="448" ht="15.75" hidden="1" customHeight="1">
      <c r="A448" s="13"/>
      <c r="B448" s="13"/>
      <c r="C448" s="169" t="s">
        <v>478</v>
      </c>
      <c r="D448" s="14" t="s">
        <v>20</v>
      </c>
      <c r="E448" s="15"/>
      <c r="F448" s="16">
        <v>0.0</v>
      </c>
      <c r="G448" s="17">
        <v>500.0</v>
      </c>
      <c r="H448" s="17">
        <f t="shared" si="16"/>
        <v>0</v>
      </c>
      <c r="I448" s="18"/>
      <c r="J448" s="18"/>
      <c r="K448" s="13"/>
      <c r="L448" s="13"/>
      <c r="M448" s="13"/>
      <c r="N448" s="13"/>
      <c r="O448" s="13"/>
      <c r="P448" s="13"/>
      <c r="Q448" s="35"/>
      <c r="R448" s="35"/>
      <c r="S448" s="35"/>
      <c r="T448" s="1"/>
      <c r="U448" s="1"/>
      <c r="V448" s="1"/>
    </row>
    <row r="449" ht="15.75" hidden="1" customHeight="1">
      <c r="A449" s="13"/>
      <c r="B449" s="13"/>
      <c r="C449" s="13" t="s">
        <v>479</v>
      </c>
      <c r="D449" s="70" t="s">
        <v>24</v>
      </c>
      <c r="E449" s="15"/>
      <c r="F449" s="16">
        <v>0.0</v>
      </c>
      <c r="G449" s="17">
        <v>210.0</v>
      </c>
      <c r="H449" s="17">
        <f t="shared" si="16"/>
        <v>0</v>
      </c>
      <c r="I449" s="18"/>
      <c r="J449" s="18"/>
      <c r="K449" s="13"/>
      <c r="L449" s="63"/>
      <c r="M449" s="63"/>
      <c r="N449" s="63"/>
      <c r="O449" s="63"/>
      <c r="P449" s="63"/>
      <c r="Q449" s="35"/>
      <c r="R449" s="35"/>
      <c r="S449" s="35"/>
      <c r="T449" s="1"/>
      <c r="U449" s="1"/>
      <c r="V449" s="1"/>
    </row>
    <row r="450" ht="15.75" hidden="1" customHeight="1">
      <c r="A450" s="13"/>
      <c r="B450" s="13"/>
      <c r="C450" s="169" t="s">
        <v>480</v>
      </c>
      <c r="D450" s="14" t="s">
        <v>20</v>
      </c>
      <c r="E450" s="15"/>
      <c r="F450" s="16">
        <v>0.0</v>
      </c>
      <c r="G450" s="17">
        <v>155.0</v>
      </c>
      <c r="H450" s="17">
        <f t="shared" si="16"/>
        <v>0</v>
      </c>
      <c r="I450" s="18"/>
      <c r="J450" s="18"/>
      <c r="K450" s="13"/>
      <c r="L450" s="13"/>
      <c r="M450" s="13"/>
      <c r="N450" s="13"/>
      <c r="O450" s="13"/>
      <c r="P450" s="13"/>
      <c r="Q450" s="35"/>
      <c r="R450" s="35"/>
      <c r="S450" s="35"/>
      <c r="T450" s="1"/>
      <c r="U450" s="1"/>
      <c r="V450" s="1"/>
    </row>
    <row r="451" ht="15.75" hidden="1" customHeight="1">
      <c r="A451" s="13"/>
      <c r="B451" s="13"/>
      <c r="C451" s="169" t="s">
        <v>481</v>
      </c>
      <c r="D451" s="70" t="s">
        <v>24</v>
      </c>
      <c r="E451" s="15"/>
      <c r="F451" s="16">
        <v>0.0</v>
      </c>
      <c r="G451" s="17">
        <v>70.0</v>
      </c>
      <c r="H451" s="17">
        <f t="shared" si="16"/>
        <v>0</v>
      </c>
      <c r="I451" s="18"/>
      <c r="J451" s="18"/>
      <c r="K451" s="13"/>
      <c r="L451" s="13"/>
      <c r="M451" s="19"/>
      <c r="N451" s="13"/>
      <c r="O451" s="19"/>
      <c r="P451" s="19"/>
      <c r="Q451" s="35"/>
      <c r="R451" s="35"/>
      <c r="S451" s="35"/>
      <c r="T451" s="1"/>
      <c r="U451" s="1"/>
      <c r="V451" s="1"/>
    </row>
    <row r="452" ht="15.75" hidden="1" customHeight="1">
      <c r="A452" s="13"/>
      <c r="B452" s="13"/>
      <c r="C452" s="169" t="s">
        <v>482</v>
      </c>
      <c r="D452" s="14" t="s">
        <v>20</v>
      </c>
      <c r="E452" s="15"/>
      <c r="F452" s="16">
        <v>0.0</v>
      </c>
      <c r="G452" s="17">
        <v>400.0</v>
      </c>
      <c r="H452" s="17">
        <f t="shared" si="16"/>
        <v>0</v>
      </c>
      <c r="I452" s="18"/>
      <c r="J452" s="17"/>
      <c r="K452" s="13"/>
      <c r="L452" s="13"/>
      <c r="M452" s="19"/>
      <c r="N452" s="13"/>
      <c r="O452" s="19"/>
      <c r="P452" s="19"/>
      <c r="Q452" s="35"/>
      <c r="R452" s="35"/>
      <c r="S452" s="35"/>
      <c r="T452" s="1"/>
      <c r="U452" s="1"/>
      <c r="V452" s="1"/>
    </row>
    <row r="453" ht="15.75" hidden="1" customHeight="1">
      <c r="A453" s="13"/>
      <c r="B453" s="13"/>
      <c r="C453" s="169" t="s">
        <v>483</v>
      </c>
      <c r="D453" s="14" t="s">
        <v>20</v>
      </c>
      <c r="E453" s="15"/>
      <c r="F453" s="16">
        <v>0.0</v>
      </c>
      <c r="G453" s="17">
        <v>440.0</v>
      </c>
      <c r="H453" s="17">
        <f t="shared" si="16"/>
        <v>0</v>
      </c>
      <c r="I453" s="18"/>
      <c r="J453" s="17"/>
      <c r="K453" s="13"/>
      <c r="L453" s="13"/>
      <c r="M453" s="19"/>
      <c r="N453" s="13"/>
      <c r="O453" s="19"/>
      <c r="P453" s="19"/>
      <c r="Q453" s="35"/>
      <c r="R453" s="35"/>
      <c r="S453" s="35"/>
      <c r="T453" s="1"/>
      <c r="U453" s="1"/>
      <c r="V453" s="1"/>
    </row>
    <row r="454" ht="15.75" hidden="1" customHeight="1">
      <c r="A454" s="13"/>
      <c r="B454" s="13"/>
      <c r="C454" s="169" t="s">
        <v>484</v>
      </c>
      <c r="D454" s="70" t="s">
        <v>24</v>
      </c>
      <c r="E454" s="15"/>
      <c r="F454" s="16">
        <v>0.0</v>
      </c>
      <c r="G454" s="17">
        <v>90.0</v>
      </c>
      <c r="H454" s="17">
        <f t="shared" si="16"/>
        <v>0</v>
      </c>
      <c r="I454" s="18"/>
      <c r="J454" s="17"/>
      <c r="K454" s="13"/>
      <c r="L454" s="63"/>
      <c r="M454" s="79"/>
      <c r="N454" s="63"/>
      <c r="O454" s="79"/>
      <c r="P454" s="79"/>
      <c r="Q454" s="35"/>
      <c r="R454" s="35"/>
      <c r="S454" s="35"/>
      <c r="T454" s="1"/>
      <c r="U454" s="1"/>
      <c r="V454" s="1"/>
    </row>
    <row r="455" ht="15.75" hidden="1" customHeight="1">
      <c r="A455" s="13"/>
      <c r="B455" s="13"/>
      <c r="C455" s="169" t="s">
        <v>485</v>
      </c>
      <c r="D455" s="14" t="s">
        <v>20</v>
      </c>
      <c r="E455" s="15"/>
      <c r="F455" s="16">
        <v>0.0</v>
      </c>
      <c r="G455" s="17">
        <v>100.0</v>
      </c>
      <c r="H455" s="17">
        <f t="shared" si="16"/>
        <v>0</v>
      </c>
      <c r="I455" s="18"/>
      <c r="J455" s="17"/>
      <c r="K455" s="13"/>
      <c r="L455" s="63"/>
      <c r="M455" s="79"/>
      <c r="N455" s="63"/>
      <c r="O455" s="79"/>
      <c r="P455" s="79"/>
      <c r="Q455" s="35"/>
      <c r="R455" s="35"/>
      <c r="S455" s="35"/>
      <c r="T455" s="1"/>
      <c r="U455" s="1"/>
      <c r="V455" s="1"/>
    </row>
    <row r="456" ht="15.75" hidden="1" customHeight="1">
      <c r="A456" s="13"/>
      <c r="B456" s="13"/>
      <c r="C456" s="13" t="s">
        <v>486</v>
      </c>
      <c r="D456" s="46" t="s">
        <v>20</v>
      </c>
      <c r="E456" s="52"/>
      <c r="F456" s="48">
        <v>0.0</v>
      </c>
      <c r="G456" s="50">
        <v>30.0</v>
      </c>
      <c r="H456" s="50">
        <f t="shared" si="16"/>
        <v>0</v>
      </c>
      <c r="I456" s="50"/>
      <c r="J456" s="17"/>
      <c r="K456" s="13"/>
      <c r="L456" s="63"/>
      <c r="M456" s="79"/>
      <c r="N456" s="63"/>
      <c r="O456" s="79"/>
      <c r="P456" s="79"/>
      <c r="Q456" s="35"/>
      <c r="R456" s="35"/>
      <c r="S456" s="35"/>
      <c r="T456" s="1"/>
      <c r="U456" s="1"/>
      <c r="V456" s="1"/>
    </row>
    <row r="457" ht="15.75" hidden="1" customHeight="1">
      <c r="A457" s="13"/>
      <c r="B457" s="13"/>
      <c r="C457" s="13" t="s">
        <v>487</v>
      </c>
      <c r="D457" s="46" t="s">
        <v>20</v>
      </c>
      <c r="E457" s="52"/>
      <c r="F457" s="48">
        <v>0.0</v>
      </c>
      <c r="G457" s="50">
        <v>30.0</v>
      </c>
      <c r="H457" s="50">
        <f t="shared" si="16"/>
        <v>0</v>
      </c>
      <c r="I457" s="50"/>
      <c r="J457" s="17"/>
      <c r="K457" s="13"/>
      <c r="L457" s="63"/>
      <c r="M457" s="79"/>
      <c r="N457" s="63"/>
      <c r="O457" s="79"/>
      <c r="P457" s="79"/>
      <c r="Q457" s="35"/>
      <c r="R457" s="35"/>
      <c r="S457" s="35"/>
      <c r="T457" s="1"/>
      <c r="U457" s="1"/>
      <c r="V457" s="1"/>
    </row>
    <row r="458" ht="15.75" hidden="1" customHeight="1">
      <c r="A458" s="13"/>
      <c r="B458" s="13"/>
      <c r="C458" s="13" t="s">
        <v>488</v>
      </c>
      <c r="D458" s="14" t="s">
        <v>20</v>
      </c>
      <c r="E458" s="15"/>
      <c r="F458" s="16">
        <v>0.0</v>
      </c>
      <c r="G458" s="17">
        <v>850.0</v>
      </c>
      <c r="H458" s="17">
        <f t="shared" si="16"/>
        <v>0</v>
      </c>
      <c r="I458" s="18"/>
      <c r="J458" s="17"/>
      <c r="K458" s="13"/>
      <c r="L458" s="63"/>
      <c r="M458" s="79"/>
      <c r="N458" s="63"/>
      <c r="O458" s="79"/>
      <c r="P458" s="79"/>
      <c r="Q458" s="35"/>
      <c r="R458" s="35"/>
      <c r="S458" s="35"/>
      <c r="T458" s="1"/>
      <c r="U458" s="1"/>
      <c r="V458" s="1"/>
    </row>
    <row r="459" ht="15.75" hidden="1" customHeight="1">
      <c r="A459" s="13"/>
      <c r="B459" s="13"/>
      <c r="C459" s="13" t="s">
        <v>489</v>
      </c>
      <c r="D459" s="70" t="s">
        <v>24</v>
      </c>
      <c r="E459" s="15"/>
      <c r="F459" s="16">
        <v>0.0</v>
      </c>
      <c r="G459" s="17">
        <v>460.0</v>
      </c>
      <c r="H459" s="17">
        <f t="shared" si="16"/>
        <v>0</v>
      </c>
      <c r="I459" s="18"/>
      <c r="J459" s="17"/>
      <c r="K459" s="13"/>
      <c r="L459" s="63"/>
      <c r="M459" s="79"/>
      <c r="N459" s="63"/>
      <c r="O459" s="79"/>
      <c r="P459" s="79"/>
      <c r="Q459" s="35"/>
      <c r="R459" s="35"/>
      <c r="S459" s="35"/>
      <c r="T459" s="1"/>
      <c r="U459" s="1"/>
      <c r="V459" s="1"/>
    </row>
    <row r="460" ht="15.75" hidden="1" customHeight="1">
      <c r="A460" s="13"/>
      <c r="B460" s="13"/>
      <c r="C460" s="169" t="s">
        <v>490</v>
      </c>
      <c r="D460" s="66" t="s">
        <v>22</v>
      </c>
      <c r="E460" s="15"/>
      <c r="F460" s="16">
        <v>0.0</v>
      </c>
      <c r="G460" s="17">
        <v>0.0</v>
      </c>
      <c r="H460" s="17">
        <f t="shared" si="16"/>
        <v>0</v>
      </c>
      <c r="I460" s="18"/>
      <c r="J460" s="17"/>
      <c r="K460" s="13"/>
      <c r="L460" s="13"/>
      <c r="M460" s="19"/>
      <c r="N460" s="13"/>
      <c r="O460" s="19"/>
      <c r="P460" s="19"/>
      <c r="Q460" s="35"/>
      <c r="R460" s="35"/>
      <c r="S460" s="35"/>
      <c r="T460" s="1"/>
      <c r="U460" s="1"/>
      <c r="V460" s="1"/>
    </row>
    <row r="461" ht="15.75" hidden="1" customHeight="1">
      <c r="A461" s="13"/>
      <c r="B461" s="13" t="s">
        <v>18</v>
      </c>
      <c r="C461" s="169" t="s">
        <v>491</v>
      </c>
      <c r="D461" s="66" t="s">
        <v>22</v>
      </c>
      <c r="E461" s="15" t="s">
        <v>492</v>
      </c>
      <c r="F461" s="16">
        <v>0.0</v>
      </c>
      <c r="G461" s="248">
        <v>105.0</v>
      </c>
      <c r="H461" s="17">
        <f t="shared" si="16"/>
        <v>0</v>
      </c>
      <c r="I461" s="18"/>
      <c r="J461" s="18"/>
      <c r="K461" s="13"/>
      <c r="L461" s="13"/>
      <c r="M461" s="19"/>
      <c r="N461" s="13"/>
      <c r="O461" s="19"/>
      <c r="P461" s="19"/>
      <c r="Q461" s="35"/>
      <c r="R461" s="35"/>
      <c r="S461" s="35"/>
      <c r="T461" s="1"/>
      <c r="U461" s="1"/>
      <c r="V461" s="1"/>
    </row>
    <row r="462" ht="15.75" hidden="1" customHeight="1">
      <c r="A462" s="13"/>
      <c r="B462" s="43" t="s">
        <v>350</v>
      </c>
      <c r="C462" s="169" t="s">
        <v>493</v>
      </c>
      <c r="D462" s="66" t="s">
        <v>22</v>
      </c>
      <c r="E462" s="154" t="s">
        <v>494</v>
      </c>
      <c r="F462" s="16">
        <v>0.0</v>
      </c>
      <c r="G462" s="227">
        <v>86.0</v>
      </c>
      <c r="H462" s="17">
        <f t="shared" si="16"/>
        <v>0</v>
      </c>
      <c r="I462" s="18"/>
      <c r="J462" s="18"/>
      <c r="K462" s="13"/>
      <c r="L462" s="13"/>
      <c r="M462" s="19"/>
      <c r="N462" s="13"/>
      <c r="O462" s="19"/>
      <c r="P462" s="19"/>
      <c r="Q462" s="35"/>
      <c r="R462" s="35"/>
      <c r="S462" s="35"/>
      <c r="T462" s="1"/>
      <c r="U462" s="1"/>
      <c r="V462" s="1"/>
    </row>
    <row r="463" ht="15.75" hidden="1" customHeight="1">
      <c r="A463" s="13"/>
      <c r="B463" s="13"/>
      <c r="C463" s="169" t="s">
        <v>495</v>
      </c>
      <c r="D463" s="66" t="s">
        <v>22</v>
      </c>
      <c r="E463" s="15"/>
      <c r="F463" s="16">
        <v>0.0</v>
      </c>
      <c r="G463" s="249">
        <v>70.0</v>
      </c>
      <c r="H463" s="17">
        <f t="shared" si="16"/>
        <v>0</v>
      </c>
      <c r="I463" s="18"/>
      <c r="J463" s="18"/>
      <c r="K463" s="13"/>
      <c r="L463" s="13"/>
      <c r="M463" s="19"/>
      <c r="N463" s="13"/>
      <c r="O463" s="19"/>
      <c r="P463" s="19"/>
      <c r="Q463" s="35"/>
      <c r="R463" s="35"/>
      <c r="S463" s="35"/>
      <c r="T463" s="1"/>
      <c r="U463" s="1"/>
      <c r="V463" s="1"/>
    </row>
    <row r="464" ht="15.75" hidden="1" customHeight="1">
      <c r="A464" s="13"/>
      <c r="B464" s="13" t="s">
        <v>18</v>
      </c>
      <c r="C464" s="169" t="s">
        <v>496</v>
      </c>
      <c r="D464" s="66" t="s">
        <v>22</v>
      </c>
      <c r="E464" s="15" t="s">
        <v>497</v>
      </c>
      <c r="F464" s="16">
        <v>0.0</v>
      </c>
      <c r="G464" s="249">
        <v>15.0</v>
      </c>
      <c r="H464" s="17">
        <f t="shared" si="16"/>
        <v>0</v>
      </c>
      <c r="I464" s="18"/>
      <c r="J464" s="18"/>
      <c r="K464" s="13"/>
      <c r="L464" s="27"/>
      <c r="M464" s="28"/>
      <c r="N464" s="27"/>
      <c r="O464" s="28"/>
      <c r="P464" s="27"/>
      <c r="Q464" s="35"/>
      <c r="R464" s="35"/>
      <c r="S464" s="35"/>
      <c r="T464" s="1"/>
      <c r="U464" s="1"/>
      <c r="V464" s="1"/>
    </row>
    <row r="465" ht="15.75" customHeight="1">
      <c r="A465" s="13"/>
      <c r="B465" s="13" t="s">
        <v>18</v>
      </c>
      <c r="C465" s="169" t="s">
        <v>407</v>
      </c>
      <c r="D465" s="66" t="s">
        <v>22</v>
      </c>
      <c r="E465" s="155" t="s">
        <v>408</v>
      </c>
      <c r="F465" s="16">
        <v>2.0</v>
      </c>
      <c r="G465" s="226">
        <v>153.6</v>
      </c>
      <c r="H465" s="17">
        <f t="shared" si="16"/>
        <v>307.2</v>
      </c>
      <c r="I465" s="18"/>
      <c r="J465" s="18"/>
      <c r="K465" s="13"/>
      <c r="L465" s="27"/>
      <c r="M465" s="28"/>
      <c r="N465" s="27"/>
      <c r="O465" s="28"/>
      <c r="P465" s="27"/>
      <c r="Q465" s="35"/>
      <c r="R465" s="35"/>
      <c r="S465" s="35"/>
      <c r="T465" s="1"/>
      <c r="U465" s="1"/>
      <c r="V465" s="1"/>
    </row>
    <row r="466" ht="15.75" hidden="1" customHeight="1">
      <c r="A466" s="13"/>
      <c r="B466" s="231" t="s">
        <v>350</v>
      </c>
      <c r="C466" s="169" t="s">
        <v>427</v>
      </c>
      <c r="D466" s="66" t="s">
        <v>22</v>
      </c>
      <c r="E466" s="231" t="s">
        <v>428</v>
      </c>
      <c r="F466" s="16">
        <v>0.0</v>
      </c>
      <c r="G466" s="235">
        <v>107.5</v>
      </c>
      <c r="H466" s="17">
        <f t="shared" si="16"/>
        <v>0</v>
      </c>
      <c r="I466" s="18"/>
      <c r="J466" s="18"/>
      <c r="K466" s="13"/>
      <c r="L466" s="27"/>
      <c r="M466" s="28"/>
      <c r="N466" s="27"/>
      <c r="O466" s="28"/>
      <c r="P466" s="27"/>
      <c r="Q466" s="35"/>
      <c r="R466" s="35"/>
      <c r="S466" s="35"/>
      <c r="T466" s="1"/>
      <c r="U466" s="1"/>
      <c r="V466" s="1"/>
    </row>
    <row r="467" ht="15.75" hidden="1" customHeight="1">
      <c r="A467" s="13"/>
      <c r="B467" s="231" t="s">
        <v>350</v>
      </c>
      <c r="C467" s="169" t="s">
        <v>429</v>
      </c>
      <c r="D467" s="66" t="s">
        <v>22</v>
      </c>
      <c r="E467" s="15"/>
      <c r="F467" s="16">
        <v>0.0</v>
      </c>
      <c r="G467" s="235">
        <v>97.0</v>
      </c>
      <c r="H467" s="17">
        <f t="shared" si="16"/>
        <v>0</v>
      </c>
      <c r="I467" s="18"/>
      <c r="J467" s="18"/>
      <c r="K467" s="13"/>
      <c r="L467" s="27"/>
      <c r="M467" s="28"/>
      <c r="N467" s="27"/>
      <c r="O467" s="28"/>
      <c r="P467" s="27"/>
      <c r="Q467" s="35"/>
      <c r="R467" s="35"/>
      <c r="S467" s="35"/>
      <c r="T467" s="1"/>
      <c r="U467" s="1"/>
      <c r="V467" s="1"/>
    </row>
    <row r="468" ht="15.75" customHeight="1">
      <c r="A468" s="13"/>
      <c r="B468" s="13" t="s">
        <v>18</v>
      </c>
      <c r="C468" s="169" t="s">
        <v>409</v>
      </c>
      <c r="D468" s="66" t="s">
        <v>22</v>
      </c>
      <c r="E468" s="33" t="s">
        <v>410</v>
      </c>
      <c r="F468" s="16">
        <v>2.0</v>
      </c>
      <c r="G468" s="227">
        <v>19.0</v>
      </c>
      <c r="H468" s="17">
        <f t="shared" si="16"/>
        <v>38</v>
      </c>
      <c r="I468" s="18"/>
      <c r="J468" s="18"/>
      <c r="K468" s="13"/>
      <c r="L468" s="27"/>
      <c r="M468" s="28"/>
      <c r="N468" s="27"/>
      <c r="O468" s="28"/>
      <c r="P468" s="27"/>
      <c r="Q468" s="35"/>
      <c r="R468" s="35"/>
      <c r="S468" s="35"/>
      <c r="T468" s="1"/>
      <c r="U468" s="1"/>
      <c r="V468" s="1"/>
    </row>
    <row r="469" ht="15.75" hidden="1" customHeight="1">
      <c r="A469" s="13"/>
      <c r="B469" s="13" t="s">
        <v>18</v>
      </c>
      <c r="C469" s="169" t="s">
        <v>500</v>
      </c>
      <c r="D469" s="14" t="s">
        <v>20</v>
      </c>
      <c r="E469" s="15"/>
      <c r="F469" s="16">
        <v>0.0</v>
      </c>
      <c r="G469" s="17">
        <v>5.0</v>
      </c>
      <c r="H469" s="17">
        <f t="shared" si="16"/>
        <v>0</v>
      </c>
      <c r="I469" s="18"/>
      <c r="J469" s="17"/>
      <c r="K469" s="17"/>
      <c r="L469" s="13"/>
      <c r="M469" s="19"/>
      <c r="N469" s="13"/>
      <c r="O469" s="19"/>
      <c r="P469" s="19"/>
      <c r="Q469" s="35"/>
      <c r="R469" s="35"/>
      <c r="S469" s="35"/>
      <c r="T469" s="1"/>
      <c r="U469" s="1"/>
      <c r="V469" s="1"/>
    </row>
    <row r="470" ht="15.75" hidden="1" customHeight="1">
      <c r="A470" s="13"/>
      <c r="B470" s="13"/>
      <c r="C470" s="169" t="s">
        <v>501</v>
      </c>
      <c r="D470" s="70" t="s">
        <v>24</v>
      </c>
      <c r="E470" s="15"/>
      <c r="F470" s="16">
        <v>0.0</v>
      </c>
      <c r="G470" s="17">
        <v>210.0</v>
      </c>
      <c r="H470" s="17">
        <f t="shared" si="16"/>
        <v>0</v>
      </c>
      <c r="I470" s="18"/>
      <c r="J470" s="17"/>
      <c r="K470" s="13"/>
      <c r="L470" s="63"/>
      <c r="M470" s="79"/>
      <c r="N470" s="63"/>
      <c r="O470" s="79"/>
      <c r="P470" s="79"/>
      <c r="Q470" s="35"/>
      <c r="R470" s="35"/>
      <c r="S470" s="35"/>
      <c r="T470" s="1"/>
      <c r="U470" s="1"/>
      <c r="V470" s="1"/>
    </row>
    <row r="471" ht="15.75" hidden="1" customHeight="1">
      <c r="A471" s="13"/>
      <c r="B471" s="13" t="s">
        <v>18</v>
      </c>
      <c r="C471" s="169" t="s">
        <v>502</v>
      </c>
      <c r="D471" s="66" t="s">
        <v>22</v>
      </c>
      <c r="E471" s="15"/>
      <c r="F471" s="16">
        <v>0.0</v>
      </c>
      <c r="G471" s="17">
        <v>0.0</v>
      </c>
      <c r="H471" s="17">
        <f t="shared" si="16"/>
        <v>0</v>
      </c>
      <c r="I471" s="18"/>
      <c r="J471" s="17"/>
      <c r="K471" s="13"/>
      <c r="L471" s="13"/>
      <c r="M471" s="19"/>
      <c r="N471" s="13"/>
      <c r="O471" s="19"/>
      <c r="P471" s="19"/>
      <c r="Q471" s="35"/>
      <c r="R471" s="35"/>
      <c r="S471" s="35"/>
      <c r="T471" s="1"/>
      <c r="U471" s="1"/>
      <c r="V471" s="1"/>
    </row>
    <row r="472" ht="15.75" customHeight="1">
      <c r="A472" s="13"/>
      <c r="B472" s="43" t="s">
        <v>88</v>
      </c>
      <c r="C472" s="54" t="s">
        <v>411</v>
      </c>
      <c r="D472" s="14" t="s">
        <v>20</v>
      </c>
      <c r="E472" s="218" t="s">
        <v>412</v>
      </c>
      <c r="F472" s="16">
        <v>1.0</v>
      </c>
      <c r="G472" s="34">
        <v>334.0</v>
      </c>
      <c r="H472" s="17">
        <f t="shared" si="16"/>
        <v>334</v>
      </c>
      <c r="I472" s="18"/>
      <c r="J472" s="18"/>
      <c r="K472" s="13"/>
      <c r="L472" s="13"/>
      <c r="M472" s="19"/>
      <c r="N472" s="13"/>
      <c r="O472" s="13"/>
      <c r="P472" s="13"/>
      <c r="Q472" s="35"/>
      <c r="R472" s="35"/>
      <c r="S472" s="35"/>
      <c r="T472" s="1"/>
      <c r="U472" s="1"/>
      <c r="V472" s="1"/>
    </row>
    <row r="473" ht="15.75" customHeight="1">
      <c r="A473" s="13"/>
      <c r="B473" s="13" t="s">
        <v>18</v>
      </c>
      <c r="C473" s="169" t="s">
        <v>280</v>
      </c>
      <c r="D473" s="14" t="s">
        <v>20</v>
      </c>
      <c r="E473" s="15" t="s">
        <v>413</v>
      </c>
      <c r="F473" s="16">
        <v>1.0</v>
      </c>
      <c r="G473" s="34">
        <v>20.0</v>
      </c>
      <c r="H473" s="17">
        <f t="shared" si="16"/>
        <v>20</v>
      </c>
      <c r="I473" s="18"/>
      <c r="J473" s="18"/>
      <c r="K473" s="13"/>
      <c r="L473" s="27"/>
      <c r="M473" s="27"/>
      <c r="N473" s="27"/>
      <c r="O473" s="27"/>
      <c r="P473" s="27"/>
      <c r="Q473" s="35"/>
      <c r="R473" s="35"/>
      <c r="S473" s="35"/>
      <c r="T473" s="1"/>
      <c r="U473" s="1"/>
      <c r="V473" s="1"/>
    </row>
    <row r="474" ht="15.75" customHeight="1">
      <c r="A474" s="13"/>
      <c r="B474" s="13"/>
      <c r="C474" s="169" t="s">
        <v>414</v>
      </c>
      <c r="D474" s="70" t="s">
        <v>24</v>
      </c>
      <c r="E474" s="15"/>
      <c r="F474" s="16">
        <v>1.0</v>
      </c>
      <c r="G474" s="17">
        <v>80.0</v>
      </c>
      <c r="H474" s="17">
        <f t="shared" si="16"/>
        <v>80</v>
      </c>
      <c r="I474" s="18"/>
      <c r="J474" s="18"/>
      <c r="K474" s="13"/>
      <c r="L474" s="63"/>
      <c r="M474" s="63"/>
      <c r="N474" s="63"/>
      <c r="O474" s="63"/>
      <c r="P474" s="63"/>
      <c r="Q474" s="35"/>
      <c r="R474" s="35"/>
      <c r="S474" s="35"/>
      <c r="T474" s="1"/>
      <c r="U474" s="1"/>
      <c r="V474" s="1"/>
    </row>
    <row r="475" ht="15.75" hidden="1" customHeight="1">
      <c r="A475" s="13"/>
      <c r="B475" s="13" t="s">
        <v>18</v>
      </c>
      <c r="C475" s="169" t="s">
        <v>283</v>
      </c>
      <c r="D475" s="14" t="s">
        <v>20</v>
      </c>
      <c r="E475" s="15" t="s">
        <v>284</v>
      </c>
      <c r="F475" s="16">
        <v>0.0</v>
      </c>
      <c r="G475" s="17">
        <v>12.0</v>
      </c>
      <c r="H475" s="17">
        <f t="shared" si="16"/>
        <v>0</v>
      </c>
      <c r="I475" s="18"/>
      <c r="J475" s="18"/>
      <c r="K475" s="13"/>
      <c r="L475" s="63"/>
      <c r="M475" s="63"/>
      <c r="N475" s="63"/>
      <c r="O475" s="63"/>
      <c r="P475" s="63"/>
      <c r="Q475" s="35"/>
      <c r="R475" s="35"/>
      <c r="S475" s="35"/>
      <c r="T475" s="1"/>
      <c r="U475" s="1"/>
      <c r="V475" s="1"/>
    </row>
    <row r="476" ht="15.75" customHeight="1">
      <c r="A476" s="13"/>
      <c r="B476" s="13" t="s">
        <v>18</v>
      </c>
      <c r="C476" s="169" t="s">
        <v>370</v>
      </c>
      <c r="D476" s="14" t="s">
        <v>20</v>
      </c>
      <c r="E476" s="15">
        <v>8.49069896E8</v>
      </c>
      <c r="F476" s="16">
        <v>1.0</v>
      </c>
      <c r="G476" s="17">
        <v>5.0</v>
      </c>
      <c r="H476" s="17">
        <f t="shared" si="16"/>
        <v>5</v>
      </c>
      <c r="I476" s="18"/>
      <c r="J476" s="18"/>
      <c r="K476" s="13"/>
      <c r="L476" s="63"/>
      <c r="M476" s="63"/>
      <c r="N476" s="63"/>
      <c r="O476" s="63"/>
      <c r="P476" s="63"/>
      <c r="Q476" s="35"/>
      <c r="R476" s="35"/>
      <c r="S476" s="35"/>
      <c r="T476" s="1"/>
      <c r="U476" s="1"/>
      <c r="V476" s="1"/>
    </row>
    <row r="477" ht="15.75" customHeight="1">
      <c r="A477" s="13"/>
      <c r="B477" s="13" t="s">
        <v>18</v>
      </c>
      <c r="C477" s="169" t="s">
        <v>371</v>
      </c>
      <c r="D477" s="14" t="s">
        <v>20</v>
      </c>
      <c r="E477" s="15" t="s">
        <v>286</v>
      </c>
      <c r="F477" s="16">
        <v>2.0</v>
      </c>
      <c r="G477" s="17">
        <v>3.0</v>
      </c>
      <c r="H477" s="17">
        <f t="shared" si="16"/>
        <v>6</v>
      </c>
      <c r="I477" s="18"/>
      <c r="J477" s="18"/>
      <c r="K477" s="13"/>
      <c r="L477" s="63"/>
      <c r="M477" s="63"/>
      <c r="N477" s="63"/>
      <c r="O477" s="63"/>
      <c r="P477" s="63"/>
      <c r="Q477" s="35"/>
      <c r="R477" s="35"/>
      <c r="S477" s="35"/>
      <c r="T477" s="1"/>
      <c r="U477" s="1"/>
      <c r="V477" s="1"/>
    </row>
    <row r="478" ht="15.75" hidden="1" customHeight="1">
      <c r="A478" s="13"/>
      <c r="B478" s="13"/>
      <c r="C478" s="13" t="s">
        <v>221</v>
      </c>
      <c r="D478" s="213" t="s">
        <v>24</v>
      </c>
      <c r="E478" s="52"/>
      <c r="F478" s="48">
        <v>0.0</v>
      </c>
      <c r="G478" s="50">
        <v>50.0</v>
      </c>
      <c r="H478" s="50">
        <f t="shared" si="16"/>
        <v>0</v>
      </c>
      <c r="I478" s="18"/>
      <c r="J478" s="18"/>
      <c r="K478" s="13"/>
      <c r="L478" s="63"/>
      <c r="M478" s="63"/>
      <c r="N478" s="63"/>
      <c r="O478" s="63"/>
      <c r="P478" s="63"/>
      <c r="Q478" s="35"/>
      <c r="R478" s="35"/>
      <c r="S478" s="35"/>
      <c r="T478" s="1"/>
      <c r="U478" s="1"/>
      <c r="V478" s="1"/>
    </row>
    <row r="479" ht="15.75" hidden="1" customHeight="1">
      <c r="A479" s="13"/>
      <c r="B479" s="13"/>
      <c r="C479" s="206" t="s">
        <v>222</v>
      </c>
      <c r="D479" s="216" t="s">
        <v>24</v>
      </c>
      <c r="E479" s="54"/>
      <c r="F479" s="56">
        <v>0.0</v>
      </c>
      <c r="G479" s="57">
        <v>40.0</v>
      </c>
      <c r="H479" s="57">
        <f t="shared" si="16"/>
        <v>0</v>
      </c>
      <c r="I479" s="18"/>
      <c r="J479" s="18"/>
      <c r="K479" s="13"/>
      <c r="L479" s="63"/>
      <c r="M479" s="63"/>
      <c r="N479" s="63"/>
      <c r="O479" s="63"/>
      <c r="P479" s="63"/>
      <c r="Q479" s="35"/>
      <c r="R479" s="35"/>
      <c r="S479" s="35"/>
      <c r="T479" s="1"/>
      <c r="U479" s="1"/>
      <c r="V479" s="1"/>
    </row>
    <row r="480" ht="15.75" hidden="1" customHeight="1">
      <c r="A480" s="13"/>
      <c r="B480" s="13"/>
      <c r="C480" s="169" t="s">
        <v>374</v>
      </c>
      <c r="D480" s="70" t="s">
        <v>24</v>
      </c>
      <c r="E480" s="15"/>
      <c r="F480" s="16">
        <v>0.0</v>
      </c>
      <c r="G480" s="17">
        <v>210.0</v>
      </c>
      <c r="H480" s="17">
        <f t="shared" si="16"/>
        <v>0</v>
      </c>
      <c r="I480" s="18"/>
      <c r="J480" s="18"/>
      <c r="K480" s="13"/>
      <c r="L480" s="63"/>
      <c r="M480" s="63"/>
      <c r="N480" s="63"/>
      <c r="O480" s="63"/>
      <c r="P480" s="63"/>
      <c r="Q480" s="35"/>
      <c r="R480" s="35"/>
      <c r="S480" s="35"/>
      <c r="T480" s="1"/>
      <c r="U480" s="1"/>
      <c r="V480" s="1"/>
    </row>
    <row r="481" ht="15.75" hidden="1" customHeight="1">
      <c r="A481" s="13"/>
      <c r="B481" s="13" t="s">
        <v>373</v>
      </c>
      <c r="C481" s="169" t="s">
        <v>372</v>
      </c>
      <c r="D481" s="14" t="s">
        <v>20</v>
      </c>
      <c r="E481" s="15"/>
      <c r="F481" s="16">
        <v>0.0</v>
      </c>
      <c r="G481" s="17">
        <v>70.0</v>
      </c>
      <c r="H481" s="17">
        <f t="shared" si="16"/>
        <v>0</v>
      </c>
      <c r="I481" s="18"/>
      <c r="J481" s="18"/>
      <c r="K481" s="13"/>
      <c r="L481" s="13"/>
      <c r="M481" s="13"/>
      <c r="N481" s="13"/>
      <c r="O481" s="13"/>
      <c r="P481" s="13"/>
      <c r="Q481" s="35"/>
      <c r="R481" s="35"/>
      <c r="S481" s="35"/>
      <c r="T481" s="1"/>
      <c r="U481" s="1"/>
      <c r="V481" s="1"/>
    </row>
    <row r="482" ht="15.75" hidden="1" customHeight="1">
      <c r="A482" s="13"/>
      <c r="B482" s="13" t="s">
        <v>18</v>
      </c>
      <c r="C482" s="169" t="s">
        <v>503</v>
      </c>
      <c r="D482" s="14" t="s">
        <v>20</v>
      </c>
      <c r="E482" s="15"/>
      <c r="F482" s="16">
        <v>0.0</v>
      </c>
      <c r="G482" s="17">
        <v>50.0</v>
      </c>
      <c r="H482" s="17">
        <f t="shared" si="16"/>
        <v>0</v>
      </c>
      <c r="I482" s="18"/>
      <c r="J482" s="17"/>
      <c r="K482" s="13"/>
      <c r="L482" s="13"/>
      <c r="M482" s="13"/>
      <c r="N482" s="13"/>
      <c r="O482" s="13"/>
      <c r="P482" s="13"/>
      <c r="Q482" s="35"/>
      <c r="R482" s="35"/>
      <c r="S482" s="35"/>
      <c r="T482" s="1"/>
      <c r="U482" s="1"/>
      <c r="V482" s="1"/>
    </row>
    <row r="483" ht="15.75" hidden="1" customHeight="1">
      <c r="A483" s="13"/>
      <c r="B483" s="13"/>
      <c r="C483" s="169" t="s">
        <v>504</v>
      </c>
      <c r="D483" s="70" t="s">
        <v>24</v>
      </c>
      <c r="E483" s="15"/>
      <c r="F483" s="16">
        <v>0.0</v>
      </c>
      <c r="G483" s="17">
        <v>50.0</v>
      </c>
      <c r="H483" s="17">
        <f t="shared" si="16"/>
        <v>0</v>
      </c>
      <c r="I483" s="18"/>
      <c r="J483" s="17"/>
      <c r="K483" s="13"/>
      <c r="L483" s="13"/>
      <c r="M483" s="13"/>
      <c r="N483" s="13"/>
      <c r="O483" s="13"/>
      <c r="P483" s="13"/>
      <c r="Q483" s="35"/>
      <c r="R483" s="35"/>
      <c r="S483" s="35"/>
      <c r="T483" s="1"/>
      <c r="U483" s="1"/>
      <c r="V483" s="1"/>
    </row>
    <row r="484" ht="15.75" hidden="1" customHeight="1">
      <c r="A484" s="13"/>
      <c r="B484" s="13"/>
      <c r="C484" s="169" t="s">
        <v>505</v>
      </c>
      <c r="D484" s="70" t="s">
        <v>24</v>
      </c>
      <c r="E484" s="15"/>
      <c r="F484" s="16">
        <v>0.0</v>
      </c>
      <c r="G484" s="17">
        <v>120.0</v>
      </c>
      <c r="H484" s="17">
        <f t="shared" si="16"/>
        <v>0</v>
      </c>
      <c r="I484" s="18"/>
      <c r="J484" s="17"/>
      <c r="K484" s="13"/>
      <c r="L484" s="63"/>
      <c r="M484" s="63"/>
      <c r="N484" s="63"/>
      <c r="O484" s="63"/>
      <c r="P484" s="63"/>
      <c r="Q484" s="35"/>
      <c r="R484" s="35"/>
      <c r="S484" s="35"/>
      <c r="T484" s="1"/>
      <c r="U484" s="1"/>
      <c r="V484" s="1"/>
    </row>
    <row r="485" ht="15.75" hidden="1" customHeight="1">
      <c r="A485" s="13"/>
      <c r="B485" s="13"/>
      <c r="C485" s="169" t="s">
        <v>506</v>
      </c>
      <c r="D485" s="70" t="s">
        <v>24</v>
      </c>
      <c r="E485" s="15"/>
      <c r="F485" s="16">
        <v>0.0</v>
      </c>
      <c r="G485" s="17">
        <v>80.0</v>
      </c>
      <c r="H485" s="17">
        <f t="shared" si="16"/>
        <v>0</v>
      </c>
      <c r="I485" s="18"/>
      <c r="J485" s="17"/>
      <c r="K485" s="13"/>
      <c r="L485" s="63"/>
      <c r="M485" s="63"/>
      <c r="N485" s="63"/>
      <c r="O485" s="63"/>
      <c r="P485" s="63"/>
      <c r="Q485" s="35"/>
      <c r="R485" s="35"/>
      <c r="S485" s="35"/>
      <c r="T485" s="1"/>
      <c r="U485" s="1"/>
      <c r="V485" s="1"/>
    </row>
    <row r="486" ht="15.75" hidden="1" customHeight="1">
      <c r="A486" s="13"/>
      <c r="B486" s="13"/>
      <c r="C486" s="169" t="s">
        <v>507</v>
      </c>
      <c r="D486" s="14" t="s">
        <v>20</v>
      </c>
      <c r="E486" s="15"/>
      <c r="F486" s="16">
        <v>0.0</v>
      </c>
      <c r="G486" s="17">
        <v>300.0</v>
      </c>
      <c r="H486" s="17">
        <f t="shared" si="16"/>
        <v>0</v>
      </c>
      <c r="I486" s="18"/>
      <c r="J486" s="17"/>
      <c r="K486" s="13"/>
      <c r="L486" s="63"/>
      <c r="M486" s="63"/>
      <c r="N486" s="63"/>
      <c r="O486" s="63"/>
      <c r="P486" s="63"/>
      <c r="Q486" s="35"/>
      <c r="R486" s="35"/>
      <c r="S486" s="35"/>
      <c r="T486" s="1"/>
      <c r="U486" s="1"/>
      <c r="V486" s="1"/>
    </row>
    <row r="487" ht="15.75" hidden="1" customHeight="1">
      <c r="A487" s="13"/>
      <c r="B487" s="13"/>
      <c r="C487" s="169" t="s">
        <v>508</v>
      </c>
      <c r="D487" s="70" t="s">
        <v>24</v>
      </c>
      <c r="E487" s="15"/>
      <c r="F487" s="16">
        <v>0.0</v>
      </c>
      <c r="G487" s="17">
        <v>290.0</v>
      </c>
      <c r="H487" s="17">
        <f t="shared" si="16"/>
        <v>0</v>
      </c>
      <c r="I487" s="18"/>
      <c r="J487" s="17"/>
      <c r="K487" s="13"/>
      <c r="L487" s="63"/>
      <c r="M487" s="63"/>
      <c r="N487" s="63"/>
      <c r="O487" s="63"/>
      <c r="P487" s="63"/>
      <c r="Q487" s="35"/>
      <c r="R487" s="35"/>
      <c r="S487" s="35"/>
      <c r="T487" s="1"/>
      <c r="U487" s="1"/>
      <c r="V487" s="1"/>
    </row>
    <row r="488" ht="15.75" hidden="1" customHeight="1">
      <c r="A488" s="13"/>
      <c r="B488" s="13"/>
      <c r="C488" s="13" t="s">
        <v>509</v>
      </c>
      <c r="D488" s="46" t="s">
        <v>20</v>
      </c>
      <c r="E488" s="52"/>
      <c r="F488" s="48">
        <v>0.0</v>
      </c>
      <c r="G488" s="50">
        <v>30.0</v>
      </c>
      <c r="H488" s="50">
        <f t="shared" si="16"/>
        <v>0</v>
      </c>
      <c r="I488" s="50"/>
      <c r="J488" s="17"/>
      <c r="K488" s="13"/>
      <c r="L488" s="63"/>
      <c r="M488" s="63"/>
      <c r="N488" s="63"/>
      <c r="O488" s="63"/>
      <c r="P488" s="63"/>
      <c r="Q488" s="35"/>
      <c r="R488" s="35"/>
      <c r="S488" s="35"/>
      <c r="T488" s="1"/>
      <c r="U488" s="1"/>
      <c r="V488" s="1"/>
    </row>
    <row r="489" ht="15.75" hidden="1" customHeight="1">
      <c r="A489" s="13"/>
      <c r="B489" s="13"/>
      <c r="C489" s="206" t="s">
        <v>510</v>
      </c>
      <c r="D489" s="216" t="s">
        <v>24</v>
      </c>
      <c r="E489" s="54"/>
      <c r="F489" s="56">
        <v>0.0</v>
      </c>
      <c r="G489" s="57">
        <v>70.0</v>
      </c>
      <c r="H489" s="57">
        <f t="shared" si="16"/>
        <v>0</v>
      </c>
      <c r="I489" s="57"/>
      <c r="J489" s="17"/>
      <c r="K489" s="13"/>
      <c r="L489" s="63"/>
      <c r="M489" s="63"/>
      <c r="N489" s="63"/>
      <c r="O489" s="63"/>
      <c r="P489" s="63"/>
      <c r="Q489" s="35"/>
      <c r="R489" s="35"/>
      <c r="S489" s="35"/>
      <c r="T489" s="1"/>
      <c r="U489" s="1"/>
      <c r="V489" s="1"/>
    </row>
    <row r="490" ht="15.75" hidden="1" customHeight="1">
      <c r="A490" s="13"/>
      <c r="B490" s="13"/>
      <c r="C490" s="13" t="s">
        <v>511</v>
      </c>
      <c r="D490" s="46" t="s">
        <v>20</v>
      </c>
      <c r="E490" s="52"/>
      <c r="F490" s="48">
        <v>0.0</v>
      </c>
      <c r="G490" s="50">
        <v>368.0</v>
      </c>
      <c r="H490" s="50">
        <f t="shared" si="16"/>
        <v>0</v>
      </c>
      <c r="I490" s="50"/>
      <c r="J490" s="17"/>
      <c r="K490" s="13"/>
      <c r="L490" s="63"/>
      <c r="M490" s="63"/>
      <c r="N490" s="63"/>
      <c r="O490" s="63"/>
      <c r="P490" s="63"/>
      <c r="Q490" s="35"/>
      <c r="R490" s="35"/>
      <c r="S490" s="35"/>
      <c r="T490" s="1"/>
      <c r="U490" s="1"/>
      <c r="V490" s="1"/>
    </row>
    <row r="491" ht="15.75" hidden="1" customHeight="1">
      <c r="A491" s="13"/>
      <c r="B491" s="13"/>
      <c r="C491" s="206" t="s">
        <v>512</v>
      </c>
      <c r="D491" s="55" t="s">
        <v>20</v>
      </c>
      <c r="E491" s="54"/>
      <c r="F491" s="56">
        <v>0.0</v>
      </c>
      <c r="G491" s="57">
        <v>183.0</v>
      </c>
      <c r="H491" s="57">
        <f t="shared" si="16"/>
        <v>0</v>
      </c>
      <c r="I491" s="57"/>
      <c r="J491" s="17"/>
      <c r="K491" s="13"/>
      <c r="L491" s="63"/>
      <c r="M491" s="63"/>
      <c r="N491" s="63"/>
      <c r="O491" s="63"/>
      <c r="P491" s="63"/>
      <c r="Q491" s="35"/>
      <c r="R491" s="35"/>
      <c r="S491" s="35"/>
      <c r="T491" s="1"/>
      <c r="U491" s="1"/>
      <c r="V491" s="1"/>
    </row>
    <row r="492" ht="15.75" hidden="1" customHeight="1">
      <c r="A492" s="13"/>
      <c r="B492" s="13"/>
      <c r="C492" s="250" t="s">
        <v>513</v>
      </c>
      <c r="D492" s="55" t="s">
        <v>20</v>
      </c>
      <c r="E492" s="54"/>
      <c r="F492" s="56">
        <v>0.0</v>
      </c>
      <c r="G492" s="57">
        <v>45.0</v>
      </c>
      <c r="H492" s="57">
        <f t="shared" si="16"/>
        <v>0</v>
      </c>
      <c r="I492" s="57"/>
      <c r="J492" s="17"/>
      <c r="K492" s="13"/>
      <c r="L492" s="63"/>
      <c r="M492" s="63"/>
      <c r="N492" s="63"/>
      <c r="O492" s="63"/>
      <c r="P492" s="63"/>
      <c r="Q492" s="35"/>
      <c r="R492" s="35"/>
      <c r="S492" s="35"/>
      <c r="T492" s="1"/>
      <c r="U492" s="1"/>
      <c r="V492" s="1"/>
    </row>
    <row r="493" ht="15.75" hidden="1" customHeight="1">
      <c r="A493" s="13"/>
      <c r="B493" s="13"/>
      <c r="C493" s="250" t="s">
        <v>514</v>
      </c>
      <c r="D493" s="55" t="s">
        <v>20</v>
      </c>
      <c r="E493" s="54"/>
      <c r="F493" s="56">
        <v>0.0</v>
      </c>
      <c r="G493" s="57">
        <v>60.0</v>
      </c>
      <c r="H493" s="57">
        <f t="shared" si="16"/>
        <v>0</v>
      </c>
      <c r="I493" s="57"/>
      <c r="J493" s="17"/>
      <c r="K493" s="13"/>
      <c r="L493" s="63"/>
      <c r="M493" s="63"/>
      <c r="N493" s="63"/>
      <c r="O493" s="63"/>
      <c r="P493" s="63"/>
      <c r="Q493" s="35"/>
      <c r="R493" s="35"/>
      <c r="S493" s="35"/>
      <c r="T493" s="1"/>
      <c r="U493" s="1"/>
      <c r="V493" s="1"/>
    </row>
    <row r="494" ht="15.75" hidden="1" customHeight="1">
      <c r="A494" s="13"/>
      <c r="B494" s="13"/>
      <c r="C494" s="251" t="s">
        <v>515</v>
      </c>
      <c r="D494" s="216" t="s">
        <v>24</v>
      </c>
      <c r="E494" s="54"/>
      <c r="F494" s="56">
        <v>0.0</v>
      </c>
      <c r="G494" s="57">
        <v>290.0</v>
      </c>
      <c r="H494" s="57">
        <f t="shared" si="16"/>
        <v>0</v>
      </c>
      <c r="I494" s="57"/>
      <c r="J494" s="17"/>
      <c r="K494" s="13"/>
      <c r="L494" s="63"/>
      <c r="M494" s="63"/>
      <c r="N494" s="63"/>
      <c r="O494" s="63"/>
      <c r="P494" s="63"/>
      <c r="Q494" s="35"/>
      <c r="R494" s="35"/>
      <c r="S494" s="35"/>
      <c r="T494" s="1"/>
      <c r="U494" s="1"/>
      <c r="V494" s="1"/>
    </row>
    <row r="495" ht="15.75" hidden="1" customHeight="1">
      <c r="A495" s="13"/>
      <c r="B495" s="13"/>
      <c r="C495" s="13" t="s">
        <v>71</v>
      </c>
      <c r="D495" s="213" t="s">
        <v>24</v>
      </c>
      <c r="E495" s="52"/>
      <c r="F495" s="56">
        <v>0.0</v>
      </c>
      <c r="G495" s="50">
        <v>80.0</v>
      </c>
      <c r="H495" s="50">
        <f t="shared" si="16"/>
        <v>0</v>
      </c>
      <c r="I495" s="57"/>
      <c r="J495" s="17"/>
      <c r="K495" s="13"/>
      <c r="L495" s="63"/>
      <c r="M495" s="63"/>
      <c r="N495" s="63"/>
      <c r="O495" s="63"/>
      <c r="P495" s="63"/>
      <c r="Q495" s="35"/>
      <c r="R495" s="35"/>
      <c r="S495" s="35"/>
      <c r="T495" s="1"/>
      <c r="U495" s="1"/>
      <c r="V495" s="1"/>
    </row>
    <row r="496" ht="15.75" hidden="1" customHeight="1">
      <c r="A496" s="13"/>
      <c r="B496" s="13"/>
      <c r="C496" s="169" t="s">
        <v>516</v>
      </c>
      <c r="D496" s="46" t="s">
        <v>20</v>
      </c>
      <c r="E496" s="52"/>
      <c r="F496" s="48">
        <v>0.0</v>
      </c>
      <c r="G496" s="50">
        <v>300.0</v>
      </c>
      <c r="H496" s="50">
        <f t="shared" si="16"/>
        <v>0</v>
      </c>
      <c r="I496" s="57"/>
      <c r="J496" s="17"/>
      <c r="K496" s="13"/>
      <c r="L496" s="63"/>
      <c r="M496" s="63"/>
      <c r="N496" s="63"/>
      <c r="O496" s="63"/>
      <c r="P496" s="63"/>
      <c r="Q496" s="35"/>
      <c r="R496" s="35"/>
      <c r="S496" s="35"/>
      <c r="T496" s="1"/>
      <c r="U496" s="1"/>
      <c r="V496" s="1"/>
    </row>
    <row r="497" ht="15.75" hidden="1" customHeight="1">
      <c r="A497" s="13"/>
      <c r="B497" s="13"/>
      <c r="C497" s="244" t="s">
        <v>517</v>
      </c>
      <c r="D497" s="216" t="s">
        <v>24</v>
      </c>
      <c r="E497" s="54"/>
      <c r="F497" s="56">
        <v>0.0</v>
      </c>
      <c r="G497" s="57">
        <v>900.0</v>
      </c>
      <c r="H497" s="50">
        <f t="shared" si="16"/>
        <v>0</v>
      </c>
      <c r="I497" s="57"/>
      <c r="J497" s="17"/>
      <c r="K497" s="13"/>
      <c r="L497" s="63"/>
      <c r="M497" s="63"/>
      <c r="N497" s="63"/>
      <c r="O497" s="63"/>
      <c r="P497" s="63"/>
      <c r="Q497" s="35"/>
      <c r="R497" s="35"/>
      <c r="S497" s="35"/>
      <c r="T497" s="1"/>
      <c r="U497" s="1"/>
      <c r="V497" s="1"/>
    </row>
    <row r="498" ht="15.75" hidden="1" customHeight="1">
      <c r="A498" s="13"/>
      <c r="B498" s="13"/>
      <c r="C498" s="169" t="s">
        <v>518</v>
      </c>
      <c r="D498" s="213" t="s">
        <v>24</v>
      </c>
      <c r="E498" s="52"/>
      <c r="F498" s="48">
        <v>0.0</v>
      </c>
      <c r="G498" s="50">
        <v>150.0</v>
      </c>
      <c r="H498" s="50">
        <f t="shared" si="16"/>
        <v>0</v>
      </c>
      <c r="I498" s="57"/>
      <c r="J498" s="17"/>
      <c r="K498" s="13"/>
      <c r="L498" s="63"/>
      <c r="M498" s="63"/>
      <c r="N498" s="63"/>
      <c r="O498" s="63"/>
      <c r="P498" s="63"/>
      <c r="Q498" s="35"/>
      <c r="R498" s="35"/>
      <c r="S498" s="35"/>
      <c r="T498" s="1"/>
      <c r="U498" s="1"/>
      <c r="V498" s="1"/>
    </row>
    <row r="499" ht="15.75" hidden="1" customHeight="1">
      <c r="A499" s="13"/>
      <c r="B499" s="13"/>
      <c r="C499" s="244" t="s">
        <v>519</v>
      </c>
      <c r="D499" s="55" t="s">
        <v>20</v>
      </c>
      <c r="E499" s="54"/>
      <c r="F499" s="56">
        <v>0.0</v>
      </c>
      <c r="G499" s="57">
        <v>60.0</v>
      </c>
      <c r="H499" s="57">
        <f t="shared" si="16"/>
        <v>0</v>
      </c>
      <c r="I499" s="57"/>
      <c r="J499" s="17"/>
      <c r="K499" s="13"/>
      <c r="L499" s="63"/>
      <c r="M499" s="63"/>
      <c r="N499" s="63"/>
      <c r="O499" s="63"/>
      <c r="P499" s="63"/>
      <c r="Q499" s="35"/>
      <c r="R499" s="35"/>
      <c r="S499" s="35"/>
      <c r="T499" s="1"/>
      <c r="U499" s="1"/>
      <c r="V499" s="1"/>
    </row>
    <row r="500" ht="15.75" hidden="1" customHeight="1">
      <c r="A500" s="13"/>
      <c r="B500" s="13"/>
      <c r="C500" s="244" t="s">
        <v>520</v>
      </c>
      <c r="D500" s="213" t="s">
        <v>24</v>
      </c>
      <c r="E500" s="54"/>
      <c r="F500" s="56">
        <v>0.0</v>
      </c>
      <c r="G500" s="57">
        <v>500.0</v>
      </c>
      <c r="H500" s="57">
        <f t="shared" si="16"/>
        <v>0</v>
      </c>
      <c r="I500" s="57"/>
      <c r="J500" s="17"/>
      <c r="K500" s="13"/>
      <c r="L500" s="63"/>
      <c r="M500" s="63"/>
      <c r="N500" s="63"/>
      <c r="O500" s="63"/>
      <c r="P500" s="63"/>
      <c r="Q500" s="35"/>
      <c r="R500" s="35"/>
      <c r="S500" s="35"/>
      <c r="T500" s="1"/>
      <c r="U500" s="1"/>
      <c r="V500" s="1"/>
    </row>
    <row r="501" ht="15.75" hidden="1" customHeight="1">
      <c r="A501" s="13"/>
      <c r="B501" s="13"/>
      <c r="C501" s="244" t="s">
        <v>521</v>
      </c>
      <c r="D501" s="55" t="s">
        <v>20</v>
      </c>
      <c r="E501" s="54"/>
      <c r="F501" s="56">
        <v>0.0</v>
      </c>
      <c r="G501" s="57">
        <v>130.0</v>
      </c>
      <c r="H501" s="57">
        <f t="shared" si="16"/>
        <v>0</v>
      </c>
      <c r="I501" s="57"/>
      <c r="J501" s="17"/>
      <c r="K501" s="13"/>
      <c r="L501" s="63"/>
      <c r="M501" s="63"/>
      <c r="N501" s="63"/>
      <c r="O501" s="63"/>
      <c r="P501" s="63"/>
      <c r="Q501" s="35"/>
      <c r="R501" s="35"/>
      <c r="S501" s="35"/>
      <c r="T501" s="1"/>
      <c r="U501" s="1"/>
      <c r="V501" s="1"/>
    </row>
    <row r="502" ht="15.75" hidden="1" customHeight="1">
      <c r="A502" s="15"/>
      <c r="B502" s="52"/>
      <c r="C502" s="196" t="s">
        <v>522</v>
      </c>
      <c r="D502" s="46" t="s">
        <v>20</v>
      </c>
      <c r="E502" s="52"/>
      <c r="F502" s="48">
        <v>0.0</v>
      </c>
      <c r="G502" s="50">
        <v>30.0</v>
      </c>
      <c r="H502" s="50">
        <f t="shared" si="16"/>
        <v>0</v>
      </c>
      <c r="I502" s="51"/>
      <c r="J502" s="51"/>
      <c r="K502" s="52"/>
      <c r="L502" s="52"/>
      <c r="M502" s="52"/>
      <c r="N502" s="52"/>
      <c r="O502" s="52"/>
      <c r="P502" s="52"/>
      <c r="Q502" s="1"/>
      <c r="R502" s="1"/>
      <c r="S502" s="1"/>
      <c r="T502" s="1"/>
      <c r="U502" s="1"/>
      <c r="V502" s="1"/>
    </row>
    <row r="503" ht="15.75" hidden="1" customHeight="1">
      <c r="A503" s="53"/>
      <c r="B503" s="54"/>
      <c r="C503" s="197" t="s">
        <v>523</v>
      </c>
      <c r="D503" s="216" t="s">
        <v>24</v>
      </c>
      <c r="E503" s="54"/>
      <c r="F503" s="56">
        <v>0.0</v>
      </c>
      <c r="G503" s="57">
        <v>25.0</v>
      </c>
      <c r="H503" s="57">
        <f t="shared" si="16"/>
        <v>0</v>
      </c>
      <c r="I503" s="58"/>
      <c r="J503" s="58"/>
      <c r="K503" s="54"/>
      <c r="L503" s="252"/>
      <c r="M503" s="252"/>
      <c r="N503" s="252"/>
      <c r="O503" s="252"/>
      <c r="P503" s="252"/>
      <c r="Q503" s="1"/>
      <c r="R503" s="1"/>
      <c r="S503" s="1"/>
      <c r="T503" s="1"/>
      <c r="U503" s="1"/>
      <c r="V503" s="1"/>
    </row>
    <row r="504" ht="15.75" hidden="1" customHeight="1">
      <c r="A504" s="53"/>
      <c r="B504" s="54"/>
      <c r="C504" s="197" t="s">
        <v>524</v>
      </c>
      <c r="D504" s="55" t="s">
        <v>20</v>
      </c>
      <c r="E504" s="54"/>
      <c r="F504" s="56">
        <v>0.0</v>
      </c>
      <c r="G504" s="57">
        <v>15.0</v>
      </c>
      <c r="H504" s="57">
        <f t="shared" si="16"/>
        <v>0</v>
      </c>
      <c r="I504" s="58"/>
      <c r="J504" s="58"/>
      <c r="K504" s="54"/>
      <c r="L504" s="54"/>
      <c r="M504" s="54"/>
      <c r="N504" s="54"/>
      <c r="O504" s="54"/>
      <c r="P504" s="54"/>
      <c r="Q504" s="1"/>
      <c r="R504" s="1"/>
      <c r="S504" s="1"/>
      <c r="T504" s="1"/>
      <c r="U504" s="1"/>
      <c r="V504" s="1"/>
    </row>
    <row r="505" ht="15.75" hidden="1" customHeight="1">
      <c r="A505" s="13"/>
      <c r="B505" s="13"/>
      <c r="C505" s="244" t="s">
        <v>525</v>
      </c>
      <c r="D505" s="213" t="s">
        <v>24</v>
      </c>
      <c r="E505" s="54"/>
      <c r="F505" s="56">
        <v>0.0</v>
      </c>
      <c r="G505" s="57">
        <v>60.0</v>
      </c>
      <c r="H505" s="57">
        <f t="shared" si="16"/>
        <v>0</v>
      </c>
      <c r="I505" s="57"/>
      <c r="J505" s="17"/>
      <c r="K505" s="13"/>
      <c r="L505" s="63"/>
      <c r="M505" s="63"/>
      <c r="N505" s="63"/>
      <c r="O505" s="63"/>
      <c r="P505" s="63"/>
      <c r="Q505" s="35"/>
      <c r="R505" s="35"/>
      <c r="S505" s="35"/>
      <c r="T505" s="1"/>
      <c r="U505" s="1"/>
      <c r="V505" s="1"/>
    </row>
    <row r="506" ht="15.75" hidden="1" customHeight="1">
      <c r="A506" s="13"/>
      <c r="B506" s="13"/>
      <c r="C506" s="244" t="s">
        <v>526</v>
      </c>
      <c r="D506" s="213" t="s">
        <v>24</v>
      </c>
      <c r="E506" s="54"/>
      <c r="F506" s="56">
        <v>0.0</v>
      </c>
      <c r="G506" s="57">
        <v>80.0</v>
      </c>
      <c r="H506" s="57">
        <f t="shared" si="16"/>
        <v>0</v>
      </c>
      <c r="I506" s="57"/>
      <c r="J506" s="17"/>
      <c r="K506" s="13"/>
      <c r="L506" s="63"/>
      <c r="M506" s="63"/>
      <c r="N506" s="63"/>
      <c r="O506" s="63"/>
      <c r="P506" s="63"/>
      <c r="Q506" s="35"/>
      <c r="R506" s="35"/>
      <c r="S506" s="35"/>
      <c r="T506" s="1"/>
      <c r="U506" s="1"/>
      <c r="V506" s="1"/>
    </row>
    <row r="507" ht="15.75" hidden="1" customHeight="1">
      <c r="A507" s="13"/>
      <c r="B507" s="13"/>
      <c r="C507" s="244" t="s">
        <v>527</v>
      </c>
      <c r="D507" s="46" t="s">
        <v>20</v>
      </c>
      <c r="E507" s="54"/>
      <c r="F507" s="56">
        <v>0.0</v>
      </c>
      <c r="G507" s="57">
        <v>5000.0</v>
      </c>
      <c r="H507" s="50">
        <f t="shared" si="16"/>
        <v>0</v>
      </c>
      <c r="I507" s="57"/>
      <c r="J507" s="17"/>
      <c r="K507" s="13"/>
      <c r="L507" s="63"/>
      <c r="M507" s="63"/>
      <c r="N507" s="63"/>
      <c r="O507" s="63"/>
      <c r="P507" s="63"/>
      <c r="Q507" s="35"/>
      <c r="R507" s="35"/>
      <c r="S507" s="35"/>
      <c r="T507" s="1"/>
      <c r="U507" s="1"/>
      <c r="V507" s="1"/>
    </row>
    <row r="508" ht="15.75" hidden="1" customHeight="1">
      <c r="A508" s="13"/>
      <c r="B508" s="13"/>
      <c r="C508" s="169" t="s">
        <v>528</v>
      </c>
      <c r="D508" s="213" t="s">
        <v>24</v>
      </c>
      <c r="E508" s="52" t="s">
        <v>529</v>
      </c>
      <c r="F508" s="48">
        <v>0.0</v>
      </c>
      <c r="G508" s="50">
        <v>2800.0</v>
      </c>
      <c r="H508" s="50">
        <f t="shared" si="16"/>
        <v>0</v>
      </c>
      <c r="I508" s="57"/>
      <c r="J508" s="17"/>
      <c r="K508" s="13"/>
      <c r="L508" s="63"/>
      <c r="M508" s="63"/>
      <c r="N508" s="63"/>
      <c r="O508" s="63"/>
      <c r="P508" s="63"/>
      <c r="Q508" s="35"/>
      <c r="R508" s="35"/>
      <c r="S508" s="35"/>
      <c r="T508" s="1"/>
      <c r="U508" s="1"/>
      <c r="V508" s="1"/>
    </row>
    <row r="509" ht="15.75" hidden="1" customHeight="1">
      <c r="A509" s="13"/>
      <c r="B509" s="13"/>
      <c r="C509" s="244" t="s">
        <v>530</v>
      </c>
      <c r="D509" s="216" t="s">
        <v>24</v>
      </c>
      <c r="E509" s="54"/>
      <c r="F509" s="56">
        <v>0.0</v>
      </c>
      <c r="G509" s="57">
        <v>2000.0</v>
      </c>
      <c r="H509" s="57">
        <f t="shared" si="16"/>
        <v>0</v>
      </c>
      <c r="I509" s="57"/>
      <c r="J509" s="17"/>
      <c r="K509" s="13"/>
      <c r="L509" s="63"/>
      <c r="M509" s="63"/>
      <c r="N509" s="63"/>
      <c r="O509" s="63"/>
      <c r="P509" s="63"/>
      <c r="Q509" s="35"/>
      <c r="R509" s="35"/>
      <c r="S509" s="35"/>
      <c r="T509" s="1"/>
      <c r="U509" s="1"/>
      <c r="V509" s="1"/>
    </row>
    <row r="510" ht="15.75" hidden="1" customHeight="1">
      <c r="A510" s="13"/>
      <c r="B510" s="13"/>
      <c r="C510" s="244" t="s">
        <v>531</v>
      </c>
      <c r="D510" s="216" t="s">
        <v>24</v>
      </c>
      <c r="E510" s="54"/>
      <c r="F510" s="56">
        <v>0.0</v>
      </c>
      <c r="G510" s="57">
        <v>2200.0</v>
      </c>
      <c r="H510" s="57">
        <f t="shared" si="16"/>
        <v>0</v>
      </c>
      <c r="I510" s="57"/>
      <c r="J510" s="17"/>
      <c r="K510" s="13"/>
      <c r="L510" s="63"/>
      <c r="M510" s="63"/>
      <c r="N510" s="63"/>
      <c r="O510" s="63"/>
      <c r="P510" s="63"/>
      <c r="Q510" s="35"/>
      <c r="R510" s="35"/>
      <c r="S510" s="35"/>
      <c r="T510" s="1"/>
      <c r="U510" s="1"/>
      <c r="V510" s="1"/>
    </row>
    <row r="511" ht="28.5" customHeight="1">
      <c r="A511" s="6"/>
      <c r="B511" s="6" t="s">
        <v>968</v>
      </c>
      <c r="C511" s="7">
        <f>SUM(H512:H572)</f>
        <v>4222.96</v>
      </c>
      <c r="D511" s="148"/>
      <c r="E511" s="148"/>
      <c r="F511" s="83"/>
      <c r="G511" s="82"/>
      <c r="H511" s="82"/>
      <c r="I511" s="82"/>
      <c r="J511" s="82"/>
      <c r="K511" s="83"/>
      <c r="L511" s="83"/>
      <c r="M511" s="83"/>
      <c r="N511" s="83"/>
      <c r="O511" s="83"/>
      <c r="P511" s="83"/>
      <c r="Q511" s="35"/>
      <c r="R511" s="35"/>
      <c r="S511" s="35"/>
      <c r="T511" s="1"/>
      <c r="U511" s="1"/>
      <c r="V511" s="1"/>
    </row>
    <row r="512" ht="15.75" hidden="1" customHeight="1">
      <c r="A512" s="13"/>
      <c r="B512" s="13"/>
      <c r="C512" s="169" t="s">
        <v>191</v>
      </c>
      <c r="D512" s="66" t="s">
        <v>22</v>
      </c>
      <c r="E512" s="15"/>
      <c r="F512" s="16">
        <v>0.0</v>
      </c>
      <c r="G512" s="17">
        <v>175.0</v>
      </c>
      <c r="H512" s="17">
        <f t="shared" ref="H512:H576" si="17">SUM(F512*G512)</f>
        <v>0</v>
      </c>
      <c r="I512" s="18"/>
      <c r="J512" s="18"/>
      <c r="K512" s="13"/>
      <c r="L512" s="13"/>
      <c r="M512" s="13"/>
      <c r="N512" s="13"/>
      <c r="O512" s="13"/>
      <c r="P512" s="13"/>
      <c r="Q512" s="35"/>
      <c r="R512" s="35"/>
      <c r="S512" s="35"/>
      <c r="T512" s="1"/>
      <c r="U512" s="1"/>
      <c r="V512" s="1"/>
    </row>
    <row r="513" ht="15.75" hidden="1" customHeight="1">
      <c r="A513" s="13"/>
      <c r="B513" s="13" t="s">
        <v>18</v>
      </c>
      <c r="C513" s="169" t="s">
        <v>294</v>
      </c>
      <c r="D513" s="14" t="s">
        <v>20</v>
      </c>
      <c r="E513" s="15"/>
      <c r="F513" s="16">
        <v>0.0</v>
      </c>
      <c r="G513" s="17">
        <v>5.0</v>
      </c>
      <c r="H513" s="17">
        <f t="shared" si="17"/>
        <v>0</v>
      </c>
      <c r="I513" s="18"/>
      <c r="J513" s="18"/>
      <c r="K513" s="13"/>
      <c r="L513" s="13"/>
      <c r="M513" s="19"/>
      <c r="N513" s="19"/>
      <c r="O513" s="38"/>
      <c r="P513" s="19"/>
      <c r="Q513" s="35"/>
      <c r="R513" s="35"/>
      <c r="S513" s="35"/>
      <c r="T513" s="1"/>
      <c r="U513" s="1"/>
      <c r="V513" s="1"/>
    </row>
    <row r="514" ht="15.75" customHeight="1">
      <c r="A514" s="13"/>
      <c r="B514" s="13" t="s">
        <v>18</v>
      </c>
      <c r="C514" s="169" t="s">
        <v>296</v>
      </c>
      <c r="D514" s="14" t="s">
        <v>20</v>
      </c>
      <c r="E514" s="218" t="s">
        <v>533</v>
      </c>
      <c r="F514" s="16">
        <v>1.0</v>
      </c>
      <c r="G514" s="34">
        <v>72.0</v>
      </c>
      <c r="H514" s="17">
        <f t="shared" si="17"/>
        <v>72</v>
      </c>
      <c r="I514" s="18"/>
      <c r="J514" s="18"/>
      <c r="K514" s="13"/>
      <c r="L514" s="27"/>
      <c r="M514" s="28"/>
      <c r="N514" s="27"/>
      <c r="O514" s="28"/>
      <c r="P514" s="27"/>
      <c r="Q514" s="35"/>
      <c r="R514" s="35"/>
      <c r="S514" s="35"/>
      <c r="T514" s="1"/>
      <c r="U514" s="1"/>
      <c r="V514" s="1"/>
    </row>
    <row r="515" ht="15.75" customHeight="1">
      <c r="A515" s="13"/>
      <c r="B515" s="13"/>
      <c r="C515" s="169" t="s">
        <v>298</v>
      </c>
      <c r="D515" s="70" t="s">
        <v>24</v>
      </c>
      <c r="E515" s="15"/>
      <c r="F515" s="16">
        <v>1.0</v>
      </c>
      <c r="G515" s="17">
        <v>95.0</v>
      </c>
      <c r="H515" s="17">
        <f t="shared" si="17"/>
        <v>95</v>
      </c>
      <c r="I515" s="18"/>
      <c r="J515" s="18"/>
      <c r="K515" s="13"/>
      <c r="L515" s="63"/>
      <c r="M515" s="63"/>
      <c r="N515" s="63"/>
      <c r="O515" s="63"/>
      <c r="P515" s="63"/>
      <c r="Q515" s="35"/>
      <c r="R515" s="35"/>
      <c r="S515" s="35"/>
      <c r="T515" s="1"/>
      <c r="U515" s="1"/>
      <c r="V515" s="1"/>
    </row>
    <row r="516" ht="15.75" hidden="1" customHeight="1">
      <c r="A516" s="13"/>
      <c r="B516" s="13"/>
      <c r="C516" s="169" t="s">
        <v>299</v>
      </c>
      <c r="D516" s="70" t="s">
        <v>24</v>
      </c>
      <c r="E516" s="15"/>
      <c r="F516" s="16">
        <v>0.0</v>
      </c>
      <c r="G516" s="17">
        <v>120.0</v>
      </c>
      <c r="H516" s="17">
        <f t="shared" si="17"/>
        <v>0</v>
      </c>
      <c r="I516" s="18"/>
      <c r="J516" s="18"/>
      <c r="K516" s="13"/>
      <c r="L516" s="63"/>
      <c r="M516" s="63"/>
      <c r="N516" s="63"/>
      <c r="O516" s="63"/>
      <c r="P516" s="63"/>
      <c r="Q516" s="35"/>
      <c r="R516" s="35"/>
      <c r="S516" s="35"/>
      <c r="T516" s="1"/>
      <c r="U516" s="1"/>
      <c r="V516" s="1"/>
    </row>
    <row r="517" ht="15.75" customHeight="1">
      <c r="A517" s="13"/>
      <c r="B517" s="13" t="s">
        <v>18</v>
      </c>
      <c r="C517" s="169" t="s">
        <v>300</v>
      </c>
      <c r="D517" s="14" t="s">
        <v>20</v>
      </c>
      <c r="E517" s="15"/>
      <c r="F517" s="40">
        <v>6.0</v>
      </c>
      <c r="G517" s="17">
        <v>5.0</v>
      </c>
      <c r="H517" s="17">
        <f t="shared" si="17"/>
        <v>30</v>
      </c>
      <c r="I517" s="18"/>
      <c r="J517" s="18"/>
      <c r="K517" s="13"/>
      <c r="L517" s="27"/>
      <c r="M517" s="27"/>
      <c r="N517" s="27"/>
      <c r="O517" s="27"/>
      <c r="P517" s="27"/>
      <c r="Q517" s="35"/>
      <c r="R517" s="35"/>
      <c r="S517" s="35"/>
      <c r="T517" s="1"/>
      <c r="U517" s="1"/>
      <c r="V517" s="1"/>
    </row>
    <row r="518" ht="15.75" hidden="1" customHeight="1">
      <c r="A518" s="13"/>
      <c r="B518" s="13" t="s">
        <v>18</v>
      </c>
      <c r="C518" s="169" t="s">
        <v>301</v>
      </c>
      <c r="D518" s="14" t="s">
        <v>20</v>
      </c>
      <c r="E518" s="15" t="s">
        <v>302</v>
      </c>
      <c r="F518" s="16">
        <v>0.0</v>
      </c>
      <c r="G518" s="17">
        <v>6.2</v>
      </c>
      <c r="H518" s="17">
        <f t="shared" si="17"/>
        <v>0</v>
      </c>
      <c r="I518" s="18"/>
      <c r="J518" s="18"/>
      <c r="K518" s="13"/>
      <c r="L518" s="27"/>
      <c r="M518" s="27"/>
      <c r="N518" s="27"/>
      <c r="O518" s="27"/>
      <c r="P518" s="27"/>
      <c r="Q518" s="35"/>
      <c r="R518" s="35"/>
      <c r="S518" s="35"/>
      <c r="T518" s="1"/>
      <c r="U518" s="1"/>
      <c r="V518" s="1"/>
    </row>
    <row r="519" ht="15.75" hidden="1" customHeight="1">
      <c r="A519" s="13"/>
      <c r="B519" s="13"/>
      <c r="C519" s="169" t="s">
        <v>303</v>
      </c>
      <c r="D519" s="70" t="s">
        <v>24</v>
      </c>
      <c r="E519" s="15"/>
      <c r="F519" s="16">
        <v>0.0</v>
      </c>
      <c r="G519" s="17">
        <v>40.0</v>
      </c>
      <c r="H519" s="17">
        <f t="shared" si="17"/>
        <v>0</v>
      </c>
      <c r="I519" s="18"/>
      <c r="J519" s="18"/>
      <c r="K519" s="13"/>
      <c r="L519" s="27"/>
      <c r="M519" s="27"/>
      <c r="N519" s="27"/>
      <c r="O519" s="27"/>
      <c r="P519" s="27"/>
      <c r="Q519" s="35"/>
      <c r="R519" s="35"/>
      <c r="S519" s="35"/>
      <c r="T519" s="1"/>
      <c r="U519" s="1"/>
      <c r="V519" s="1"/>
    </row>
    <row r="520" ht="15.75" customHeight="1">
      <c r="A520" s="13"/>
      <c r="B520" s="13" t="s">
        <v>18</v>
      </c>
      <c r="C520" s="195" t="s">
        <v>534</v>
      </c>
      <c r="D520" s="14" t="s">
        <v>20</v>
      </c>
      <c r="E520" s="253" t="s">
        <v>535</v>
      </c>
      <c r="F520" s="16">
        <v>2.0</v>
      </c>
      <c r="G520" s="34">
        <v>78.0</v>
      </c>
      <c r="H520" s="17">
        <f t="shared" si="17"/>
        <v>156</v>
      </c>
      <c r="I520" s="18"/>
      <c r="J520" s="18"/>
      <c r="K520" s="13"/>
      <c r="L520" s="27"/>
      <c r="M520" s="27"/>
      <c r="N520" s="27"/>
      <c r="O520" s="27"/>
      <c r="P520" s="27"/>
      <c r="Q520" s="35"/>
      <c r="R520" s="35"/>
      <c r="S520" s="35"/>
      <c r="T520" s="1"/>
      <c r="U520" s="1"/>
      <c r="V520" s="1"/>
    </row>
    <row r="521" ht="15.75" customHeight="1">
      <c r="A521" s="13"/>
      <c r="B521" s="13" t="s">
        <v>18</v>
      </c>
      <c r="C521" s="169" t="s">
        <v>389</v>
      </c>
      <c r="D521" s="14" t="s">
        <v>20</v>
      </c>
      <c r="E521" s="15"/>
      <c r="F521" s="16">
        <v>2.0</v>
      </c>
      <c r="G521" s="17">
        <v>5.0</v>
      </c>
      <c r="H521" s="17">
        <f t="shared" si="17"/>
        <v>10</v>
      </c>
      <c r="I521" s="18"/>
      <c r="J521" s="18"/>
      <c r="K521" s="13"/>
      <c r="L521" s="27"/>
      <c r="M521" s="27"/>
      <c r="N521" s="27"/>
      <c r="O521" s="27"/>
      <c r="P521" s="27"/>
      <c r="Q521" s="35"/>
      <c r="R521" s="35"/>
      <c r="S521" s="35"/>
      <c r="T521" s="1"/>
      <c r="U521" s="1"/>
      <c r="V521" s="1"/>
    </row>
    <row r="522" ht="15.75" customHeight="1">
      <c r="A522" s="13"/>
      <c r="B522" s="13"/>
      <c r="C522" s="169" t="s">
        <v>304</v>
      </c>
      <c r="D522" s="70" t="s">
        <v>24</v>
      </c>
      <c r="E522" s="15"/>
      <c r="F522" s="16">
        <v>2.0</v>
      </c>
      <c r="G522" s="17">
        <v>120.0</v>
      </c>
      <c r="H522" s="17">
        <f t="shared" si="17"/>
        <v>240</v>
      </c>
      <c r="I522" s="18"/>
      <c r="J522" s="18"/>
      <c r="K522" s="13"/>
      <c r="L522" s="27"/>
      <c r="M522" s="27"/>
      <c r="N522" s="27"/>
      <c r="O522" s="27"/>
      <c r="P522" s="27"/>
      <c r="Q522" s="35"/>
      <c r="R522" s="35"/>
      <c r="S522" s="35"/>
      <c r="T522" s="1"/>
      <c r="U522" s="1"/>
      <c r="V522" s="1"/>
    </row>
    <row r="523" ht="15.75" customHeight="1">
      <c r="A523" s="13"/>
      <c r="B523" s="13" t="s">
        <v>58</v>
      </c>
      <c r="C523" s="169" t="s">
        <v>305</v>
      </c>
      <c r="D523" s="101" t="s">
        <v>32</v>
      </c>
      <c r="E523" s="15" t="s">
        <v>60</v>
      </c>
      <c r="F523" s="16">
        <v>1.0</v>
      </c>
      <c r="G523" s="17">
        <v>0.0</v>
      </c>
      <c r="H523" s="17">
        <f t="shared" si="17"/>
        <v>0</v>
      </c>
      <c r="I523" s="18"/>
      <c r="J523" s="18"/>
      <c r="K523" s="13"/>
      <c r="L523" s="13"/>
      <c r="M523" s="13"/>
      <c r="N523" s="13"/>
      <c r="O523" s="13"/>
      <c r="P523" s="13"/>
      <c r="Q523" s="35"/>
      <c r="R523" s="35"/>
      <c r="S523" s="35"/>
      <c r="T523" s="1"/>
      <c r="U523" s="1"/>
      <c r="V523" s="1"/>
    </row>
    <row r="524" ht="15.75" customHeight="1">
      <c r="A524" s="13"/>
      <c r="B524" s="43" t="s">
        <v>217</v>
      </c>
      <c r="C524" s="169" t="s">
        <v>307</v>
      </c>
      <c r="D524" s="101" t="s">
        <v>32</v>
      </c>
      <c r="E524" s="154">
        <v>78842.0</v>
      </c>
      <c r="F524" s="40">
        <v>2.0</v>
      </c>
      <c r="G524" s="34">
        <v>289.2</v>
      </c>
      <c r="H524" s="17">
        <f t="shared" si="17"/>
        <v>578.4</v>
      </c>
      <c r="I524" s="18"/>
      <c r="J524" s="18"/>
      <c r="K524" s="43">
        <v>289.2</v>
      </c>
      <c r="L524" s="27"/>
      <c r="M524" s="28"/>
      <c r="N524" s="27"/>
      <c r="O524" s="27"/>
      <c r="P524" s="27"/>
      <c r="Q524" s="35"/>
      <c r="R524" s="35"/>
      <c r="S524" s="35"/>
      <c r="T524" s="1"/>
      <c r="U524" s="1"/>
      <c r="V524" s="1"/>
    </row>
    <row r="525" ht="15.75" customHeight="1">
      <c r="A525" s="13"/>
      <c r="B525" s="43" t="s">
        <v>217</v>
      </c>
      <c r="C525" s="169" t="s">
        <v>308</v>
      </c>
      <c r="D525" s="101" t="s">
        <v>32</v>
      </c>
      <c r="E525" s="154">
        <v>78843.0</v>
      </c>
      <c r="F525" s="16">
        <v>1.0</v>
      </c>
      <c r="G525" s="34">
        <v>767.56</v>
      </c>
      <c r="H525" s="17">
        <f t="shared" si="17"/>
        <v>767.56</v>
      </c>
      <c r="I525" s="18"/>
      <c r="J525" s="18"/>
      <c r="K525" s="43">
        <v>767.56</v>
      </c>
      <c r="L525" s="27"/>
      <c r="M525" s="28"/>
      <c r="N525" s="27"/>
      <c r="O525" s="28"/>
      <c r="P525" s="28"/>
      <c r="Q525" s="35"/>
      <c r="R525" s="35"/>
      <c r="S525" s="35"/>
      <c r="T525" s="1"/>
      <c r="U525" s="1"/>
      <c r="V525" s="1"/>
    </row>
    <row r="526" ht="15.75" hidden="1" customHeight="1">
      <c r="A526" s="130"/>
      <c r="B526" s="130" t="s">
        <v>18</v>
      </c>
      <c r="C526" s="175" t="s">
        <v>309</v>
      </c>
      <c r="D526" s="176" t="s">
        <v>20</v>
      </c>
      <c r="E526" s="177" t="s">
        <v>310</v>
      </c>
      <c r="F526" s="178">
        <v>0.0</v>
      </c>
      <c r="G526" s="179">
        <v>15.0</v>
      </c>
      <c r="H526" s="179">
        <f t="shared" si="17"/>
        <v>0</v>
      </c>
      <c r="I526" s="180"/>
      <c r="J526" s="180"/>
      <c r="K526" s="130"/>
      <c r="L526" s="130"/>
      <c r="M526" s="181"/>
      <c r="N526" s="130"/>
      <c r="O526" s="181"/>
      <c r="P526" s="181"/>
      <c r="Q526" s="182"/>
      <c r="R526" s="182"/>
      <c r="S526" s="182"/>
      <c r="T526" s="182"/>
      <c r="U526" s="182"/>
      <c r="V526" s="182"/>
    </row>
    <row r="527" ht="15.75" hidden="1" customHeight="1">
      <c r="A527" s="130"/>
      <c r="B527" s="130" t="s">
        <v>18</v>
      </c>
      <c r="C527" s="175" t="s">
        <v>311</v>
      </c>
      <c r="D527" s="176" t="s">
        <v>20</v>
      </c>
      <c r="E527" s="177" t="s">
        <v>312</v>
      </c>
      <c r="F527" s="178">
        <v>0.0</v>
      </c>
      <c r="G527" s="179">
        <v>15.0</v>
      </c>
      <c r="H527" s="179">
        <f t="shared" si="17"/>
        <v>0</v>
      </c>
      <c r="I527" s="180"/>
      <c r="J527" s="180"/>
      <c r="K527" s="130"/>
      <c r="L527" s="130"/>
      <c r="M527" s="181"/>
      <c r="N527" s="130"/>
      <c r="O527" s="181"/>
      <c r="P527" s="181"/>
      <c r="Q527" s="182"/>
      <c r="R527" s="182"/>
      <c r="S527" s="182"/>
      <c r="T527" s="182"/>
      <c r="U527" s="182"/>
      <c r="V527" s="182"/>
    </row>
    <row r="528" ht="15.75" hidden="1" customHeight="1">
      <c r="A528" s="130"/>
      <c r="B528" s="130" t="s">
        <v>18</v>
      </c>
      <c r="C528" s="175" t="s">
        <v>313</v>
      </c>
      <c r="D528" s="176" t="s">
        <v>20</v>
      </c>
      <c r="E528" s="177" t="s">
        <v>314</v>
      </c>
      <c r="F528" s="178">
        <v>0.0</v>
      </c>
      <c r="G528" s="179">
        <v>1.6</v>
      </c>
      <c r="H528" s="179">
        <f t="shared" si="17"/>
        <v>0</v>
      </c>
      <c r="I528" s="180"/>
      <c r="J528" s="180"/>
      <c r="K528" s="130"/>
      <c r="L528" s="130"/>
      <c r="M528" s="181"/>
      <c r="N528" s="130"/>
      <c r="O528" s="181"/>
      <c r="P528" s="181"/>
      <c r="Q528" s="182"/>
      <c r="R528" s="182"/>
      <c r="S528" s="182"/>
      <c r="T528" s="182"/>
      <c r="U528" s="182"/>
      <c r="V528" s="182"/>
    </row>
    <row r="529" ht="15.75" hidden="1" customHeight="1">
      <c r="A529" s="13"/>
      <c r="B529" s="18" t="s">
        <v>18</v>
      </c>
      <c r="C529" s="169" t="s">
        <v>315</v>
      </c>
      <c r="D529" s="14" t="s">
        <v>20</v>
      </c>
      <c r="E529" s="33" t="s">
        <v>536</v>
      </c>
      <c r="F529" s="40">
        <v>0.0</v>
      </c>
      <c r="G529" s="17">
        <v>40.0</v>
      </c>
      <c r="H529" s="17">
        <f t="shared" si="17"/>
        <v>0</v>
      </c>
      <c r="I529" s="18"/>
      <c r="J529" s="18"/>
      <c r="K529" s="13"/>
      <c r="L529" s="27"/>
      <c r="M529" s="28"/>
      <c r="N529" s="27"/>
      <c r="O529" s="28"/>
      <c r="P529" s="28"/>
      <c r="Q529" s="35"/>
      <c r="R529" s="35"/>
      <c r="S529" s="35"/>
      <c r="T529" s="1"/>
      <c r="U529" s="1"/>
      <c r="V529" s="1"/>
    </row>
    <row r="530" ht="15.75" hidden="1" customHeight="1">
      <c r="A530" s="13"/>
      <c r="B530" s="166"/>
      <c r="C530" s="188" t="s">
        <v>259</v>
      </c>
      <c r="D530" s="167" t="s">
        <v>32</v>
      </c>
      <c r="E530" s="219"/>
      <c r="F530" s="190">
        <v>0.0</v>
      </c>
      <c r="G530" s="192">
        <v>0.0</v>
      </c>
      <c r="H530" s="192">
        <f t="shared" si="17"/>
        <v>0</v>
      </c>
      <c r="I530" s="193"/>
      <c r="J530" s="18"/>
      <c r="K530" s="13"/>
      <c r="L530" s="27"/>
      <c r="M530" s="28"/>
      <c r="N530" s="27"/>
      <c r="O530" s="27"/>
      <c r="P530" s="27"/>
      <c r="Q530" s="35"/>
      <c r="R530" s="35"/>
      <c r="S530" s="35"/>
      <c r="T530" s="1"/>
      <c r="U530" s="1"/>
      <c r="V530" s="1"/>
    </row>
    <row r="531" ht="15.75" hidden="1" customHeight="1">
      <c r="A531" s="13"/>
      <c r="B531" s="166" t="s">
        <v>397</v>
      </c>
      <c r="C531" s="188" t="s">
        <v>318</v>
      </c>
      <c r="D531" s="167" t="s">
        <v>32</v>
      </c>
      <c r="E531" s="219" t="s">
        <v>398</v>
      </c>
      <c r="F531" s="190">
        <v>0.0</v>
      </c>
      <c r="G531" s="192">
        <v>354.0</v>
      </c>
      <c r="H531" s="192">
        <f t="shared" si="17"/>
        <v>0</v>
      </c>
      <c r="I531" s="193"/>
      <c r="J531" s="18"/>
      <c r="K531" s="13"/>
      <c r="L531" s="13"/>
      <c r="M531" s="13"/>
      <c r="N531" s="13"/>
      <c r="O531" s="13"/>
      <c r="P531" s="13"/>
      <c r="Q531" s="35"/>
      <c r="R531" s="35"/>
      <c r="S531" s="35"/>
      <c r="T531" s="1"/>
      <c r="U531" s="1"/>
      <c r="V531" s="1"/>
    </row>
    <row r="532" ht="15.75" hidden="1" customHeight="1">
      <c r="A532" s="13"/>
      <c r="B532" s="13" t="s">
        <v>320</v>
      </c>
      <c r="C532" s="169" t="s">
        <v>321</v>
      </c>
      <c r="D532" s="66" t="s">
        <v>22</v>
      </c>
      <c r="E532" s="15"/>
      <c r="F532" s="16">
        <v>0.0</v>
      </c>
      <c r="G532" s="17">
        <v>10.0</v>
      </c>
      <c r="H532" s="17">
        <f t="shared" si="17"/>
        <v>0</v>
      </c>
      <c r="I532" s="18"/>
      <c r="J532" s="18"/>
      <c r="K532" s="13"/>
      <c r="L532" s="13"/>
      <c r="M532" s="19"/>
      <c r="N532" s="13"/>
      <c r="O532" s="13"/>
      <c r="P532" s="13"/>
      <c r="Q532" s="35"/>
      <c r="R532" s="35"/>
      <c r="S532" s="35"/>
      <c r="T532" s="1"/>
      <c r="U532" s="1"/>
      <c r="V532" s="1"/>
    </row>
    <row r="533" ht="15.75" customHeight="1">
      <c r="A533" s="13"/>
      <c r="B533" s="13" t="s">
        <v>239</v>
      </c>
      <c r="C533" s="195" t="s">
        <v>322</v>
      </c>
      <c r="D533" s="14" t="s">
        <v>20</v>
      </c>
      <c r="E533" s="15"/>
      <c r="F533" s="16">
        <v>1.0</v>
      </c>
      <c r="G533" s="34">
        <v>368.0</v>
      </c>
      <c r="H533" s="17">
        <f t="shared" si="17"/>
        <v>368</v>
      </c>
      <c r="I533" s="18"/>
      <c r="J533" s="18"/>
      <c r="K533" s="13"/>
      <c r="L533" s="13"/>
      <c r="M533" s="19"/>
      <c r="N533" s="13"/>
      <c r="O533" s="19"/>
      <c r="P533" s="19"/>
      <c r="Q533" s="35"/>
      <c r="R533" s="35"/>
      <c r="S533" s="35"/>
      <c r="T533" s="1"/>
      <c r="U533" s="1"/>
      <c r="V533" s="1"/>
    </row>
    <row r="534" ht="15.75" customHeight="1">
      <c r="A534" s="13"/>
      <c r="B534" s="13"/>
      <c r="C534" s="169" t="s">
        <v>323</v>
      </c>
      <c r="D534" s="70" t="s">
        <v>24</v>
      </c>
      <c r="E534" s="15"/>
      <c r="F534" s="16">
        <v>1.0</v>
      </c>
      <c r="G534" s="17">
        <v>80.0</v>
      </c>
      <c r="H534" s="17">
        <f t="shared" si="17"/>
        <v>80</v>
      </c>
      <c r="I534" s="18"/>
      <c r="J534" s="18"/>
      <c r="K534" s="13"/>
      <c r="L534" s="63"/>
      <c r="M534" s="63"/>
      <c r="N534" s="63"/>
      <c r="O534" s="63"/>
      <c r="P534" s="63"/>
      <c r="Q534" s="35"/>
      <c r="R534" s="35"/>
      <c r="S534" s="35"/>
      <c r="T534" s="1"/>
      <c r="U534" s="1"/>
      <c r="V534" s="1"/>
    </row>
    <row r="535" ht="15.75" customHeight="1">
      <c r="A535" s="13"/>
      <c r="B535" s="13"/>
      <c r="C535" s="169" t="s">
        <v>324</v>
      </c>
      <c r="D535" s="14" t="s">
        <v>20</v>
      </c>
      <c r="E535" s="15"/>
      <c r="F535" s="16">
        <v>1.0</v>
      </c>
      <c r="G535" s="17">
        <v>35.0</v>
      </c>
      <c r="H535" s="17">
        <f t="shared" si="17"/>
        <v>35</v>
      </c>
      <c r="I535" s="18"/>
      <c r="J535" s="18"/>
      <c r="K535" s="13"/>
      <c r="L535" s="13"/>
      <c r="M535" s="19"/>
      <c r="N535" s="13"/>
      <c r="O535" s="19"/>
      <c r="P535" s="19"/>
      <c r="Q535" s="35"/>
      <c r="R535" s="35"/>
      <c r="S535" s="35"/>
      <c r="T535" s="1"/>
      <c r="U535" s="1"/>
      <c r="V535" s="1"/>
    </row>
    <row r="536" ht="15.75" hidden="1" customHeight="1">
      <c r="A536" s="13"/>
      <c r="B536" s="13"/>
      <c r="C536" s="169" t="s">
        <v>258</v>
      </c>
      <c r="D536" s="66" t="s">
        <v>22</v>
      </c>
      <c r="E536" s="15"/>
      <c r="F536" s="16">
        <v>0.0</v>
      </c>
      <c r="G536" s="17">
        <v>150.0</v>
      </c>
      <c r="H536" s="17">
        <f t="shared" si="17"/>
        <v>0</v>
      </c>
      <c r="I536" s="18"/>
      <c r="J536" s="18"/>
      <c r="K536" s="13"/>
      <c r="L536" s="13"/>
      <c r="M536" s="19"/>
      <c r="N536" s="13"/>
      <c r="O536" s="19"/>
      <c r="P536" s="19"/>
      <c r="Q536" s="35"/>
      <c r="R536" s="35"/>
      <c r="S536" s="35"/>
      <c r="T536" s="1"/>
      <c r="U536" s="1"/>
      <c r="V536" s="1"/>
    </row>
    <row r="537" ht="15.75" customHeight="1">
      <c r="A537" s="13"/>
      <c r="B537" s="13" t="s">
        <v>18</v>
      </c>
      <c r="C537" s="196" t="s">
        <v>325</v>
      </c>
      <c r="D537" s="150" t="s">
        <v>22</v>
      </c>
      <c r="E537" s="47" t="s">
        <v>326</v>
      </c>
      <c r="F537" s="48">
        <v>1.0</v>
      </c>
      <c r="G537" s="49">
        <v>46.8</v>
      </c>
      <c r="H537" s="50">
        <f t="shared" si="17"/>
        <v>46.8</v>
      </c>
      <c r="I537" s="18"/>
      <c r="J537" s="18"/>
      <c r="K537" s="13"/>
      <c r="L537" s="13"/>
      <c r="M537" s="13"/>
      <c r="N537" s="13"/>
      <c r="O537" s="19"/>
      <c r="P537" s="19"/>
      <c r="Q537" s="35"/>
      <c r="R537" s="35"/>
      <c r="S537" s="35"/>
      <c r="T537" s="1"/>
      <c r="U537" s="1"/>
      <c r="V537" s="1"/>
    </row>
    <row r="538" ht="15.75" hidden="1" customHeight="1">
      <c r="A538" s="13"/>
      <c r="B538" s="13"/>
      <c r="C538" s="197" t="s">
        <v>327</v>
      </c>
      <c r="D538" s="198" t="s">
        <v>22</v>
      </c>
      <c r="E538" s="54" t="s">
        <v>328</v>
      </c>
      <c r="F538" s="56">
        <v>0.0</v>
      </c>
      <c r="G538" s="57">
        <v>321.3</v>
      </c>
      <c r="H538" s="57">
        <f t="shared" si="17"/>
        <v>0</v>
      </c>
      <c r="I538" s="18"/>
      <c r="J538" s="18"/>
      <c r="K538" s="13"/>
      <c r="L538" s="13"/>
      <c r="M538" s="13"/>
      <c r="N538" s="13"/>
      <c r="O538" s="19"/>
      <c r="P538" s="19"/>
      <c r="Q538" s="35"/>
      <c r="R538" s="35"/>
      <c r="S538" s="35"/>
      <c r="T538" s="1"/>
      <c r="U538" s="1"/>
      <c r="V538" s="1"/>
    </row>
    <row r="539" ht="15.75" customHeight="1">
      <c r="A539" s="15"/>
      <c r="B539" s="52" t="s">
        <v>18</v>
      </c>
      <c r="C539" s="196" t="s">
        <v>329</v>
      </c>
      <c r="D539" s="150" t="s">
        <v>22</v>
      </c>
      <c r="E539" s="199" t="s">
        <v>330</v>
      </c>
      <c r="F539" s="48">
        <v>2.0</v>
      </c>
      <c r="G539" s="49">
        <v>25.2</v>
      </c>
      <c r="H539" s="50">
        <f t="shared" si="17"/>
        <v>50.4</v>
      </c>
      <c r="I539" s="51"/>
      <c r="J539" s="51"/>
      <c r="K539" s="52"/>
      <c r="L539" s="52"/>
      <c r="M539" s="52"/>
      <c r="N539" s="52"/>
      <c r="O539" s="200"/>
      <c r="P539" s="200"/>
      <c r="Q539" s="1"/>
      <c r="R539" s="1"/>
      <c r="S539" s="1"/>
      <c r="T539" s="1"/>
      <c r="U539" s="1"/>
      <c r="V539" s="1"/>
    </row>
    <row r="540" ht="15.75" customHeight="1">
      <c r="A540" s="53"/>
      <c r="B540" s="54" t="s">
        <v>18</v>
      </c>
      <c r="C540" s="197" t="s">
        <v>331</v>
      </c>
      <c r="D540" s="198" t="s">
        <v>22</v>
      </c>
      <c r="E540" s="201" t="s">
        <v>332</v>
      </c>
      <c r="F540" s="56">
        <v>1.0</v>
      </c>
      <c r="G540" s="159">
        <v>48.0</v>
      </c>
      <c r="H540" s="57">
        <f t="shared" si="17"/>
        <v>48</v>
      </c>
      <c r="I540" s="58"/>
      <c r="J540" s="58"/>
      <c r="K540" s="54"/>
      <c r="L540" s="54"/>
      <c r="M540" s="54"/>
      <c r="N540" s="54"/>
      <c r="O540" s="202"/>
      <c r="P540" s="202"/>
      <c r="Q540" s="1"/>
      <c r="R540" s="1"/>
      <c r="S540" s="1"/>
      <c r="T540" s="1"/>
      <c r="U540" s="1"/>
      <c r="V540" s="1"/>
    </row>
    <row r="541" ht="15.75" customHeight="1">
      <c r="A541" s="53"/>
      <c r="B541" s="54" t="s">
        <v>18</v>
      </c>
      <c r="C541" s="203" t="s">
        <v>333</v>
      </c>
      <c r="D541" s="198" t="s">
        <v>22</v>
      </c>
      <c r="E541" s="204" t="s">
        <v>334</v>
      </c>
      <c r="F541" s="56">
        <v>1.0</v>
      </c>
      <c r="G541" s="159">
        <v>46.8</v>
      </c>
      <c r="H541" s="57">
        <f t="shared" si="17"/>
        <v>46.8</v>
      </c>
      <c r="I541" s="58"/>
      <c r="J541" s="58"/>
      <c r="K541" s="54"/>
      <c r="L541" s="54"/>
      <c r="M541" s="54"/>
      <c r="N541" s="54"/>
      <c r="O541" s="202"/>
      <c r="P541" s="202"/>
      <c r="Q541" s="1"/>
      <c r="R541" s="1"/>
      <c r="S541" s="1"/>
      <c r="T541" s="1"/>
      <c r="U541" s="1"/>
      <c r="V541" s="1"/>
    </row>
    <row r="542" ht="15.75" hidden="1" customHeight="1">
      <c r="A542" s="53"/>
      <c r="B542" s="52" t="s">
        <v>18</v>
      </c>
      <c r="C542" s="196" t="s">
        <v>335</v>
      </c>
      <c r="D542" s="150" t="s">
        <v>22</v>
      </c>
      <c r="E542" s="52"/>
      <c r="F542" s="48">
        <v>0.0</v>
      </c>
      <c r="G542" s="50">
        <v>29.69</v>
      </c>
      <c r="H542" s="50">
        <f t="shared" si="17"/>
        <v>0</v>
      </c>
      <c r="I542" s="58"/>
      <c r="J542" s="58"/>
      <c r="K542" s="54"/>
      <c r="L542" s="54"/>
      <c r="M542" s="54"/>
      <c r="N542" s="54"/>
      <c r="O542" s="202"/>
      <c r="P542" s="202"/>
      <c r="Q542" s="1"/>
      <c r="R542" s="1"/>
      <c r="S542" s="1"/>
      <c r="T542" s="1"/>
      <c r="U542" s="1"/>
      <c r="V542" s="1"/>
    </row>
    <row r="543" ht="15.75" hidden="1" customHeight="1">
      <c r="A543" s="53"/>
      <c r="B543" s="54" t="s">
        <v>18</v>
      </c>
      <c r="C543" s="197" t="s">
        <v>336</v>
      </c>
      <c r="D543" s="198" t="s">
        <v>22</v>
      </c>
      <c r="E543" s="54" t="s">
        <v>337</v>
      </c>
      <c r="F543" s="56">
        <v>0.0</v>
      </c>
      <c r="G543" s="57">
        <v>29.99</v>
      </c>
      <c r="H543" s="57">
        <f t="shared" si="17"/>
        <v>0</v>
      </c>
      <c r="I543" s="58"/>
      <c r="J543" s="58"/>
      <c r="K543" s="54"/>
      <c r="L543" s="54"/>
      <c r="M543" s="54"/>
      <c r="N543" s="54"/>
      <c r="O543" s="202"/>
      <c r="P543" s="202"/>
      <c r="Q543" s="1"/>
      <c r="R543" s="1"/>
      <c r="S543" s="1"/>
      <c r="T543" s="1"/>
      <c r="U543" s="1"/>
      <c r="V543" s="1"/>
    </row>
    <row r="544" ht="15.75" hidden="1" customHeight="1">
      <c r="A544" s="15"/>
      <c r="B544" s="54" t="s">
        <v>18</v>
      </c>
      <c r="C544" s="203" t="s">
        <v>338</v>
      </c>
      <c r="D544" s="198" t="s">
        <v>22</v>
      </c>
      <c r="E544" s="54" t="s">
        <v>339</v>
      </c>
      <c r="F544" s="56">
        <v>0.0</v>
      </c>
      <c r="G544" s="57">
        <v>16.69</v>
      </c>
      <c r="H544" s="57">
        <f t="shared" si="17"/>
        <v>0</v>
      </c>
      <c r="I544" s="51"/>
      <c r="J544" s="51"/>
      <c r="K544" s="52"/>
      <c r="L544" s="52"/>
      <c r="M544" s="52"/>
      <c r="N544" s="52"/>
      <c r="O544" s="200"/>
      <c r="P544" s="200"/>
      <c r="Q544" s="1"/>
      <c r="R544" s="1"/>
      <c r="S544" s="1"/>
      <c r="T544" s="1"/>
      <c r="U544" s="1"/>
      <c r="V544" s="1"/>
    </row>
    <row r="545" ht="15.75" hidden="1" customHeight="1">
      <c r="A545" s="53"/>
      <c r="B545" s="52" t="s">
        <v>18</v>
      </c>
      <c r="C545" s="196" t="s">
        <v>340</v>
      </c>
      <c r="D545" s="150" t="s">
        <v>22</v>
      </c>
      <c r="E545" s="52"/>
      <c r="F545" s="48">
        <v>0.0</v>
      </c>
      <c r="G545" s="50">
        <v>29.69</v>
      </c>
      <c r="H545" s="50">
        <f t="shared" si="17"/>
        <v>0</v>
      </c>
      <c r="I545" s="58"/>
      <c r="J545" s="58"/>
      <c r="K545" s="54"/>
      <c r="L545" s="54"/>
      <c r="M545" s="54"/>
      <c r="N545" s="54"/>
      <c r="O545" s="202"/>
      <c r="P545" s="202"/>
      <c r="Q545" s="1"/>
      <c r="R545" s="1"/>
      <c r="S545" s="1"/>
      <c r="T545" s="1"/>
      <c r="U545" s="1"/>
      <c r="V545" s="1"/>
    </row>
    <row r="546" ht="15.75" hidden="1" customHeight="1">
      <c r="A546" s="53"/>
      <c r="B546" s="54" t="s">
        <v>18</v>
      </c>
      <c r="C546" s="197" t="s">
        <v>341</v>
      </c>
      <c r="D546" s="198" t="s">
        <v>22</v>
      </c>
      <c r="E546" s="54" t="s">
        <v>337</v>
      </c>
      <c r="F546" s="56">
        <v>0.0</v>
      </c>
      <c r="G546" s="57">
        <v>29.99</v>
      </c>
      <c r="H546" s="57">
        <f t="shared" si="17"/>
        <v>0</v>
      </c>
      <c r="I546" s="58"/>
      <c r="J546" s="58"/>
      <c r="K546" s="54"/>
      <c r="L546" s="54"/>
      <c r="M546" s="54"/>
      <c r="N546" s="54"/>
      <c r="O546" s="202"/>
      <c r="P546" s="202"/>
      <c r="Q546" s="1"/>
      <c r="R546" s="1"/>
      <c r="S546" s="1"/>
      <c r="T546" s="1"/>
      <c r="U546" s="1"/>
      <c r="V546" s="1"/>
    </row>
    <row r="547" ht="15.75" hidden="1" customHeight="1">
      <c r="A547" s="53"/>
      <c r="B547" s="54" t="s">
        <v>18</v>
      </c>
      <c r="C547" s="197" t="s">
        <v>342</v>
      </c>
      <c r="D547" s="198" t="s">
        <v>22</v>
      </c>
      <c r="E547" s="54" t="s">
        <v>343</v>
      </c>
      <c r="F547" s="56">
        <v>0.0</v>
      </c>
      <c r="G547" s="57">
        <v>17.99</v>
      </c>
      <c r="H547" s="57">
        <f t="shared" si="17"/>
        <v>0</v>
      </c>
      <c r="I547" s="58"/>
      <c r="J547" s="58"/>
      <c r="K547" s="54"/>
      <c r="L547" s="54"/>
      <c r="M547" s="54"/>
      <c r="N547" s="54"/>
      <c r="O547" s="202"/>
      <c r="P547" s="202"/>
      <c r="Q547" s="1"/>
      <c r="R547" s="1"/>
      <c r="S547" s="1"/>
      <c r="T547" s="1"/>
      <c r="U547" s="1"/>
      <c r="V547" s="1"/>
    </row>
    <row r="548" ht="15.75" hidden="1" customHeight="1">
      <c r="A548" s="15"/>
      <c r="B548" s="54" t="s">
        <v>18</v>
      </c>
      <c r="C548" s="197" t="s">
        <v>344</v>
      </c>
      <c r="D548" s="198" t="s">
        <v>22</v>
      </c>
      <c r="E548" s="205" t="s">
        <v>345</v>
      </c>
      <c r="F548" s="158">
        <v>0.0</v>
      </c>
      <c r="G548" s="57">
        <v>19.0</v>
      </c>
      <c r="H548" s="57">
        <f t="shared" si="17"/>
        <v>0</v>
      </c>
      <c r="I548" s="51"/>
      <c r="J548" s="51"/>
      <c r="K548" s="52"/>
      <c r="L548" s="52"/>
      <c r="M548" s="52"/>
      <c r="N548" s="52"/>
      <c r="O548" s="200"/>
      <c r="P548" s="200"/>
      <c r="Q548" s="1"/>
      <c r="R548" s="1"/>
      <c r="S548" s="1"/>
      <c r="T548" s="1"/>
      <c r="U548" s="1"/>
      <c r="V548" s="1"/>
    </row>
    <row r="549" ht="15.75" hidden="1" customHeight="1">
      <c r="A549" s="53"/>
      <c r="B549" s="206" t="s">
        <v>18</v>
      </c>
      <c r="C549" s="197" t="s">
        <v>346</v>
      </c>
      <c r="D549" s="198" t="s">
        <v>22</v>
      </c>
      <c r="E549" s="205" t="s">
        <v>347</v>
      </c>
      <c r="F549" s="158">
        <v>0.0</v>
      </c>
      <c r="G549" s="57">
        <v>35.0</v>
      </c>
      <c r="H549" s="57">
        <f t="shared" si="17"/>
        <v>0</v>
      </c>
      <c r="I549" s="58"/>
      <c r="J549" s="58"/>
      <c r="K549" s="54"/>
      <c r="L549" s="54"/>
      <c r="M549" s="54"/>
      <c r="N549" s="54"/>
      <c r="O549" s="202"/>
      <c r="P549" s="202"/>
      <c r="Q549" s="1"/>
      <c r="R549" s="1"/>
      <c r="S549" s="1"/>
      <c r="T549" s="1"/>
      <c r="U549" s="1"/>
      <c r="V549" s="1"/>
    </row>
    <row r="550" ht="15.75" customHeight="1">
      <c r="A550" s="53"/>
      <c r="B550" s="13" t="s">
        <v>18</v>
      </c>
      <c r="C550" s="196" t="s">
        <v>348</v>
      </c>
      <c r="D550" s="150" t="s">
        <v>22</v>
      </c>
      <c r="E550" s="199" t="s">
        <v>349</v>
      </c>
      <c r="F550" s="48">
        <v>1.0</v>
      </c>
      <c r="G550" s="49">
        <v>24.0</v>
      </c>
      <c r="H550" s="50">
        <f t="shared" si="17"/>
        <v>24</v>
      </c>
      <c r="I550" s="58"/>
      <c r="J550" s="58"/>
      <c r="K550" s="54"/>
      <c r="L550" s="54"/>
      <c r="M550" s="54"/>
      <c r="N550" s="54"/>
      <c r="O550" s="202"/>
      <c r="P550" s="202"/>
      <c r="Q550" s="1"/>
      <c r="R550" s="1"/>
      <c r="S550" s="1"/>
      <c r="T550" s="1"/>
      <c r="U550" s="1"/>
      <c r="V550" s="1"/>
    </row>
    <row r="551" ht="15.75" customHeight="1">
      <c r="A551" s="53"/>
      <c r="B551" s="13" t="s">
        <v>350</v>
      </c>
      <c r="C551" s="196" t="s">
        <v>351</v>
      </c>
      <c r="D551" s="150" t="s">
        <v>22</v>
      </c>
      <c r="E551" s="207" t="s">
        <v>352</v>
      </c>
      <c r="F551" s="48">
        <v>1.0</v>
      </c>
      <c r="G551" s="49">
        <v>420.0</v>
      </c>
      <c r="H551" s="50">
        <f t="shared" si="17"/>
        <v>420</v>
      </c>
      <c r="I551" s="58"/>
      <c r="J551" s="58"/>
      <c r="K551" s="54"/>
      <c r="L551" s="54"/>
      <c r="M551" s="54"/>
      <c r="N551" s="54"/>
      <c r="O551" s="202"/>
      <c r="P551" s="202"/>
      <c r="Q551" s="1"/>
      <c r="R551" s="1"/>
      <c r="S551" s="1"/>
      <c r="T551" s="1"/>
      <c r="U551" s="1"/>
      <c r="V551" s="1"/>
    </row>
    <row r="552" ht="15.75" customHeight="1">
      <c r="A552" s="13"/>
      <c r="B552" s="206" t="s">
        <v>350</v>
      </c>
      <c r="C552" s="197" t="s">
        <v>353</v>
      </c>
      <c r="D552" s="198" t="s">
        <v>22</v>
      </c>
      <c r="E552" s="208" t="s">
        <v>352</v>
      </c>
      <c r="F552" s="56">
        <v>1.0</v>
      </c>
      <c r="G552" s="159">
        <v>172.0</v>
      </c>
      <c r="H552" s="57">
        <f t="shared" si="17"/>
        <v>172</v>
      </c>
      <c r="I552" s="18"/>
      <c r="J552" s="18"/>
      <c r="K552" s="13"/>
      <c r="L552" s="13"/>
      <c r="M552" s="13"/>
      <c r="N552" s="13"/>
      <c r="O552" s="19"/>
      <c r="P552" s="19"/>
      <c r="Q552" s="35"/>
      <c r="R552" s="35"/>
      <c r="S552" s="35"/>
      <c r="T552" s="1"/>
      <c r="U552" s="1"/>
      <c r="V552" s="1"/>
    </row>
    <row r="553" ht="15.75" customHeight="1">
      <c r="A553" s="13"/>
      <c r="B553" s="206"/>
      <c r="C553" s="197" t="s">
        <v>354</v>
      </c>
      <c r="D553" s="198" t="s">
        <v>22</v>
      </c>
      <c r="E553" s="208" t="s">
        <v>352</v>
      </c>
      <c r="F553" s="158">
        <v>1.0</v>
      </c>
      <c r="G553" s="159">
        <v>97.0</v>
      </c>
      <c r="H553" s="57">
        <f t="shared" si="17"/>
        <v>97</v>
      </c>
      <c r="I553" s="18"/>
      <c r="J553" s="18"/>
      <c r="K553" s="13"/>
      <c r="L553" s="13"/>
      <c r="M553" s="13"/>
      <c r="N553" s="13"/>
      <c r="O553" s="13"/>
      <c r="P553" s="13"/>
      <c r="Q553" s="35"/>
      <c r="R553" s="35"/>
      <c r="S553" s="35"/>
      <c r="T553" s="1"/>
      <c r="U553" s="1"/>
      <c r="V553" s="1"/>
    </row>
    <row r="554" ht="15.75" hidden="1" customHeight="1">
      <c r="A554" s="13"/>
      <c r="B554" s="156" t="s">
        <v>350</v>
      </c>
      <c r="C554" s="197" t="s">
        <v>355</v>
      </c>
      <c r="D554" s="198" t="s">
        <v>22</v>
      </c>
      <c r="E554" s="208" t="s">
        <v>356</v>
      </c>
      <c r="F554" s="56">
        <v>0.0</v>
      </c>
      <c r="G554" s="159">
        <v>366.0</v>
      </c>
      <c r="H554" s="57">
        <f t="shared" si="17"/>
        <v>0</v>
      </c>
      <c r="I554" s="18"/>
      <c r="J554" s="18"/>
      <c r="K554" s="13"/>
      <c r="L554" s="13"/>
      <c r="M554" s="13"/>
      <c r="N554" s="13"/>
      <c r="O554" s="13"/>
      <c r="P554" s="13"/>
      <c r="Q554" s="35"/>
      <c r="R554" s="35"/>
      <c r="S554" s="35"/>
      <c r="T554" s="1"/>
      <c r="U554" s="1"/>
      <c r="V554" s="1"/>
    </row>
    <row r="555" ht="15.75" hidden="1" customHeight="1">
      <c r="A555" s="13"/>
      <c r="B555" s="206" t="s">
        <v>350</v>
      </c>
      <c r="C555" s="197" t="s">
        <v>357</v>
      </c>
      <c r="D555" s="198" t="s">
        <v>22</v>
      </c>
      <c r="E555" s="208" t="s">
        <v>356</v>
      </c>
      <c r="F555" s="56">
        <v>0.0</v>
      </c>
      <c r="G555" s="159">
        <v>107.5</v>
      </c>
      <c r="H555" s="57">
        <f t="shared" si="17"/>
        <v>0</v>
      </c>
      <c r="I555" s="18"/>
      <c r="J555" s="18"/>
      <c r="K555" s="13"/>
      <c r="L555" s="13"/>
      <c r="M555" s="19"/>
      <c r="N555" s="13"/>
      <c r="O555" s="19"/>
      <c r="P555" s="19"/>
      <c r="Q555" s="35"/>
      <c r="R555" s="35"/>
      <c r="S555" s="35"/>
      <c r="T555" s="1"/>
      <c r="U555" s="1"/>
      <c r="V555" s="1"/>
    </row>
    <row r="556" ht="15.75" hidden="1" customHeight="1">
      <c r="A556" s="13"/>
      <c r="B556" s="156" t="s">
        <v>350</v>
      </c>
      <c r="C556" s="197" t="s">
        <v>358</v>
      </c>
      <c r="D556" s="198" t="s">
        <v>22</v>
      </c>
      <c r="E556" s="208" t="s">
        <v>356</v>
      </c>
      <c r="F556" s="56">
        <v>0.0</v>
      </c>
      <c r="G556" s="159">
        <v>97.0</v>
      </c>
      <c r="H556" s="57">
        <f t="shared" si="17"/>
        <v>0</v>
      </c>
      <c r="I556" s="18"/>
      <c r="J556" s="18"/>
      <c r="K556" s="13"/>
      <c r="L556" s="27"/>
      <c r="M556" s="28"/>
      <c r="N556" s="27"/>
      <c r="O556" s="28"/>
      <c r="P556" s="27"/>
      <c r="Q556" s="35"/>
      <c r="R556" s="35"/>
      <c r="S556" s="35"/>
      <c r="T556" s="1"/>
      <c r="U556" s="1"/>
      <c r="V556" s="1"/>
    </row>
    <row r="557" ht="15.75" hidden="1" customHeight="1">
      <c r="A557" s="13"/>
      <c r="B557" s="13" t="s">
        <v>18</v>
      </c>
      <c r="C557" s="196" t="s">
        <v>359</v>
      </c>
      <c r="D557" s="150" t="s">
        <v>22</v>
      </c>
      <c r="E557" s="52" t="s">
        <v>360</v>
      </c>
      <c r="F557" s="48">
        <v>0.0</v>
      </c>
      <c r="G557" s="50">
        <v>18.0</v>
      </c>
      <c r="H557" s="50">
        <f t="shared" si="17"/>
        <v>0</v>
      </c>
      <c r="I557" s="18"/>
      <c r="J557" s="18"/>
      <c r="K557" s="13"/>
      <c r="L557" s="27"/>
      <c r="M557" s="28"/>
      <c r="N557" s="27"/>
      <c r="O557" s="28"/>
      <c r="P557" s="27"/>
      <c r="Q557" s="35"/>
      <c r="R557" s="35"/>
      <c r="S557" s="35"/>
      <c r="T557" s="1"/>
      <c r="U557" s="1"/>
      <c r="V557" s="1"/>
    </row>
    <row r="558" ht="15.75" customHeight="1">
      <c r="A558" s="13"/>
      <c r="B558" s="13" t="s">
        <v>361</v>
      </c>
      <c r="C558" s="169" t="s">
        <v>362</v>
      </c>
      <c r="D558" s="66" t="s">
        <v>22</v>
      </c>
      <c r="E558" s="15" t="s">
        <v>363</v>
      </c>
      <c r="F558" s="16">
        <v>4.0</v>
      </c>
      <c r="G558" s="17">
        <v>11.0</v>
      </c>
      <c r="H558" s="17">
        <f t="shared" si="17"/>
        <v>44</v>
      </c>
      <c r="I558" s="18"/>
      <c r="J558" s="18"/>
      <c r="K558" s="13"/>
      <c r="L558" s="27"/>
      <c r="M558" s="28"/>
      <c r="N558" s="27"/>
      <c r="O558" s="28"/>
      <c r="P558" s="27"/>
      <c r="Q558" s="35"/>
      <c r="R558" s="35"/>
      <c r="S558" s="35"/>
      <c r="T558" s="1"/>
      <c r="U558" s="1"/>
      <c r="V558" s="1"/>
    </row>
    <row r="559" ht="15.75" hidden="1" customHeight="1">
      <c r="A559" s="13"/>
      <c r="B559" s="13" t="s">
        <v>361</v>
      </c>
      <c r="C559" s="169" t="s">
        <v>364</v>
      </c>
      <c r="D559" s="66" t="s">
        <v>22</v>
      </c>
      <c r="E559" s="15" t="s">
        <v>365</v>
      </c>
      <c r="F559" s="16">
        <v>0.0</v>
      </c>
      <c r="G559" s="17">
        <v>6.0</v>
      </c>
      <c r="H559" s="17">
        <f t="shared" si="17"/>
        <v>0</v>
      </c>
      <c r="I559" s="18"/>
      <c r="J559" s="18"/>
      <c r="K559" s="13"/>
      <c r="L559" s="27"/>
      <c r="M559" s="28"/>
      <c r="N559" s="27"/>
      <c r="O559" s="28"/>
      <c r="P559" s="27"/>
      <c r="Q559" s="35"/>
      <c r="R559" s="35"/>
      <c r="S559" s="35"/>
      <c r="T559" s="1"/>
      <c r="U559" s="1"/>
      <c r="V559" s="1"/>
    </row>
    <row r="560" ht="15.75" customHeight="1">
      <c r="A560" s="13"/>
      <c r="B560" s="13" t="s">
        <v>974</v>
      </c>
      <c r="C560" s="169" t="s">
        <v>263</v>
      </c>
      <c r="D560" s="66" t="s">
        <v>22</v>
      </c>
      <c r="E560" s="15" t="s">
        <v>612</v>
      </c>
      <c r="F560" s="16">
        <v>2.0</v>
      </c>
      <c r="G560" s="17">
        <v>180.0</v>
      </c>
      <c r="H560" s="17">
        <f t="shared" si="17"/>
        <v>360</v>
      </c>
      <c r="I560" s="18"/>
      <c r="J560" s="18"/>
      <c r="K560" s="13"/>
      <c r="L560" s="27"/>
      <c r="M560" s="28"/>
      <c r="N560" s="27"/>
      <c r="O560" s="28"/>
      <c r="P560" s="27"/>
      <c r="Q560" s="35"/>
      <c r="R560" s="35"/>
      <c r="S560" s="35"/>
      <c r="T560" s="1"/>
      <c r="U560" s="1"/>
      <c r="V560" s="1"/>
    </row>
    <row r="561" ht="15.75" customHeight="1">
      <c r="A561" s="13"/>
      <c r="B561" s="13"/>
      <c r="C561" s="13" t="s">
        <v>67</v>
      </c>
      <c r="D561" s="70" t="s">
        <v>24</v>
      </c>
      <c r="E561" s="15"/>
      <c r="F561" s="16">
        <v>2.0</v>
      </c>
      <c r="G561" s="17">
        <v>18.0</v>
      </c>
      <c r="H561" s="17">
        <f t="shared" si="17"/>
        <v>36</v>
      </c>
      <c r="I561" s="18"/>
      <c r="J561" s="18"/>
      <c r="K561" s="13"/>
      <c r="L561" s="95"/>
      <c r="M561" s="96"/>
      <c r="N561" s="95"/>
      <c r="O561" s="95"/>
      <c r="P561" s="95"/>
      <c r="Q561" s="35"/>
      <c r="R561" s="35"/>
      <c r="S561" s="35"/>
      <c r="T561" s="1"/>
      <c r="U561" s="1"/>
      <c r="V561" s="1"/>
    </row>
    <row r="562" ht="15.75" customHeight="1">
      <c r="A562" s="13"/>
      <c r="B562" s="43" t="s">
        <v>88</v>
      </c>
      <c r="C562" s="195" t="s">
        <v>431</v>
      </c>
      <c r="D562" s="14" t="s">
        <v>20</v>
      </c>
      <c r="E562" s="171" t="s">
        <v>412</v>
      </c>
      <c r="F562" s="16">
        <v>1.0</v>
      </c>
      <c r="G562" s="34">
        <v>335.0</v>
      </c>
      <c r="H562" s="17">
        <f t="shared" si="17"/>
        <v>335</v>
      </c>
      <c r="I562" s="18"/>
      <c r="J562" s="18"/>
      <c r="K562" s="13"/>
      <c r="L562" s="95"/>
      <c r="M562" s="96"/>
      <c r="N562" s="95"/>
      <c r="O562" s="95"/>
      <c r="P562" s="95"/>
      <c r="Q562" s="35"/>
      <c r="R562" s="35"/>
      <c r="S562" s="35"/>
      <c r="T562" s="1"/>
      <c r="U562" s="1"/>
      <c r="V562" s="1"/>
    </row>
    <row r="563" ht="15.75" customHeight="1">
      <c r="A563" s="13"/>
      <c r="B563" s="13" t="s">
        <v>18</v>
      </c>
      <c r="C563" s="169" t="s">
        <v>280</v>
      </c>
      <c r="D563" s="14" t="s">
        <v>20</v>
      </c>
      <c r="E563" s="33" t="s">
        <v>368</v>
      </c>
      <c r="F563" s="16">
        <v>1.0</v>
      </c>
      <c r="G563" s="34">
        <v>20.0</v>
      </c>
      <c r="H563" s="17">
        <f t="shared" si="17"/>
        <v>20</v>
      </c>
      <c r="I563" s="18"/>
      <c r="J563" s="18"/>
      <c r="K563" s="13"/>
      <c r="L563" s="13"/>
      <c r="M563" s="19"/>
      <c r="N563" s="13"/>
      <c r="O563" s="19"/>
      <c r="P563" s="19"/>
      <c r="Q563" s="35"/>
      <c r="R563" s="35"/>
      <c r="S563" s="35"/>
      <c r="T563" s="1"/>
      <c r="U563" s="1"/>
      <c r="V563" s="1"/>
    </row>
    <row r="564" ht="15.75" customHeight="1">
      <c r="A564" s="13"/>
      <c r="B564" s="13"/>
      <c r="C564" s="169" t="s">
        <v>282</v>
      </c>
      <c r="D564" s="70" t="s">
        <v>24</v>
      </c>
      <c r="E564" s="15"/>
      <c r="F564" s="16">
        <v>1.0</v>
      </c>
      <c r="G564" s="17">
        <v>80.0</v>
      </c>
      <c r="H564" s="17">
        <f t="shared" si="17"/>
        <v>80</v>
      </c>
      <c r="I564" s="18"/>
      <c r="J564" s="18"/>
      <c r="K564" s="13"/>
      <c r="L564" s="63"/>
      <c r="M564" s="79"/>
      <c r="N564" s="63"/>
      <c r="O564" s="79"/>
      <c r="P564" s="79"/>
      <c r="Q564" s="35"/>
      <c r="R564" s="35"/>
      <c r="S564" s="35"/>
      <c r="T564" s="1"/>
      <c r="U564" s="1"/>
      <c r="V564" s="1"/>
    </row>
    <row r="565" ht="15.75" hidden="1" customHeight="1">
      <c r="A565" s="13"/>
      <c r="B565" s="13" t="s">
        <v>18</v>
      </c>
      <c r="C565" s="169" t="s">
        <v>283</v>
      </c>
      <c r="D565" s="14" t="s">
        <v>20</v>
      </c>
      <c r="E565" s="15" t="s">
        <v>284</v>
      </c>
      <c r="F565" s="16">
        <v>0.0</v>
      </c>
      <c r="G565" s="17">
        <v>12.0</v>
      </c>
      <c r="H565" s="17">
        <f t="shared" si="17"/>
        <v>0</v>
      </c>
      <c r="I565" s="18"/>
      <c r="J565" s="18"/>
      <c r="K565" s="13"/>
      <c r="L565" s="13"/>
      <c r="M565" s="19"/>
      <c r="N565" s="13"/>
      <c r="O565" s="38"/>
      <c r="P565" s="19"/>
      <c r="Q565" s="35"/>
      <c r="R565" s="35"/>
      <c r="S565" s="35"/>
      <c r="T565" s="1"/>
      <c r="U565" s="1"/>
      <c r="V565" s="1"/>
    </row>
    <row r="566" ht="15.75" customHeight="1">
      <c r="A566" s="13"/>
      <c r="B566" s="13" t="s">
        <v>369</v>
      </c>
      <c r="C566" s="169" t="s">
        <v>370</v>
      </c>
      <c r="D566" s="14" t="s">
        <v>20</v>
      </c>
      <c r="E566" s="15">
        <v>8.49069896E8</v>
      </c>
      <c r="F566" s="16">
        <v>1.0</v>
      </c>
      <c r="G566" s="17">
        <v>5.0</v>
      </c>
      <c r="H566" s="17">
        <f t="shared" si="17"/>
        <v>5</v>
      </c>
      <c r="I566" s="18"/>
      <c r="J566" s="18"/>
      <c r="K566" s="13"/>
      <c r="L566" s="27"/>
      <c r="M566" s="27"/>
      <c r="N566" s="27"/>
      <c r="O566" s="27"/>
      <c r="P566" s="27"/>
      <c r="Q566" s="35"/>
      <c r="R566" s="35"/>
      <c r="S566" s="35"/>
      <c r="T566" s="1"/>
      <c r="U566" s="1"/>
      <c r="V566" s="1"/>
    </row>
    <row r="567" ht="15.75" customHeight="1">
      <c r="A567" s="13"/>
      <c r="B567" s="13" t="s">
        <v>18</v>
      </c>
      <c r="C567" s="169" t="s">
        <v>371</v>
      </c>
      <c r="D567" s="14" t="s">
        <v>20</v>
      </c>
      <c r="E567" s="15" t="s">
        <v>286</v>
      </c>
      <c r="F567" s="16">
        <v>2.0</v>
      </c>
      <c r="G567" s="17">
        <v>3.0</v>
      </c>
      <c r="H567" s="17">
        <f t="shared" si="17"/>
        <v>6</v>
      </c>
      <c r="I567" s="18"/>
      <c r="J567" s="18"/>
      <c r="K567" s="13"/>
      <c r="L567" s="63"/>
      <c r="M567" s="63"/>
      <c r="N567" s="63"/>
      <c r="O567" s="63"/>
      <c r="P567" s="63"/>
      <c r="Q567" s="35"/>
      <c r="R567" s="35"/>
      <c r="S567" s="35"/>
      <c r="T567" s="1"/>
      <c r="U567" s="1"/>
      <c r="V567" s="1"/>
    </row>
    <row r="568" ht="15.75" hidden="1" customHeight="1">
      <c r="A568" s="13"/>
      <c r="B568" s="13" t="s">
        <v>18</v>
      </c>
      <c r="C568" s="195" t="s">
        <v>372</v>
      </c>
      <c r="D568" s="14" t="s">
        <v>20</v>
      </c>
      <c r="E568" s="210"/>
      <c r="F568" s="228">
        <v>0.0</v>
      </c>
      <c r="G568" s="212">
        <v>70.0</v>
      </c>
      <c r="H568" s="17">
        <f t="shared" si="17"/>
        <v>0</v>
      </c>
      <c r="I568" s="18"/>
      <c r="J568" s="18"/>
      <c r="K568" s="13"/>
      <c r="L568" s="27"/>
      <c r="M568" s="28"/>
      <c r="N568" s="27"/>
      <c r="O568" s="28"/>
      <c r="P568" s="28"/>
      <c r="Q568" s="35"/>
      <c r="R568" s="35"/>
      <c r="S568" s="35"/>
      <c r="T568" s="1"/>
      <c r="U568" s="1"/>
      <c r="V568" s="1"/>
    </row>
    <row r="569" ht="15.75" hidden="1" customHeight="1">
      <c r="A569" s="13"/>
      <c r="B569" s="13"/>
      <c r="C569" s="169" t="s">
        <v>70</v>
      </c>
      <c r="D569" s="14" t="s">
        <v>20</v>
      </c>
      <c r="E569" s="15"/>
      <c r="F569" s="40">
        <v>0.0</v>
      </c>
      <c r="G569" s="34">
        <v>60.0</v>
      </c>
      <c r="H569" s="17">
        <f t="shared" si="17"/>
        <v>0</v>
      </c>
      <c r="I569" s="18"/>
      <c r="J569" s="18"/>
      <c r="K569" s="18"/>
      <c r="L569" s="13"/>
      <c r="M569" s="19"/>
      <c r="N569" s="13"/>
      <c r="O569" s="19"/>
      <c r="P569" s="19"/>
      <c r="Q569" s="35"/>
      <c r="R569" s="35"/>
      <c r="S569" s="35"/>
      <c r="T569" s="1"/>
      <c r="U569" s="1"/>
      <c r="V569" s="1"/>
    </row>
    <row r="570" ht="15.75" hidden="1" customHeight="1">
      <c r="A570" s="13"/>
      <c r="B570" s="13" t="s">
        <v>373</v>
      </c>
      <c r="C570" s="169" t="s">
        <v>69</v>
      </c>
      <c r="D570" s="14" t="s">
        <v>20</v>
      </c>
      <c r="E570" s="15"/>
      <c r="F570" s="16">
        <v>0.0</v>
      </c>
      <c r="G570" s="17">
        <v>70.0</v>
      </c>
      <c r="H570" s="17">
        <f t="shared" si="17"/>
        <v>0</v>
      </c>
      <c r="I570" s="18"/>
      <c r="J570" s="18"/>
      <c r="K570" s="13"/>
      <c r="L570" s="27"/>
      <c r="M570" s="28"/>
      <c r="N570" s="27"/>
      <c r="O570" s="28"/>
      <c r="P570" s="28"/>
      <c r="Q570" s="35"/>
      <c r="R570" s="35"/>
      <c r="S570" s="35"/>
      <c r="T570" s="1"/>
      <c r="U570" s="1"/>
      <c r="V570" s="1"/>
    </row>
    <row r="571" ht="15.75" hidden="1" customHeight="1">
      <c r="A571" s="13"/>
      <c r="B571" s="13"/>
      <c r="C571" s="169" t="s">
        <v>374</v>
      </c>
      <c r="D571" s="70" t="s">
        <v>24</v>
      </c>
      <c r="E571" s="15"/>
      <c r="F571" s="16">
        <v>0.0</v>
      </c>
      <c r="G571" s="17">
        <v>207.0</v>
      </c>
      <c r="H571" s="17">
        <f t="shared" si="17"/>
        <v>0</v>
      </c>
      <c r="I571" s="239"/>
      <c r="J571" s="239"/>
      <c r="K571" s="170"/>
      <c r="L571" s="107"/>
      <c r="M571" s="214"/>
      <c r="N571" s="13"/>
      <c r="O571" s="13"/>
      <c r="P571" s="13"/>
      <c r="Q571" s="35"/>
      <c r="R571" s="35"/>
      <c r="S571" s="35"/>
      <c r="T571" s="1"/>
      <c r="U571" s="1"/>
      <c r="V571" s="1"/>
    </row>
    <row r="572" ht="15.75" hidden="1" customHeight="1">
      <c r="A572" s="13"/>
      <c r="B572" s="13"/>
      <c r="C572" s="169" t="s">
        <v>375</v>
      </c>
      <c r="D572" s="70" t="s">
        <v>24</v>
      </c>
      <c r="E572" s="15"/>
      <c r="F572" s="16">
        <v>0.0</v>
      </c>
      <c r="G572" s="17">
        <v>450.0</v>
      </c>
      <c r="H572" s="17">
        <f t="shared" si="17"/>
        <v>0</v>
      </c>
      <c r="I572" s="18"/>
      <c r="J572" s="18"/>
      <c r="K572" s="13"/>
      <c r="L572" s="63"/>
      <c r="M572" s="63"/>
      <c r="N572" s="63"/>
      <c r="O572" s="63"/>
      <c r="P572" s="63"/>
      <c r="Q572" s="35"/>
      <c r="R572" s="35"/>
      <c r="S572" s="35"/>
      <c r="T572" s="1"/>
      <c r="U572" s="1"/>
      <c r="V572" s="1"/>
    </row>
    <row r="573" ht="15.75" hidden="1" customHeight="1">
      <c r="A573" s="13"/>
      <c r="B573" s="13"/>
      <c r="C573" s="13" t="s">
        <v>71</v>
      </c>
      <c r="D573" s="213" t="s">
        <v>24</v>
      </c>
      <c r="E573" s="52"/>
      <c r="F573" s="48">
        <v>0.0</v>
      </c>
      <c r="G573" s="50">
        <v>80.0</v>
      </c>
      <c r="H573" s="50">
        <f t="shared" si="17"/>
        <v>0</v>
      </c>
      <c r="I573" s="18"/>
      <c r="J573" s="18"/>
      <c r="K573" s="13" t="s">
        <v>376</v>
      </c>
      <c r="L573" s="63"/>
      <c r="M573" s="63"/>
      <c r="N573" s="63"/>
      <c r="O573" s="63"/>
      <c r="P573" s="63"/>
      <c r="Q573" s="35"/>
      <c r="R573" s="35"/>
      <c r="S573" s="35"/>
      <c r="T573" s="1"/>
      <c r="U573" s="1"/>
      <c r="V573" s="1"/>
    </row>
    <row r="574" ht="15.75" hidden="1" customHeight="1">
      <c r="A574" s="13"/>
      <c r="B574" s="13" t="s">
        <v>18</v>
      </c>
      <c r="C574" s="13" t="s">
        <v>377</v>
      </c>
      <c r="D574" s="14" t="s">
        <v>20</v>
      </c>
      <c r="E574" s="52" t="s">
        <v>28</v>
      </c>
      <c r="F574" s="48">
        <v>0.0</v>
      </c>
      <c r="G574" s="50">
        <v>70.0</v>
      </c>
      <c r="H574" s="50">
        <f t="shared" si="17"/>
        <v>0</v>
      </c>
      <c r="I574" s="18"/>
      <c r="J574" s="18"/>
      <c r="K574" s="13"/>
      <c r="L574" s="63"/>
      <c r="M574" s="63"/>
      <c r="N574" s="63"/>
      <c r="O574" s="63"/>
      <c r="P574" s="63"/>
      <c r="Q574" s="35"/>
      <c r="R574" s="35"/>
      <c r="S574" s="35"/>
      <c r="T574" s="1"/>
      <c r="U574" s="1"/>
      <c r="V574" s="1"/>
    </row>
    <row r="575" ht="15.75" hidden="1" customHeight="1">
      <c r="A575" s="13"/>
      <c r="B575" s="13"/>
      <c r="C575" s="13" t="s">
        <v>221</v>
      </c>
      <c r="D575" s="213" t="s">
        <v>24</v>
      </c>
      <c r="E575" s="52"/>
      <c r="F575" s="215">
        <v>0.0</v>
      </c>
      <c r="G575" s="50">
        <v>50.0</v>
      </c>
      <c r="H575" s="50">
        <f t="shared" si="17"/>
        <v>0</v>
      </c>
      <c r="I575" s="18"/>
      <c r="J575" s="18"/>
      <c r="K575" s="13"/>
      <c r="L575" s="63"/>
      <c r="M575" s="63"/>
      <c r="N575" s="63"/>
      <c r="O575" s="63"/>
      <c r="P575" s="63"/>
      <c r="Q575" s="35"/>
      <c r="R575" s="35"/>
      <c r="S575" s="35"/>
      <c r="T575" s="1"/>
      <c r="U575" s="1"/>
      <c r="V575" s="1"/>
    </row>
    <row r="576" ht="15.75" hidden="1" customHeight="1">
      <c r="A576" s="13"/>
      <c r="B576" s="13"/>
      <c r="C576" s="206" t="s">
        <v>222</v>
      </c>
      <c r="D576" s="216" t="s">
        <v>24</v>
      </c>
      <c r="E576" s="54"/>
      <c r="F576" s="56">
        <v>0.0</v>
      </c>
      <c r="G576" s="57">
        <v>40.0</v>
      </c>
      <c r="H576" s="57">
        <f t="shared" si="17"/>
        <v>0</v>
      </c>
      <c r="I576" s="18"/>
      <c r="J576" s="18"/>
      <c r="K576" s="13"/>
      <c r="L576" s="63"/>
      <c r="M576" s="63"/>
      <c r="N576" s="63"/>
      <c r="O576" s="63"/>
      <c r="P576" s="63"/>
      <c r="Q576" s="35"/>
      <c r="R576" s="35"/>
      <c r="S576" s="35"/>
      <c r="T576" s="1"/>
      <c r="U576" s="1"/>
      <c r="V576" s="1"/>
    </row>
    <row r="577" ht="30.75" customHeight="1">
      <c r="A577" s="217"/>
      <c r="B577" s="240" t="s">
        <v>963</v>
      </c>
      <c r="C577" s="7">
        <f>SUM(H578:H659)</f>
        <v>13243.2</v>
      </c>
      <c r="D577" s="148"/>
      <c r="E577" s="148"/>
      <c r="F577" s="81"/>
      <c r="G577" s="82"/>
      <c r="H577" s="82"/>
      <c r="I577" s="82"/>
      <c r="J577" s="82"/>
      <c r="K577" s="81"/>
      <c r="L577" s="83"/>
      <c r="M577" s="83"/>
      <c r="N577" s="83"/>
      <c r="O577" s="83"/>
      <c r="P577" s="83"/>
      <c r="Q577" s="35"/>
      <c r="R577" s="35"/>
      <c r="S577" s="35"/>
      <c r="T577" s="1"/>
      <c r="U577" s="1"/>
      <c r="V577" s="1"/>
    </row>
    <row r="578" ht="15.75" hidden="1" customHeight="1">
      <c r="A578" s="13"/>
      <c r="B578" s="13"/>
      <c r="C578" s="169" t="s">
        <v>191</v>
      </c>
      <c r="D578" s="66" t="s">
        <v>22</v>
      </c>
      <c r="E578" s="15"/>
      <c r="F578" s="16">
        <v>0.0</v>
      </c>
      <c r="G578" s="17">
        <v>100.0</v>
      </c>
      <c r="H578" s="17">
        <f t="shared" ref="H578:H595" si="18">SUM(F578*G578)</f>
        <v>0</v>
      </c>
      <c r="I578" s="18"/>
      <c r="J578" s="18"/>
      <c r="K578" s="13"/>
      <c r="L578" s="13"/>
      <c r="M578" s="13"/>
      <c r="N578" s="13"/>
      <c r="O578" s="13"/>
      <c r="P578" s="13"/>
      <c r="Q578" s="35"/>
      <c r="R578" s="35"/>
      <c r="S578" s="35"/>
      <c r="T578" s="1"/>
      <c r="U578" s="1"/>
      <c r="V578" s="1"/>
    </row>
    <row r="579" ht="15.75" hidden="1" customHeight="1">
      <c r="A579" s="13"/>
      <c r="B579" s="13" t="s">
        <v>18</v>
      </c>
      <c r="C579" s="169" t="s">
        <v>433</v>
      </c>
      <c r="D579" s="14" t="s">
        <v>20</v>
      </c>
      <c r="E579" s="15"/>
      <c r="F579" s="16">
        <v>0.0</v>
      </c>
      <c r="G579" s="17">
        <v>5.0</v>
      </c>
      <c r="H579" s="17">
        <f t="shared" si="18"/>
        <v>0</v>
      </c>
      <c r="I579" s="18"/>
      <c r="J579" s="18"/>
      <c r="K579" s="13"/>
      <c r="L579" s="13"/>
      <c r="M579" s="13"/>
      <c r="N579" s="13"/>
      <c r="O579" s="13"/>
      <c r="P579" s="13"/>
      <c r="Q579" s="35"/>
      <c r="R579" s="35"/>
      <c r="S579" s="35"/>
      <c r="T579" s="1"/>
      <c r="U579" s="1"/>
      <c r="V579" s="1"/>
    </row>
    <row r="580" ht="15.75" hidden="1" customHeight="1">
      <c r="A580" s="13"/>
      <c r="B580" s="13" t="s">
        <v>18</v>
      </c>
      <c r="C580" s="169" t="s">
        <v>19</v>
      </c>
      <c r="D580" s="14" t="s">
        <v>20</v>
      </c>
      <c r="E580" s="15"/>
      <c r="F580" s="16">
        <v>0.0</v>
      </c>
      <c r="G580" s="17">
        <v>0.0</v>
      </c>
      <c r="H580" s="17">
        <f t="shared" si="18"/>
        <v>0</v>
      </c>
      <c r="I580" s="18"/>
      <c r="J580" s="17"/>
      <c r="K580" s="13"/>
      <c r="L580" s="13"/>
      <c r="M580" s="19"/>
      <c r="N580" s="19"/>
      <c r="O580" s="38"/>
      <c r="P580" s="19"/>
      <c r="Q580" s="35"/>
      <c r="R580" s="35"/>
      <c r="S580" s="35"/>
      <c r="T580" s="1"/>
      <c r="U580" s="1"/>
      <c r="V580" s="1"/>
    </row>
    <row r="581" ht="15.75" hidden="1" customHeight="1">
      <c r="A581" s="13"/>
      <c r="B581" s="13" t="s">
        <v>18</v>
      </c>
      <c r="C581" s="169" t="s">
        <v>434</v>
      </c>
      <c r="D581" s="14" t="s">
        <v>20</v>
      </c>
      <c r="E581" s="15"/>
      <c r="F581" s="16">
        <v>0.0</v>
      </c>
      <c r="G581" s="17">
        <v>5.0</v>
      </c>
      <c r="H581" s="17">
        <f t="shared" si="18"/>
        <v>0</v>
      </c>
      <c r="I581" s="18"/>
      <c r="J581" s="17"/>
      <c r="K581" s="13"/>
      <c r="L581" s="13"/>
      <c r="M581" s="19"/>
      <c r="N581" s="19"/>
      <c r="O581" s="38"/>
      <c r="P581" s="19"/>
      <c r="Q581" s="35"/>
      <c r="R581" s="35"/>
      <c r="S581" s="35"/>
      <c r="T581" s="1"/>
      <c r="U581" s="1"/>
      <c r="V581" s="1"/>
    </row>
    <row r="582" ht="15.75" hidden="1" customHeight="1">
      <c r="A582" s="13"/>
      <c r="B582" s="13"/>
      <c r="C582" s="169" t="s">
        <v>435</v>
      </c>
      <c r="D582" s="70" t="s">
        <v>24</v>
      </c>
      <c r="E582" s="15"/>
      <c r="F582" s="16">
        <v>0.0</v>
      </c>
      <c r="G582" s="17">
        <v>103.5</v>
      </c>
      <c r="H582" s="17">
        <f t="shared" si="18"/>
        <v>0</v>
      </c>
      <c r="I582" s="18"/>
      <c r="J582" s="17"/>
      <c r="K582" s="13"/>
      <c r="L582" s="13"/>
      <c r="M582" s="19"/>
      <c r="N582" s="19"/>
      <c r="O582" s="38"/>
      <c r="P582" s="19"/>
      <c r="Q582" s="35"/>
      <c r="R582" s="35"/>
      <c r="S582" s="35"/>
      <c r="T582" s="1"/>
      <c r="U582" s="1"/>
      <c r="V582" s="1"/>
    </row>
    <row r="583" ht="15.75" hidden="1" customHeight="1">
      <c r="A583" s="13"/>
      <c r="B583" s="13" t="s">
        <v>18</v>
      </c>
      <c r="C583" s="169" t="s">
        <v>296</v>
      </c>
      <c r="D583" s="14" t="s">
        <v>20</v>
      </c>
      <c r="E583" s="15"/>
      <c r="F583" s="16">
        <v>0.0</v>
      </c>
      <c r="G583" s="17">
        <v>200.0</v>
      </c>
      <c r="H583" s="17">
        <f t="shared" si="18"/>
        <v>0</v>
      </c>
      <c r="I583" s="18"/>
      <c r="J583" s="17"/>
      <c r="K583" s="13"/>
      <c r="L583" s="13"/>
      <c r="M583" s="19"/>
      <c r="N583" s="19"/>
      <c r="O583" s="38"/>
      <c r="P583" s="19"/>
      <c r="Q583" s="35"/>
      <c r="R583" s="35"/>
      <c r="S583" s="35"/>
      <c r="T583" s="1"/>
      <c r="U583" s="1"/>
      <c r="V583" s="1"/>
    </row>
    <row r="584" ht="15.75" hidden="1" customHeight="1">
      <c r="A584" s="13"/>
      <c r="B584" s="13" t="s">
        <v>18</v>
      </c>
      <c r="C584" s="169" t="s">
        <v>300</v>
      </c>
      <c r="D584" s="14" t="s">
        <v>20</v>
      </c>
      <c r="E584" s="15"/>
      <c r="F584" s="16">
        <v>0.0</v>
      </c>
      <c r="G584" s="17">
        <v>5.0</v>
      </c>
      <c r="H584" s="17">
        <f t="shared" si="18"/>
        <v>0</v>
      </c>
      <c r="I584" s="18"/>
      <c r="J584" s="17"/>
      <c r="K584" s="13"/>
      <c r="L584" s="13"/>
      <c r="M584" s="19"/>
      <c r="N584" s="19"/>
      <c r="O584" s="38"/>
      <c r="P584" s="19"/>
      <c r="Q584" s="35"/>
      <c r="R584" s="35"/>
      <c r="S584" s="35"/>
      <c r="T584" s="1"/>
      <c r="U584" s="1"/>
      <c r="V584" s="1"/>
    </row>
    <row r="585" ht="15.75" hidden="1" customHeight="1">
      <c r="A585" s="13"/>
      <c r="B585" s="13"/>
      <c r="C585" s="169" t="s">
        <v>380</v>
      </c>
      <c r="D585" s="70" t="s">
        <v>24</v>
      </c>
      <c r="E585" s="15"/>
      <c r="F585" s="16">
        <v>0.0</v>
      </c>
      <c r="G585" s="17">
        <v>95.0</v>
      </c>
      <c r="H585" s="17">
        <f t="shared" si="18"/>
        <v>0</v>
      </c>
      <c r="I585" s="18"/>
      <c r="J585" s="17"/>
      <c r="K585" s="13"/>
      <c r="L585" s="13"/>
      <c r="M585" s="19"/>
      <c r="N585" s="19"/>
      <c r="O585" s="38"/>
      <c r="P585" s="19"/>
      <c r="Q585" s="35"/>
      <c r="R585" s="35"/>
      <c r="S585" s="35"/>
      <c r="T585" s="1"/>
      <c r="U585" s="1"/>
      <c r="V585" s="1"/>
    </row>
    <row r="586" ht="15.75" hidden="1" customHeight="1">
      <c r="A586" s="13"/>
      <c r="B586" s="13"/>
      <c r="C586" s="169" t="s">
        <v>440</v>
      </c>
      <c r="D586" s="70" t="s">
        <v>24</v>
      </c>
      <c r="E586" s="15"/>
      <c r="F586" s="16">
        <v>0.0</v>
      </c>
      <c r="G586" s="17">
        <v>200.0</v>
      </c>
      <c r="H586" s="17">
        <f t="shared" si="18"/>
        <v>0</v>
      </c>
      <c r="I586" s="18"/>
      <c r="J586" s="17"/>
      <c r="K586" s="13"/>
      <c r="L586" s="13"/>
      <c r="M586" s="19"/>
      <c r="N586" s="19"/>
      <c r="O586" s="38"/>
      <c r="P586" s="19"/>
      <c r="Q586" s="35"/>
      <c r="R586" s="35"/>
      <c r="S586" s="35"/>
      <c r="T586" s="1"/>
      <c r="U586" s="1"/>
      <c r="V586" s="1"/>
    </row>
    <row r="587" ht="15.75" customHeight="1">
      <c r="A587" s="13"/>
      <c r="B587" s="13" t="s">
        <v>637</v>
      </c>
      <c r="C587" s="169" t="s">
        <v>436</v>
      </c>
      <c r="D587" s="101" t="s">
        <v>32</v>
      </c>
      <c r="E587" s="219"/>
      <c r="F587" s="190">
        <v>1.0</v>
      </c>
      <c r="G587" s="191">
        <v>11000.0</v>
      </c>
      <c r="H587" s="192">
        <f t="shared" si="18"/>
        <v>11000</v>
      </c>
      <c r="I587" s="193"/>
      <c r="J587" s="18"/>
      <c r="K587" s="13"/>
      <c r="L587" s="13"/>
      <c r="M587" s="19"/>
      <c r="N587" s="13"/>
      <c r="O587" s="19"/>
      <c r="P587" s="13"/>
      <c r="Q587" s="35"/>
      <c r="R587" s="35"/>
      <c r="S587" s="35"/>
      <c r="T587" s="1"/>
      <c r="U587" s="1"/>
      <c r="V587" s="1"/>
    </row>
    <row r="588" ht="15.75" hidden="1" customHeight="1">
      <c r="A588" s="13"/>
      <c r="B588" s="13"/>
      <c r="C588" s="169" t="s">
        <v>307</v>
      </c>
      <c r="D588" s="101" t="s">
        <v>32</v>
      </c>
      <c r="E588" s="219"/>
      <c r="F588" s="190">
        <v>0.0</v>
      </c>
      <c r="G588" s="192">
        <v>0.0</v>
      </c>
      <c r="H588" s="192">
        <f t="shared" si="18"/>
        <v>0</v>
      </c>
      <c r="I588" s="193"/>
      <c r="J588" s="18"/>
      <c r="K588" s="13"/>
      <c r="L588" s="27"/>
      <c r="M588" s="27"/>
      <c r="N588" s="27"/>
      <c r="O588" s="27"/>
      <c r="P588" s="27"/>
      <c r="Q588" s="35"/>
      <c r="R588" s="35"/>
      <c r="S588" s="35"/>
      <c r="T588" s="1"/>
      <c r="U588" s="1"/>
      <c r="V588" s="1"/>
    </row>
    <row r="589" ht="15.75" customHeight="1">
      <c r="A589" s="13"/>
      <c r="B589" s="220" t="s">
        <v>18</v>
      </c>
      <c r="C589" s="169" t="s">
        <v>308</v>
      </c>
      <c r="D589" s="101" t="s">
        <v>32</v>
      </c>
      <c r="E589" s="171" t="s">
        <v>437</v>
      </c>
      <c r="F589" s="190">
        <v>1.0</v>
      </c>
      <c r="G589" s="191">
        <v>288.0</v>
      </c>
      <c r="H589" s="192">
        <f t="shared" si="18"/>
        <v>288</v>
      </c>
      <c r="I589" s="193"/>
      <c r="J589" s="18"/>
      <c r="K589" s="13"/>
      <c r="L589" s="27"/>
      <c r="M589" s="241"/>
      <c r="N589" s="27"/>
      <c r="O589" s="27"/>
      <c r="P589" s="27"/>
      <c r="Q589" s="35"/>
      <c r="R589" s="35"/>
      <c r="S589" s="35"/>
      <c r="T589" s="1"/>
      <c r="U589" s="1"/>
      <c r="V589" s="1"/>
    </row>
    <row r="590" ht="15.75" customHeight="1">
      <c r="A590" s="13"/>
      <c r="B590" s="18" t="s">
        <v>18</v>
      </c>
      <c r="C590" s="195" t="s">
        <v>439</v>
      </c>
      <c r="D590" s="46" t="s">
        <v>20</v>
      </c>
      <c r="E590" s="52"/>
      <c r="F590" s="215">
        <v>1.0</v>
      </c>
      <c r="G590" s="49">
        <v>20.0</v>
      </c>
      <c r="H590" s="50">
        <f t="shared" si="18"/>
        <v>20</v>
      </c>
      <c r="I590" s="193"/>
      <c r="J590" s="18"/>
      <c r="K590" s="13"/>
      <c r="L590" s="27"/>
      <c r="M590" s="241"/>
      <c r="N590" s="27"/>
      <c r="O590" s="27"/>
      <c r="P590" s="27"/>
      <c r="Q590" s="35"/>
      <c r="R590" s="35"/>
      <c r="S590" s="35"/>
      <c r="T590" s="1"/>
      <c r="U590" s="1"/>
      <c r="V590" s="1"/>
    </row>
    <row r="591" ht="15.75" hidden="1" customHeight="1">
      <c r="A591" s="13"/>
      <c r="B591" s="13"/>
      <c r="C591" s="169" t="s">
        <v>541</v>
      </c>
      <c r="D591" s="66" t="s">
        <v>22</v>
      </c>
      <c r="E591" s="15"/>
      <c r="F591" s="16">
        <v>0.0</v>
      </c>
      <c r="G591" s="17">
        <v>30.0</v>
      </c>
      <c r="H591" s="17">
        <f t="shared" si="18"/>
        <v>0</v>
      </c>
      <c r="I591" s="18"/>
      <c r="J591" s="18"/>
      <c r="K591" s="13"/>
      <c r="L591" s="13"/>
      <c r="M591" s="13"/>
      <c r="N591" s="13"/>
      <c r="O591" s="13"/>
      <c r="P591" s="13"/>
      <c r="Q591" s="35"/>
      <c r="R591" s="35"/>
      <c r="S591" s="35"/>
      <c r="T591" s="1"/>
      <c r="U591" s="1"/>
      <c r="V591" s="1"/>
    </row>
    <row r="592" ht="15.75" hidden="1" customHeight="1">
      <c r="A592" s="13"/>
      <c r="B592" s="13" t="s">
        <v>454</v>
      </c>
      <c r="C592" s="169" t="s">
        <v>321</v>
      </c>
      <c r="D592" s="66" t="s">
        <v>22</v>
      </c>
      <c r="E592" s="15"/>
      <c r="F592" s="16">
        <v>0.0</v>
      </c>
      <c r="G592" s="17">
        <v>10.0</v>
      </c>
      <c r="H592" s="17">
        <f t="shared" si="18"/>
        <v>0</v>
      </c>
      <c r="I592" s="18"/>
      <c r="J592" s="18"/>
      <c r="K592" s="13"/>
      <c r="L592" s="13"/>
      <c r="M592" s="19"/>
      <c r="N592" s="13"/>
      <c r="O592" s="13"/>
      <c r="P592" s="13"/>
      <c r="Q592" s="35"/>
      <c r="R592" s="35"/>
      <c r="S592" s="35"/>
      <c r="T592" s="1"/>
      <c r="U592" s="1"/>
      <c r="V592" s="1"/>
    </row>
    <row r="593" ht="15.75" customHeight="1">
      <c r="A593" s="13"/>
      <c r="B593" s="43" t="s">
        <v>18</v>
      </c>
      <c r="C593" s="169" t="s">
        <v>394</v>
      </c>
      <c r="D593" s="66" t="s">
        <v>22</v>
      </c>
      <c r="E593" s="171" t="s">
        <v>964</v>
      </c>
      <c r="F593" s="16">
        <v>4.0</v>
      </c>
      <c r="G593" s="34">
        <v>85.0</v>
      </c>
      <c r="H593" s="17">
        <f t="shared" si="18"/>
        <v>340</v>
      </c>
      <c r="I593" s="18"/>
      <c r="J593" s="18"/>
      <c r="K593" s="13"/>
      <c r="L593" s="13"/>
      <c r="M593" s="13"/>
      <c r="N593" s="13"/>
      <c r="O593" s="13"/>
      <c r="P593" s="13"/>
      <c r="Q593" s="35"/>
      <c r="R593" s="35"/>
      <c r="S593" s="35"/>
      <c r="T593" s="1"/>
      <c r="U593" s="1"/>
      <c r="V593" s="1"/>
    </row>
    <row r="594" ht="15.75" hidden="1" customHeight="1">
      <c r="A594" s="13"/>
      <c r="B594" s="13" t="s">
        <v>18</v>
      </c>
      <c r="C594" s="196" t="s">
        <v>544</v>
      </c>
      <c r="D594" s="66" t="s">
        <v>22</v>
      </c>
      <c r="E594" s="246" t="s">
        <v>545</v>
      </c>
      <c r="F594" s="215">
        <v>0.0</v>
      </c>
      <c r="G594" s="50">
        <v>21.0</v>
      </c>
      <c r="H594" s="17">
        <f t="shared" si="18"/>
        <v>0</v>
      </c>
      <c r="I594" s="51"/>
      <c r="J594" s="18"/>
      <c r="K594" s="13"/>
      <c r="L594" s="13"/>
      <c r="M594" s="13"/>
      <c r="N594" s="13"/>
      <c r="O594" s="13"/>
      <c r="P594" s="13"/>
      <c r="Q594" s="35"/>
      <c r="R594" s="35"/>
      <c r="S594" s="35"/>
      <c r="T594" s="1"/>
      <c r="U594" s="1"/>
      <c r="V594" s="1"/>
    </row>
    <row r="595" ht="15.75" customHeight="1">
      <c r="A595" s="13"/>
      <c r="B595" s="13" t="s">
        <v>965</v>
      </c>
      <c r="C595" s="196" t="s">
        <v>405</v>
      </c>
      <c r="D595" s="66" t="s">
        <v>22</v>
      </c>
      <c r="E595" s="207" t="s">
        <v>446</v>
      </c>
      <c r="F595" s="215">
        <v>5.0</v>
      </c>
      <c r="G595" s="50">
        <v>25.0</v>
      </c>
      <c r="H595" s="17">
        <f t="shared" si="18"/>
        <v>125</v>
      </c>
      <c r="I595" s="51"/>
      <c r="J595" s="18"/>
      <c r="K595" s="13"/>
      <c r="L595" s="13"/>
      <c r="M595" s="13"/>
      <c r="N595" s="13"/>
      <c r="O595" s="13"/>
      <c r="P595" s="13"/>
      <c r="Q595" s="35"/>
      <c r="R595" s="35"/>
      <c r="S595" s="35"/>
      <c r="T595" s="1"/>
      <c r="U595" s="1"/>
      <c r="V595" s="1"/>
    </row>
    <row r="596" ht="15.75" hidden="1" customHeight="1">
      <c r="A596" s="13"/>
      <c r="B596" s="13" t="s">
        <v>548</v>
      </c>
      <c r="C596" s="196" t="s">
        <v>549</v>
      </c>
      <c r="D596" s="66" t="s">
        <v>22</v>
      </c>
      <c r="E596" s="207"/>
      <c r="F596" s="215">
        <v>0.0</v>
      </c>
      <c r="G596" s="50"/>
      <c r="H596" s="17"/>
      <c r="I596" s="51"/>
      <c r="J596" s="18"/>
      <c r="K596" s="13"/>
      <c r="L596" s="13"/>
      <c r="M596" s="13"/>
      <c r="N596" s="13"/>
      <c r="O596" s="13"/>
      <c r="P596" s="13"/>
      <c r="Q596" s="35"/>
      <c r="R596" s="35"/>
      <c r="S596" s="35"/>
      <c r="T596" s="1"/>
      <c r="U596" s="1"/>
      <c r="V596" s="1"/>
    </row>
    <row r="597" ht="15.75" hidden="1" customHeight="1">
      <c r="A597" s="170"/>
      <c r="B597" s="13" t="s">
        <v>18</v>
      </c>
      <c r="C597" s="196" t="s">
        <v>550</v>
      </c>
      <c r="D597" s="66" t="s">
        <v>22</v>
      </c>
      <c r="E597" s="262" t="s">
        <v>551</v>
      </c>
      <c r="F597" s="263">
        <v>0.0</v>
      </c>
      <c r="G597" s="264">
        <v>19.0</v>
      </c>
      <c r="H597" s="265">
        <f t="shared" ref="H597:H685" si="19">SUM(F597*G597)</f>
        <v>0</v>
      </c>
      <c r="I597" s="266"/>
      <c r="J597" s="239"/>
      <c r="K597" s="170"/>
      <c r="L597" s="170"/>
      <c r="M597" s="170"/>
      <c r="N597" s="170"/>
      <c r="O597" s="170"/>
      <c r="P597" s="170"/>
      <c r="Q597" s="267"/>
      <c r="R597" s="267"/>
      <c r="S597" s="267"/>
      <c r="T597" s="268"/>
      <c r="U597" s="268"/>
      <c r="V597" s="268"/>
    </row>
    <row r="598" ht="15.75" customHeight="1">
      <c r="A598" s="13"/>
      <c r="B598" s="13" t="s">
        <v>399</v>
      </c>
      <c r="C598" s="196" t="s">
        <v>364</v>
      </c>
      <c r="D598" s="150" t="s">
        <v>22</v>
      </c>
      <c r="E598" s="52" t="s">
        <v>365</v>
      </c>
      <c r="F598" s="215">
        <v>8.0</v>
      </c>
      <c r="G598" s="50">
        <v>6.0</v>
      </c>
      <c r="H598" s="50">
        <f t="shared" si="19"/>
        <v>48</v>
      </c>
      <c r="I598" s="50"/>
      <c r="J598" s="18"/>
      <c r="K598" s="13"/>
      <c r="L598" s="13"/>
      <c r="M598" s="13"/>
      <c r="N598" s="13"/>
      <c r="O598" s="13"/>
      <c r="P598" s="13"/>
      <c r="Q598" s="35"/>
      <c r="R598" s="35"/>
      <c r="S598" s="35"/>
      <c r="T598" s="1"/>
      <c r="U598" s="1"/>
      <c r="V598" s="1"/>
    </row>
    <row r="599" ht="15.75" hidden="1" customHeight="1">
      <c r="A599" s="13"/>
      <c r="B599" s="13"/>
      <c r="C599" s="169" t="s">
        <v>401</v>
      </c>
      <c r="D599" s="150" t="s">
        <v>22</v>
      </c>
      <c r="E599" s="52"/>
      <c r="F599" s="48">
        <v>0.0</v>
      </c>
      <c r="G599" s="50">
        <v>25.0</v>
      </c>
      <c r="H599" s="50">
        <f t="shared" si="19"/>
        <v>0</v>
      </c>
      <c r="I599" s="50"/>
      <c r="J599" s="18"/>
      <c r="K599" s="13"/>
      <c r="L599" s="13"/>
      <c r="M599" s="13"/>
      <c r="N599" s="13"/>
      <c r="O599" s="13"/>
      <c r="P599" s="13"/>
      <c r="Q599" s="35"/>
      <c r="R599" s="35"/>
      <c r="S599" s="35"/>
      <c r="T599" s="1"/>
      <c r="U599" s="1"/>
      <c r="V599" s="1"/>
    </row>
    <row r="600" ht="15.75" hidden="1" customHeight="1">
      <c r="A600" s="13"/>
      <c r="B600" s="13"/>
      <c r="C600" s="169" t="s">
        <v>405</v>
      </c>
      <c r="D600" s="150" t="s">
        <v>22</v>
      </c>
      <c r="E600" s="52"/>
      <c r="F600" s="48">
        <v>0.0</v>
      </c>
      <c r="G600" s="50">
        <v>25.0</v>
      </c>
      <c r="H600" s="50">
        <f t="shared" si="19"/>
        <v>0</v>
      </c>
      <c r="I600" s="50"/>
      <c r="J600" s="18"/>
      <c r="K600" s="13"/>
      <c r="L600" s="13"/>
      <c r="M600" s="13"/>
      <c r="N600" s="13"/>
      <c r="O600" s="13"/>
      <c r="P600" s="13"/>
      <c r="Q600" s="35"/>
      <c r="R600" s="35"/>
      <c r="S600" s="35"/>
      <c r="T600" s="1"/>
      <c r="U600" s="1"/>
      <c r="V600" s="1"/>
    </row>
    <row r="601" ht="15.75" hidden="1" customHeight="1">
      <c r="A601" s="13"/>
      <c r="B601" s="13" t="s">
        <v>18</v>
      </c>
      <c r="C601" s="244" t="s">
        <v>442</v>
      </c>
      <c r="D601" s="198" t="s">
        <v>22</v>
      </c>
      <c r="E601" s="54"/>
      <c r="F601" s="56">
        <v>0.0</v>
      </c>
      <c r="G601" s="57">
        <v>30.0</v>
      </c>
      <c r="H601" s="50">
        <f t="shared" si="19"/>
        <v>0</v>
      </c>
      <c r="I601" s="57"/>
      <c r="J601" s="18"/>
      <c r="K601" s="13"/>
      <c r="L601" s="13"/>
      <c r="M601" s="13"/>
      <c r="N601" s="13"/>
      <c r="O601" s="13"/>
      <c r="P601" s="13"/>
      <c r="Q601" s="35"/>
      <c r="R601" s="35"/>
      <c r="S601" s="35"/>
      <c r="T601" s="1"/>
      <c r="U601" s="1"/>
      <c r="V601" s="1"/>
    </row>
    <row r="602" ht="15.75" hidden="1" customHeight="1">
      <c r="A602" s="13"/>
      <c r="B602" s="13" t="s">
        <v>539</v>
      </c>
      <c r="C602" s="244" t="s">
        <v>553</v>
      </c>
      <c r="D602" s="198" t="s">
        <v>22</v>
      </c>
      <c r="E602" s="54" t="s">
        <v>554</v>
      </c>
      <c r="F602" s="158">
        <v>0.0</v>
      </c>
      <c r="G602" s="57">
        <v>0.0</v>
      </c>
      <c r="H602" s="50">
        <f t="shared" si="19"/>
        <v>0</v>
      </c>
      <c r="I602" s="57"/>
      <c r="J602" s="18"/>
      <c r="K602" s="13"/>
      <c r="L602" s="13"/>
      <c r="M602" s="13"/>
      <c r="N602" s="13"/>
      <c r="O602" s="13"/>
      <c r="P602" s="13"/>
      <c r="Q602" s="35"/>
      <c r="R602" s="35"/>
      <c r="S602" s="35"/>
      <c r="T602" s="1"/>
      <c r="U602" s="1"/>
      <c r="V602" s="1"/>
    </row>
    <row r="603" ht="15.75" hidden="1" customHeight="1">
      <c r="A603" s="13"/>
      <c r="B603" s="13" t="s">
        <v>18</v>
      </c>
      <c r="C603" s="244" t="s">
        <v>555</v>
      </c>
      <c r="D603" s="198" t="s">
        <v>22</v>
      </c>
      <c r="E603" s="201" t="s">
        <v>556</v>
      </c>
      <c r="F603" s="158">
        <v>0.0</v>
      </c>
      <c r="G603" s="57">
        <v>13.95</v>
      </c>
      <c r="H603" s="50">
        <f t="shared" si="19"/>
        <v>0</v>
      </c>
      <c r="I603" s="57"/>
      <c r="J603" s="18"/>
      <c r="K603" s="13"/>
      <c r="L603" s="13"/>
      <c r="M603" s="13"/>
      <c r="N603" s="13"/>
      <c r="O603" s="13"/>
      <c r="P603" s="13"/>
      <c r="Q603" s="35"/>
      <c r="R603" s="35"/>
      <c r="S603" s="35"/>
      <c r="T603" s="1"/>
      <c r="U603" s="1"/>
      <c r="V603" s="1"/>
    </row>
    <row r="604" ht="15.75" customHeight="1">
      <c r="A604" s="13"/>
      <c r="B604" s="13" t="s">
        <v>18</v>
      </c>
      <c r="C604" s="244" t="s">
        <v>452</v>
      </c>
      <c r="D604" s="198" t="s">
        <v>22</v>
      </c>
      <c r="E604" s="54"/>
      <c r="F604" s="158">
        <v>3.0</v>
      </c>
      <c r="G604" s="159">
        <v>40.0</v>
      </c>
      <c r="H604" s="50">
        <f t="shared" si="19"/>
        <v>120</v>
      </c>
      <c r="I604" s="57"/>
      <c r="J604" s="18"/>
      <c r="K604" s="13"/>
      <c r="L604" s="13"/>
      <c r="M604" s="13"/>
      <c r="N604" s="13"/>
      <c r="O604" s="13"/>
      <c r="P604" s="13"/>
      <c r="Q604" s="35"/>
      <c r="R604" s="35"/>
      <c r="S604" s="35"/>
      <c r="T604" s="1"/>
      <c r="U604" s="1"/>
      <c r="V604" s="1"/>
    </row>
    <row r="605" ht="15.75" hidden="1" customHeight="1">
      <c r="A605" s="13"/>
      <c r="B605" s="13" t="s">
        <v>18</v>
      </c>
      <c r="C605" s="244" t="s">
        <v>452</v>
      </c>
      <c r="D605" s="198" t="s">
        <v>22</v>
      </c>
      <c r="E605" s="201" t="s">
        <v>558</v>
      </c>
      <c r="F605" s="158">
        <v>0.0</v>
      </c>
      <c r="G605" s="57">
        <v>39.0</v>
      </c>
      <c r="H605" s="50">
        <f t="shared" si="19"/>
        <v>0</v>
      </c>
      <c r="I605" s="57"/>
      <c r="J605" s="18"/>
      <c r="K605" s="13"/>
      <c r="L605" s="13"/>
      <c r="M605" s="13"/>
      <c r="N605" s="13"/>
      <c r="O605" s="13"/>
      <c r="P605" s="13"/>
      <c r="Q605" s="35"/>
      <c r="R605" s="35"/>
      <c r="S605" s="35"/>
      <c r="T605" s="1"/>
      <c r="U605" s="1"/>
      <c r="V605" s="1"/>
    </row>
    <row r="606" ht="15.75" customHeight="1">
      <c r="A606" s="13"/>
      <c r="B606" s="13" t="s">
        <v>18</v>
      </c>
      <c r="C606" s="244" t="s">
        <v>455</v>
      </c>
      <c r="D606" s="198" t="s">
        <v>22</v>
      </c>
      <c r="E606" s="201" t="s">
        <v>456</v>
      </c>
      <c r="F606" s="56">
        <v>1.0</v>
      </c>
      <c r="G606" s="57">
        <v>32.0</v>
      </c>
      <c r="H606" s="50">
        <f t="shared" si="19"/>
        <v>32</v>
      </c>
      <c r="I606" s="57"/>
      <c r="J606" s="18"/>
      <c r="K606" s="13"/>
      <c r="L606" s="13"/>
      <c r="M606" s="13"/>
      <c r="N606" s="13"/>
      <c r="O606" s="13"/>
      <c r="P606" s="13"/>
      <c r="Q606" s="35"/>
      <c r="R606" s="35"/>
      <c r="S606" s="35"/>
      <c r="T606" s="1"/>
      <c r="U606" s="1"/>
      <c r="V606" s="1"/>
    </row>
    <row r="607" ht="15.75" hidden="1" customHeight="1">
      <c r="A607" s="13"/>
      <c r="B607" s="13" t="s">
        <v>539</v>
      </c>
      <c r="C607" s="244" t="s">
        <v>559</v>
      </c>
      <c r="D607" s="198" t="s">
        <v>22</v>
      </c>
      <c r="E607" s="54" t="s">
        <v>560</v>
      </c>
      <c r="F607" s="158">
        <v>0.0</v>
      </c>
      <c r="G607" s="57">
        <v>0.0</v>
      </c>
      <c r="H607" s="50">
        <f t="shared" si="19"/>
        <v>0</v>
      </c>
      <c r="I607" s="57"/>
      <c r="J607" s="18"/>
      <c r="K607" s="13"/>
      <c r="L607" s="13"/>
      <c r="M607" s="13"/>
      <c r="N607" s="13"/>
      <c r="O607" s="13"/>
      <c r="P607" s="13"/>
      <c r="Q607" s="35"/>
      <c r="R607" s="35"/>
      <c r="S607" s="35"/>
      <c r="T607" s="1"/>
      <c r="U607" s="1"/>
      <c r="V607" s="1"/>
    </row>
    <row r="608" ht="15.75" hidden="1" customHeight="1">
      <c r="A608" s="13"/>
      <c r="B608" s="13" t="s">
        <v>18</v>
      </c>
      <c r="C608" s="244" t="s">
        <v>19</v>
      </c>
      <c r="D608" s="198" t="s">
        <v>22</v>
      </c>
      <c r="E608" s="201" t="s">
        <v>561</v>
      </c>
      <c r="F608" s="158">
        <v>0.0</v>
      </c>
      <c r="G608" s="57">
        <v>37.0</v>
      </c>
      <c r="H608" s="50">
        <f t="shared" si="19"/>
        <v>0</v>
      </c>
      <c r="I608" s="57"/>
      <c r="J608" s="18"/>
      <c r="K608" s="13"/>
      <c r="L608" s="13"/>
      <c r="M608" s="13"/>
      <c r="N608" s="13"/>
      <c r="O608" s="13"/>
      <c r="P608" s="13"/>
      <c r="Q608" s="35"/>
      <c r="R608" s="35"/>
      <c r="S608" s="35"/>
      <c r="T608" s="1"/>
      <c r="U608" s="1"/>
      <c r="V608" s="1"/>
    </row>
    <row r="609" ht="15.75" hidden="1" customHeight="1">
      <c r="A609" s="13"/>
      <c r="B609" s="13" t="s">
        <v>18</v>
      </c>
      <c r="C609" s="244" t="s">
        <v>562</v>
      </c>
      <c r="D609" s="198" t="s">
        <v>22</v>
      </c>
      <c r="E609" s="201" t="s">
        <v>563</v>
      </c>
      <c r="F609" s="158">
        <v>0.0</v>
      </c>
      <c r="G609" s="57">
        <v>120.0</v>
      </c>
      <c r="H609" s="50">
        <f t="shared" si="19"/>
        <v>0</v>
      </c>
      <c r="I609" s="57"/>
      <c r="J609" s="18"/>
      <c r="K609" s="13"/>
      <c r="L609" s="13"/>
      <c r="M609" s="13"/>
      <c r="N609" s="13"/>
      <c r="O609" s="13"/>
      <c r="P609" s="13"/>
      <c r="Q609" s="35"/>
      <c r="R609" s="35"/>
      <c r="S609" s="35"/>
      <c r="T609" s="1"/>
      <c r="U609" s="1"/>
      <c r="V609" s="1"/>
    </row>
    <row r="610" ht="15.75" hidden="1" customHeight="1">
      <c r="A610" s="13"/>
      <c r="B610" s="13" t="s">
        <v>18</v>
      </c>
      <c r="C610" s="244" t="s">
        <v>564</v>
      </c>
      <c r="D610" s="198" t="s">
        <v>22</v>
      </c>
      <c r="E610" s="201" t="s">
        <v>565</v>
      </c>
      <c r="F610" s="158">
        <v>0.0</v>
      </c>
      <c r="G610" s="57">
        <v>20.0</v>
      </c>
      <c r="H610" s="50">
        <f t="shared" si="19"/>
        <v>0</v>
      </c>
      <c r="I610" s="57"/>
      <c r="J610" s="18"/>
      <c r="K610" s="13"/>
      <c r="L610" s="13"/>
      <c r="M610" s="13"/>
      <c r="N610" s="13"/>
      <c r="O610" s="13"/>
      <c r="P610" s="13"/>
      <c r="Q610" s="35"/>
      <c r="R610" s="35"/>
      <c r="S610" s="35"/>
      <c r="T610" s="1"/>
      <c r="U610" s="1"/>
      <c r="V610" s="1"/>
    </row>
    <row r="611" ht="15.75" customHeight="1">
      <c r="A611" s="13"/>
      <c r="B611" s="13" t="s">
        <v>953</v>
      </c>
      <c r="C611" s="244" t="s">
        <v>258</v>
      </c>
      <c r="D611" s="198" t="s">
        <v>22</v>
      </c>
      <c r="E611" s="54"/>
      <c r="F611" s="56">
        <v>1.0</v>
      </c>
      <c r="G611" s="57">
        <v>250.0</v>
      </c>
      <c r="H611" s="50">
        <f t="shared" si="19"/>
        <v>250</v>
      </c>
      <c r="I611" s="57"/>
      <c r="J611" s="18"/>
      <c r="K611" s="13"/>
      <c r="L611" s="13"/>
      <c r="M611" s="13"/>
      <c r="N611" s="13"/>
      <c r="O611" s="13"/>
      <c r="P611" s="13"/>
      <c r="Q611" s="35"/>
      <c r="R611" s="35"/>
      <c r="S611" s="35"/>
      <c r="T611" s="1"/>
      <c r="U611" s="1"/>
      <c r="V611" s="1"/>
    </row>
    <row r="612" ht="15.75" customHeight="1">
      <c r="A612" s="13"/>
      <c r="B612" s="13" t="s">
        <v>239</v>
      </c>
      <c r="C612" s="195" t="s">
        <v>406</v>
      </c>
      <c r="D612" s="14" t="s">
        <v>20</v>
      </c>
      <c r="E612" s="15"/>
      <c r="F612" s="16">
        <v>1.0</v>
      </c>
      <c r="G612" s="34">
        <v>300.0</v>
      </c>
      <c r="H612" s="17">
        <f t="shared" si="19"/>
        <v>300</v>
      </c>
      <c r="I612" s="18"/>
      <c r="J612" s="18"/>
      <c r="K612" s="13"/>
      <c r="L612" s="13"/>
      <c r="M612" s="13"/>
      <c r="N612" s="13"/>
      <c r="O612" s="13"/>
      <c r="P612" s="13"/>
      <c r="Q612" s="35"/>
      <c r="R612" s="35"/>
      <c r="S612" s="35"/>
      <c r="T612" s="1"/>
      <c r="U612" s="1"/>
      <c r="V612" s="1"/>
    </row>
    <row r="613" ht="15.75" hidden="1" customHeight="1">
      <c r="A613" s="13"/>
      <c r="B613" s="13"/>
      <c r="C613" s="169" t="s">
        <v>323</v>
      </c>
      <c r="D613" s="70" t="s">
        <v>24</v>
      </c>
      <c r="E613" s="15"/>
      <c r="F613" s="16">
        <v>0.0</v>
      </c>
      <c r="G613" s="17">
        <v>80.0</v>
      </c>
      <c r="H613" s="17">
        <f t="shared" si="19"/>
        <v>0</v>
      </c>
      <c r="I613" s="18"/>
      <c r="J613" s="18"/>
      <c r="K613" s="13"/>
      <c r="L613" s="13"/>
      <c r="M613" s="13"/>
      <c r="N613" s="13"/>
      <c r="O613" s="13"/>
      <c r="P613" s="13"/>
      <c r="Q613" s="35"/>
      <c r="R613" s="35"/>
      <c r="S613" s="35"/>
      <c r="T613" s="1"/>
      <c r="U613" s="1"/>
      <c r="V613" s="1"/>
    </row>
    <row r="614" ht="15.75" hidden="1" customHeight="1">
      <c r="A614" s="13"/>
      <c r="B614" s="13"/>
      <c r="C614" s="169" t="s">
        <v>324</v>
      </c>
      <c r="D614" s="14" t="s">
        <v>20</v>
      </c>
      <c r="E614" s="15"/>
      <c r="F614" s="16">
        <v>0.0</v>
      </c>
      <c r="G614" s="17">
        <v>35.0</v>
      </c>
      <c r="H614" s="17">
        <f t="shared" si="19"/>
        <v>0</v>
      </c>
      <c r="I614" s="18"/>
      <c r="J614" s="18"/>
      <c r="K614" s="13"/>
      <c r="L614" s="13"/>
      <c r="M614" s="19"/>
      <c r="N614" s="13"/>
      <c r="O614" s="19"/>
      <c r="P614" s="19"/>
      <c r="Q614" s="35"/>
      <c r="R614" s="35"/>
      <c r="S614" s="35"/>
      <c r="T614" s="1"/>
      <c r="U614" s="1"/>
      <c r="V614" s="1"/>
    </row>
    <row r="615" ht="15.75" hidden="1" customHeight="1">
      <c r="A615" s="13"/>
      <c r="B615" s="13"/>
      <c r="C615" s="169" t="s">
        <v>469</v>
      </c>
      <c r="D615" s="70" t="s">
        <v>24</v>
      </c>
      <c r="E615" s="15"/>
      <c r="F615" s="16">
        <v>0.0</v>
      </c>
      <c r="G615" s="17">
        <v>290.0</v>
      </c>
      <c r="H615" s="17">
        <f t="shared" si="19"/>
        <v>0</v>
      </c>
      <c r="I615" s="18"/>
      <c r="J615" s="18"/>
      <c r="K615" s="13"/>
      <c r="L615" s="63"/>
      <c r="M615" s="63"/>
      <c r="N615" s="63"/>
      <c r="O615" s="63"/>
      <c r="P615" s="63"/>
      <c r="Q615" s="35"/>
      <c r="R615" s="35"/>
      <c r="S615" s="35"/>
      <c r="T615" s="1"/>
      <c r="U615" s="1"/>
      <c r="V615" s="1"/>
    </row>
    <row r="616" ht="15.75" hidden="1" customHeight="1">
      <c r="A616" s="13"/>
      <c r="B616" s="13"/>
      <c r="C616" s="169" t="s">
        <v>470</v>
      </c>
      <c r="D616" s="14" t="s">
        <v>20</v>
      </c>
      <c r="E616" s="15"/>
      <c r="F616" s="16">
        <v>0.0</v>
      </c>
      <c r="G616" s="17">
        <v>150.0</v>
      </c>
      <c r="H616" s="17">
        <f t="shared" si="19"/>
        <v>0</v>
      </c>
      <c r="I616" s="18"/>
      <c r="J616" s="18"/>
      <c r="K616" s="13"/>
      <c r="L616" s="13"/>
      <c r="M616" s="19"/>
      <c r="N616" s="13"/>
      <c r="O616" s="19"/>
      <c r="P616" s="19"/>
      <c r="Q616" s="35"/>
      <c r="R616" s="35"/>
      <c r="S616" s="35"/>
      <c r="T616" s="1"/>
      <c r="U616" s="1"/>
      <c r="V616" s="1"/>
    </row>
    <row r="617" ht="15.75" hidden="1" customHeight="1">
      <c r="A617" s="13"/>
      <c r="B617" s="13"/>
      <c r="C617" s="169" t="s">
        <v>471</v>
      </c>
      <c r="D617" s="70" t="s">
        <v>24</v>
      </c>
      <c r="E617" s="15"/>
      <c r="F617" s="16">
        <v>0.0</v>
      </c>
      <c r="G617" s="17">
        <v>250.0</v>
      </c>
      <c r="H617" s="17">
        <f t="shared" si="19"/>
        <v>0</v>
      </c>
      <c r="I617" s="18"/>
      <c r="J617" s="18"/>
      <c r="K617" s="13"/>
      <c r="L617" s="13"/>
      <c r="M617" s="19"/>
      <c r="N617" s="13"/>
      <c r="O617" s="19"/>
      <c r="P617" s="19"/>
      <c r="Q617" s="35"/>
      <c r="R617" s="35"/>
      <c r="S617" s="35"/>
      <c r="T617" s="1"/>
      <c r="U617" s="1"/>
      <c r="V617" s="1"/>
    </row>
    <row r="618" ht="15.75" hidden="1" customHeight="1">
      <c r="A618" s="13"/>
      <c r="B618" s="13"/>
      <c r="C618" s="247" t="s">
        <v>472</v>
      </c>
      <c r="D618" s="14" t="s">
        <v>20</v>
      </c>
      <c r="E618" s="15"/>
      <c r="F618" s="16">
        <v>0.0</v>
      </c>
      <c r="G618" s="17">
        <v>150.0</v>
      </c>
      <c r="H618" s="17">
        <f t="shared" si="19"/>
        <v>0</v>
      </c>
      <c r="I618" s="18"/>
      <c r="J618" s="18"/>
      <c r="K618" s="13"/>
      <c r="L618" s="13"/>
      <c r="M618" s="19"/>
      <c r="N618" s="13"/>
      <c r="O618" s="19"/>
      <c r="P618" s="19"/>
      <c r="Q618" s="35"/>
      <c r="R618" s="35"/>
      <c r="S618" s="35"/>
      <c r="T618" s="1"/>
      <c r="U618" s="1"/>
      <c r="V618" s="1"/>
    </row>
    <row r="619" ht="15.75" hidden="1" customHeight="1">
      <c r="A619" s="13"/>
      <c r="B619" s="13" t="s">
        <v>18</v>
      </c>
      <c r="C619" s="196" t="s">
        <v>309</v>
      </c>
      <c r="D619" s="46" t="s">
        <v>20</v>
      </c>
      <c r="E619" s="207" t="s">
        <v>473</v>
      </c>
      <c r="F619" s="48">
        <v>0.0</v>
      </c>
      <c r="G619" s="50">
        <v>20.0</v>
      </c>
      <c r="H619" s="50">
        <f t="shared" si="19"/>
        <v>0</v>
      </c>
      <c r="I619" s="18"/>
      <c r="J619" s="18"/>
      <c r="K619" s="13"/>
      <c r="L619" s="13"/>
      <c r="M619" s="19"/>
      <c r="N619" s="13"/>
      <c r="O619" s="19"/>
      <c r="P619" s="19"/>
      <c r="Q619" s="35"/>
      <c r="R619" s="35"/>
      <c r="S619" s="35"/>
      <c r="T619" s="1"/>
      <c r="U619" s="1"/>
      <c r="V619" s="1"/>
    </row>
    <row r="620" ht="15.75" hidden="1" customHeight="1">
      <c r="A620" s="13"/>
      <c r="B620" s="206" t="s">
        <v>18</v>
      </c>
      <c r="C620" s="197" t="s">
        <v>474</v>
      </c>
      <c r="D620" s="55" t="s">
        <v>20</v>
      </c>
      <c r="E620" s="208" t="s">
        <v>475</v>
      </c>
      <c r="F620" s="56">
        <v>0.0</v>
      </c>
      <c r="G620" s="57">
        <v>24.0</v>
      </c>
      <c r="H620" s="57">
        <f t="shared" si="19"/>
        <v>0</v>
      </c>
      <c r="I620" s="18"/>
      <c r="J620" s="18"/>
      <c r="K620" s="13"/>
      <c r="L620" s="13"/>
      <c r="M620" s="19"/>
      <c r="N620" s="13"/>
      <c r="O620" s="19"/>
      <c r="P620" s="19"/>
      <c r="Q620" s="35"/>
      <c r="R620" s="35"/>
      <c r="S620" s="35"/>
      <c r="T620" s="1"/>
      <c r="U620" s="1"/>
      <c r="V620" s="1"/>
    </row>
    <row r="621" ht="15.75" hidden="1" customHeight="1">
      <c r="A621" s="13"/>
      <c r="B621" s="13"/>
      <c r="C621" s="169" t="s">
        <v>258</v>
      </c>
      <c r="D621" s="66" t="s">
        <v>22</v>
      </c>
      <c r="E621" s="15"/>
      <c r="F621" s="16">
        <v>0.0</v>
      </c>
      <c r="G621" s="17">
        <v>150.0</v>
      </c>
      <c r="H621" s="17">
        <f t="shared" si="19"/>
        <v>0</v>
      </c>
      <c r="I621" s="18"/>
      <c r="J621" s="17"/>
      <c r="K621" s="13"/>
      <c r="L621" s="13"/>
      <c r="M621" s="13"/>
      <c r="N621" s="13"/>
      <c r="O621" s="19"/>
      <c r="P621" s="19"/>
      <c r="Q621" s="35"/>
      <c r="R621" s="35"/>
      <c r="S621" s="35"/>
      <c r="T621" s="1"/>
      <c r="U621" s="1"/>
      <c r="V621" s="1"/>
    </row>
    <row r="622" ht="15.75" hidden="1" customHeight="1">
      <c r="A622" s="13"/>
      <c r="B622" s="13" t="s">
        <v>18</v>
      </c>
      <c r="C622" s="169" t="s">
        <v>476</v>
      </c>
      <c r="D622" s="66" t="s">
        <v>22</v>
      </c>
      <c r="E622" s="15" t="s">
        <v>477</v>
      </c>
      <c r="F622" s="16">
        <v>0.0</v>
      </c>
      <c r="G622" s="17">
        <v>15.0</v>
      </c>
      <c r="H622" s="17">
        <f t="shared" si="19"/>
        <v>0</v>
      </c>
      <c r="I622" s="18"/>
      <c r="J622" s="18"/>
      <c r="K622" s="13"/>
      <c r="L622" s="13"/>
      <c r="M622" s="13"/>
      <c r="N622" s="13"/>
      <c r="O622" s="13"/>
      <c r="P622" s="13"/>
      <c r="Q622" s="35"/>
      <c r="R622" s="35"/>
      <c r="S622" s="35"/>
      <c r="T622" s="1"/>
      <c r="U622" s="1"/>
      <c r="V622" s="1"/>
    </row>
    <row r="623" ht="15.75" hidden="1" customHeight="1">
      <c r="A623" s="13"/>
      <c r="B623" s="13"/>
      <c r="C623" s="169" t="s">
        <v>478</v>
      </c>
      <c r="D623" s="14" t="s">
        <v>20</v>
      </c>
      <c r="E623" s="15"/>
      <c r="F623" s="16">
        <v>0.0</v>
      </c>
      <c r="G623" s="17">
        <v>500.0</v>
      </c>
      <c r="H623" s="17">
        <f t="shared" si="19"/>
        <v>0</v>
      </c>
      <c r="I623" s="18"/>
      <c r="J623" s="18"/>
      <c r="K623" s="13"/>
      <c r="L623" s="13"/>
      <c r="M623" s="13"/>
      <c r="N623" s="13"/>
      <c r="O623" s="13"/>
      <c r="P623" s="13"/>
      <c r="Q623" s="35"/>
      <c r="R623" s="35"/>
      <c r="S623" s="35"/>
      <c r="T623" s="1"/>
      <c r="U623" s="1"/>
      <c r="V623" s="1"/>
    </row>
    <row r="624" ht="15.75" hidden="1" customHeight="1">
      <c r="A624" s="13"/>
      <c r="B624" s="13"/>
      <c r="C624" s="13" t="s">
        <v>479</v>
      </c>
      <c r="D624" s="70" t="s">
        <v>24</v>
      </c>
      <c r="E624" s="15"/>
      <c r="F624" s="16">
        <v>0.0</v>
      </c>
      <c r="G624" s="17">
        <v>210.0</v>
      </c>
      <c r="H624" s="17">
        <f t="shared" si="19"/>
        <v>0</v>
      </c>
      <c r="I624" s="18"/>
      <c r="J624" s="18"/>
      <c r="K624" s="13"/>
      <c r="L624" s="63"/>
      <c r="M624" s="63"/>
      <c r="N624" s="63"/>
      <c r="O624" s="63"/>
      <c r="P624" s="63"/>
      <c r="Q624" s="35"/>
      <c r="R624" s="35"/>
      <c r="S624" s="35"/>
      <c r="T624" s="1"/>
      <c r="U624" s="1"/>
      <c r="V624" s="1"/>
    </row>
    <row r="625" ht="15.75" hidden="1" customHeight="1">
      <c r="A625" s="13"/>
      <c r="B625" s="13"/>
      <c r="C625" s="169" t="s">
        <v>480</v>
      </c>
      <c r="D625" s="14" t="s">
        <v>20</v>
      </c>
      <c r="E625" s="15"/>
      <c r="F625" s="16">
        <v>0.0</v>
      </c>
      <c r="G625" s="17">
        <v>155.0</v>
      </c>
      <c r="H625" s="17">
        <f t="shared" si="19"/>
        <v>0</v>
      </c>
      <c r="I625" s="18"/>
      <c r="J625" s="18"/>
      <c r="K625" s="13"/>
      <c r="L625" s="13"/>
      <c r="M625" s="13"/>
      <c r="N625" s="13"/>
      <c r="O625" s="13"/>
      <c r="P625" s="13"/>
      <c r="Q625" s="35"/>
      <c r="R625" s="35"/>
      <c r="S625" s="35"/>
      <c r="T625" s="1"/>
      <c r="U625" s="1"/>
      <c r="V625" s="1"/>
    </row>
    <row r="626" ht="15.75" hidden="1" customHeight="1">
      <c r="A626" s="13"/>
      <c r="B626" s="13"/>
      <c r="C626" s="169" t="s">
        <v>481</v>
      </c>
      <c r="D626" s="70" t="s">
        <v>24</v>
      </c>
      <c r="E626" s="15"/>
      <c r="F626" s="16">
        <v>0.0</v>
      </c>
      <c r="G626" s="17">
        <v>70.0</v>
      </c>
      <c r="H626" s="17">
        <f t="shared" si="19"/>
        <v>0</v>
      </c>
      <c r="I626" s="18"/>
      <c r="J626" s="18"/>
      <c r="K626" s="13"/>
      <c r="L626" s="13"/>
      <c r="M626" s="19"/>
      <c r="N626" s="13"/>
      <c r="O626" s="19"/>
      <c r="P626" s="19"/>
      <c r="Q626" s="35"/>
      <c r="R626" s="35"/>
      <c r="S626" s="35"/>
      <c r="T626" s="1"/>
      <c r="U626" s="1"/>
      <c r="V626" s="1"/>
    </row>
    <row r="627" ht="15.75" hidden="1" customHeight="1">
      <c r="A627" s="13"/>
      <c r="B627" s="13"/>
      <c r="C627" s="169" t="s">
        <v>482</v>
      </c>
      <c r="D627" s="14" t="s">
        <v>20</v>
      </c>
      <c r="E627" s="15"/>
      <c r="F627" s="16">
        <v>0.0</v>
      </c>
      <c r="G627" s="17">
        <v>400.0</v>
      </c>
      <c r="H627" s="17">
        <f t="shared" si="19"/>
        <v>0</v>
      </c>
      <c r="I627" s="18"/>
      <c r="J627" s="17"/>
      <c r="K627" s="13"/>
      <c r="L627" s="13"/>
      <c r="M627" s="19"/>
      <c r="N627" s="13"/>
      <c r="O627" s="19"/>
      <c r="P627" s="19"/>
      <c r="Q627" s="35"/>
      <c r="R627" s="35"/>
      <c r="S627" s="35"/>
      <c r="T627" s="1"/>
      <c r="U627" s="1"/>
      <c r="V627" s="1"/>
    </row>
    <row r="628" ht="15.75" hidden="1" customHeight="1">
      <c r="A628" s="13"/>
      <c r="B628" s="13"/>
      <c r="C628" s="169" t="s">
        <v>483</v>
      </c>
      <c r="D628" s="14" t="s">
        <v>20</v>
      </c>
      <c r="E628" s="15"/>
      <c r="F628" s="16">
        <v>0.0</v>
      </c>
      <c r="G628" s="17">
        <v>440.0</v>
      </c>
      <c r="H628" s="17">
        <f t="shared" si="19"/>
        <v>0</v>
      </c>
      <c r="I628" s="18"/>
      <c r="J628" s="17"/>
      <c r="K628" s="13"/>
      <c r="L628" s="13"/>
      <c r="M628" s="19"/>
      <c r="N628" s="13"/>
      <c r="O628" s="19"/>
      <c r="P628" s="19"/>
      <c r="Q628" s="35"/>
      <c r="R628" s="35"/>
      <c r="S628" s="35"/>
      <c r="T628" s="1"/>
      <c r="U628" s="1"/>
      <c r="V628" s="1"/>
    </row>
    <row r="629" ht="15.75" hidden="1" customHeight="1">
      <c r="A629" s="13"/>
      <c r="B629" s="13"/>
      <c r="C629" s="169" t="s">
        <v>484</v>
      </c>
      <c r="D629" s="70" t="s">
        <v>24</v>
      </c>
      <c r="E629" s="15"/>
      <c r="F629" s="16">
        <v>0.0</v>
      </c>
      <c r="G629" s="17">
        <v>90.0</v>
      </c>
      <c r="H629" s="17">
        <f t="shared" si="19"/>
        <v>0</v>
      </c>
      <c r="I629" s="18"/>
      <c r="J629" s="17"/>
      <c r="K629" s="13"/>
      <c r="L629" s="63"/>
      <c r="M629" s="79"/>
      <c r="N629" s="63"/>
      <c r="O629" s="79"/>
      <c r="P629" s="79"/>
      <c r="Q629" s="35"/>
      <c r="R629" s="35"/>
      <c r="S629" s="35"/>
      <c r="T629" s="1"/>
      <c r="U629" s="1"/>
      <c r="V629" s="1"/>
    </row>
    <row r="630" ht="15.75" hidden="1" customHeight="1">
      <c r="A630" s="13"/>
      <c r="B630" s="13"/>
      <c r="C630" s="169" t="s">
        <v>485</v>
      </c>
      <c r="D630" s="14" t="s">
        <v>20</v>
      </c>
      <c r="E630" s="15"/>
      <c r="F630" s="16">
        <v>0.0</v>
      </c>
      <c r="G630" s="17">
        <v>100.0</v>
      </c>
      <c r="H630" s="17">
        <f t="shared" si="19"/>
        <v>0</v>
      </c>
      <c r="I630" s="18"/>
      <c r="J630" s="17"/>
      <c r="K630" s="13"/>
      <c r="L630" s="63"/>
      <c r="M630" s="79"/>
      <c r="N630" s="63"/>
      <c r="O630" s="79"/>
      <c r="P630" s="79"/>
      <c r="Q630" s="35"/>
      <c r="R630" s="35"/>
      <c r="S630" s="35"/>
      <c r="T630" s="1"/>
      <c r="U630" s="1"/>
      <c r="V630" s="1"/>
    </row>
    <row r="631" ht="15.75" hidden="1" customHeight="1">
      <c r="A631" s="13"/>
      <c r="B631" s="13"/>
      <c r="C631" s="13" t="s">
        <v>486</v>
      </c>
      <c r="D631" s="46" t="s">
        <v>20</v>
      </c>
      <c r="E631" s="52"/>
      <c r="F631" s="48">
        <v>0.0</v>
      </c>
      <c r="G631" s="50">
        <v>30.0</v>
      </c>
      <c r="H631" s="50">
        <f t="shared" si="19"/>
        <v>0</v>
      </c>
      <c r="I631" s="50"/>
      <c r="J631" s="17"/>
      <c r="K631" s="13"/>
      <c r="L631" s="63"/>
      <c r="M631" s="79"/>
      <c r="N631" s="63"/>
      <c r="O631" s="79"/>
      <c r="P631" s="79"/>
      <c r="Q631" s="35"/>
      <c r="R631" s="35"/>
      <c r="S631" s="35"/>
      <c r="T631" s="1"/>
      <c r="U631" s="1"/>
      <c r="V631" s="1"/>
    </row>
    <row r="632" ht="15.75" hidden="1" customHeight="1">
      <c r="A632" s="13"/>
      <c r="B632" s="13"/>
      <c r="C632" s="13" t="s">
        <v>487</v>
      </c>
      <c r="D632" s="46" t="s">
        <v>20</v>
      </c>
      <c r="E632" s="52"/>
      <c r="F632" s="48">
        <v>0.0</v>
      </c>
      <c r="G632" s="50">
        <v>30.0</v>
      </c>
      <c r="H632" s="50">
        <f t="shared" si="19"/>
        <v>0</v>
      </c>
      <c r="I632" s="50"/>
      <c r="J632" s="17"/>
      <c r="K632" s="13"/>
      <c r="L632" s="63"/>
      <c r="M632" s="79"/>
      <c r="N632" s="63"/>
      <c r="O632" s="79"/>
      <c r="P632" s="79"/>
      <c r="Q632" s="35"/>
      <c r="R632" s="35"/>
      <c r="S632" s="35"/>
      <c r="T632" s="1"/>
      <c r="U632" s="1"/>
      <c r="V632" s="1"/>
    </row>
    <row r="633" ht="15.75" hidden="1" customHeight="1">
      <c r="A633" s="13"/>
      <c r="B633" s="13"/>
      <c r="C633" s="13" t="s">
        <v>488</v>
      </c>
      <c r="D633" s="14" t="s">
        <v>20</v>
      </c>
      <c r="E633" s="15"/>
      <c r="F633" s="16">
        <v>0.0</v>
      </c>
      <c r="G633" s="17">
        <v>850.0</v>
      </c>
      <c r="H633" s="17">
        <f t="shared" si="19"/>
        <v>0</v>
      </c>
      <c r="I633" s="18"/>
      <c r="J633" s="17"/>
      <c r="K633" s="13"/>
      <c r="L633" s="63"/>
      <c r="M633" s="79"/>
      <c r="N633" s="63"/>
      <c r="O633" s="79"/>
      <c r="P633" s="79"/>
      <c r="Q633" s="35"/>
      <c r="R633" s="35"/>
      <c r="S633" s="35"/>
      <c r="T633" s="1"/>
      <c r="U633" s="1"/>
      <c r="V633" s="1"/>
    </row>
    <row r="634" ht="15.75" hidden="1" customHeight="1">
      <c r="A634" s="13"/>
      <c r="B634" s="13"/>
      <c r="C634" s="13" t="s">
        <v>489</v>
      </c>
      <c r="D634" s="70" t="s">
        <v>24</v>
      </c>
      <c r="E634" s="15"/>
      <c r="F634" s="16">
        <v>0.0</v>
      </c>
      <c r="G634" s="17">
        <v>460.0</v>
      </c>
      <c r="H634" s="17">
        <f t="shared" si="19"/>
        <v>0</v>
      </c>
      <c r="I634" s="18"/>
      <c r="J634" s="17"/>
      <c r="K634" s="13"/>
      <c r="L634" s="63"/>
      <c r="M634" s="79"/>
      <c r="N634" s="63"/>
      <c r="O634" s="79"/>
      <c r="P634" s="79"/>
      <c r="Q634" s="35"/>
      <c r="R634" s="35"/>
      <c r="S634" s="35"/>
      <c r="T634" s="1"/>
      <c r="U634" s="1"/>
      <c r="V634" s="1"/>
    </row>
    <row r="635" ht="15.75" hidden="1" customHeight="1">
      <c r="A635" s="13"/>
      <c r="B635" s="13"/>
      <c r="C635" s="169" t="s">
        <v>490</v>
      </c>
      <c r="D635" s="66" t="s">
        <v>22</v>
      </c>
      <c r="E635" s="15"/>
      <c r="F635" s="16">
        <v>0.0</v>
      </c>
      <c r="G635" s="17">
        <v>0.0</v>
      </c>
      <c r="H635" s="17">
        <f t="shared" si="19"/>
        <v>0</v>
      </c>
      <c r="I635" s="18"/>
      <c r="J635" s="17"/>
      <c r="K635" s="13"/>
      <c r="L635" s="13"/>
      <c r="M635" s="19"/>
      <c r="N635" s="13"/>
      <c r="O635" s="19"/>
      <c r="P635" s="19"/>
      <c r="Q635" s="35"/>
      <c r="R635" s="35"/>
      <c r="S635" s="35"/>
      <c r="T635" s="1"/>
      <c r="U635" s="1"/>
      <c r="V635" s="1"/>
    </row>
    <row r="636" ht="15.75" hidden="1" customHeight="1">
      <c r="A636" s="13"/>
      <c r="B636" s="13" t="s">
        <v>18</v>
      </c>
      <c r="C636" s="169" t="s">
        <v>491</v>
      </c>
      <c r="D636" s="66" t="s">
        <v>22</v>
      </c>
      <c r="E636" s="33" t="s">
        <v>566</v>
      </c>
      <c r="F636" s="40">
        <v>0.0</v>
      </c>
      <c r="G636" s="248">
        <v>150.0</v>
      </c>
      <c r="H636" s="17">
        <f t="shared" si="19"/>
        <v>0</v>
      </c>
      <c r="I636" s="18"/>
      <c r="J636" s="18"/>
      <c r="K636" s="13"/>
      <c r="L636" s="13"/>
      <c r="M636" s="19"/>
      <c r="N636" s="13"/>
      <c r="O636" s="19"/>
      <c r="P636" s="19"/>
      <c r="Q636" s="35"/>
      <c r="R636" s="35"/>
      <c r="S636" s="35"/>
      <c r="T636" s="1"/>
      <c r="U636" s="1"/>
      <c r="V636" s="1"/>
    </row>
    <row r="637" ht="15.75" hidden="1" customHeight="1">
      <c r="A637" s="13"/>
      <c r="B637" s="43" t="s">
        <v>350</v>
      </c>
      <c r="C637" s="169" t="s">
        <v>493</v>
      </c>
      <c r="D637" s="66" t="s">
        <v>22</v>
      </c>
      <c r="E637" s="154" t="s">
        <v>494</v>
      </c>
      <c r="F637" s="16">
        <v>0.0</v>
      </c>
      <c r="G637" s="227">
        <v>86.0</v>
      </c>
      <c r="H637" s="17">
        <f t="shared" si="19"/>
        <v>0</v>
      </c>
      <c r="I637" s="18"/>
      <c r="J637" s="18"/>
      <c r="K637" s="13"/>
      <c r="L637" s="13"/>
      <c r="M637" s="19"/>
      <c r="N637" s="13"/>
      <c r="O637" s="19"/>
      <c r="P637" s="19"/>
      <c r="Q637" s="35"/>
      <c r="R637" s="35"/>
      <c r="S637" s="35"/>
      <c r="T637" s="1"/>
      <c r="U637" s="1"/>
      <c r="V637" s="1"/>
    </row>
    <row r="638" ht="15.75" hidden="1" customHeight="1">
      <c r="A638" s="13"/>
      <c r="B638" s="13"/>
      <c r="C638" s="169" t="s">
        <v>495</v>
      </c>
      <c r="D638" s="66" t="s">
        <v>22</v>
      </c>
      <c r="E638" s="15"/>
      <c r="F638" s="16">
        <v>0.0</v>
      </c>
      <c r="G638" s="249">
        <v>70.0</v>
      </c>
      <c r="H638" s="17">
        <f t="shared" si="19"/>
        <v>0</v>
      </c>
      <c r="I638" s="18"/>
      <c r="J638" s="18"/>
      <c r="K638" s="13"/>
      <c r="L638" s="13"/>
      <c r="M638" s="19"/>
      <c r="N638" s="13"/>
      <c r="O638" s="19"/>
      <c r="P638" s="19"/>
      <c r="Q638" s="35"/>
      <c r="R638" s="35"/>
      <c r="S638" s="35"/>
      <c r="T638" s="1"/>
      <c r="U638" s="1"/>
      <c r="V638" s="1"/>
    </row>
    <row r="639" ht="15.75" hidden="1" customHeight="1">
      <c r="A639" s="13"/>
      <c r="B639" s="13" t="s">
        <v>18</v>
      </c>
      <c r="C639" s="169" t="s">
        <v>496</v>
      </c>
      <c r="D639" s="66" t="s">
        <v>22</v>
      </c>
      <c r="E639" s="33" t="s">
        <v>567</v>
      </c>
      <c r="F639" s="40">
        <v>0.0</v>
      </c>
      <c r="G639" s="249">
        <v>17.0</v>
      </c>
      <c r="H639" s="17">
        <f t="shared" si="19"/>
        <v>0</v>
      </c>
      <c r="I639" s="18"/>
      <c r="J639" s="18"/>
      <c r="K639" s="13"/>
      <c r="L639" s="27"/>
      <c r="M639" s="28"/>
      <c r="N639" s="27"/>
      <c r="O639" s="28"/>
      <c r="P639" s="27"/>
      <c r="Q639" s="35"/>
      <c r="R639" s="35"/>
      <c r="S639" s="35"/>
      <c r="T639" s="1"/>
      <c r="U639" s="1"/>
      <c r="V639" s="1"/>
    </row>
    <row r="640" ht="15.75" customHeight="1">
      <c r="A640" s="13"/>
      <c r="B640" s="43" t="s">
        <v>18</v>
      </c>
      <c r="C640" s="169" t="s">
        <v>407</v>
      </c>
      <c r="D640" s="66" t="s">
        <v>22</v>
      </c>
      <c r="E640" s="218" t="s">
        <v>966</v>
      </c>
      <c r="F640" s="40">
        <v>2.0</v>
      </c>
      <c r="G640" s="226">
        <v>153.6</v>
      </c>
      <c r="H640" s="17">
        <f t="shared" si="19"/>
        <v>307.2</v>
      </c>
      <c r="I640" s="18"/>
      <c r="J640" s="18"/>
      <c r="K640" s="13"/>
      <c r="L640" s="27"/>
      <c r="M640" s="28"/>
      <c r="N640" s="27"/>
      <c r="O640" s="28"/>
      <c r="P640" s="27"/>
      <c r="Q640" s="35"/>
      <c r="R640" s="35"/>
      <c r="S640" s="35"/>
      <c r="T640" s="1"/>
      <c r="U640" s="1"/>
      <c r="V640" s="1"/>
    </row>
    <row r="641" ht="15.75" hidden="1" customHeight="1">
      <c r="A641" s="13"/>
      <c r="B641" s="231" t="s">
        <v>350</v>
      </c>
      <c r="C641" s="169" t="s">
        <v>427</v>
      </c>
      <c r="D641" s="66" t="s">
        <v>22</v>
      </c>
      <c r="E641" s="231" t="s">
        <v>428</v>
      </c>
      <c r="F641" s="16">
        <v>0.0</v>
      </c>
      <c r="G641" s="235">
        <v>107.5</v>
      </c>
      <c r="H641" s="17">
        <f t="shared" si="19"/>
        <v>0</v>
      </c>
      <c r="I641" s="18"/>
      <c r="J641" s="18"/>
      <c r="K641" s="13"/>
      <c r="L641" s="27"/>
      <c r="M641" s="28"/>
      <c r="N641" s="27"/>
      <c r="O641" s="28"/>
      <c r="P641" s="27"/>
      <c r="Q641" s="35"/>
      <c r="R641" s="35"/>
      <c r="S641" s="35"/>
      <c r="T641" s="1"/>
      <c r="U641" s="1"/>
      <c r="V641" s="1"/>
    </row>
    <row r="642" ht="15.75" hidden="1" customHeight="1">
      <c r="A642" s="13"/>
      <c r="B642" s="231" t="s">
        <v>350</v>
      </c>
      <c r="C642" s="169" t="s">
        <v>429</v>
      </c>
      <c r="D642" s="66" t="s">
        <v>22</v>
      </c>
      <c r="E642" s="15"/>
      <c r="F642" s="16">
        <v>0.0</v>
      </c>
      <c r="G642" s="235">
        <v>97.0</v>
      </c>
      <c r="H642" s="17">
        <f t="shared" si="19"/>
        <v>0</v>
      </c>
      <c r="I642" s="18"/>
      <c r="J642" s="18"/>
      <c r="K642" s="13"/>
      <c r="L642" s="27"/>
      <c r="M642" s="28"/>
      <c r="N642" s="27"/>
      <c r="O642" s="28"/>
      <c r="P642" s="27"/>
      <c r="Q642" s="35"/>
      <c r="R642" s="35"/>
      <c r="S642" s="35"/>
      <c r="T642" s="1"/>
      <c r="U642" s="1"/>
      <c r="V642" s="1"/>
    </row>
    <row r="643" ht="15.75" customHeight="1">
      <c r="A643" s="13"/>
      <c r="B643" s="13" t="s">
        <v>18</v>
      </c>
      <c r="C643" s="169" t="s">
        <v>409</v>
      </c>
      <c r="D643" s="66" t="s">
        <v>22</v>
      </c>
      <c r="E643" s="194" t="s">
        <v>967</v>
      </c>
      <c r="F643" s="40">
        <v>2.0</v>
      </c>
      <c r="G643" s="227">
        <v>24.0</v>
      </c>
      <c r="H643" s="17">
        <f t="shared" si="19"/>
        <v>48</v>
      </c>
      <c r="I643" s="18"/>
      <c r="J643" s="18"/>
      <c r="K643" s="13"/>
      <c r="L643" s="27"/>
      <c r="M643" s="28"/>
      <c r="N643" s="27"/>
      <c r="O643" s="28"/>
      <c r="P643" s="27"/>
      <c r="Q643" s="35"/>
      <c r="R643" s="35"/>
      <c r="S643" s="35"/>
      <c r="T643" s="1"/>
      <c r="U643" s="1"/>
      <c r="V643" s="1"/>
    </row>
    <row r="644" ht="15.75" hidden="1" customHeight="1">
      <c r="A644" s="13"/>
      <c r="B644" s="13" t="s">
        <v>18</v>
      </c>
      <c r="C644" s="169" t="s">
        <v>500</v>
      </c>
      <c r="D644" s="14" t="s">
        <v>20</v>
      </c>
      <c r="E644" s="15"/>
      <c r="F644" s="16">
        <v>0.0</v>
      </c>
      <c r="G644" s="17">
        <v>5.0</v>
      </c>
      <c r="H644" s="17">
        <f t="shared" si="19"/>
        <v>0</v>
      </c>
      <c r="I644" s="18"/>
      <c r="J644" s="17"/>
      <c r="K644" s="17"/>
      <c r="L644" s="13"/>
      <c r="M644" s="19"/>
      <c r="N644" s="13"/>
      <c r="O644" s="19"/>
      <c r="P644" s="19"/>
      <c r="Q644" s="35"/>
      <c r="R644" s="35"/>
      <c r="S644" s="35"/>
      <c r="T644" s="1"/>
      <c r="U644" s="1"/>
      <c r="V644" s="1"/>
    </row>
    <row r="645" ht="15.75" hidden="1" customHeight="1">
      <c r="A645" s="13"/>
      <c r="B645" s="13"/>
      <c r="C645" s="169" t="s">
        <v>501</v>
      </c>
      <c r="D645" s="70" t="s">
        <v>24</v>
      </c>
      <c r="E645" s="15"/>
      <c r="F645" s="16">
        <v>0.0</v>
      </c>
      <c r="G645" s="17">
        <v>210.0</v>
      </c>
      <c r="H645" s="17">
        <f t="shared" si="19"/>
        <v>0</v>
      </c>
      <c r="I645" s="18"/>
      <c r="J645" s="17"/>
      <c r="K645" s="13"/>
      <c r="L645" s="63"/>
      <c r="M645" s="79"/>
      <c r="N645" s="63"/>
      <c r="O645" s="79"/>
      <c r="P645" s="79"/>
      <c r="Q645" s="35"/>
      <c r="R645" s="35"/>
      <c r="S645" s="35"/>
      <c r="T645" s="1"/>
      <c r="U645" s="1"/>
      <c r="V645" s="1"/>
    </row>
    <row r="646" ht="15.75" hidden="1" customHeight="1">
      <c r="A646" s="13"/>
      <c r="B646" s="13" t="s">
        <v>18</v>
      </c>
      <c r="C646" s="169" t="s">
        <v>502</v>
      </c>
      <c r="D646" s="66" t="s">
        <v>22</v>
      </c>
      <c r="E646" s="15"/>
      <c r="F646" s="16">
        <v>0.0</v>
      </c>
      <c r="G646" s="17">
        <v>0.0</v>
      </c>
      <c r="H646" s="17">
        <f t="shared" si="19"/>
        <v>0</v>
      </c>
      <c r="I646" s="18"/>
      <c r="J646" s="17"/>
      <c r="K646" s="13"/>
      <c r="L646" s="13"/>
      <c r="M646" s="19"/>
      <c r="N646" s="13"/>
      <c r="O646" s="19"/>
      <c r="P646" s="19"/>
      <c r="Q646" s="35"/>
      <c r="R646" s="35"/>
      <c r="S646" s="35"/>
      <c r="T646" s="1"/>
      <c r="U646" s="1"/>
      <c r="V646" s="1"/>
    </row>
    <row r="647" ht="15.75" customHeight="1">
      <c r="A647" s="13"/>
      <c r="B647" s="43" t="s">
        <v>88</v>
      </c>
      <c r="C647" s="54" t="s">
        <v>411</v>
      </c>
      <c r="D647" s="14" t="s">
        <v>20</v>
      </c>
      <c r="E647" s="171" t="s">
        <v>412</v>
      </c>
      <c r="F647" s="16">
        <v>1.0</v>
      </c>
      <c r="G647" s="34">
        <v>334.0</v>
      </c>
      <c r="H647" s="17">
        <f t="shared" si="19"/>
        <v>334</v>
      </c>
      <c r="I647" s="18"/>
      <c r="J647" s="18"/>
      <c r="K647" s="13"/>
      <c r="L647" s="13"/>
      <c r="M647" s="19"/>
      <c r="N647" s="13"/>
      <c r="O647" s="13"/>
      <c r="P647" s="13"/>
      <c r="Q647" s="35"/>
      <c r="R647" s="35"/>
      <c r="S647" s="35"/>
      <c r="T647" s="1"/>
      <c r="U647" s="1"/>
      <c r="V647" s="1"/>
    </row>
    <row r="648" ht="15.75" customHeight="1">
      <c r="A648" s="13"/>
      <c r="B648" s="13" t="s">
        <v>18</v>
      </c>
      <c r="C648" s="169" t="s">
        <v>280</v>
      </c>
      <c r="D648" s="14" t="s">
        <v>20</v>
      </c>
      <c r="E648" s="15" t="s">
        <v>468</v>
      </c>
      <c r="F648" s="16">
        <v>1.0</v>
      </c>
      <c r="G648" s="34">
        <v>20.0</v>
      </c>
      <c r="H648" s="17">
        <f t="shared" si="19"/>
        <v>20</v>
      </c>
      <c r="I648" s="18"/>
      <c r="J648" s="18"/>
      <c r="K648" s="13"/>
      <c r="L648" s="27"/>
      <c r="M648" s="27"/>
      <c r="N648" s="27"/>
      <c r="O648" s="27"/>
      <c r="P648" s="27"/>
      <c r="Q648" s="35"/>
      <c r="R648" s="35"/>
      <c r="S648" s="35"/>
      <c r="T648" s="1"/>
      <c r="U648" s="1"/>
      <c r="V648" s="1"/>
    </row>
    <row r="649" ht="15.75" hidden="1" customHeight="1">
      <c r="A649" s="13"/>
      <c r="B649" s="13"/>
      <c r="C649" s="169" t="s">
        <v>414</v>
      </c>
      <c r="D649" s="70" t="s">
        <v>24</v>
      </c>
      <c r="E649" s="15"/>
      <c r="F649" s="40">
        <v>0.0</v>
      </c>
      <c r="G649" s="17">
        <v>80.0</v>
      </c>
      <c r="H649" s="17">
        <f t="shared" si="19"/>
        <v>0</v>
      </c>
      <c r="I649" s="18"/>
      <c r="J649" s="18"/>
      <c r="K649" s="13"/>
      <c r="L649" s="63"/>
      <c r="M649" s="63"/>
      <c r="N649" s="63"/>
      <c r="O649" s="63"/>
      <c r="P649" s="63"/>
      <c r="Q649" s="35"/>
      <c r="R649" s="35"/>
      <c r="S649" s="35"/>
      <c r="T649" s="1"/>
      <c r="U649" s="1"/>
      <c r="V649" s="1"/>
    </row>
    <row r="650" ht="15.75" hidden="1" customHeight="1">
      <c r="A650" s="13"/>
      <c r="B650" s="13" t="s">
        <v>18</v>
      </c>
      <c r="C650" s="169" t="s">
        <v>283</v>
      </c>
      <c r="D650" s="14" t="s">
        <v>20</v>
      </c>
      <c r="E650" s="15" t="s">
        <v>284</v>
      </c>
      <c r="F650" s="16">
        <v>0.0</v>
      </c>
      <c r="G650" s="17">
        <v>12.0</v>
      </c>
      <c r="H650" s="17">
        <f t="shared" si="19"/>
        <v>0</v>
      </c>
      <c r="I650" s="18"/>
      <c r="J650" s="18"/>
      <c r="K650" s="13"/>
      <c r="L650" s="63"/>
      <c r="M650" s="63"/>
      <c r="N650" s="63"/>
      <c r="O650" s="63"/>
      <c r="P650" s="63"/>
      <c r="Q650" s="35"/>
      <c r="R650" s="35"/>
      <c r="S650" s="35"/>
      <c r="T650" s="1"/>
      <c r="U650" s="1"/>
      <c r="V650" s="1"/>
    </row>
    <row r="651" ht="15.75" customHeight="1">
      <c r="A651" s="13"/>
      <c r="B651" s="13" t="s">
        <v>18</v>
      </c>
      <c r="C651" s="169" t="s">
        <v>370</v>
      </c>
      <c r="D651" s="14" t="s">
        <v>20</v>
      </c>
      <c r="E651" s="15">
        <v>8.49069896E8</v>
      </c>
      <c r="F651" s="16">
        <v>1.0</v>
      </c>
      <c r="G651" s="17">
        <v>5.0</v>
      </c>
      <c r="H651" s="17">
        <f t="shared" si="19"/>
        <v>5</v>
      </c>
      <c r="I651" s="18"/>
      <c r="J651" s="18"/>
      <c r="K651" s="13"/>
      <c r="L651" s="63"/>
      <c r="M651" s="63"/>
      <c r="N651" s="63"/>
      <c r="O651" s="63"/>
      <c r="P651" s="63"/>
      <c r="Q651" s="35"/>
      <c r="R651" s="35"/>
      <c r="S651" s="35"/>
      <c r="T651" s="1"/>
      <c r="U651" s="1"/>
      <c r="V651" s="1"/>
    </row>
    <row r="652" ht="15.75" customHeight="1">
      <c r="A652" s="13"/>
      <c r="B652" s="13" t="s">
        <v>18</v>
      </c>
      <c r="C652" s="169" t="s">
        <v>371</v>
      </c>
      <c r="D652" s="14" t="s">
        <v>20</v>
      </c>
      <c r="E652" s="15" t="s">
        <v>286</v>
      </c>
      <c r="F652" s="16">
        <v>2.0</v>
      </c>
      <c r="G652" s="17">
        <v>3.0</v>
      </c>
      <c r="H652" s="17">
        <f t="shared" si="19"/>
        <v>6</v>
      </c>
      <c r="I652" s="18"/>
      <c r="J652" s="18"/>
      <c r="K652" s="13"/>
      <c r="L652" s="63"/>
      <c r="M652" s="63"/>
      <c r="N652" s="63"/>
      <c r="O652" s="63"/>
      <c r="P652" s="63"/>
      <c r="Q652" s="35"/>
      <c r="R652" s="35"/>
      <c r="S652" s="35"/>
      <c r="T652" s="1"/>
      <c r="U652" s="1"/>
      <c r="V652" s="1"/>
    </row>
    <row r="653" ht="15.75" hidden="1" customHeight="1">
      <c r="A653" s="13"/>
      <c r="B653" s="13"/>
      <c r="C653" s="13" t="s">
        <v>221</v>
      </c>
      <c r="D653" s="213" t="s">
        <v>24</v>
      </c>
      <c r="E653" s="52"/>
      <c r="F653" s="48">
        <v>0.0</v>
      </c>
      <c r="G653" s="50">
        <v>50.0</v>
      </c>
      <c r="H653" s="50">
        <f t="shared" si="19"/>
        <v>0</v>
      </c>
      <c r="I653" s="18"/>
      <c r="J653" s="18"/>
      <c r="K653" s="13"/>
      <c r="L653" s="63"/>
      <c r="M653" s="63"/>
      <c r="N653" s="63"/>
      <c r="O653" s="63"/>
      <c r="P653" s="63"/>
      <c r="Q653" s="35"/>
      <c r="R653" s="35"/>
      <c r="S653" s="35"/>
      <c r="T653" s="1"/>
      <c r="U653" s="1"/>
      <c r="V653" s="1"/>
    </row>
    <row r="654" ht="15.75" hidden="1" customHeight="1">
      <c r="A654" s="13"/>
      <c r="B654" s="13"/>
      <c r="C654" s="206" t="s">
        <v>222</v>
      </c>
      <c r="D654" s="216" t="s">
        <v>24</v>
      </c>
      <c r="E654" s="54"/>
      <c r="F654" s="56">
        <v>0.0</v>
      </c>
      <c r="G654" s="57">
        <v>40.0</v>
      </c>
      <c r="H654" s="57">
        <f t="shared" si="19"/>
        <v>0</v>
      </c>
      <c r="I654" s="18"/>
      <c r="J654" s="18"/>
      <c r="K654" s="13"/>
      <c r="L654" s="63"/>
      <c r="M654" s="63"/>
      <c r="N654" s="63"/>
      <c r="O654" s="63"/>
      <c r="P654" s="63"/>
      <c r="Q654" s="35"/>
      <c r="R654" s="35"/>
      <c r="S654" s="35"/>
      <c r="T654" s="1"/>
      <c r="U654" s="1"/>
      <c r="V654" s="1"/>
    </row>
    <row r="655" ht="15.75" hidden="1" customHeight="1">
      <c r="A655" s="13"/>
      <c r="B655" s="13"/>
      <c r="C655" s="169" t="s">
        <v>374</v>
      </c>
      <c r="D655" s="70" t="s">
        <v>24</v>
      </c>
      <c r="E655" s="15"/>
      <c r="F655" s="16">
        <v>0.0</v>
      </c>
      <c r="G655" s="17">
        <v>210.0</v>
      </c>
      <c r="H655" s="17">
        <f t="shared" si="19"/>
        <v>0</v>
      </c>
      <c r="I655" s="18"/>
      <c r="J655" s="18"/>
      <c r="K655" s="13"/>
      <c r="L655" s="63"/>
      <c r="M655" s="63"/>
      <c r="N655" s="63"/>
      <c r="O655" s="63"/>
      <c r="P655" s="63"/>
      <c r="Q655" s="35"/>
      <c r="R655" s="35"/>
      <c r="S655" s="35"/>
      <c r="T655" s="1"/>
      <c r="U655" s="1"/>
      <c r="V655" s="1"/>
    </row>
    <row r="656" ht="15.75" hidden="1" customHeight="1">
      <c r="A656" s="13"/>
      <c r="B656" s="13" t="s">
        <v>373</v>
      </c>
      <c r="C656" s="169" t="s">
        <v>372</v>
      </c>
      <c r="D656" s="14" t="s">
        <v>20</v>
      </c>
      <c r="E656" s="15"/>
      <c r="F656" s="16">
        <v>0.0</v>
      </c>
      <c r="G656" s="17">
        <v>70.0</v>
      </c>
      <c r="H656" s="17">
        <f t="shared" si="19"/>
        <v>0</v>
      </c>
      <c r="I656" s="18"/>
      <c r="J656" s="18"/>
      <c r="K656" s="13"/>
      <c r="L656" s="13"/>
      <c r="M656" s="13"/>
      <c r="N656" s="13"/>
      <c r="O656" s="13"/>
      <c r="P656" s="13"/>
      <c r="Q656" s="35"/>
      <c r="R656" s="35"/>
      <c r="S656" s="35"/>
      <c r="T656" s="1"/>
      <c r="U656" s="1"/>
      <c r="V656" s="1"/>
    </row>
    <row r="657" ht="15.75" hidden="1" customHeight="1">
      <c r="A657" s="13"/>
      <c r="B657" s="13" t="s">
        <v>18</v>
      </c>
      <c r="C657" s="169" t="s">
        <v>503</v>
      </c>
      <c r="D657" s="14" t="s">
        <v>20</v>
      </c>
      <c r="E657" s="15"/>
      <c r="F657" s="16">
        <v>0.0</v>
      </c>
      <c r="G657" s="17">
        <v>50.0</v>
      </c>
      <c r="H657" s="17">
        <f t="shared" si="19"/>
        <v>0</v>
      </c>
      <c r="I657" s="18"/>
      <c r="J657" s="17"/>
      <c r="K657" s="13"/>
      <c r="L657" s="13"/>
      <c r="M657" s="13"/>
      <c r="N657" s="13"/>
      <c r="O657" s="13"/>
      <c r="P657" s="13"/>
      <c r="Q657" s="35"/>
      <c r="R657" s="35"/>
      <c r="S657" s="35"/>
      <c r="T657" s="1"/>
      <c r="U657" s="1"/>
      <c r="V657" s="1"/>
    </row>
    <row r="658" ht="15.75" hidden="1" customHeight="1">
      <c r="A658" s="13"/>
      <c r="B658" s="13"/>
      <c r="C658" s="169" t="s">
        <v>504</v>
      </c>
      <c r="D658" s="70" t="s">
        <v>24</v>
      </c>
      <c r="E658" s="15"/>
      <c r="F658" s="16">
        <v>0.0</v>
      </c>
      <c r="G658" s="17">
        <v>50.0</v>
      </c>
      <c r="H658" s="17">
        <f t="shared" si="19"/>
        <v>0</v>
      </c>
      <c r="I658" s="18"/>
      <c r="J658" s="17"/>
      <c r="K658" s="13"/>
      <c r="L658" s="13"/>
      <c r="M658" s="13"/>
      <c r="N658" s="13"/>
      <c r="O658" s="13"/>
      <c r="P658" s="13"/>
      <c r="Q658" s="35"/>
      <c r="R658" s="35"/>
      <c r="S658" s="35"/>
      <c r="T658" s="1"/>
      <c r="U658" s="1"/>
      <c r="V658" s="1"/>
    </row>
    <row r="659" ht="15.75" hidden="1" customHeight="1">
      <c r="A659" s="13"/>
      <c r="B659" s="13"/>
      <c r="C659" s="169" t="s">
        <v>505</v>
      </c>
      <c r="D659" s="70" t="s">
        <v>24</v>
      </c>
      <c r="E659" s="15"/>
      <c r="F659" s="16">
        <v>0.0</v>
      </c>
      <c r="G659" s="17">
        <v>120.0</v>
      </c>
      <c r="H659" s="17">
        <f t="shared" si="19"/>
        <v>0</v>
      </c>
      <c r="I659" s="18"/>
      <c r="J659" s="17"/>
      <c r="K659" s="13"/>
      <c r="L659" s="63"/>
      <c r="M659" s="63"/>
      <c r="N659" s="63"/>
      <c r="O659" s="63"/>
      <c r="P659" s="63"/>
      <c r="Q659" s="35"/>
      <c r="R659" s="35"/>
      <c r="S659" s="35"/>
      <c r="T659" s="1"/>
      <c r="U659" s="1"/>
      <c r="V659" s="1"/>
    </row>
    <row r="660" ht="15.75" hidden="1" customHeight="1">
      <c r="A660" s="13"/>
      <c r="B660" s="13"/>
      <c r="C660" s="169" t="s">
        <v>506</v>
      </c>
      <c r="D660" s="70" t="s">
        <v>24</v>
      </c>
      <c r="E660" s="15"/>
      <c r="F660" s="16">
        <v>0.0</v>
      </c>
      <c r="G660" s="17">
        <v>80.0</v>
      </c>
      <c r="H660" s="17">
        <f t="shared" si="19"/>
        <v>0</v>
      </c>
      <c r="I660" s="18"/>
      <c r="J660" s="17"/>
      <c r="K660" s="13"/>
      <c r="L660" s="63"/>
      <c r="M660" s="63"/>
      <c r="N660" s="63"/>
      <c r="O660" s="63"/>
      <c r="P660" s="63"/>
      <c r="Q660" s="35"/>
      <c r="R660" s="35"/>
      <c r="S660" s="35"/>
      <c r="T660" s="1"/>
      <c r="U660" s="1"/>
      <c r="V660" s="1"/>
    </row>
    <row r="661" ht="15.75" hidden="1" customHeight="1">
      <c r="A661" s="13"/>
      <c r="B661" s="13"/>
      <c r="C661" s="169" t="s">
        <v>507</v>
      </c>
      <c r="D661" s="14" t="s">
        <v>20</v>
      </c>
      <c r="E661" s="15"/>
      <c r="F661" s="16">
        <v>0.0</v>
      </c>
      <c r="G661" s="17">
        <v>300.0</v>
      </c>
      <c r="H661" s="17">
        <f t="shared" si="19"/>
        <v>0</v>
      </c>
      <c r="I661" s="18"/>
      <c r="J661" s="17"/>
      <c r="K661" s="13"/>
      <c r="L661" s="63"/>
      <c r="M661" s="63"/>
      <c r="N661" s="63"/>
      <c r="O661" s="63"/>
      <c r="P661" s="63"/>
      <c r="Q661" s="35"/>
      <c r="R661" s="35"/>
      <c r="S661" s="35"/>
      <c r="T661" s="1"/>
      <c r="U661" s="1"/>
      <c r="V661" s="1"/>
    </row>
    <row r="662" ht="15.75" hidden="1" customHeight="1">
      <c r="A662" s="13"/>
      <c r="B662" s="13"/>
      <c r="C662" s="169" t="s">
        <v>508</v>
      </c>
      <c r="D662" s="70" t="s">
        <v>24</v>
      </c>
      <c r="E662" s="15"/>
      <c r="F662" s="16">
        <v>0.0</v>
      </c>
      <c r="G662" s="17">
        <v>290.0</v>
      </c>
      <c r="H662" s="17">
        <f t="shared" si="19"/>
        <v>0</v>
      </c>
      <c r="I662" s="18"/>
      <c r="J662" s="17"/>
      <c r="K662" s="13"/>
      <c r="L662" s="63"/>
      <c r="M662" s="63"/>
      <c r="N662" s="63"/>
      <c r="O662" s="63"/>
      <c r="P662" s="63"/>
      <c r="Q662" s="35"/>
      <c r="R662" s="35"/>
      <c r="S662" s="35"/>
      <c r="T662" s="1"/>
      <c r="U662" s="1"/>
      <c r="V662" s="1"/>
    </row>
    <row r="663" ht="15.75" hidden="1" customHeight="1">
      <c r="A663" s="13"/>
      <c r="B663" s="13"/>
      <c r="C663" s="13" t="s">
        <v>509</v>
      </c>
      <c r="D663" s="46" t="s">
        <v>20</v>
      </c>
      <c r="E663" s="52"/>
      <c r="F663" s="48">
        <v>0.0</v>
      </c>
      <c r="G663" s="50">
        <v>30.0</v>
      </c>
      <c r="H663" s="50">
        <f t="shared" si="19"/>
        <v>0</v>
      </c>
      <c r="I663" s="50"/>
      <c r="J663" s="17"/>
      <c r="K663" s="13"/>
      <c r="L663" s="63"/>
      <c r="M663" s="63"/>
      <c r="N663" s="63"/>
      <c r="O663" s="63"/>
      <c r="P663" s="63"/>
      <c r="Q663" s="35"/>
      <c r="R663" s="35"/>
      <c r="S663" s="35"/>
      <c r="T663" s="1"/>
      <c r="U663" s="1"/>
      <c r="V663" s="1"/>
    </row>
    <row r="664" ht="15.75" hidden="1" customHeight="1">
      <c r="A664" s="13"/>
      <c r="B664" s="13"/>
      <c r="C664" s="206" t="s">
        <v>510</v>
      </c>
      <c r="D664" s="216" t="s">
        <v>24</v>
      </c>
      <c r="E664" s="54"/>
      <c r="F664" s="56">
        <v>0.0</v>
      </c>
      <c r="G664" s="57">
        <v>70.0</v>
      </c>
      <c r="H664" s="57">
        <f t="shared" si="19"/>
        <v>0</v>
      </c>
      <c r="I664" s="57"/>
      <c r="J664" s="17"/>
      <c r="K664" s="13"/>
      <c r="L664" s="63"/>
      <c r="M664" s="63"/>
      <c r="N664" s="63"/>
      <c r="O664" s="63"/>
      <c r="P664" s="63"/>
      <c r="Q664" s="35"/>
      <c r="R664" s="35"/>
      <c r="S664" s="35"/>
      <c r="T664" s="1"/>
      <c r="U664" s="1"/>
      <c r="V664" s="1"/>
    </row>
    <row r="665" ht="15.75" hidden="1" customHeight="1">
      <c r="A665" s="13"/>
      <c r="B665" s="13"/>
      <c r="C665" s="13" t="s">
        <v>511</v>
      </c>
      <c r="D665" s="46" t="s">
        <v>20</v>
      </c>
      <c r="E665" s="52"/>
      <c r="F665" s="48">
        <v>0.0</v>
      </c>
      <c r="G665" s="50">
        <v>368.0</v>
      </c>
      <c r="H665" s="50">
        <f t="shared" si="19"/>
        <v>0</v>
      </c>
      <c r="I665" s="50"/>
      <c r="J665" s="17"/>
      <c r="K665" s="13"/>
      <c r="L665" s="63"/>
      <c r="M665" s="63"/>
      <c r="N665" s="63"/>
      <c r="O665" s="63"/>
      <c r="P665" s="63"/>
      <c r="Q665" s="35"/>
      <c r="R665" s="35"/>
      <c r="S665" s="35"/>
      <c r="T665" s="1"/>
      <c r="U665" s="1"/>
      <c r="V665" s="1"/>
    </row>
    <row r="666" ht="15.75" hidden="1" customHeight="1">
      <c r="A666" s="13"/>
      <c r="B666" s="13"/>
      <c r="C666" s="206" t="s">
        <v>512</v>
      </c>
      <c r="D666" s="55" t="s">
        <v>20</v>
      </c>
      <c r="E666" s="54"/>
      <c r="F666" s="56">
        <v>0.0</v>
      </c>
      <c r="G666" s="57">
        <v>183.0</v>
      </c>
      <c r="H666" s="57">
        <f t="shared" si="19"/>
        <v>0</v>
      </c>
      <c r="I666" s="57"/>
      <c r="J666" s="17"/>
      <c r="K666" s="13"/>
      <c r="L666" s="63"/>
      <c r="M666" s="63"/>
      <c r="N666" s="63"/>
      <c r="O666" s="63"/>
      <c r="P666" s="63"/>
      <c r="Q666" s="35"/>
      <c r="R666" s="35"/>
      <c r="S666" s="35"/>
      <c r="T666" s="1"/>
      <c r="U666" s="1"/>
      <c r="V666" s="1"/>
    </row>
    <row r="667" ht="15.75" hidden="1" customHeight="1">
      <c r="A667" s="13"/>
      <c r="B667" s="13"/>
      <c r="C667" s="250" t="s">
        <v>513</v>
      </c>
      <c r="D667" s="55" t="s">
        <v>20</v>
      </c>
      <c r="E667" s="54"/>
      <c r="F667" s="56">
        <v>0.0</v>
      </c>
      <c r="G667" s="57">
        <v>45.0</v>
      </c>
      <c r="H667" s="57">
        <f t="shared" si="19"/>
        <v>0</v>
      </c>
      <c r="I667" s="57"/>
      <c r="J667" s="17"/>
      <c r="K667" s="13"/>
      <c r="L667" s="63"/>
      <c r="M667" s="63"/>
      <c r="N667" s="63"/>
      <c r="O667" s="63"/>
      <c r="P667" s="63"/>
      <c r="Q667" s="35"/>
      <c r="R667" s="35"/>
      <c r="S667" s="35"/>
      <c r="T667" s="1"/>
      <c r="U667" s="1"/>
      <c r="V667" s="1"/>
    </row>
    <row r="668" ht="15.75" hidden="1" customHeight="1">
      <c r="A668" s="13"/>
      <c r="B668" s="13"/>
      <c r="C668" s="250" t="s">
        <v>514</v>
      </c>
      <c r="D668" s="55" t="s">
        <v>20</v>
      </c>
      <c r="E668" s="54"/>
      <c r="F668" s="56">
        <v>0.0</v>
      </c>
      <c r="G668" s="57">
        <v>60.0</v>
      </c>
      <c r="H668" s="57">
        <f t="shared" si="19"/>
        <v>0</v>
      </c>
      <c r="I668" s="57"/>
      <c r="J668" s="17"/>
      <c r="K668" s="13"/>
      <c r="L668" s="63"/>
      <c r="M668" s="63"/>
      <c r="N668" s="63"/>
      <c r="O668" s="63"/>
      <c r="P668" s="63"/>
      <c r="Q668" s="35"/>
      <c r="R668" s="35"/>
      <c r="S668" s="35"/>
      <c r="T668" s="1"/>
      <c r="U668" s="1"/>
      <c r="V668" s="1"/>
    </row>
    <row r="669" ht="15.75" hidden="1" customHeight="1">
      <c r="A669" s="13"/>
      <c r="B669" s="13"/>
      <c r="C669" s="251" t="s">
        <v>515</v>
      </c>
      <c r="D669" s="216" t="s">
        <v>24</v>
      </c>
      <c r="E669" s="54"/>
      <c r="F669" s="56">
        <v>0.0</v>
      </c>
      <c r="G669" s="57">
        <v>290.0</v>
      </c>
      <c r="H669" s="57">
        <f t="shared" si="19"/>
        <v>0</v>
      </c>
      <c r="I669" s="57"/>
      <c r="J669" s="17"/>
      <c r="K669" s="13"/>
      <c r="L669" s="63"/>
      <c r="M669" s="63"/>
      <c r="N669" s="63"/>
      <c r="O669" s="63"/>
      <c r="P669" s="63"/>
      <c r="Q669" s="35"/>
      <c r="R669" s="35"/>
      <c r="S669" s="35"/>
      <c r="T669" s="1"/>
      <c r="U669" s="1"/>
      <c r="V669" s="1"/>
    </row>
    <row r="670" ht="15.75" hidden="1" customHeight="1">
      <c r="A670" s="13"/>
      <c r="B670" s="13"/>
      <c r="C670" s="13" t="s">
        <v>71</v>
      </c>
      <c r="D670" s="213" t="s">
        <v>24</v>
      </c>
      <c r="E670" s="52"/>
      <c r="F670" s="56">
        <v>0.0</v>
      </c>
      <c r="G670" s="50">
        <v>80.0</v>
      </c>
      <c r="H670" s="50">
        <f t="shared" si="19"/>
        <v>0</v>
      </c>
      <c r="I670" s="57"/>
      <c r="J670" s="17"/>
      <c r="K670" s="13"/>
      <c r="L670" s="63"/>
      <c r="M670" s="63"/>
      <c r="N670" s="63"/>
      <c r="O670" s="63"/>
      <c r="P670" s="63"/>
      <c r="Q670" s="35"/>
      <c r="R670" s="35"/>
      <c r="S670" s="35"/>
      <c r="T670" s="1"/>
      <c r="U670" s="1"/>
      <c r="V670" s="1"/>
    </row>
    <row r="671" ht="15.75" hidden="1" customHeight="1">
      <c r="A671" s="13"/>
      <c r="B671" s="13"/>
      <c r="C671" s="169" t="s">
        <v>516</v>
      </c>
      <c r="D671" s="46" t="s">
        <v>20</v>
      </c>
      <c r="E671" s="52"/>
      <c r="F671" s="48">
        <v>0.0</v>
      </c>
      <c r="G671" s="50">
        <v>300.0</v>
      </c>
      <c r="H671" s="50">
        <f t="shared" si="19"/>
        <v>0</v>
      </c>
      <c r="I671" s="57"/>
      <c r="J671" s="17"/>
      <c r="K671" s="13"/>
      <c r="L671" s="63"/>
      <c r="M671" s="63"/>
      <c r="N671" s="63"/>
      <c r="O671" s="63"/>
      <c r="P671" s="63"/>
      <c r="Q671" s="35"/>
      <c r="R671" s="35"/>
      <c r="S671" s="35"/>
      <c r="T671" s="1"/>
      <c r="U671" s="1"/>
      <c r="V671" s="1"/>
    </row>
    <row r="672" ht="15.75" hidden="1" customHeight="1">
      <c r="A672" s="13"/>
      <c r="B672" s="13"/>
      <c r="C672" s="244" t="s">
        <v>517</v>
      </c>
      <c r="D672" s="216" t="s">
        <v>24</v>
      </c>
      <c r="E672" s="54"/>
      <c r="F672" s="56">
        <v>0.0</v>
      </c>
      <c r="G672" s="57">
        <v>900.0</v>
      </c>
      <c r="H672" s="50">
        <f t="shared" si="19"/>
        <v>0</v>
      </c>
      <c r="I672" s="57"/>
      <c r="J672" s="17"/>
      <c r="K672" s="13"/>
      <c r="L672" s="63"/>
      <c r="M672" s="63"/>
      <c r="N672" s="63"/>
      <c r="O672" s="63"/>
      <c r="P672" s="63"/>
      <c r="Q672" s="35"/>
      <c r="R672" s="35"/>
      <c r="S672" s="35"/>
      <c r="T672" s="1"/>
      <c r="U672" s="1"/>
      <c r="V672" s="1"/>
    </row>
    <row r="673" ht="15.75" hidden="1" customHeight="1">
      <c r="A673" s="13"/>
      <c r="B673" s="13"/>
      <c r="C673" s="169" t="s">
        <v>518</v>
      </c>
      <c r="D673" s="213" t="s">
        <v>24</v>
      </c>
      <c r="E673" s="52"/>
      <c r="F673" s="48">
        <v>0.0</v>
      </c>
      <c r="G673" s="50">
        <v>150.0</v>
      </c>
      <c r="H673" s="50">
        <f t="shared" si="19"/>
        <v>0</v>
      </c>
      <c r="I673" s="57"/>
      <c r="J673" s="17"/>
      <c r="K673" s="13"/>
      <c r="L673" s="63"/>
      <c r="M673" s="63"/>
      <c r="N673" s="63"/>
      <c r="O673" s="63"/>
      <c r="P673" s="63"/>
      <c r="Q673" s="35"/>
      <c r="R673" s="35"/>
      <c r="S673" s="35"/>
      <c r="T673" s="1"/>
      <c r="U673" s="1"/>
      <c r="V673" s="1"/>
    </row>
    <row r="674" ht="15.75" hidden="1" customHeight="1">
      <c r="A674" s="13"/>
      <c r="B674" s="13"/>
      <c r="C674" s="244" t="s">
        <v>519</v>
      </c>
      <c r="D674" s="55" t="s">
        <v>20</v>
      </c>
      <c r="E674" s="54"/>
      <c r="F674" s="56">
        <v>0.0</v>
      </c>
      <c r="G674" s="57">
        <v>60.0</v>
      </c>
      <c r="H674" s="57">
        <f t="shared" si="19"/>
        <v>0</v>
      </c>
      <c r="I674" s="57"/>
      <c r="J674" s="17"/>
      <c r="K674" s="13"/>
      <c r="L674" s="63"/>
      <c r="M674" s="63"/>
      <c r="N674" s="63"/>
      <c r="O674" s="63"/>
      <c r="P674" s="63"/>
      <c r="Q674" s="35"/>
      <c r="R674" s="35"/>
      <c r="S674" s="35"/>
      <c r="T674" s="1"/>
      <c r="U674" s="1"/>
      <c r="V674" s="1"/>
    </row>
    <row r="675" ht="15.75" hidden="1" customHeight="1">
      <c r="A675" s="13"/>
      <c r="B675" s="13"/>
      <c r="C675" s="244" t="s">
        <v>520</v>
      </c>
      <c r="D675" s="213" t="s">
        <v>24</v>
      </c>
      <c r="E675" s="54"/>
      <c r="F675" s="56">
        <v>0.0</v>
      </c>
      <c r="G675" s="57">
        <v>500.0</v>
      </c>
      <c r="H675" s="57">
        <f t="shared" si="19"/>
        <v>0</v>
      </c>
      <c r="I675" s="57"/>
      <c r="J675" s="17"/>
      <c r="K675" s="13"/>
      <c r="L675" s="63"/>
      <c r="M675" s="63"/>
      <c r="N675" s="63"/>
      <c r="O675" s="63"/>
      <c r="P675" s="63"/>
      <c r="Q675" s="35"/>
      <c r="R675" s="35"/>
      <c r="S675" s="35"/>
      <c r="T675" s="1"/>
      <c r="U675" s="1"/>
      <c r="V675" s="1"/>
    </row>
    <row r="676" ht="15.75" hidden="1" customHeight="1">
      <c r="A676" s="13"/>
      <c r="B676" s="13"/>
      <c r="C676" s="244" t="s">
        <v>521</v>
      </c>
      <c r="D676" s="55" t="s">
        <v>20</v>
      </c>
      <c r="E676" s="54"/>
      <c r="F676" s="56">
        <v>0.0</v>
      </c>
      <c r="G676" s="57">
        <v>130.0</v>
      </c>
      <c r="H676" s="57">
        <f t="shared" si="19"/>
        <v>0</v>
      </c>
      <c r="I676" s="57"/>
      <c r="J676" s="17"/>
      <c r="K676" s="13"/>
      <c r="L676" s="63"/>
      <c r="M676" s="63"/>
      <c r="N676" s="63"/>
      <c r="O676" s="63"/>
      <c r="P676" s="63"/>
      <c r="Q676" s="35"/>
      <c r="R676" s="35"/>
      <c r="S676" s="35"/>
      <c r="T676" s="1"/>
      <c r="U676" s="1"/>
      <c r="V676" s="1"/>
    </row>
    <row r="677" ht="15.75" hidden="1" customHeight="1">
      <c r="A677" s="15"/>
      <c r="B677" s="52"/>
      <c r="C677" s="196" t="s">
        <v>522</v>
      </c>
      <c r="D677" s="46" t="s">
        <v>20</v>
      </c>
      <c r="E677" s="52"/>
      <c r="F677" s="48">
        <v>0.0</v>
      </c>
      <c r="G677" s="50">
        <v>30.0</v>
      </c>
      <c r="H677" s="50">
        <f t="shared" si="19"/>
        <v>0</v>
      </c>
      <c r="I677" s="51"/>
      <c r="J677" s="51"/>
      <c r="K677" s="52"/>
      <c r="L677" s="52"/>
      <c r="M677" s="52"/>
      <c r="N677" s="52"/>
      <c r="O677" s="52"/>
      <c r="P677" s="52"/>
      <c r="Q677" s="1"/>
      <c r="R677" s="1"/>
      <c r="S677" s="1"/>
      <c r="T677" s="1"/>
      <c r="U677" s="1"/>
      <c r="V677" s="1"/>
    </row>
    <row r="678" ht="15.75" hidden="1" customHeight="1">
      <c r="A678" s="53"/>
      <c r="B678" s="54"/>
      <c r="C678" s="197" t="s">
        <v>523</v>
      </c>
      <c r="D678" s="216" t="s">
        <v>24</v>
      </c>
      <c r="E678" s="54"/>
      <c r="F678" s="56">
        <v>0.0</v>
      </c>
      <c r="G678" s="57">
        <v>25.0</v>
      </c>
      <c r="H678" s="57">
        <f t="shared" si="19"/>
        <v>0</v>
      </c>
      <c r="I678" s="58"/>
      <c r="J678" s="58"/>
      <c r="K678" s="54"/>
      <c r="L678" s="252"/>
      <c r="M678" s="252"/>
      <c r="N678" s="252"/>
      <c r="O678" s="252"/>
      <c r="P678" s="252"/>
      <c r="Q678" s="1"/>
      <c r="R678" s="1"/>
      <c r="S678" s="1"/>
      <c r="T678" s="1"/>
      <c r="U678" s="1"/>
      <c r="V678" s="1"/>
    </row>
    <row r="679" ht="15.75" hidden="1" customHeight="1">
      <c r="A679" s="53"/>
      <c r="B679" s="54"/>
      <c r="C679" s="197" t="s">
        <v>524</v>
      </c>
      <c r="D679" s="55" t="s">
        <v>20</v>
      </c>
      <c r="E679" s="54"/>
      <c r="F679" s="56">
        <v>0.0</v>
      </c>
      <c r="G679" s="57">
        <v>15.0</v>
      </c>
      <c r="H679" s="57">
        <f t="shared" si="19"/>
        <v>0</v>
      </c>
      <c r="I679" s="58"/>
      <c r="J679" s="58"/>
      <c r="K679" s="54"/>
      <c r="L679" s="54"/>
      <c r="M679" s="54"/>
      <c r="N679" s="54"/>
      <c r="O679" s="54"/>
      <c r="P679" s="54"/>
      <c r="Q679" s="1"/>
      <c r="R679" s="1"/>
      <c r="S679" s="1"/>
      <c r="T679" s="1"/>
      <c r="U679" s="1"/>
      <c r="V679" s="1"/>
    </row>
    <row r="680" ht="15.75" hidden="1" customHeight="1">
      <c r="A680" s="13"/>
      <c r="B680" s="13"/>
      <c r="C680" s="244" t="s">
        <v>525</v>
      </c>
      <c r="D680" s="213" t="s">
        <v>24</v>
      </c>
      <c r="E680" s="54"/>
      <c r="F680" s="56">
        <v>0.0</v>
      </c>
      <c r="G680" s="57">
        <v>60.0</v>
      </c>
      <c r="H680" s="57">
        <f t="shared" si="19"/>
        <v>0</v>
      </c>
      <c r="I680" s="57"/>
      <c r="J680" s="17"/>
      <c r="K680" s="13"/>
      <c r="L680" s="63"/>
      <c r="M680" s="63"/>
      <c r="N680" s="63"/>
      <c r="O680" s="63"/>
      <c r="P680" s="63"/>
      <c r="Q680" s="35"/>
      <c r="R680" s="35"/>
      <c r="S680" s="35"/>
      <c r="T680" s="1"/>
      <c r="U680" s="1"/>
      <c r="V680" s="1"/>
    </row>
    <row r="681" ht="15.75" hidden="1" customHeight="1">
      <c r="A681" s="13"/>
      <c r="B681" s="13"/>
      <c r="C681" s="244" t="s">
        <v>526</v>
      </c>
      <c r="D681" s="213" t="s">
        <v>24</v>
      </c>
      <c r="E681" s="54"/>
      <c r="F681" s="56">
        <v>0.0</v>
      </c>
      <c r="G681" s="57">
        <v>80.0</v>
      </c>
      <c r="H681" s="57">
        <f t="shared" si="19"/>
        <v>0</v>
      </c>
      <c r="I681" s="57"/>
      <c r="J681" s="17"/>
      <c r="K681" s="13"/>
      <c r="L681" s="63"/>
      <c r="M681" s="63"/>
      <c r="N681" s="63"/>
      <c r="O681" s="63"/>
      <c r="P681" s="63"/>
      <c r="Q681" s="35"/>
      <c r="R681" s="35"/>
      <c r="S681" s="35"/>
      <c r="T681" s="1"/>
      <c r="U681" s="1"/>
      <c r="V681" s="1"/>
    </row>
    <row r="682" ht="15.75" hidden="1" customHeight="1">
      <c r="A682" s="13"/>
      <c r="B682" s="13"/>
      <c r="C682" s="244" t="s">
        <v>527</v>
      </c>
      <c r="D682" s="46" t="s">
        <v>20</v>
      </c>
      <c r="E682" s="54"/>
      <c r="F682" s="56">
        <v>0.0</v>
      </c>
      <c r="G682" s="57">
        <v>5000.0</v>
      </c>
      <c r="H682" s="50">
        <f t="shared" si="19"/>
        <v>0</v>
      </c>
      <c r="I682" s="57"/>
      <c r="J682" s="17"/>
      <c r="K682" s="13"/>
      <c r="L682" s="63"/>
      <c r="M682" s="63"/>
      <c r="N682" s="63"/>
      <c r="O682" s="63"/>
      <c r="P682" s="63"/>
      <c r="Q682" s="35"/>
      <c r="R682" s="35"/>
      <c r="S682" s="35"/>
      <c r="T682" s="1"/>
      <c r="U682" s="1"/>
      <c r="V682" s="1"/>
    </row>
    <row r="683" ht="15.75" hidden="1" customHeight="1">
      <c r="A683" s="13"/>
      <c r="B683" s="13"/>
      <c r="C683" s="169" t="s">
        <v>528</v>
      </c>
      <c r="D683" s="213" t="s">
        <v>24</v>
      </c>
      <c r="E683" s="52" t="s">
        <v>529</v>
      </c>
      <c r="F683" s="48">
        <v>0.0</v>
      </c>
      <c r="G683" s="50">
        <v>2800.0</v>
      </c>
      <c r="H683" s="50">
        <f t="shared" si="19"/>
        <v>0</v>
      </c>
      <c r="I683" s="57"/>
      <c r="J683" s="17"/>
      <c r="K683" s="13"/>
      <c r="L683" s="63"/>
      <c r="M683" s="63"/>
      <c r="N683" s="63"/>
      <c r="O683" s="63"/>
      <c r="P683" s="63"/>
      <c r="Q683" s="35"/>
      <c r="R683" s="35"/>
      <c r="S683" s="35"/>
      <c r="T683" s="1"/>
      <c r="U683" s="1"/>
      <c r="V683" s="1"/>
    </row>
    <row r="684" ht="15.75" hidden="1" customHeight="1">
      <c r="A684" s="13"/>
      <c r="B684" s="13"/>
      <c r="C684" s="244" t="s">
        <v>530</v>
      </c>
      <c r="D684" s="216" t="s">
        <v>24</v>
      </c>
      <c r="E684" s="54"/>
      <c r="F684" s="56">
        <v>0.0</v>
      </c>
      <c r="G684" s="57">
        <v>2000.0</v>
      </c>
      <c r="H684" s="57">
        <f t="shared" si="19"/>
        <v>0</v>
      </c>
      <c r="I684" s="57"/>
      <c r="J684" s="17"/>
      <c r="K684" s="13"/>
      <c r="L684" s="63"/>
      <c r="M684" s="63"/>
      <c r="N684" s="63"/>
      <c r="O684" s="63"/>
      <c r="P684" s="63"/>
      <c r="Q684" s="35"/>
      <c r="R684" s="35"/>
      <c r="S684" s="35"/>
      <c r="T684" s="1"/>
      <c r="U684" s="1"/>
      <c r="V684" s="1"/>
    </row>
    <row r="685" ht="15.75" hidden="1" customHeight="1">
      <c r="A685" s="13"/>
      <c r="B685" s="13"/>
      <c r="C685" s="244" t="s">
        <v>531</v>
      </c>
      <c r="D685" s="216" t="s">
        <v>24</v>
      </c>
      <c r="E685" s="54"/>
      <c r="F685" s="56">
        <v>0.0</v>
      </c>
      <c r="G685" s="57">
        <v>2200.0</v>
      </c>
      <c r="H685" s="57">
        <f t="shared" si="19"/>
        <v>0</v>
      </c>
      <c r="I685" s="57"/>
      <c r="J685" s="17"/>
      <c r="K685" s="13"/>
      <c r="L685" s="63"/>
      <c r="M685" s="63"/>
      <c r="N685" s="63"/>
      <c r="O685" s="63"/>
      <c r="P685" s="63"/>
      <c r="Q685" s="35"/>
      <c r="R685" s="35"/>
      <c r="S685" s="35"/>
      <c r="T685" s="1"/>
      <c r="U685" s="1"/>
      <c r="V685" s="1"/>
    </row>
    <row r="686" ht="28.5" customHeight="1">
      <c r="A686" s="6"/>
      <c r="B686" s="6" t="s">
        <v>576</v>
      </c>
      <c r="C686" s="7">
        <f>SUM(H687:H746)</f>
        <v>3807.65</v>
      </c>
      <c r="D686" s="148"/>
      <c r="E686" s="148"/>
      <c r="F686" s="83"/>
      <c r="G686" s="82"/>
      <c r="H686" s="82"/>
      <c r="I686" s="82"/>
      <c r="J686" s="82"/>
      <c r="K686" s="83"/>
      <c r="L686" s="83"/>
      <c r="M686" s="83"/>
      <c r="N686" s="83"/>
      <c r="O686" s="83"/>
      <c r="P686" s="83"/>
      <c r="Q686" s="35"/>
      <c r="R686" s="35"/>
      <c r="S686" s="35"/>
      <c r="T686" s="1"/>
      <c r="U686" s="1"/>
      <c r="V686" s="1"/>
    </row>
    <row r="687" ht="15.75" customHeight="1">
      <c r="A687" s="13"/>
      <c r="B687" s="43" t="s">
        <v>18</v>
      </c>
      <c r="C687" s="169" t="s">
        <v>191</v>
      </c>
      <c r="D687" s="66" t="s">
        <v>22</v>
      </c>
      <c r="E687" s="15"/>
      <c r="F687" s="16">
        <v>2.0</v>
      </c>
      <c r="G687" s="34">
        <v>100.0</v>
      </c>
      <c r="H687" s="17">
        <f t="shared" ref="H687:H751" si="20">SUM(F687*G687)</f>
        <v>200</v>
      </c>
      <c r="I687" s="18"/>
      <c r="J687" s="18"/>
      <c r="K687" s="13"/>
      <c r="L687" s="13"/>
      <c r="M687" s="13"/>
      <c r="N687" s="13"/>
      <c r="O687" s="13"/>
      <c r="P687" s="13"/>
      <c r="Q687" s="35"/>
      <c r="R687" s="35"/>
      <c r="S687" s="35"/>
      <c r="T687" s="1"/>
      <c r="U687" s="1"/>
      <c r="V687" s="1"/>
    </row>
    <row r="688" ht="15.75" customHeight="1">
      <c r="A688" s="13"/>
      <c r="B688" s="13" t="s">
        <v>18</v>
      </c>
      <c r="C688" s="169" t="s">
        <v>577</v>
      </c>
      <c r="D688" s="14" t="s">
        <v>20</v>
      </c>
      <c r="E688" s="15"/>
      <c r="F688" s="16">
        <v>2.0</v>
      </c>
      <c r="G688" s="17">
        <v>5.0</v>
      </c>
      <c r="H688" s="17">
        <f t="shared" si="20"/>
        <v>10</v>
      </c>
      <c r="I688" s="18"/>
      <c r="J688" s="18"/>
      <c r="K688" s="13"/>
      <c r="L688" s="13"/>
      <c r="M688" s="19"/>
      <c r="N688" s="19"/>
      <c r="O688" s="38"/>
      <c r="P688" s="19"/>
      <c r="Q688" s="35"/>
      <c r="R688" s="35"/>
      <c r="S688" s="35"/>
      <c r="T688" s="1"/>
      <c r="U688" s="1"/>
      <c r="V688" s="1"/>
    </row>
    <row r="689" ht="15.75" customHeight="1">
      <c r="A689" s="13"/>
      <c r="B689" s="13" t="s">
        <v>18</v>
      </c>
      <c r="C689" s="169" t="s">
        <v>296</v>
      </c>
      <c r="D689" s="14" t="s">
        <v>20</v>
      </c>
      <c r="E689" s="194" t="s">
        <v>578</v>
      </c>
      <c r="F689" s="16">
        <v>1.0</v>
      </c>
      <c r="G689" s="34">
        <v>39.6</v>
      </c>
      <c r="H689" s="17">
        <f t="shared" si="20"/>
        <v>39.6</v>
      </c>
      <c r="I689" s="18"/>
      <c r="J689" s="18"/>
      <c r="K689" s="13"/>
      <c r="L689" s="27"/>
      <c r="M689" s="28"/>
      <c r="N689" s="27"/>
      <c r="O689" s="28"/>
      <c r="P689" s="27"/>
      <c r="Q689" s="35"/>
      <c r="R689" s="35"/>
      <c r="S689" s="35"/>
      <c r="T689" s="1"/>
      <c r="U689" s="1"/>
      <c r="V689" s="1"/>
    </row>
    <row r="690" ht="15.75" customHeight="1">
      <c r="A690" s="13"/>
      <c r="B690" s="13"/>
      <c r="C690" s="169" t="s">
        <v>298</v>
      </c>
      <c r="D690" s="70" t="s">
        <v>24</v>
      </c>
      <c r="E690" s="15"/>
      <c r="F690" s="16">
        <v>1.0</v>
      </c>
      <c r="G690" s="17">
        <v>95.0</v>
      </c>
      <c r="H690" s="17">
        <f t="shared" si="20"/>
        <v>95</v>
      </c>
      <c r="I690" s="18"/>
      <c r="J690" s="18"/>
      <c r="K690" s="13"/>
      <c r="L690" s="63"/>
      <c r="M690" s="63"/>
      <c r="N690" s="63"/>
      <c r="O690" s="63"/>
      <c r="P690" s="63"/>
      <c r="Q690" s="35"/>
      <c r="R690" s="35"/>
      <c r="S690" s="35"/>
      <c r="T690" s="1"/>
      <c r="U690" s="1"/>
      <c r="V690" s="1"/>
    </row>
    <row r="691" ht="15.75" hidden="1" customHeight="1">
      <c r="A691" s="13"/>
      <c r="B691" s="13"/>
      <c r="C691" s="169" t="s">
        <v>299</v>
      </c>
      <c r="D691" s="70" t="s">
        <v>24</v>
      </c>
      <c r="E691" s="15"/>
      <c r="F691" s="16">
        <v>0.0</v>
      </c>
      <c r="G691" s="17">
        <v>120.0</v>
      </c>
      <c r="H691" s="17">
        <f t="shared" si="20"/>
        <v>0</v>
      </c>
      <c r="I691" s="18"/>
      <c r="J691" s="18"/>
      <c r="K691" s="13"/>
      <c r="L691" s="63"/>
      <c r="M691" s="63"/>
      <c r="N691" s="63"/>
      <c r="O691" s="63"/>
      <c r="P691" s="63"/>
      <c r="Q691" s="35"/>
      <c r="R691" s="35"/>
      <c r="S691" s="35"/>
      <c r="T691" s="1"/>
      <c r="U691" s="1"/>
      <c r="V691" s="1"/>
    </row>
    <row r="692" ht="15.75" customHeight="1">
      <c r="A692" s="13"/>
      <c r="B692" s="13" t="s">
        <v>18</v>
      </c>
      <c r="C692" s="169" t="s">
        <v>300</v>
      </c>
      <c r="D692" s="14" t="s">
        <v>20</v>
      </c>
      <c r="E692" s="15"/>
      <c r="F692" s="40">
        <v>6.0</v>
      </c>
      <c r="G692" s="17">
        <v>5.0</v>
      </c>
      <c r="H692" s="17">
        <f t="shared" si="20"/>
        <v>30</v>
      </c>
      <c r="I692" s="18"/>
      <c r="J692" s="18"/>
      <c r="K692" s="13"/>
      <c r="L692" s="27"/>
      <c r="M692" s="27"/>
      <c r="N692" s="27"/>
      <c r="O692" s="27"/>
      <c r="P692" s="27"/>
      <c r="Q692" s="35"/>
      <c r="R692" s="35"/>
      <c r="S692" s="35"/>
      <c r="T692" s="1"/>
      <c r="U692" s="1"/>
      <c r="V692" s="1"/>
    </row>
    <row r="693" ht="15.75" hidden="1" customHeight="1">
      <c r="A693" s="13"/>
      <c r="B693" s="13" t="s">
        <v>18</v>
      </c>
      <c r="C693" s="169" t="s">
        <v>301</v>
      </c>
      <c r="D693" s="14" t="s">
        <v>20</v>
      </c>
      <c r="E693" s="15" t="s">
        <v>302</v>
      </c>
      <c r="F693" s="16">
        <v>0.0</v>
      </c>
      <c r="G693" s="17">
        <v>6.2</v>
      </c>
      <c r="H693" s="17">
        <f t="shared" si="20"/>
        <v>0</v>
      </c>
      <c r="I693" s="18"/>
      <c r="J693" s="18"/>
      <c r="K693" s="13"/>
      <c r="L693" s="27"/>
      <c r="M693" s="27"/>
      <c r="N693" s="27"/>
      <c r="O693" s="27"/>
      <c r="P693" s="27"/>
      <c r="Q693" s="35"/>
      <c r="R693" s="35"/>
      <c r="S693" s="35"/>
      <c r="T693" s="1"/>
      <c r="U693" s="1"/>
      <c r="V693" s="1"/>
    </row>
    <row r="694" ht="15.75" hidden="1" customHeight="1">
      <c r="A694" s="13"/>
      <c r="B694" s="13"/>
      <c r="C694" s="169" t="s">
        <v>303</v>
      </c>
      <c r="D694" s="70" t="s">
        <v>24</v>
      </c>
      <c r="E694" s="15"/>
      <c r="F694" s="16">
        <v>0.0</v>
      </c>
      <c r="G694" s="17">
        <v>40.0</v>
      </c>
      <c r="H694" s="17">
        <f t="shared" si="20"/>
        <v>0</v>
      </c>
      <c r="I694" s="18"/>
      <c r="J694" s="18"/>
      <c r="K694" s="13"/>
      <c r="L694" s="27"/>
      <c r="M694" s="27"/>
      <c r="N694" s="27"/>
      <c r="O694" s="27"/>
      <c r="P694" s="27"/>
      <c r="Q694" s="35"/>
      <c r="R694" s="35"/>
      <c r="S694" s="35"/>
      <c r="T694" s="1"/>
      <c r="U694" s="1"/>
      <c r="V694" s="1"/>
    </row>
    <row r="695" ht="15.75" hidden="1" customHeight="1">
      <c r="A695" s="13"/>
      <c r="B695" s="13" t="s">
        <v>18</v>
      </c>
      <c r="C695" s="169" t="s">
        <v>47</v>
      </c>
      <c r="D695" s="14" t="s">
        <v>20</v>
      </c>
      <c r="E695" s="15" t="s">
        <v>579</v>
      </c>
      <c r="F695" s="16">
        <v>0.0</v>
      </c>
      <c r="G695" s="17">
        <v>70.0</v>
      </c>
      <c r="H695" s="17">
        <f t="shared" si="20"/>
        <v>0</v>
      </c>
      <c r="I695" s="18"/>
      <c r="J695" s="18"/>
      <c r="K695" s="13"/>
      <c r="L695" s="27"/>
      <c r="M695" s="27"/>
      <c r="N695" s="27"/>
      <c r="O695" s="27"/>
      <c r="P695" s="27"/>
      <c r="Q695" s="35"/>
      <c r="R695" s="35"/>
      <c r="S695" s="35"/>
      <c r="T695" s="1"/>
      <c r="U695" s="1"/>
      <c r="V695" s="1"/>
    </row>
    <row r="696" ht="15.75" hidden="1" customHeight="1">
      <c r="A696" s="13"/>
      <c r="B696" s="13"/>
      <c r="C696" s="169" t="s">
        <v>304</v>
      </c>
      <c r="D696" s="70" t="s">
        <v>24</v>
      </c>
      <c r="E696" s="15"/>
      <c r="F696" s="16">
        <v>0.0</v>
      </c>
      <c r="G696" s="17">
        <v>120.0</v>
      </c>
      <c r="H696" s="17">
        <f t="shared" si="20"/>
        <v>0</v>
      </c>
      <c r="I696" s="18"/>
      <c r="J696" s="18"/>
      <c r="K696" s="13"/>
      <c r="L696" s="27"/>
      <c r="M696" s="27"/>
      <c r="N696" s="27"/>
      <c r="O696" s="27"/>
      <c r="P696" s="27"/>
      <c r="Q696" s="35"/>
      <c r="R696" s="35"/>
      <c r="S696" s="35"/>
      <c r="T696" s="1"/>
      <c r="U696" s="1"/>
      <c r="V696" s="1"/>
    </row>
    <row r="697" ht="15.75" customHeight="1">
      <c r="A697" s="13"/>
      <c r="B697" s="13" t="s">
        <v>58</v>
      </c>
      <c r="C697" s="169" t="s">
        <v>305</v>
      </c>
      <c r="D697" s="101" t="s">
        <v>32</v>
      </c>
      <c r="E697" s="15" t="s">
        <v>60</v>
      </c>
      <c r="F697" s="16">
        <v>1.0</v>
      </c>
      <c r="G697" s="17">
        <v>0.0</v>
      </c>
      <c r="H697" s="17">
        <f t="shared" si="20"/>
        <v>0</v>
      </c>
      <c r="I697" s="18"/>
      <c r="J697" s="18"/>
      <c r="K697" s="13"/>
      <c r="L697" s="13"/>
      <c r="M697" s="13"/>
      <c r="N697" s="13"/>
      <c r="O697" s="13"/>
      <c r="P697" s="13"/>
      <c r="Q697" s="35"/>
      <c r="R697" s="35"/>
      <c r="S697" s="35"/>
      <c r="T697" s="1"/>
      <c r="U697" s="1"/>
      <c r="V697" s="1"/>
    </row>
    <row r="698" ht="15.75" customHeight="1">
      <c r="A698" s="13"/>
      <c r="B698" s="43" t="s">
        <v>217</v>
      </c>
      <c r="C698" s="169" t="s">
        <v>307</v>
      </c>
      <c r="D698" s="101" t="s">
        <v>32</v>
      </c>
      <c r="E698" s="154">
        <v>80175.0</v>
      </c>
      <c r="F698" s="40">
        <v>2.0</v>
      </c>
      <c r="G698" s="34">
        <v>239.54</v>
      </c>
      <c r="H698" s="17">
        <f t="shared" si="20"/>
        <v>479.08</v>
      </c>
      <c r="I698" s="18"/>
      <c r="J698" s="18"/>
      <c r="K698" s="43">
        <v>239.54</v>
      </c>
      <c r="L698" s="27"/>
      <c r="M698" s="28"/>
      <c r="N698" s="27"/>
      <c r="O698" s="27"/>
      <c r="P698" s="27"/>
      <c r="Q698" s="35"/>
      <c r="R698" s="35"/>
      <c r="S698" s="35"/>
      <c r="T698" s="1"/>
      <c r="U698" s="1"/>
      <c r="V698" s="1"/>
    </row>
    <row r="699" ht="15.75" customHeight="1">
      <c r="A699" s="13"/>
      <c r="B699" s="43" t="s">
        <v>217</v>
      </c>
      <c r="C699" s="169" t="s">
        <v>308</v>
      </c>
      <c r="D699" s="101" t="s">
        <v>32</v>
      </c>
      <c r="E699" s="154">
        <v>80176.0</v>
      </c>
      <c r="F699" s="16">
        <v>1.0</v>
      </c>
      <c r="G699" s="34">
        <v>817.27</v>
      </c>
      <c r="H699" s="17">
        <f t="shared" si="20"/>
        <v>817.27</v>
      </c>
      <c r="I699" s="18"/>
      <c r="J699" s="18"/>
      <c r="K699" s="43">
        <v>817.27</v>
      </c>
      <c r="L699" s="27"/>
      <c r="M699" s="28"/>
      <c r="N699" s="27"/>
      <c r="O699" s="28"/>
      <c r="P699" s="28"/>
      <c r="Q699" s="35"/>
      <c r="R699" s="35"/>
      <c r="S699" s="35"/>
      <c r="T699" s="1"/>
      <c r="U699" s="1"/>
      <c r="V699" s="1"/>
    </row>
    <row r="700" ht="15.75" hidden="1" customHeight="1">
      <c r="A700" s="130"/>
      <c r="B700" s="130" t="s">
        <v>18</v>
      </c>
      <c r="C700" s="175" t="s">
        <v>309</v>
      </c>
      <c r="D700" s="176" t="s">
        <v>20</v>
      </c>
      <c r="E700" s="177" t="s">
        <v>310</v>
      </c>
      <c r="F700" s="178">
        <v>0.0</v>
      </c>
      <c r="G700" s="179">
        <v>15.0</v>
      </c>
      <c r="H700" s="179">
        <f t="shared" si="20"/>
        <v>0</v>
      </c>
      <c r="I700" s="180"/>
      <c r="J700" s="180"/>
      <c r="K700" s="130"/>
      <c r="L700" s="130"/>
      <c r="M700" s="181"/>
      <c r="N700" s="130"/>
      <c r="O700" s="181"/>
      <c r="P700" s="181"/>
      <c r="Q700" s="182"/>
      <c r="R700" s="182"/>
      <c r="S700" s="182"/>
      <c r="T700" s="182"/>
      <c r="U700" s="182"/>
      <c r="V700" s="182"/>
    </row>
    <row r="701" ht="15.75" hidden="1" customHeight="1">
      <c r="A701" s="130"/>
      <c r="B701" s="130" t="s">
        <v>18</v>
      </c>
      <c r="C701" s="175" t="s">
        <v>311</v>
      </c>
      <c r="D701" s="176" t="s">
        <v>20</v>
      </c>
      <c r="E701" s="177" t="s">
        <v>312</v>
      </c>
      <c r="F701" s="178">
        <v>0.0</v>
      </c>
      <c r="G701" s="179">
        <v>15.0</v>
      </c>
      <c r="H701" s="179">
        <f t="shared" si="20"/>
        <v>0</v>
      </c>
      <c r="I701" s="180"/>
      <c r="J701" s="180"/>
      <c r="K701" s="130"/>
      <c r="L701" s="130"/>
      <c r="M701" s="181"/>
      <c r="N701" s="130"/>
      <c r="O701" s="181"/>
      <c r="P701" s="181"/>
      <c r="Q701" s="182"/>
      <c r="R701" s="182"/>
      <c r="S701" s="182"/>
      <c r="T701" s="182"/>
      <c r="U701" s="182"/>
      <c r="V701" s="182"/>
    </row>
    <row r="702" ht="15.75" hidden="1" customHeight="1">
      <c r="A702" s="130"/>
      <c r="B702" s="130" t="s">
        <v>18</v>
      </c>
      <c r="C702" s="175" t="s">
        <v>313</v>
      </c>
      <c r="D702" s="176" t="s">
        <v>20</v>
      </c>
      <c r="E702" s="177" t="s">
        <v>314</v>
      </c>
      <c r="F702" s="178">
        <v>0.0</v>
      </c>
      <c r="G702" s="179">
        <v>1.6</v>
      </c>
      <c r="H702" s="179">
        <f t="shared" si="20"/>
        <v>0</v>
      </c>
      <c r="I702" s="180"/>
      <c r="J702" s="180"/>
      <c r="K702" s="130"/>
      <c r="L702" s="130"/>
      <c r="M702" s="181"/>
      <c r="N702" s="130"/>
      <c r="O702" s="181"/>
      <c r="P702" s="181"/>
      <c r="Q702" s="182"/>
      <c r="R702" s="182"/>
      <c r="S702" s="182"/>
      <c r="T702" s="182"/>
      <c r="U702" s="182"/>
      <c r="V702" s="182"/>
    </row>
    <row r="703" ht="15.75" hidden="1" customHeight="1">
      <c r="A703" s="13"/>
      <c r="B703" s="18" t="s">
        <v>18</v>
      </c>
      <c r="C703" s="169" t="s">
        <v>315</v>
      </c>
      <c r="D703" s="14" t="s">
        <v>20</v>
      </c>
      <c r="E703" s="33" t="s">
        <v>580</v>
      </c>
      <c r="F703" s="40">
        <v>0.0</v>
      </c>
      <c r="G703" s="17">
        <v>28.0</v>
      </c>
      <c r="H703" s="17">
        <f t="shared" si="20"/>
        <v>0</v>
      </c>
      <c r="I703" s="18"/>
      <c r="J703" s="18"/>
      <c r="K703" s="13"/>
      <c r="L703" s="27"/>
      <c r="M703" s="28"/>
      <c r="N703" s="27"/>
      <c r="O703" s="28"/>
      <c r="P703" s="28"/>
      <c r="Q703" s="35"/>
      <c r="R703" s="35"/>
      <c r="S703" s="35"/>
      <c r="T703" s="1"/>
      <c r="U703" s="1"/>
      <c r="V703" s="1"/>
    </row>
    <row r="704" ht="15.75" hidden="1" customHeight="1">
      <c r="A704" s="13"/>
      <c r="B704" s="166"/>
      <c r="C704" s="188" t="s">
        <v>259</v>
      </c>
      <c r="D704" s="167" t="s">
        <v>32</v>
      </c>
      <c r="E704" s="219"/>
      <c r="F704" s="190">
        <v>0.0</v>
      </c>
      <c r="G704" s="192">
        <v>0.0</v>
      </c>
      <c r="H704" s="192">
        <f t="shared" si="20"/>
        <v>0</v>
      </c>
      <c r="I704" s="193"/>
      <c r="J704" s="18"/>
      <c r="K704" s="13"/>
      <c r="L704" s="27"/>
      <c r="M704" s="28"/>
      <c r="N704" s="27"/>
      <c r="O704" s="27"/>
      <c r="P704" s="27"/>
      <c r="Q704" s="35"/>
      <c r="R704" s="35"/>
      <c r="S704" s="35"/>
      <c r="T704" s="1"/>
      <c r="U704" s="1"/>
      <c r="V704" s="1"/>
    </row>
    <row r="705" ht="15.75" hidden="1" customHeight="1">
      <c r="A705" s="13"/>
      <c r="B705" s="166" t="s">
        <v>397</v>
      </c>
      <c r="C705" s="188" t="s">
        <v>318</v>
      </c>
      <c r="D705" s="167" t="s">
        <v>32</v>
      </c>
      <c r="E705" s="219" t="s">
        <v>398</v>
      </c>
      <c r="F705" s="190">
        <v>0.0</v>
      </c>
      <c r="G705" s="192">
        <v>354.0</v>
      </c>
      <c r="H705" s="192">
        <f t="shared" si="20"/>
        <v>0</v>
      </c>
      <c r="I705" s="193"/>
      <c r="J705" s="18"/>
      <c r="K705" s="13"/>
      <c r="L705" s="13"/>
      <c r="M705" s="13"/>
      <c r="N705" s="13"/>
      <c r="O705" s="13"/>
      <c r="P705" s="13"/>
      <c r="Q705" s="35"/>
      <c r="R705" s="35"/>
      <c r="S705" s="35"/>
      <c r="T705" s="1"/>
      <c r="U705" s="1"/>
      <c r="V705" s="1"/>
    </row>
    <row r="706" ht="15.75" hidden="1" customHeight="1">
      <c r="A706" s="13"/>
      <c r="B706" s="13" t="s">
        <v>320</v>
      </c>
      <c r="C706" s="169" t="s">
        <v>321</v>
      </c>
      <c r="D706" s="66" t="s">
        <v>22</v>
      </c>
      <c r="E706" s="15"/>
      <c r="F706" s="16">
        <v>0.0</v>
      </c>
      <c r="G706" s="17">
        <v>10.0</v>
      </c>
      <c r="H706" s="17">
        <f t="shared" si="20"/>
        <v>0</v>
      </c>
      <c r="I706" s="18"/>
      <c r="J706" s="18"/>
      <c r="K706" s="13"/>
      <c r="L706" s="13"/>
      <c r="M706" s="19"/>
      <c r="N706" s="13"/>
      <c r="O706" s="13"/>
      <c r="P706" s="13"/>
      <c r="Q706" s="35"/>
      <c r="R706" s="35"/>
      <c r="S706" s="35"/>
      <c r="T706" s="1"/>
      <c r="U706" s="1"/>
      <c r="V706" s="1"/>
    </row>
    <row r="707" ht="15.75" customHeight="1">
      <c r="A707" s="13"/>
      <c r="B707" s="13" t="s">
        <v>239</v>
      </c>
      <c r="C707" s="195" t="s">
        <v>322</v>
      </c>
      <c r="D707" s="14" t="s">
        <v>20</v>
      </c>
      <c r="E707" s="15"/>
      <c r="F707" s="16">
        <v>1.0</v>
      </c>
      <c r="G707" s="34">
        <v>366.0</v>
      </c>
      <c r="H707" s="17">
        <f t="shared" si="20"/>
        <v>366</v>
      </c>
      <c r="I707" s="18"/>
      <c r="J707" s="18"/>
      <c r="K707" s="13"/>
      <c r="L707" s="13"/>
      <c r="M707" s="19"/>
      <c r="N707" s="13"/>
      <c r="O707" s="19"/>
      <c r="P707" s="19"/>
      <c r="Q707" s="35"/>
      <c r="R707" s="35"/>
      <c r="S707" s="35"/>
      <c r="T707" s="1"/>
      <c r="U707" s="1"/>
      <c r="V707" s="1"/>
    </row>
    <row r="708" ht="15.75" customHeight="1">
      <c r="A708" s="13"/>
      <c r="B708" s="13"/>
      <c r="C708" s="169" t="s">
        <v>323</v>
      </c>
      <c r="D708" s="70" t="s">
        <v>24</v>
      </c>
      <c r="E708" s="15"/>
      <c r="F708" s="16">
        <v>1.0</v>
      </c>
      <c r="G708" s="17">
        <v>80.0</v>
      </c>
      <c r="H708" s="17">
        <f t="shared" si="20"/>
        <v>80</v>
      </c>
      <c r="I708" s="18"/>
      <c r="J708" s="18"/>
      <c r="K708" s="13"/>
      <c r="L708" s="63"/>
      <c r="M708" s="63"/>
      <c r="N708" s="63"/>
      <c r="O708" s="63"/>
      <c r="P708" s="63"/>
      <c r="Q708" s="35"/>
      <c r="R708" s="35"/>
      <c r="S708" s="35"/>
      <c r="T708" s="1"/>
      <c r="U708" s="1"/>
      <c r="V708" s="1"/>
    </row>
    <row r="709" ht="15.75" customHeight="1">
      <c r="A709" s="13"/>
      <c r="B709" s="13"/>
      <c r="C709" s="169" t="s">
        <v>324</v>
      </c>
      <c r="D709" s="14" t="s">
        <v>20</v>
      </c>
      <c r="E709" s="15"/>
      <c r="F709" s="16">
        <v>1.0</v>
      </c>
      <c r="G709" s="17">
        <v>35.0</v>
      </c>
      <c r="H709" s="17">
        <f t="shared" si="20"/>
        <v>35</v>
      </c>
      <c r="I709" s="18"/>
      <c r="J709" s="18"/>
      <c r="K709" s="13"/>
      <c r="L709" s="13"/>
      <c r="M709" s="19"/>
      <c r="N709" s="13"/>
      <c r="O709" s="19"/>
      <c r="P709" s="19"/>
      <c r="Q709" s="35"/>
      <c r="R709" s="35"/>
      <c r="S709" s="35"/>
      <c r="T709" s="1"/>
      <c r="U709" s="1"/>
      <c r="V709" s="1"/>
    </row>
    <row r="710" ht="15.75" hidden="1" customHeight="1">
      <c r="A710" s="13"/>
      <c r="B710" s="13"/>
      <c r="C710" s="169" t="s">
        <v>258</v>
      </c>
      <c r="D710" s="66" t="s">
        <v>22</v>
      </c>
      <c r="E710" s="15"/>
      <c r="F710" s="16">
        <v>0.0</v>
      </c>
      <c r="G710" s="17">
        <v>150.0</v>
      </c>
      <c r="H710" s="17">
        <f t="shared" si="20"/>
        <v>0</v>
      </c>
      <c r="I710" s="18"/>
      <c r="J710" s="18"/>
      <c r="K710" s="13"/>
      <c r="L710" s="13"/>
      <c r="M710" s="19"/>
      <c r="N710" s="13"/>
      <c r="O710" s="19"/>
      <c r="P710" s="19"/>
      <c r="Q710" s="35"/>
      <c r="R710" s="35"/>
      <c r="S710" s="35"/>
      <c r="T710" s="1"/>
      <c r="U710" s="1"/>
      <c r="V710" s="1"/>
    </row>
    <row r="711" ht="15.75" hidden="1" customHeight="1">
      <c r="A711" s="13"/>
      <c r="B711" s="13"/>
      <c r="C711" s="196" t="s">
        <v>421</v>
      </c>
      <c r="D711" s="150" t="s">
        <v>22</v>
      </c>
      <c r="E711" s="52" t="s">
        <v>581</v>
      </c>
      <c r="F711" s="48">
        <v>0.0</v>
      </c>
      <c r="G711" s="50">
        <v>413.4</v>
      </c>
      <c r="H711" s="50">
        <f t="shared" si="20"/>
        <v>0</v>
      </c>
      <c r="I711" s="18"/>
      <c r="J711" s="18"/>
      <c r="K711" s="13"/>
      <c r="L711" s="13"/>
      <c r="M711" s="13"/>
      <c r="N711" s="13"/>
      <c r="O711" s="19"/>
      <c r="P711" s="19"/>
      <c r="Q711" s="35"/>
      <c r="R711" s="35"/>
      <c r="S711" s="35"/>
      <c r="T711" s="1"/>
      <c r="U711" s="1"/>
      <c r="V711" s="1"/>
    </row>
    <row r="712" ht="15.75" customHeight="1">
      <c r="A712" s="13"/>
      <c r="B712" s="13" t="s">
        <v>18</v>
      </c>
      <c r="C712" s="196" t="s">
        <v>325</v>
      </c>
      <c r="D712" s="150" t="s">
        <v>22</v>
      </c>
      <c r="E712" s="229" t="s">
        <v>582</v>
      </c>
      <c r="F712" s="48">
        <v>1.0</v>
      </c>
      <c r="G712" s="49">
        <v>78.0</v>
      </c>
      <c r="H712" s="50">
        <f t="shared" si="20"/>
        <v>78</v>
      </c>
      <c r="I712" s="18"/>
      <c r="J712" s="18"/>
      <c r="K712" s="13"/>
      <c r="L712" s="13"/>
      <c r="M712" s="13"/>
      <c r="N712" s="13"/>
      <c r="O712" s="19"/>
      <c r="P712" s="19"/>
      <c r="Q712" s="35"/>
      <c r="R712" s="35"/>
      <c r="S712" s="35"/>
      <c r="T712" s="1"/>
      <c r="U712" s="1"/>
      <c r="V712" s="1"/>
    </row>
    <row r="713" ht="15.75" hidden="1" customHeight="1">
      <c r="A713" s="15"/>
      <c r="B713" s="52" t="s">
        <v>18</v>
      </c>
      <c r="C713" s="196" t="s">
        <v>329</v>
      </c>
      <c r="D713" s="150" t="s">
        <v>22</v>
      </c>
      <c r="E713" s="52"/>
      <c r="F713" s="48">
        <v>0.0</v>
      </c>
      <c r="G713" s="50">
        <v>35.0</v>
      </c>
      <c r="H713" s="50">
        <f t="shared" si="20"/>
        <v>0</v>
      </c>
      <c r="I713" s="51"/>
      <c r="J713" s="51"/>
      <c r="K713" s="52"/>
      <c r="L713" s="52"/>
      <c r="M713" s="52"/>
      <c r="N713" s="52"/>
      <c r="O713" s="200"/>
      <c r="P713" s="200"/>
      <c r="Q713" s="1"/>
      <c r="R713" s="1"/>
      <c r="S713" s="1"/>
      <c r="T713" s="1"/>
      <c r="U713" s="1"/>
      <c r="V713" s="1"/>
    </row>
    <row r="714" ht="15.75" hidden="1" customHeight="1">
      <c r="A714" s="53"/>
      <c r="B714" s="54" t="s">
        <v>18</v>
      </c>
      <c r="C714" s="197" t="s">
        <v>331</v>
      </c>
      <c r="D714" s="198" t="s">
        <v>22</v>
      </c>
      <c r="E714" s="54" t="s">
        <v>583</v>
      </c>
      <c r="F714" s="56">
        <v>0.0</v>
      </c>
      <c r="G714" s="57">
        <v>40.0</v>
      </c>
      <c r="H714" s="57">
        <f t="shared" si="20"/>
        <v>0</v>
      </c>
      <c r="I714" s="58"/>
      <c r="J714" s="58"/>
      <c r="K714" s="54"/>
      <c r="L714" s="54"/>
      <c r="M714" s="54"/>
      <c r="N714" s="54"/>
      <c r="O714" s="202"/>
      <c r="P714" s="202"/>
      <c r="Q714" s="1"/>
      <c r="R714" s="1"/>
      <c r="S714" s="1"/>
      <c r="T714" s="1"/>
      <c r="U714" s="1"/>
      <c r="V714" s="1"/>
    </row>
    <row r="715" ht="15.75" hidden="1" customHeight="1">
      <c r="A715" s="53"/>
      <c r="B715" s="54" t="s">
        <v>18</v>
      </c>
      <c r="C715" s="197" t="s">
        <v>584</v>
      </c>
      <c r="D715" s="198" t="s">
        <v>22</v>
      </c>
      <c r="E715" s="54" t="s">
        <v>585</v>
      </c>
      <c r="F715" s="56">
        <v>0.0</v>
      </c>
      <c r="G715" s="57">
        <v>25.0</v>
      </c>
      <c r="H715" s="57">
        <f t="shared" si="20"/>
        <v>0</v>
      </c>
      <c r="I715" s="58"/>
      <c r="J715" s="58"/>
      <c r="K715" s="54"/>
      <c r="L715" s="54"/>
      <c r="M715" s="54"/>
      <c r="N715" s="54"/>
      <c r="O715" s="202"/>
      <c r="P715" s="202"/>
      <c r="Q715" s="1"/>
      <c r="R715" s="1"/>
      <c r="S715" s="1"/>
      <c r="T715" s="1"/>
      <c r="U715" s="1"/>
      <c r="V715" s="1"/>
    </row>
    <row r="716" ht="15.75" hidden="1" customHeight="1">
      <c r="A716" s="53"/>
      <c r="B716" s="54" t="s">
        <v>18</v>
      </c>
      <c r="C716" s="197" t="s">
        <v>586</v>
      </c>
      <c r="D716" s="198" t="s">
        <v>22</v>
      </c>
      <c r="E716" s="54" t="s">
        <v>587</v>
      </c>
      <c r="F716" s="56">
        <v>0.0</v>
      </c>
      <c r="G716" s="57">
        <v>19.54</v>
      </c>
      <c r="H716" s="57">
        <f t="shared" si="20"/>
        <v>0</v>
      </c>
      <c r="I716" s="58"/>
      <c r="J716" s="58"/>
      <c r="K716" s="54"/>
      <c r="L716" s="54"/>
      <c r="M716" s="54"/>
      <c r="N716" s="54"/>
      <c r="O716" s="202"/>
      <c r="P716" s="202"/>
      <c r="Q716" s="1"/>
      <c r="R716" s="1"/>
      <c r="S716" s="1"/>
      <c r="T716" s="1"/>
      <c r="U716" s="1"/>
      <c r="V716" s="1"/>
    </row>
    <row r="717" ht="15.75" customHeight="1">
      <c r="A717" s="15"/>
      <c r="B717" s="52" t="s">
        <v>18</v>
      </c>
      <c r="C717" s="196" t="s">
        <v>335</v>
      </c>
      <c r="D717" s="150" t="s">
        <v>22</v>
      </c>
      <c r="E717" s="199" t="s">
        <v>588</v>
      </c>
      <c r="F717" s="48">
        <v>2.0</v>
      </c>
      <c r="G717" s="49">
        <v>24.0</v>
      </c>
      <c r="H717" s="50">
        <f t="shared" si="20"/>
        <v>48</v>
      </c>
      <c r="I717" s="51"/>
      <c r="J717" s="51"/>
      <c r="K717" s="13"/>
      <c r="L717" s="52"/>
      <c r="M717" s="52"/>
      <c r="N717" s="52"/>
      <c r="O717" s="200"/>
      <c r="P717" s="200"/>
      <c r="Q717" s="1"/>
      <c r="R717" s="1"/>
      <c r="S717" s="1"/>
      <c r="T717" s="1"/>
      <c r="U717" s="1"/>
      <c r="V717" s="1"/>
    </row>
    <row r="718" ht="15.75" customHeight="1">
      <c r="A718" s="53"/>
      <c r="B718" s="54" t="s">
        <v>18</v>
      </c>
      <c r="C718" s="197" t="s">
        <v>336</v>
      </c>
      <c r="D718" s="198" t="s">
        <v>22</v>
      </c>
      <c r="E718" s="201" t="s">
        <v>424</v>
      </c>
      <c r="F718" s="56">
        <v>1.0</v>
      </c>
      <c r="G718" s="159">
        <v>34.2</v>
      </c>
      <c r="H718" s="57">
        <f t="shared" si="20"/>
        <v>34.2</v>
      </c>
      <c r="I718" s="58"/>
      <c r="J718" s="58"/>
      <c r="K718" s="13"/>
      <c r="L718" s="54"/>
      <c r="M718" s="54"/>
      <c r="N718" s="54"/>
      <c r="O718" s="202"/>
      <c r="P718" s="202"/>
      <c r="Q718" s="1"/>
      <c r="R718" s="1"/>
      <c r="S718" s="1"/>
      <c r="T718" s="1"/>
      <c r="U718" s="1"/>
      <c r="V718" s="1"/>
    </row>
    <row r="719" ht="15.75" customHeight="1">
      <c r="A719" s="53"/>
      <c r="B719" s="54" t="s">
        <v>18</v>
      </c>
      <c r="C719" s="197" t="s">
        <v>589</v>
      </c>
      <c r="D719" s="198" t="s">
        <v>22</v>
      </c>
      <c r="E719" s="204" t="s">
        <v>590</v>
      </c>
      <c r="F719" s="56">
        <v>1.0</v>
      </c>
      <c r="G719" s="159">
        <v>38.4</v>
      </c>
      <c r="H719" s="57">
        <f t="shared" si="20"/>
        <v>38.4</v>
      </c>
      <c r="I719" s="58"/>
      <c r="J719" s="58"/>
      <c r="K719" s="54"/>
      <c r="L719" s="54"/>
      <c r="M719" s="54"/>
      <c r="N719" s="54"/>
      <c r="O719" s="202"/>
      <c r="P719" s="202"/>
      <c r="Q719" s="1"/>
      <c r="R719" s="1"/>
      <c r="S719" s="1"/>
      <c r="T719" s="1"/>
      <c r="U719" s="1"/>
      <c r="V719" s="1"/>
    </row>
    <row r="720" ht="15.75" hidden="1" customHeight="1">
      <c r="A720" s="53"/>
      <c r="B720" s="54" t="s">
        <v>18</v>
      </c>
      <c r="C720" s="197" t="s">
        <v>344</v>
      </c>
      <c r="D720" s="198" t="s">
        <v>22</v>
      </c>
      <c r="E720" s="205" t="s">
        <v>345</v>
      </c>
      <c r="F720" s="158">
        <v>0.0</v>
      </c>
      <c r="G720" s="57">
        <v>19.0</v>
      </c>
      <c r="H720" s="57">
        <f t="shared" si="20"/>
        <v>0</v>
      </c>
      <c r="I720" s="58"/>
      <c r="J720" s="58"/>
      <c r="K720" s="54"/>
      <c r="L720" s="54"/>
      <c r="M720" s="54"/>
      <c r="N720" s="54"/>
      <c r="O720" s="202"/>
      <c r="P720" s="202"/>
      <c r="Q720" s="1"/>
      <c r="R720" s="1"/>
      <c r="S720" s="1"/>
      <c r="T720" s="1"/>
      <c r="U720" s="1"/>
      <c r="V720" s="1"/>
    </row>
    <row r="721" ht="15.75" hidden="1" customHeight="1">
      <c r="A721" s="53"/>
      <c r="B721" s="54" t="s">
        <v>18</v>
      </c>
      <c r="C721" s="197" t="s">
        <v>591</v>
      </c>
      <c r="D721" s="198" t="s">
        <v>22</v>
      </c>
      <c r="E721" s="54" t="s">
        <v>592</v>
      </c>
      <c r="F721" s="56">
        <v>0.0</v>
      </c>
      <c r="G721" s="57">
        <v>17.99</v>
      </c>
      <c r="H721" s="57">
        <f t="shared" si="20"/>
        <v>0</v>
      </c>
      <c r="I721" s="58"/>
      <c r="J721" s="58"/>
      <c r="K721" s="54"/>
      <c r="L721" s="54"/>
      <c r="M721" s="54"/>
      <c r="N721" s="54"/>
      <c r="O721" s="202"/>
      <c r="P721" s="202"/>
      <c r="Q721" s="1"/>
      <c r="R721" s="1"/>
      <c r="S721" s="1"/>
      <c r="T721" s="1"/>
      <c r="U721" s="1"/>
      <c r="V721" s="1"/>
    </row>
    <row r="722" ht="15.75" hidden="1" customHeight="1">
      <c r="A722" s="15"/>
      <c r="B722" s="52" t="s">
        <v>18</v>
      </c>
      <c r="C722" s="196" t="s">
        <v>340</v>
      </c>
      <c r="D722" s="150" t="s">
        <v>22</v>
      </c>
      <c r="E722" s="52"/>
      <c r="F722" s="48">
        <v>0.0</v>
      </c>
      <c r="G722" s="50">
        <v>29.69</v>
      </c>
      <c r="H722" s="50">
        <f t="shared" si="20"/>
        <v>0</v>
      </c>
      <c r="I722" s="51"/>
      <c r="J722" s="51"/>
      <c r="K722" s="52"/>
      <c r="L722" s="52"/>
      <c r="M722" s="52"/>
      <c r="N722" s="52"/>
      <c r="O722" s="200"/>
      <c r="P722" s="200"/>
      <c r="Q722" s="1"/>
      <c r="R722" s="1"/>
      <c r="S722" s="1"/>
      <c r="T722" s="1"/>
      <c r="U722" s="1"/>
      <c r="V722" s="1"/>
    </row>
    <row r="723" ht="15.75" hidden="1" customHeight="1">
      <c r="A723" s="53"/>
      <c r="B723" s="54" t="s">
        <v>18</v>
      </c>
      <c r="C723" s="197" t="s">
        <v>341</v>
      </c>
      <c r="D723" s="198" t="s">
        <v>22</v>
      </c>
      <c r="E723" s="54" t="s">
        <v>337</v>
      </c>
      <c r="F723" s="56">
        <v>0.0</v>
      </c>
      <c r="G723" s="57">
        <v>29.99</v>
      </c>
      <c r="H723" s="57">
        <f t="shared" si="20"/>
        <v>0</v>
      </c>
      <c r="I723" s="58"/>
      <c r="J723" s="58"/>
      <c r="K723" s="54"/>
      <c r="L723" s="54"/>
      <c r="M723" s="54"/>
      <c r="N723" s="54"/>
      <c r="O723" s="202"/>
      <c r="P723" s="202"/>
      <c r="Q723" s="1"/>
      <c r="R723" s="1"/>
      <c r="S723" s="1"/>
      <c r="T723" s="1"/>
      <c r="U723" s="1"/>
      <c r="V723" s="1"/>
    </row>
    <row r="724" ht="15.75" hidden="1" customHeight="1">
      <c r="A724" s="53"/>
      <c r="B724" s="54" t="s">
        <v>18</v>
      </c>
      <c r="C724" s="197" t="s">
        <v>342</v>
      </c>
      <c r="D724" s="198" t="s">
        <v>22</v>
      </c>
      <c r="E724" s="54" t="s">
        <v>343</v>
      </c>
      <c r="F724" s="56">
        <v>0.0</v>
      </c>
      <c r="G724" s="57">
        <v>17.99</v>
      </c>
      <c r="H724" s="57">
        <f t="shared" si="20"/>
        <v>0</v>
      </c>
      <c r="I724" s="58"/>
      <c r="J724" s="58"/>
      <c r="K724" s="54"/>
      <c r="L724" s="54"/>
      <c r="M724" s="54"/>
      <c r="N724" s="54"/>
      <c r="O724" s="202"/>
      <c r="P724" s="202"/>
      <c r="Q724" s="1"/>
      <c r="R724" s="1"/>
      <c r="S724" s="1"/>
      <c r="T724" s="1"/>
      <c r="U724" s="1"/>
      <c r="V724" s="1"/>
    </row>
    <row r="725" ht="15.75" hidden="1" customHeight="1">
      <c r="A725" s="53"/>
      <c r="B725" s="54" t="s">
        <v>18</v>
      </c>
      <c r="C725" s="197" t="s">
        <v>593</v>
      </c>
      <c r="D725" s="198" t="s">
        <v>22</v>
      </c>
      <c r="E725" s="54" t="s">
        <v>594</v>
      </c>
      <c r="F725" s="56">
        <v>0.0</v>
      </c>
      <c r="G725" s="57">
        <v>16.99</v>
      </c>
      <c r="H725" s="57">
        <f t="shared" si="20"/>
        <v>0</v>
      </c>
      <c r="I725" s="58"/>
      <c r="J725" s="58"/>
      <c r="K725" s="54"/>
      <c r="L725" s="54"/>
      <c r="M725" s="54"/>
      <c r="N725" s="54"/>
      <c r="O725" s="202"/>
      <c r="P725" s="202"/>
      <c r="Q725" s="1"/>
      <c r="R725" s="1"/>
      <c r="S725" s="1"/>
      <c r="T725" s="1"/>
      <c r="U725" s="1"/>
      <c r="V725" s="1"/>
    </row>
    <row r="726" ht="15.75" hidden="1" customHeight="1">
      <c r="A726" s="13"/>
      <c r="B726" s="206" t="s">
        <v>18</v>
      </c>
      <c r="C726" s="197" t="s">
        <v>346</v>
      </c>
      <c r="D726" s="198" t="s">
        <v>22</v>
      </c>
      <c r="E726" s="205" t="s">
        <v>347</v>
      </c>
      <c r="F726" s="158">
        <v>0.0</v>
      </c>
      <c r="G726" s="57">
        <v>35.0</v>
      </c>
      <c r="H726" s="57">
        <f t="shared" si="20"/>
        <v>0</v>
      </c>
      <c r="I726" s="18"/>
      <c r="J726" s="18"/>
      <c r="K726" s="13"/>
      <c r="L726" s="13"/>
      <c r="M726" s="13"/>
      <c r="N726" s="13"/>
      <c r="O726" s="19"/>
      <c r="P726" s="19"/>
      <c r="Q726" s="35"/>
      <c r="R726" s="35"/>
      <c r="S726" s="35"/>
      <c r="T726" s="1"/>
      <c r="U726" s="1"/>
      <c r="V726" s="1"/>
    </row>
    <row r="727" ht="15.75" hidden="1" customHeight="1">
      <c r="A727" s="13"/>
      <c r="B727" s="13" t="s">
        <v>18</v>
      </c>
      <c r="C727" s="196" t="s">
        <v>348</v>
      </c>
      <c r="D727" s="150" t="s">
        <v>22</v>
      </c>
      <c r="E727" s="52" t="s">
        <v>595</v>
      </c>
      <c r="F727" s="48">
        <v>0.0</v>
      </c>
      <c r="G727" s="50">
        <v>20.0</v>
      </c>
      <c r="H727" s="50">
        <f t="shared" si="20"/>
        <v>0</v>
      </c>
      <c r="I727" s="18"/>
      <c r="J727" s="18"/>
      <c r="K727" s="13"/>
      <c r="L727" s="13"/>
      <c r="M727" s="13"/>
      <c r="N727" s="13"/>
      <c r="O727" s="13"/>
      <c r="P727" s="13"/>
      <c r="Q727" s="35"/>
      <c r="R727" s="35"/>
      <c r="S727" s="35"/>
      <c r="T727" s="1"/>
      <c r="U727" s="1"/>
      <c r="V727" s="1"/>
    </row>
    <row r="728" ht="15.75" hidden="1" customHeight="1">
      <c r="A728" s="13"/>
      <c r="B728" s="13" t="s">
        <v>350</v>
      </c>
      <c r="C728" s="196" t="s">
        <v>351</v>
      </c>
      <c r="D728" s="150" t="s">
        <v>22</v>
      </c>
      <c r="E728" s="207" t="s">
        <v>352</v>
      </c>
      <c r="F728" s="48">
        <v>0.0</v>
      </c>
      <c r="G728" s="49">
        <v>420.0</v>
      </c>
      <c r="H728" s="50">
        <f t="shared" si="20"/>
        <v>0</v>
      </c>
      <c r="I728" s="18"/>
      <c r="J728" s="18"/>
      <c r="K728" s="13"/>
      <c r="L728" s="13"/>
      <c r="M728" s="13"/>
      <c r="N728" s="13"/>
      <c r="O728" s="13"/>
      <c r="P728" s="13"/>
      <c r="Q728" s="35"/>
      <c r="R728" s="35"/>
      <c r="S728" s="35"/>
      <c r="T728" s="1"/>
      <c r="U728" s="1"/>
      <c r="V728" s="1"/>
    </row>
    <row r="729" ht="15.75" hidden="1" customHeight="1">
      <c r="A729" s="13"/>
      <c r="B729" s="206" t="s">
        <v>350</v>
      </c>
      <c r="C729" s="197" t="s">
        <v>353</v>
      </c>
      <c r="D729" s="198" t="s">
        <v>22</v>
      </c>
      <c r="E729" s="208" t="s">
        <v>352</v>
      </c>
      <c r="F729" s="56">
        <v>0.0</v>
      </c>
      <c r="G729" s="159">
        <v>172.0</v>
      </c>
      <c r="H729" s="57">
        <f t="shared" si="20"/>
        <v>0</v>
      </c>
      <c r="I729" s="18"/>
      <c r="J729" s="18"/>
      <c r="K729" s="13"/>
      <c r="L729" s="13"/>
      <c r="M729" s="19"/>
      <c r="N729" s="13"/>
      <c r="O729" s="19"/>
      <c r="P729" s="19"/>
      <c r="Q729" s="35"/>
      <c r="R729" s="35"/>
      <c r="S729" s="35"/>
      <c r="T729" s="1"/>
      <c r="U729" s="1"/>
      <c r="V729" s="1"/>
    </row>
    <row r="730" ht="15.75" hidden="1" customHeight="1">
      <c r="A730" s="13"/>
      <c r="B730" s="206"/>
      <c r="C730" s="197" t="s">
        <v>354</v>
      </c>
      <c r="D730" s="198" t="s">
        <v>22</v>
      </c>
      <c r="E730" s="208" t="s">
        <v>352</v>
      </c>
      <c r="F730" s="56">
        <v>0.0</v>
      </c>
      <c r="G730" s="159">
        <v>97.0</v>
      </c>
      <c r="H730" s="57">
        <f t="shared" si="20"/>
        <v>0</v>
      </c>
      <c r="I730" s="18"/>
      <c r="J730" s="18"/>
      <c r="K730" s="13"/>
      <c r="L730" s="27"/>
      <c r="M730" s="28"/>
      <c r="N730" s="27"/>
      <c r="O730" s="28"/>
      <c r="P730" s="27"/>
      <c r="Q730" s="35"/>
      <c r="R730" s="35"/>
      <c r="S730" s="35"/>
      <c r="T730" s="1"/>
      <c r="U730" s="1"/>
      <c r="V730" s="1"/>
    </row>
    <row r="731" ht="15.75" customHeight="1">
      <c r="A731" s="13"/>
      <c r="B731" s="13" t="s">
        <v>18</v>
      </c>
      <c r="C731" s="196" t="s">
        <v>359</v>
      </c>
      <c r="D731" s="150" t="s">
        <v>22</v>
      </c>
      <c r="E731" s="199" t="s">
        <v>596</v>
      </c>
      <c r="F731" s="48">
        <v>1.0</v>
      </c>
      <c r="G731" s="49">
        <v>21.6</v>
      </c>
      <c r="H731" s="50">
        <f t="shared" si="20"/>
        <v>21.6</v>
      </c>
      <c r="I731" s="18"/>
      <c r="J731" s="18"/>
      <c r="K731" s="13"/>
      <c r="L731" s="13"/>
      <c r="M731" s="13"/>
      <c r="N731" s="13"/>
      <c r="O731" s="13"/>
      <c r="P731" s="13"/>
      <c r="Q731" s="35"/>
      <c r="R731" s="35"/>
      <c r="S731" s="35"/>
      <c r="T731" s="1"/>
      <c r="U731" s="1"/>
      <c r="V731" s="1"/>
    </row>
    <row r="732" ht="15.75" customHeight="1">
      <c r="A732" s="13"/>
      <c r="B732" s="156" t="s">
        <v>350</v>
      </c>
      <c r="C732" s="197" t="s">
        <v>355</v>
      </c>
      <c r="D732" s="198" t="s">
        <v>22</v>
      </c>
      <c r="E732" s="208" t="s">
        <v>356</v>
      </c>
      <c r="F732" s="56">
        <v>1.0</v>
      </c>
      <c r="G732" s="159">
        <v>366.0</v>
      </c>
      <c r="H732" s="57">
        <f t="shared" si="20"/>
        <v>366</v>
      </c>
      <c r="I732" s="18"/>
      <c r="J732" s="18"/>
      <c r="K732" s="13"/>
      <c r="L732" s="27"/>
      <c r="M732" s="28"/>
      <c r="N732" s="27"/>
      <c r="O732" s="28"/>
      <c r="P732" s="27"/>
      <c r="Q732" s="35"/>
      <c r="R732" s="35"/>
      <c r="S732" s="35"/>
      <c r="T732" s="1"/>
      <c r="U732" s="1"/>
      <c r="V732" s="1"/>
    </row>
    <row r="733" ht="15.75" customHeight="1">
      <c r="A733" s="13"/>
      <c r="B733" s="206" t="s">
        <v>350</v>
      </c>
      <c r="C733" s="197" t="s">
        <v>357</v>
      </c>
      <c r="D733" s="198" t="s">
        <v>22</v>
      </c>
      <c r="E733" s="208" t="s">
        <v>356</v>
      </c>
      <c r="F733" s="56">
        <v>1.0</v>
      </c>
      <c r="G733" s="159">
        <v>107.5</v>
      </c>
      <c r="H733" s="57">
        <f t="shared" si="20"/>
        <v>107.5</v>
      </c>
      <c r="I733" s="18"/>
      <c r="J733" s="18"/>
      <c r="K733" s="13"/>
      <c r="L733" s="27"/>
      <c r="M733" s="28"/>
      <c r="N733" s="27"/>
      <c r="O733" s="28"/>
      <c r="P733" s="27"/>
      <c r="Q733" s="35"/>
      <c r="R733" s="35"/>
      <c r="S733" s="35"/>
      <c r="T733" s="1"/>
      <c r="U733" s="1"/>
      <c r="V733" s="1"/>
    </row>
    <row r="734" ht="15.75" customHeight="1">
      <c r="A734" s="13"/>
      <c r="B734" s="156" t="s">
        <v>350</v>
      </c>
      <c r="C734" s="197" t="s">
        <v>358</v>
      </c>
      <c r="D734" s="198" t="s">
        <v>22</v>
      </c>
      <c r="E734" s="208" t="s">
        <v>356</v>
      </c>
      <c r="F734" s="56">
        <v>1.0</v>
      </c>
      <c r="G734" s="159">
        <v>97.0</v>
      </c>
      <c r="H734" s="57">
        <f t="shared" si="20"/>
        <v>97</v>
      </c>
      <c r="I734" s="18"/>
      <c r="J734" s="18"/>
      <c r="K734" s="13"/>
      <c r="L734" s="27"/>
      <c r="M734" s="28"/>
      <c r="N734" s="27"/>
      <c r="O734" s="28"/>
      <c r="P734" s="27"/>
      <c r="Q734" s="35"/>
      <c r="R734" s="35"/>
      <c r="S734" s="35"/>
      <c r="T734" s="1"/>
      <c r="U734" s="1"/>
      <c r="V734" s="1"/>
    </row>
    <row r="735" ht="15.75" hidden="1" customHeight="1">
      <c r="A735" s="13"/>
      <c r="B735" s="13" t="s">
        <v>361</v>
      </c>
      <c r="C735" s="169" t="s">
        <v>362</v>
      </c>
      <c r="D735" s="66" t="s">
        <v>22</v>
      </c>
      <c r="E735" s="15" t="s">
        <v>363</v>
      </c>
      <c r="F735" s="16">
        <v>0.0</v>
      </c>
      <c r="G735" s="17">
        <v>11.0</v>
      </c>
      <c r="H735" s="17">
        <f t="shared" si="20"/>
        <v>0</v>
      </c>
      <c r="I735" s="18"/>
      <c r="J735" s="18"/>
      <c r="K735" s="13"/>
      <c r="L735" s="95"/>
      <c r="M735" s="96"/>
      <c r="N735" s="95"/>
      <c r="O735" s="95"/>
      <c r="P735" s="95"/>
      <c r="Q735" s="35"/>
      <c r="R735" s="35"/>
      <c r="S735" s="35"/>
      <c r="T735" s="1"/>
      <c r="U735" s="1"/>
      <c r="V735" s="1"/>
    </row>
    <row r="736" ht="15.75" customHeight="1">
      <c r="A736" s="13"/>
      <c r="B736" s="13" t="s">
        <v>361</v>
      </c>
      <c r="C736" s="169" t="s">
        <v>364</v>
      </c>
      <c r="D736" s="66" t="s">
        <v>22</v>
      </c>
      <c r="E736" s="15" t="s">
        <v>365</v>
      </c>
      <c r="F736" s="16">
        <v>4.0</v>
      </c>
      <c r="G736" s="17">
        <v>6.0</v>
      </c>
      <c r="H736" s="17">
        <f t="shared" si="20"/>
        <v>24</v>
      </c>
      <c r="I736" s="18"/>
      <c r="J736" s="18"/>
      <c r="K736" s="13"/>
      <c r="L736" s="95"/>
      <c r="M736" s="96"/>
      <c r="N736" s="95"/>
      <c r="O736" s="95"/>
      <c r="P736" s="95"/>
      <c r="Q736" s="35"/>
      <c r="R736" s="35"/>
      <c r="S736" s="35"/>
      <c r="T736" s="1"/>
      <c r="U736" s="1"/>
      <c r="V736" s="1"/>
    </row>
    <row r="737" ht="15.75" customHeight="1">
      <c r="A737" s="13"/>
      <c r="B737" s="43" t="s">
        <v>64</v>
      </c>
      <c r="C737" s="169" t="s">
        <v>263</v>
      </c>
      <c r="D737" s="66" t="s">
        <v>22</v>
      </c>
      <c r="E737" s="15" t="s">
        <v>998</v>
      </c>
      <c r="F737" s="16">
        <v>2.0</v>
      </c>
      <c r="G737" s="17">
        <v>180.0</v>
      </c>
      <c r="H737" s="17">
        <f t="shared" si="20"/>
        <v>360</v>
      </c>
      <c r="I737" s="18"/>
      <c r="J737" s="18"/>
      <c r="K737" s="13"/>
      <c r="L737" s="13"/>
      <c r="M737" s="19"/>
      <c r="N737" s="13"/>
      <c r="O737" s="19"/>
      <c r="P737" s="19"/>
      <c r="Q737" s="35"/>
      <c r="R737" s="35"/>
      <c r="S737" s="35"/>
      <c r="T737" s="1"/>
      <c r="U737" s="1"/>
      <c r="V737" s="1"/>
    </row>
    <row r="738" ht="15.75" customHeight="1">
      <c r="A738" s="13"/>
      <c r="B738" s="13"/>
      <c r="C738" s="13" t="s">
        <v>67</v>
      </c>
      <c r="D738" s="70" t="s">
        <v>24</v>
      </c>
      <c r="E738" s="15"/>
      <c r="F738" s="16">
        <v>2.0</v>
      </c>
      <c r="G738" s="17">
        <v>18.0</v>
      </c>
      <c r="H738" s="17">
        <f t="shared" si="20"/>
        <v>36</v>
      </c>
      <c r="I738" s="18"/>
      <c r="J738" s="18"/>
      <c r="K738" s="13"/>
      <c r="L738" s="63"/>
      <c r="M738" s="79"/>
      <c r="N738" s="63"/>
      <c r="O738" s="79"/>
      <c r="P738" s="79"/>
      <c r="Q738" s="35"/>
      <c r="R738" s="35"/>
      <c r="S738" s="35"/>
      <c r="T738" s="1"/>
      <c r="U738" s="1"/>
      <c r="V738" s="1"/>
    </row>
    <row r="739" ht="15.75" customHeight="1">
      <c r="A739" s="13"/>
      <c r="B739" s="43" t="s">
        <v>88</v>
      </c>
      <c r="C739" s="54" t="s">
        <v>411</v>
      </c>
      <c r="D739" s="14" t="s">
        <v>20</v>
      </c>
      <c r="E739" s="171" t="s">
        <v>412</v>
      </c>
      <c r="F739" s="16">
        <v>1.0</v>
      </c>
      <c r="G739" s="34">
        <v>334.0</v>
      </c>
      <c r="H739" s="17">
        <f t="shared" si="20"/>
        <v>334</v>
      </c>
      <c r="I739" s="18"/>
      <c r="J739" s="18"/>
      <c r="K739" s="13"/>
      <c r="L739" s="13"/>
      <c r="M739" s="19"/>
      <c r="N739" s="13"/>
      <c r="O739" s="38"/>
      <c r="P739" s="19"/>
      <c r="Q739" s="35"/>
      <c r="R739" s="35"/>
      <c r="S739" s="35"/>
      <c r="T739" s="1"/>
      <c r="U739" s="1"/>
      <c r="V739" s="1"/>
    </row>
    <row r="740" ht="15.75" customHeight="1">
      <c r="A740" s="13"/>
      <c r="B740" s="13" t="s">
        <v>18</v>
      </c>
      <c r="C740" s="169" t="s">
        <v>280</v>
      </c>
      <c r="D740" s="14" t="s">
        <v>20</v>
      </c>
      <c r="E740" s="15" t="s">
        <v>597</v>
      </c>
      <c r="F740" s="16">
        <v>1.0</v>
      </c>
      <c r="G740" s="34">
        <v>20.0</v>
      </c>
      <c r="H740" s="17">
        <f t="shared" si="20"/>
        <v>20</v>
      </c>
      <c r="I740" s="18"/>
      <c r="J740" s="18"/>
      <c r="K740" s="13"/>
      <c r="L740" s="27"/>
      <c r="M740" s="27"/>
      <c r="N740" s="27"/>
      <c r="O740" s="27"/>
      <c r="P740" s="27"/>
      <c r="Q740" s="35"/>
      <c r="R740" s="35"/>
      <c r="S740" s="35"/>
      <c r="T740" s="1"/>
      <c r="U740" s="1"/>
      <c r="V740" s="1"/>
    </row>
    <row r="741" ht="15.75" customHeight="1">
      <c r="A741" s="13"/>
      <c r="B741" s="13"/>
      <c r="C741" s="169" t="s">
        <v>282</v>
      </c>
      <c r="D741" s="70" t="s">
        <v>24</v>
      </c>
      <c r="E741" s="15"/>
      <c r="F741" s="16">
        <v>1.0</v>
      </c>
      <c r="G741" s="17">
        <v>80.0</v>
      </c>
      <c r="H741" s="17">
        <f t="shared" si="20"/>
        <v>80</v>
      </c>
      <c r="I741" s="18"/>
      <c r="J741" s="18"/>
      <c r="K741" s="13"/>
      <c r="L741" s="63"/>
      <c r="M741" s="63"/>
      <c r="N741" s="63"/>
      <c r="O741" s="63"/>
      <c r="P741" s="63"/>
      <c r="Q741" s="35"/>
      <c r="R741" s="35"/>
      <c r="S741" s="35"/>
      <c r="T741" s="1"/>
      <c r="U741" s="1"/>
      <c r="V741" s="1"/>
    </row>
    <row r="742" ht="15.75" hidden="1" customHeight="1">
      <c r="A742" s="13"/>
      <c r="B742" s="13" t="s">
        <v>18</v>
      </c>
      <c r="C742" s="169" t="s">
        <v>283</v>
      </c>
      <c r="D742" s="14" t="s">
        <v>20</v>
      </c>
      <c r="E742" s="15" t="s">
        <v>284</v>
      </c>
      <c r="F742" s="16">
        <v>0.0</v>
      </c>
      <c r="G742" s="17">
        <v>12.0</v>
      </c>
      <c r="H742" s="17">
        <f t="shared" si="20"/>
        <v>0</v>
      </c>
      <c r="I742" s="18"/>
      <c r="J742" s="18"/>
      <c r="K742" s="13"/>
      <c r="L742" s="27"/>
      <c r="M742" s="28"/>
      <c r="N742" s="27"/>
      <c r="O742" s="28"/>
      <c r="P742" s="28"/>
      <c r="Q742" s="35"/>
      <c r="R742" s="35"/>
      <c r="S742" s="35"/>
      <c r="T742" s="1"/>
      <c r="U742" s="1"/>
      <c r="V742" s="1"/>
    </row>
    <row r="743" ht="15.75" customHeight="1">
      <c r="A743" s="13"/>
      <c r="B743" s="13" t="s">
        <v>369</v>
      </c>
      <c r="C743" s="169" t="s">
        <v>370</v>
      </c>
      <c r="D743" s="14" t="s">
        <v>20</v>
      </c>
      <c r="E743" s="15">
        <v>8.49069896E8</v>
      </c>
      <c r="F743" s="16">
        <v>1.0</v>
      </c>
      <c r="G743" s="17">
        <v>5.0</v>
      </c>
      <c r="H743" s="17">
        <f t="shared" si="20"/>
        <v>5</v>
      </c>
      <c r="I743" s="18"/>
      <c r="J743" s="18"/>
      <c r="K743" s="18"/>
      <c r="L743" s="13"/>
      <c r="M743" s="19"/>
      <c r="N743" s="13"/>
      <c r="O743" s="19"/>
      <c r="P743" s="19"/>
      <c r="Q743" s="35"/>
      <c r="R743" s="35"/>
      <c r="S743" s="35"/>
      <c r="T743" s="1"/>
      <c r="U743" s="1"/>
      <c r="V743" s="1"/>
    </row>
    <row r="744" ht="15.75" customHeight="1">
      <c r="A744" s="13"/>
      <c r="B744" s="13" t="s">
        <v>18</v>
      </c>
      <c r="C744" s="169" t="s">
        <v>371</v>
      </c>
      <c r="D744" s="14" t="s">
        <v>20</v>
      </c>
      <c r="E744" s="15" t="s">
        <v>286</v>
      </c>
      <c r="F744" s="16">
        <v>2.0</v>
      </c>
      <c r="G744" s="17">
        <v>3.0</v>
      </c>
      <c r="H744" s="17">
        <f t="shared" si="20"/>
        <v>6</v>
      </c>
      <c r="I744" s="18"/>
      <c r="J744" s="18"/>
      <c r="K744" s="13"/>
      <c r="L744" s="27"/>
      <c r="M744" s="28"/>
      <c r="N744" s="27"/>
      <c r="O744" s="28"/>
      <c r="P744" s="28"/>
      <c r="Q744" s="35"/>
      <c r="R744" s="35"/>
      <c r="S744" s="35"/>
      <c r="T744" s="1"/>
      <c r="U744" s="1"/>
      <c r="V744" s="1"/>
    </row>
    <row r="745" ht="15.75" hidden="1" customHeight="1">
      <c r="A745" s="13"/>
      <c r="B745" s="13" t="s">
        <v>373</v>
      </c>
      <c r="C745" s="169" t="s">
        <v>69</v>
      </c>
      <c r="D745" s="14" t="s">
        <v>20</v>
      </c>
      <c r="E745" s="15"/>
      <c r="F745" s="16">
        <v>0.0</v>
      </c>
      <c r="G745" s="17">
        <v>70.0</v>
      </c>
      <c r="H745" s="17">
        <f t="shared" si="20"/>
        <v>0</v>
      </c>
      <c r="I745" s="18"/>
      <c r="J745" s="18"/>
      <c r="K745" s="13"/>
      <c r="L745" s="107"/>
      <c r="M745" s="214"/>
      <c r="N745" s="13"/>
      <c r="O745" s="13"/>
      <c r="P745" s="13"/>
      <c r="Q745" s="35"/>
      <c r="R745" s="35"/>
      <c r="S745" s="35"/>
      <c r="T745" s="1"/>
      <c r="U745" s="1"/>
      <c r="V745" s="1"/>
    </row>
    <row r="746" ht="15.75" hidden="1" customHeight="1">
      <c r="A746" s="13"/>
      <c r="B746" s="13"/>
      <c r="C746" s="169" t="s">
        <v>374</v>
      </c>
      <c r="D746" s="70" t="s">
        <v>24</v>
      </c>
      <c r="E746" s="15"/>
      <c r="F746" s="16">
        <v>0.0</v>
      </c>
      <c r="G746" s="17">
        <v>70.0</v>
      </c>
      <c r="H746" s="17">
        <f t="shared" si="20"/>
        <v>0</v>
      </c>
      <c r="I746" s="18"/>
      <c r="J746" s="18"/>
      <c r="K746" s="13"/>
      <c r="L746" s="63"/>
      <c r="M746" s="63"/>
      <c r="N746" s="63"/>
      <c r="O746" s="63"/>
      <c r="P746" s="63"/>
      <c r="Q746" s="35"/>
      <c r="R746" s="35"/>
      <c r="S746" s="35"/>
      <c r="T746" s="1"/>
      <c r="U746" s="1"/>
      <c r="V746" s="1"/>
    </row>
    <row r="747" ht="15.75" hidden="1" customHeight="1">
      <c r="A747" s="13"/>
      <c r="B747" s="13"/>
      <c r="C747" s="169" t="s">
        <v>375</v>
      </c>
      <c r="D747" s="70" t="s">
        <v>24</v>
      </c>
      <c r="E747" s="15"/>
      <c r="F747" s="16">
        <v>0.0</v>
      </c>
      <c r="G747" s="17">
        <v>450.0</v>
      </c>
      <c r="H747" s="17">
        <f t="shared" si="20"/>
        <v>0</v>
      </c>
      <c r="I747" s="18"/>
      <c r="J747" s="18"/>
      <c r="K747" s="13" t="s">
        <v>376</v>
      </c>
      <c r="L747" s="63"/>
      <c r="M747" s="63"/>
      <c r="N747" s="63"/>
      <c r="O747" s="63"/>
      <c r="P747" s="63"/>
      <c r="Q747" s="35"/>
      <c r="R747" s="35"/>
      <c r="S747" s="35"/>
      <c r="T747" s="1"/>
      <c r="U747" s="1"/>
      <c r="V747" s="1"/>
    </row>
    <row r="748" ht="15.75" hidden="1" customHeight="1">
      <c r="A748" s="13"/>
      <c r="B748" s="13"/>
      <c r="C748" s="13" t="s">
        <v>71</v>
      </c>
      <c r="D748" s="213" t="s">
        <v>24</v>
      </c>
      <c r="E748" s="52"/>
      <c r="F748" s="48">
        <v>0.0</v>
      </c>
      <c r="G748" s="50">
        <v>80.0</v>
      </c>
      <c r="H748" s="50">
        <f t="shared" si="20"/>
        <v>0</v>
      </c>
      <c r="I748" s="18"/>
      <c r="J748" s="18"/>
      <c r="K748" s="13"/>
      <c r="L748" s="63"/>
      <c r="M748" s="63"/>
      <c r="N748" s="63"/>
      <c r="O748" s="63"/>
      <c r="P748" s="63"/>
      <c r="Q748" s="35"/>
      <c r="R748" s="35"/>
      <c r="S748" s="35"/>
      <c r="T748" s="1"/>
      <c r="U748" s="1"/>
      <c r="V748" s="1"/>
    </row>
    <row r="749" ht="15.75" hidden="1" customHeight="1">
      <c r="A749" s="13"/>
      <c r="B749" s="13" t="s">
        <v>18</v>
      </c>
      <c r="C749" s="13" t="s">
        <v>377</v>
      </c>
      <c r="D749" s="14" t="s">
        <v>20</v>
      </c>
      <c r="E749" s="52" t="s">
        <v>28</v>
      </c>
      <c r="F749" s="48">
        <v>0.0</v>
      </c>
      <c r="G749" s="50">
        <v>70.0</v>
      </c>
      <c r="H749" s="50">
        <f t="shared" si="20"/>
        <v>0</v>
      </c>
      <c r="I749" s="18"/>
      <c r="J749" s="18"/>
      <c r="K749" s="13"/>
      <c r="L749" s="63"/>
      <c r="M749" s="63"/>
      <c r="N749" s="63"/>
      <c r="O749" s="63"/>
      <c r="P749" s="63"/>
      <c r="Q749" s="35"/>
      <c r="R749" s="35"/>
      <c r="S749" s="35"/>
      <c r="T749" s="1"/>
      <c r="U749" s="1"/>
      <c r="V749" s="1"/>
    </row>
    <row r="750" ht="15.75" hidden="1" customHeight="1">
      <c r="A750" s="13"/>
      <c r="B750" s="13"/>
      <c r="C750" s="13" t="s">
        <v>221</v>
      </c>
      <c r="D750" s="213" t="s">
        <v>24</v>
      </c>
      <c r="E750" s="52"/>
      <c r="F750" s="48">
        <v>0.0</v>
      </c>
      <c r="G750" s="50">
        <v>50.0</v>
      </c>
      <c r="H750" s="50">
        <f t="shared" si="20"/>
        <v>0</v>
      </c>
      <c r="I750" s="18"/>
      <c r="J750" s="18"/>
      <c r="K750" s="13"/>
      <c r="L750" s="63"/>
      <c r="M750" s="63"/>
      <c r="N750" s="63"/>
      <c r="O750" s="63"/>
      <c r="P750" s="63"/>
      <c r="Q750" s="35"/>
      <c r="R750" s="35"/>
      <c r="S750" s="35"/>
      <c r="T750" s="1"/>
      <c r="U750" s="1"/>
      <c r="V750" s="1"/>
    </row>
    <row r="751" ht="15.75" hidden="1" customHeight="1">
      <c r="A751" s="13"/>
      <c r="B751" s="13"/>
      <c r="C751" s="206" t="s">
        <v>222</v>
      </c>
      <c r="D751" s="216" t="s">
        <v>24</v>
      </c>
      <c r="E751" s="54"/>
      <c r="F751" s="56">
        <v>0.0</v>
      </c>
      <c r="G751" s="57">
        <v>40.0</v>
      </c>
      <c r="H751" s="57">
        <f t="shared" si="20"/>
        <v>0</v>
      </c>
      <c r="I751" s="18"/>
      <c r="J751" s="18"/>
      <c r="K751" s="13"/>
      <c r="L751" s="63"/>
      <c r="M751" s="63"/>
      <c r="N751" s="63"/>
      <c r="O751" s="63"/>
      <c r="P751" s="63"/>
      <c r="Q751" s="35"/>
      <c r="R751" s="35"/>
      <c r="S751" s="35"/>
      <c r="T751" s="1"/>
      <c r="U751" s="1"/>
      <c r="V751" s="1"/>
    </row>
    <row r="752" ht="28.5" customHeight="1">
      <c r="A752" s="6"/>
      <c r="B752" s="172" t="s">
        <v>598</v>
      </c>
      <c r="C752" s="7">
        <f>SUM(H753:H813)</f>
        <v>4108.47</v>
      </c>
      <c r="D752" s="148"/>
      <c r="E752" s="148"/>
      <c r="F752" s="83"/>
      <c r="G752" s="82"/>
      <c r="H752" s="82"/>
      <c r="I752" s="82"/>
      <c r="J752" s="82"/>
      <c r="K752" s="83"/>
      <c r="L752" s="83"/>
      <c r="M752" s="83"/>
      <c r="N752" s="83"/>
      <c r="O752" s="83"/>
      <c r="P752" s="83"/>
      <c r="Q752" s="35"/>
      <c r="R752" s="35"/>
      <c r="S752" s="35"/>
      <c r="T752" s="1"/>
      <c r="U752" s="1"/>
      <c r="V752" s="1"/>
    </row>
    <row r="753" ht="15.75" customHeight="1">
      <c r="A753" s="13"/>
      <c r="B753" s="43" t="s">
        <v>64</v>
      </c>
      <c r="C753" s="169" t="s">
        <v>191</v>
      </c>
      <c r="D753" s="66" t="s">
        <v>22</v>
      </c>
      <c r="E753" s="15" t="s">
        <v>599</v>
      </c>
      <c r="F753" s="16">
        <v>2.0</v>
      </c>
      <c r="G753" s="34">
        <v>100.0</v>
      </c>
      <c r="H753" s="17">
        <f t="shared" ref="H753:H820" si="21">SUM(F753*G753)</f>
        <v>200</v>
      </c>
      <c r="I753" s="18"/>
      <c r="J753" s="18"/>
      <c r="K753" s="13"/>
      <c r="L753" s="13"/>
      <c r="M753" s="13"/>
      <c r="N753" s="13"/>
      <c r="O753" s="13"/>
      <c r="P753" s="13"/>
      <c r="Q753" s="35"/>
      <c r="R753" s="35"/>
      <c r="S753" s="35"/>
      <c r="T753" s="1"/>
      <c r="U753" s="1"/>
      <c r="V753" s="1"/>
    </row>
    <row r="754" ht="15.75" customHeight="1">
      <c r="A754" s="13"/>
      <c r="B754" s="13" t="s">
        <v>18</v>
      </c>
      <c r="C754" s="169" t="s">
        <v>600</v>
      </c>
      <c r="D754" s="14" t="s">
        <v>20</v>
      </c>
      <c r="E754" s="15"/>
      <c r="F754" s="16">
        <v>2.0</v>
      </c>
      <c r="G754" s="17">
        <v>5.0</v>
      </c>
      <c r="H754" s="17">
        <f t="shared" si="21"/>
        <v>10</v>
      </c>
      <c r="I754" s="18"/>
      <c r="J754" s="18"/>
      <c r="K754" s="13"/>
      <c r="L754" s="13"/>
      <c r="M754" s="19"/>
      <c r="N754" s="19"/>
      <c r="O754" s="38"/>
      <c r="P754" s="19"/>
      <c r="Q754" s="35"/>
      <c r="R754" s="35"/>
      <c r="S754" s="35"/>
      <c r="T754" s="1"/>
      <c r="U754" s="1"/>
      <c r="V754" s="1"/>
    </row>
    <row r="755" ht="15.75" customHeight="1">
      <c r="A755" s="13"/>
      <c r="B755" s="13" t="s">
        <v>18</v>
      </c>
      <c r="C755" s="169" t="s">
        <v>296</v>
      </c>
      <c r="D755" s="14" t="s">
        <v>20</v>
      </c>
      <c r="E755" s="171" t="s">
        <v>601</v>
      </c>
      <c r="F755" s="16">
        <v>1.0</v>
      </c>
      <c r="G755" s="34">
        <v>132.0</v>
      </c>
      <c r="H755" s="17">
        <f t="shared" si="21"/>
        <v>132</v>
      </c>
      <c r="I755" s="18"/>
      <c r="J755" s="18"/>
      <c r="K755" s="13"/>
      <c r="L755" s="27"/>
      <c r="M755" s="28"/>
      <c r="N755" s="27"/>
      <c r="O755" s="28"/>
      <c r="P755" s="27"/>
      <c r="Q755" s="35"/>
      <c r="R755" s="35"/>
      <c r="S755" s="35"/>
      <c r="T755" s="1"/>
      <c r="U755" s="1"/>
      <c r="V755" s="1"/>
    </row>
    <row r="756" ht="15.75" customHeight="1">
      <c r="A756" s="13"/>
      <c r="B756" s="13"/>
      <c r="C756" s="169" t="s">
        <v>298</v>
      </c>
      <c r="D756" s="70" t="s">
        <v>24</v>
      </c>
      <c r="E756" s="15"/>
      <c r="F756" s="16">
        <v>1.0</v>
      </c>
      <c r="G756" s="17">
        <v>95.0</v>
      </c>
      <c r="H756" s="17">
        <f t="shared" si="21"/>
        <v>95</v>
      </c>
      <c r="I756" s="18"/>
      <c r="J756" s="18"/>
      <c r="K756" s="13"/>
      <c r="L756" s="63"/>
      <c r="M756" s="63"/>
      <c r="N756" s="63"/>
      <c r="O756" s="63"/>
      <c r="P756" s="63"/>
      <c r="Q756" s="35"/>
      <c r="R756" s="35"/>
      <c r="S756" s="35"/>
      <c r="T756" s="1"/>
      <c r="U756" s="1"/>
      <c r="V756" s="1"/>
    </row>
    <row r="757" ht="15.75" hidden="1" customHeight="1">
      <c r="A757" s="13"/>
      <c r="B757" s="13"/>
      <c r="C757" s="169" t="s">
        <v>299</v>
      </c>
      <c r="D757" s="70" t="s">
        <v>24</v>
      </c>
      <c r="E757" s="15"/>
      <c r="F757" s="16">
        <v>0.0</v>
      </c>
      <c r="G757" s="17">
        <v>120.0</v>
      </c>
      <c r="H757" s="17">
        <f t="shared" si="21"/>
        <v>0</v>
      </c>
      <c r="I757" s="18"/>
      <c r="J757" s="18"/>
      <c r="K757" s="13"/>
      <c r="L757" s="63"/>
      <c r="M757" s="63"/>
      <c r="N757" s="63"/>
      <c r="O757" s="63"/>
      <c r="P757" s="63"/>
      <c r="Q757" s="35"/>
      <c r="R757" s="35"/>
      <c r="S757" s="35"/>
      <c r="T757" s="1"/>
      <c r="U757" s="1"/>
      <c r="V757" s="1"/>
    </row>
    <row r="758" ht="15.75" customHeight="1">
      <c r="A758" s="13"/>
      <c r="B758" s="13" t="s">
        <v>18</v>
      </c>
      <c r="C758" s="169" t="s">
        <v>300</v>
      </c>
      <c r="D758" s="14" t="s">
        <v>20</v>
      </c>
      <c r="E758" s="15"/>
      <c r="F758" s="40">
        <v>8.0</v>
      </c>
      <c r="G758" s="17">
        <v>5.0</v>
      </c>
      <c r="H758" s="17">
        <f t="shared" si="21"/>
        <v>40</v>
      </c>
      <c r="I758" s="18"/>
      <c r="J758" s="18"/>
      <c r="K758" s="13"/>
      <c r="L758" s="27"/>
      <c r="M758" s="27"/>
      <c r="N758" s="27"/>
      <c r="O758" s="27"/>
      <c r="P758" s="27"/>
      <c r="Q758" s="35"/>
      <c r="R758" s="35"/>
      <c r="S758" s="35"/>
      <c r="T758" s="1"/>
      <c r="U758" s="1"/>
      <c r="V758" s="1"/>
    </row>
    <row r="759" ht="15.75" hidden="1" customHeight="1">
      <c r="A759" s="13"/>
      <c r="B759" s="13" t="s">
        <v>18</v>
      </c>
      <c r="C759" s="169" t="s">
        <v>47</v>
      </c>
      <c r="D759" s="14" t="s">
        <v>20</v>
      </c>
      <c r="E759" s="15" t="s">
        <v>602</v>
      </c>
      <c r="F759" s="16">
        <v>0.0</v>
      </c>
      <c r="G759" s="17">
        <v>60.0</v>
      </c>
      <c r="H759" s="17">
        <f t="shared" si="21"/>
        <v>0</v>
      </c>
      <c r="I759" s="18"/>
      <c r="J759" s="18"/>
      <c r="K759" s="13"/>
      <c r="L759" s="27"/>
      <c r="M759" s="27"/>
      <c r="N759" s="27"/>
      <c r="O759" s="27"/>
      <c r="P759" s="27"/>
      <c r="Q759" s="35"/>
      <c r="R759" s="35"/>
      <c r="S759" s="35"/>
      <c r="T759" s="1"/>
      <c r="U759" s="1"/>
      <c r="V759" s="1"/>
    </row>
    <row r="760" ht="15.75" hidden="1" customHeight="1">
      <c r="A760" s="13"/>
      <c r="B760" s="13"/>
      <c r="C760" s="169" t="s">
        <v>295</v>
      </c>
      <c r="D760" s="70" t="s">
        <v>24</v>
      </c>
      <c r="E760" s="15"/>
      <c r="F760" s="16">
        <v>0.0</v>
      </c>
      <c r="G760" s="17">
        <v>120.0</v>
      </c>
      <c r="H760" s="17">
        <f t="shared" si="21"/>
        <v>0</v>
      </c>
      <c r="I760" s="18"/>
      <c r="J760" s="18"/>
      <c r="K760" s="13"/>
      <c r="L760" s="27"/>
      <c r="M760" s="27"/>
      <c r="N760" s="27"/>
      <c r="O760" s="27"/>
      <c r="P760" s="27"/>
      <c r="Q760" s="35"/>
      <c r="R760" s="35"/>
      <c r="S760" s="35"/>
      <c r="T760" s="1"/>
      <c r="U760" s="1"/>
      <c r="V760" s="1"/>
    </row>
    <row r="761" ht="15.75" hidden="1" customHeight="1">
      <c r="A761" s="13"/>
      <c r="B761" s="13" t="s">
        <v>18</v>
      </c>
      <c r="C761" s="169" t="s">
        <v>301</v>
      </c>
      <c r="D761" s="14" t="s">
        <v>20</v>
      </c>
      <c r="E761" s="15" t="s">
        <v>302</v>
      </c>
      <c r="F761" s="16">
        <v>0.0</v>
      </c>
      <c r="G761" s="17">
        <v>6.2</v>
      </c>
      <c r="H761" s="17">
        <f t="shared" si="21"/>
        <v>0</v>
      </c>
      <c r="I761" s="18"/>
      <c r="J761" s="18"/>
      <c r="K761" s="13"/>
      <c r="L761" s="27"/>
      <c r="M761" s="27"/>
      <c r="N761" s="27"/>
      <c r="O761" s="27"/>
      <c r="P761" s="27"/>
      <c r="Q761" s="35"/>
      <c r="R761" s="35"/>
      <c r="S761" s="35"/>
      <c r="T761" s="1"/>
      <c r="U761" s="1"/>
      <c r="V761" s="1"/>
    </row>
    <row r="762" ht="15.75" hidden="1" customHeight="1">
      <c r="A762" s="13"/>
      <c r="B762" s="13"/>
      <c r="C762" s="169" t="s">
        <v>303</v>
      </c>
      <c r="D762" s="70" t="s">
        <v>24</v>
      </c>
      <c r="E762" s="15"/>
      <c r="F762" s="16">
        <v>0.0</v>
      </c>
      <c r="G762" s="17">
        <v>40.0</v>
      </c>
      <c r="H762" s="17">
        <f t="shared" si="21"/>
        <v>0</v>
      </c>
      <c r="I762" s="18"/>
      <c r="J762" s="18"/>
      <c r="K762" s="13"/>
      <c r="L762" s="27"/>
      <c r="M762" s="27"/>
      <c r="N762" s="27"/>
      <c r="O762" s="27"/>
      <c r="P762" s="27"/>
      <c r="Q762" s="35"/>
      <c r="R762" s="35"/>
      <c r="S762" s="35"/>
      <c r="T762" s="1"/>
      <c r="U762" s="1"/>
      <c r="V762" s="1"/>
    </row>
    <row r="763" ht="15.75" hidden="1" customHeight="1">
      <c r="A763" s="13"/>
      <c r="B763" s="13" t="s">
        <v>18</v>
      </c>
      <c r="C763" s="169" t="s">
        <v>47</v>
      </c>
      <c r="D763" s="14" t="s">
        <v>20</v>
      </c>
      <c r="E763" s="15"/>
      <c r="F763" s="16">
        <v>0.0</v>
      </c>
      <c r="G763" s="17">
        <v>0.0</v>
      </c>
      <c r="H763" s="17">
        <f t="shared" si="21"/>
        <v>0</v>
      </c>
      <c r="I763" s="18"/>
      <c r="J763" s="18"/>
      <c r="K763" s="13"/>
      <c r="L763" s="27"/>
      <c r="M763" s="27"/>
      <c r="N763" s="27"/>
      <c r="O763" s="27"/>
      <c r="P763" s="27"/>
      <c r="Q763" s="35"/>
      <c r="R763" s="35"/>
      <c r="S763" s="35"/>
      <c r="T763" s="1"/>
      <c r="U763" s="1"/>
      <c r="V763" s="1"/>
    </row>
    <row r="764" ht="15.75" hidden="1" customHeight="1">
      <c r="A764" s="13"/>
      <c r="B764" s="13"/>
      <c r="C764" s="169" t="s">
        <v>304</v>
      </c>
      <c r="D764" s="70" t="s">
        <v>24</v>
      </c>
      <c r="E764" s="15"/>
      <c r="F764" s="16">
        <v>0.0</v>
      </c>
      <c r="G764" s="17">
        <v>120.0</v>
      </c>
      <c r="H764" s="17">
        <f t="shared" si="21"/>
        <v>0</v>
      </c>
      <c r="I764" s="18"/>
      <c r="J764" s="18"/>
      <c r="K764" s="13"/>
      <c r="L764" s="27"/>
      <c r="M764" s="27"/>
      <c r="N764" s="27"/>
      <c r="O764" s="27"/>
      <c r="P764" s="27"/>
      <c r="Q764" s="35"/>
      <c r="R764" s="35"/>
      <c r="S764" s="35"/>
      <c r="T764" s="1"/>
      <c r="U764" s="1"/>
      <c r="V764" s="1"/>
    </row>
    <row r="765" ht="15.75" customHeight="1">
      <c r="A765" s="13"/>
      <c r="B765" s="13" t="s">
        <v>58</v>
      </c>
      <c r="C765" s="169" t="s">
        <v>305</v>
      </c>
      <c r="D765" s="101" t="s">
        <v>32</v>
      </c>
      <c r="E765" s="15" t="s">
        <v>60</v>
      </c>
      <c r="F765" s="16">
        <v>1.0</v>
      </c>
      <c r="G765" s="17">
        <v>0.0</v>
      </c>
      <c r="H765" s="17">
        <f t="shared" si="21"/>
        <v>0</v>
      </c>
      <c r="I765" s="18"/>
      <c r="J765" s="18"/>
      <c r="K765" s="13"/>
      <c r="L765" s="13"/>
      <c r="M765" s="13"/>
      <c r="N765" s="13"/>
      <c r="O765" s="13"/>
      <c r="P765" s="13"/>
      <c r="Q765" s="35"/>
      <c r="R765" s="35"/>
      <c r="S765" s="35"/>
      <c r="T765" s="1"/>
      <c r="U765" s="1"/>
      <c r="V765" s="1"/>
    </row>
    <row r="766" ht="15.75" customHeight="1">
      <c r="A766" s="13"/>
      <c r="B766" s="43" t="s">
        <v>217</v>
      </c>
      <c r="C766" s="169" t="s">
        <v>307</v>
      </c>
      <c r="D766" s="101" t="s">
        <v>32</v>
      </c>
      <c r="E766" s="154">
        <v>83035.0</v>
      </c>
      <c r="F766" s="40">
        <v>2.0</v>
      </c>
      <c r="G766" s="34">
        <v>303.29</v>
      </c>
      <c r="H766" s="17">
        <f t="shared" si="21"/>
        <v>606.58</v>
      </c>
      <c r="I766" s="18"/>
      <c r="J766" s="18"/>
      <c r="K766" s="43">
        <v>303.29</v>
      </c>
      <c r="L766" s="27"/>
      <c r="M766" s="28"/>
      <c r="N766" s="27"/>
      <c r="O766" s="27"/>
      <c r="P766" s="27"/>
      <c r="Q766" s="35"/>
      <c r="R766" s="35"/>
      <c r="S766" s="35"/>
      <c r="T766" s="1"/>
      <c r="U766" s="1"/>
      <c r="V766" s="1"/>
    </row>
    <row r="767" ht="15.75" customHeight="1">
      <c r="A767" s="13"/>
      <c r="B767" s="43" t="s">
        <v>217</v>
      </c>
      <c r="C767" s="169" t="s">
        <v>308</v>
      </c>
      <c r="D767" s="101" t="s">
        <v>32</v>
      </c>
      <c r="E767" s="154">
        <v>83036.0</v>
      </c>
      <c r="F767" s="16">
        <v>1.0</v>
      </c>
      <c r="G767" s="34">
        <v>789.09</v>
      </c>
      <c r="H767" s="17">
        <f t="shared" si="21"/>
        <v>789.09</v>
      </c>
      <c r="I767" s="18"/>
      <c r="J767" s="18"/>
      <c r="K767" s="43">
        <v>789.09</v>
      </c>
      <c r="L767" s="27"/>
      <c r="M767" s="28"/>
      <c r="N767" s="27"/>
      <c r="O767" s="28"/>
      <c r="P767" s="28"/>
      <c r="Q767" s="35"/>
      <c r="R767" s="35"/>
      <c r="S767" s="35"/>
      <c r="T767" s="1"/>
      <c r="U767" s="1"/>
      <c r="V767" s="1"/>
    </row>
    <row r="768" ht="15.75" hidden="1" customHeight="1">
      <c r="A768" s="130"/>
      <c r="B768" s="130" t="s">
        <v>18</v>
      </c>
      <c r="C768" s="175" t="s">
        <v>309</v>
      </c>
      <c r="D768" s="176" t="s">
        <v>20</v>
      </c>
      <c r="E768" s="177" t="s">
        <v>310</v>
      </c>
      <c r="F768" s="178">
        <v>0.0</v>
      </c>
      <c r="G768" s="179">
        <v>15.0</v>
      </c>
      <c r="H768" s="179">
        <f t="shared" si="21"/>
        <v>0</v>
      </c>
      <c r="I768" s="180"/>
      <c r="J768" s="180"/>
      <c r="K768" s="130"/>
      <c r="L768" s="130"/>
      <c r="M768" s="181"/>
      <c r="N768" s="130"/>
      <c r="O768" s="181"/>
      <c r="P768" s="181"/>
      <c r="Q768" s="182"/>
      <c r="R768" s="182"/>
      <c r="S768" s="182"/>
      <c r="T768" s="182"/>
      <c r="U768" s="182"/>
      <c r="V768" s="182"/>
    </row>
    <row r="769" ht="15.75" hidden="1" customHeight="1">
      <c r="A769" s="130"/>
      <c r="B769" s="130" t="s">
        <v>18</v>
      </c>
      <c r="C769" s="175" t="s">
        <v>311</v>
      </c>
      <c r="D769" s="176" t="s">
        <v>20</v>
      </c>
      <c r="E769" s="177" t="s">
        <v>312</v>
      </c>
      <c r="F769" s="178">
        <v>0.0</v>
      </c>
      <c r="G769" s="179">
        <v>15.0</v>
      </c>
      <c r="H769" s="179">
        <f t="shared" si="21"/>
        <v>0</v>
      </c>
      <c r="I769" s="180"/>
      <c r="J769" s="180"/>
      <c r="K769" s="130"/>
      <c r="L769" s="130"/>
      <c r="M769" s="181"/>
      <c r="N769" s="130"/>
      <c r="O769" s="181"/>
      <c r="P769" s="181"/>
      <c r="Q769" s="182"/>
      <c r="R769" s="182"/>
      <c r="S769" s="182"/>
      <c r="T769" s="182"/>
      <c r="U769" s="182"/>
      <c r="V769" s="182"/>
    </row>
    <row r="770" ht="15.75" hidden="1" customHeight="1">
      <c r="A770" s="130"/>
      <c r="B770" s="130" t="s">
        <v>18</v>
      </c>
      <c r="C770" s="175" t="s">
        <v>313</v>
      </c>
      <c r="D770" s="176" t="s">
        <v>20</v>
      </c>
      <c r="E770" s="177" t="s">
        <v>314</v>
      </c>
      <c r="F770" s="178">
        <v>0.0</v>
      </c>
      <c r="G770" s="179">
        <v>1.6</v>
      </c>
      <c r="H770" s="179">
        <f t="shared" si="21"/>
        <v>0</v>
      </c>
      <c r="I770" s="180"/>
      <c r="J770" s="180"/>
      <c r="K770" s="130"/>
      <c r="L770" s="130"/>
      <c r="M770" s="181"/>
      <c r="N770" s="130"/>
      <c r="O770" s="181"/>
      <c r="P770" s="181"/>
      <c r="Q770" s="182"/>
      <c r="R770" s="182"/>
      <c r="S770" s="182"/>
      <c r="T770" s="182"/>
      <c r="U770" s="182"/>
      <c r="V770" s="182"/>
    </row>
    <row r="771" ht="15.75" hidden="1" customHeight="1">
      <c r="A771" s="13"/>
      <c r="B771" s="18" t="s">
        <v>18</v>
      </c>
      <c r="C771" s="169" t="s">
        <v>315</v>
      </c>
      <c r="D771" s="14" t="s">
        <v>20</v>
      </c>
      <c r="E771" s="33" t="s">
        <v>603</v>
      </c>
      <c r="F771" s="40">
        <v>0.0</v>
      </c>
      <c r="G771" s="17">
        <v>30.0</v>
      </c>
      <c r="H771" s="17">
        <f t="shared" si="21"/>
        <v>0</v>
      </c>
      <c r="I771" s="18"/>
      <c r="J771" s="18"/>
      <c r="K771" s="54"/>
      <c r="L771" s="27"/>
      <c r="M771" s="28"/>
      <c r="N771" s="27"/>
      <c r="O771" s="28"/>
      <c r="P771" s="28"/>
      <c r="Q771" s="35"/>
      <c r="R771" s="35"/>
      <c r="S771" s="35"/>
      <c r="T771" s="1"/>
      <c r="U771" s="1"/>
      <c r="V771" s="1"/>
    </row>
    <row r="772" ht="15.75" hidden="1" customHeight="1">
      <c r="A772" s="13"/>
      <c r="B772" s="166"/>
      <c r="C772" s="188" t="s">
        <v>259</v>
      </c>
      <c r="D772" s="167" t="s">
        <v>32</v>
      </c>
      <c r="E772" s="219"/>
      <c r="F772" s="190">
        <v>0.0</v>
      </c>
      <c r="G772" s="192">
        <v>0.0</v>
      </c>
      <c r="H772" s="192">
        <f t="shared" si="21"/>
        <v>0</v>
      </c>
      <c r="I772" s="193"/>
      <c r="J772" s="18"/>
      <c r="K772" s="13"/>
      <c r="L772" s="27"/>
      <c r="M772" s="28"/>
      <c r="N772" s="27"/>
      <c r="O772" s="27"/>
      <c r="P772" s="27"/>
      <c r="Q772" s="35"/>
      <c r="R772" s="35"/>
      <c r="S772" s="35"/>
      <c r="T772" s="1"/>
      <c r="U772" s="1"/>
      <c r="V772" s="1"/>
    </row>
    <row r="773" ht="15.75" hidden="1" customHeight="1">
      <c r="A773" s="13"/>
      <c r="B773" s="166" t="s">
        <v>397</v>
      </c>
      <c r="C773" s="188" t="s">
        <v>318</v>
      </c>
      <c r="D773" s="167" t="s">
        <v>32</v>
      </c>
      <c r="E773" s="219" t="s">
        <v>398</v>
      </c>
      <c r="F773" s="190">
        <v>0.0</v>
      </c>
      <c r="G773" s="192">
        <v>354.0</v>
      </c>
      <c r="H773" s="192">
        <f t="shared" si="21"/>
        <v>0</v>
      </c>
      <c r="I773" s="193"/>
      <c r="J773" s="18"/>
      <c r="K773" s="13"/>
      <c r="L773" s="13"/>
      <c r="M773" s="13"/>
      <c r="N773" s="13"/>
      <c r="O773" s="13"/>
      <c r="P773" s="13"/>
      <c r="Q773" s="35"/>
      <c r="R773" s="35"/>
      <c r="S773" s="35"/>
      <c r="T773" s="1"/>
      <c r="U773" s="1"/>
      <c r="V773" s="1"/>
    </row>
    <row r="774" ht="15.75" hidden="1" customHeight="1">
      <c r="A774" s="13"/>
      <c r="B774" s="13" t="s">
        <v>320</v>
      </c>
      <c r="C774" s="169" t="s">
        <v>321</v>
      </c>
      <c r="D774" s="66" t="s">
        <v>22</v>
      </c>
      <c r="E774" s="15"/>
      <c r="F774" s="16">
        <v>0.0</v>
      </c>
      <c r="G774" s="17">
        <v>10.0</v>
      </c>
      <c r="H774" s="17">
        <f t="shared" si="21"/>
        <v>0</v>
      </c>
      <c r="I774" s="18"/>
      <c r="J774" s="18"/>
      <c r="K774" s="13"/>
      <c r="L774" s="13"/>
      <c r="M774" s="19"/>
      <c r="N774" s="13"/>
      <c r="O774" s="13"/>
      <c r="P774" s="13"/>
      <c r="Q774" s="35"/>
      <c r="R774" s="35"/>
      <c r="S774" s="35"/>
      <c r="T774" s="1"/>
      <c r="U774" s="1"/>
      <c r="V774" s="1"/>
    </row>
    <row r="775" ht="15.75" customHeight="1">
      <c r="A775" s="13"/>
      <c r="B775" s="13" t="s">
        <v>239</v>
      </c>
      <c r="C775" s="195" t="s">
        <v>322</v>
      </c>
      <c r="D775" s="14" t="s">
        <v>20</v>
      </c>
      <c r="E775" s="15"/>
      <c r="F775" s="16">
        <v>1.0</v>
      </c>
      <c r="G775" s="34">
        <v>366.0</v>
      </c>
      <c r="H775" s="17">
        <f t="shared" si="21"/>
        <v>366</v>
      </c>
      <c r="I775" s="18"/>
      <c r="J775" s="18"/>
      <c r="K775" s="13"/>
      <c r="L775" s="13"/>
      <c r="M775" s="19"/>
      <c r="N775" s="13"/>
      <c r="O775" s="19"/>
      <c r="P775" s="19"/>
      <c r="Q775" s="35"/>
      <c r="R775" s="35"/>
      <c r="S775" s="35"/>
      <c r="T775" s="1"/>
      <c r="U775" s="1"/>
      <c r="V775" s="1"/>
    </row>
    <row r="776" ht="15.75" customHeight="1">
      <c r="A776" s="13"/>
      <c r="B776" s="13"/>
      <c r="C776" s="169" t="s">
        <v>323</v>
      </c>
      <c r="D776" s="70" t="s">
        <v>24</v>
      </c>
      <c r="E776" s="15"/>
      <c r="F776" s="16">
        <v>1.0</v>
      </c>
      <c r="G776" s="17">
        <v>80.0</v>
      </c>
      <c r="H776" s="17">
        <f t="shared" si="21"/>
        <v>80</v>
      </c>
      <c r="I776" s="18"/>
      <c r="J776" s="18"/>
      <c r="K776" s="13"/>
      <c r="L776" s="63"/>
      <c r="M776" s="63"/>
      <c r="N776" s="63"/>
      <c r="O776" s="63"/>
      <c r="P776" s="63"/>
      <c r="Q776" s="35"/>
      <c r="R776" s="35"/>
      <c r="S776" s="35"/>
      <c r="T776" s="1"/>
      <c r="U776" s="1"/>
      <c r="V776" s="1"/>
    </row>
    <row r="777" ht="15.75" customHeight="1">
      <c r="A777" s="13"/>
      <c r="B777" s="13"/>
      <c r="C777" s="169" t="s">
        <v>324</v>
      </c>
      <c r="D777" s="14" t="s">
        <v>20</v>
      </c>
      <c r="E777" s="15"/>
      <c r="F777" s="16">
        <v>1.0</v>
      </c>
      <c r="G777" s="17">
        <v>35.0</v>
      </c>
      <c r="H777" s="17">
        <f t="shared" si="21"/>
        <v>35</v>
      </c>
      <c r="I777" s="18"/>
      <c r="J777" s="18"/>
      <c r="K777" s="13"/>
      <c r="L777" s="13"/>
      <c r="M777" s="19"/>
      <c r="N777" s="13"/>
      <c r="O777" s="19"/>
      <c r="P777" s="19"/>
      <c r="Q777" s="35"/>
      <c r="R777" s="35"/>
      <c r="S777" s="35"/>
      <c r="T777" s="1"/>
      <c r="U777" s="1"/>
      <c r="V777" s="1"/>
    </row>
    <row r="778" ht="15.75" hidden="1" customHeight="1">
      <c r="A778" s="13"/>
      <c r="B778" s="13"/>
      <c r="C778" s="169" t="s">
        <v>258</v>
      </c>
      <c r="D778" s="66" t="s">
        <v>22</v>
      </c>
      <c r="E778" s="15"/>
      <c r="F778" s="16">
        <v>0.0</v>
      </c>
      <c r="G778" s="17">
        <v>150.0</v>
      </c>
      <c r="H778" s="17">
        <f t="shared" si="21"/>
        <v>0</v>
      </c>
      <c r="I778" s="18"/>
      <c r="J778" s="18"/>
      <c r="K778" s="13"/>
      <c r="L778" s="13"/>
      <c r="M778" s="19"/>
      <c r="N778" s="13"/>
      <c r="O778" s="19"/>
      <c r="P778" s="19"/>
      <c r="Q778" s="35"/>
      <c r="R778" s="35"/>
      <c r="S778" s="35"/>
      <c r="T778" s="1"/>
      <c r="U778" s="1"/>
      <c r="V778" s="1"/>
    </row>
    <row r="779" ht="15.75" customHeight="1">
      <c r="A779" s="13"/>
      <c r="B779" s="13" t="s">
        <v>18</v>
      </c>
      <c r="C779" s="196" t="s">
        <v>325</v>
      </c>
      <c r="D779" s="150" t="s">
        <v>22</v>
      </c>
      <c r="E779" s="47" t="s">
        <v>604</v>
      </c>
      <c r="F779" s="48">
        <v>1.0</v>
      </c>
      <c r="G779" s="49">
        <v>78.0</v>
      </c>
      <c r="H779" s="50">
        <f t="shared" si="21"/>
        <v>78</v>
      </c>
      <c r="I779" s="18"/>
      <c r="J779" s="18"/>
      <c r="K779" s="13"/>
      <c r="L779" s="13"/>
      <c r="M779" s="13"/>
      <c r="N779" s="13"/>
      <c r="O779" s="19"/>
      <c r="P779" s="19"/>
      <c r="Q779" s="35"/>
      <c r="R779" s="35"/>
      <c r="S779" s="35"/>
      <c r="T779" s="1"/>
      <c r="U779" s="1"/>
      <c r="V779" s="1"/>
    </row>
    <row r="780" ht="15.75" hidden="1" customHeight="1">
      <c r="A780" s="13"/>
      <c r="B780" s="13"/>
      <c r="C780" s="197" t="s">
        <v>327</v>
      </c>
      <c r="D780" s="198" t="s">
        <v>22</v>
      </c>
      <c r="E780" s="54" t="s">
        <v>328</v>
      </c>
      <c r="F780" s="56">
        <v>0.0</v>
      </c>
      <c r="G780" s="57">
        <v>321.3</v>
      </c>
      <c r="H780" s="57">
        <f t="shared" si="21"/>
        <v>0</v>
      </c>
      <c r="I780" s="18"/>
      <c r="J780" s="18"/>
      <c r="K780" s="13"/>
      <c r="L780" s="13"/>
      <c r="M780" s="13"/>
      <c r="N780" s="13"/>
      <c r="O780" s="19"/>
      <c r="P780" s="19"/>
      <c r="Q780" s="35"/>
      <c r="R780" s="35"/>
      <c r="S780" s="35"/>
      <c r="T780" s="1"/>
      <c r="U780" s="1"/>
      <c r="V780" s="1"/>
    </row>
    <row r="781" ht="15.75" customHeight="1">
      <c r="A781" s="15"/>
      <c r="B781" s="52" t="s">
        <v>18</v>
      </c>
      <c r="C781" s="196" t="s">
        <v>329</v>
      </c>
      <c r="D781" s="150" t="s">
        <v>22</v>
      </c>
      <c r="E781" s="199" t="s">
        <v>330</v>
      </c>
      <c r="F781" s="48">
        <v>2.0</v>
      </c>
      <c r="G781" s="49">
        <v>25.2</v>
      </c>
      <c r="H781" s="50">
        <f t="shared" si="21"/>
        <v>50.4</v>
      </c>
      <c r="I781" s="51"/>
      <c r="J781" s="51"/>
      <c r="K781" s="52"/>
      <c r="L781" s="52"/>
      <c r="M781" s="52"/>
      <c r="N781" s="52"/>
      <c r="O781" s="200"/>
      <c r="P781" s="200"/>
      <c r="Q781" s="1"/>
      <c r="R781" s="1"/>
      <c r="S781" s="1"/>
      <c r="T781" s="1"/>
      <c r="U781" s="1"/>
      <c r="V781" s="1"/>
    </row>
    <row r="782" ht="15.75" customHeight="1">
      <c r="A782" s="53"/>
      <c r="B782" s="54" t="s">
        <v>18</v>
      </c>
      <c r="C782" s="197" t="s">
        <v>331</v>
      </c>
      <c r="D782" s="198" t="s">
        <v>22</v>
      </c>
      <c r="E782" s="201" t="s">
        <v>332</v>
      </c>
      <c r="F782" s="56">
        <v>1.0</v>
      </c>
      <c r="G782" s="159">
        <v>48.0</v>
      </c>
      <c r="H782" s="57">
        <f t="shared" si="21"/>
        <v>48</v>
      </c>
      <c r="I782" s="58"/>
      <c r="J782" s="58"/>
      <c r="K782" s="54"/>
      <c r="L782" s="54"/>
      <c r="M782" s="54"/>
      <c r="N782" s="54"/>
      <c r="O782" s="202"/>
      <c r="P782" s="202"/>
      <c r="Q782" s="1"/>
      <c r="R782" s="1"/>
      <c r="S782" s="1"/>
      <c r="T782" s="1"/>
      <c r="U782" s="1"/>
      <c r="V782" s="1"/>
    </row>
    <row r="783" ht="15.75" customHeight="1">
      <c r="A783" s="53"/>
      <c r="B783" s="54" t="s">
        <v>18</v>
      </c>
      <c r="C783" s="203" t="s">
        <v>333</v>
      </c>
      <c r="D783" s="198" t="s">
        <v>22</v>
      </c>
      <c r="E783" s="204" t="s">
        <v>590</v>
      </c>
      <c r="F783" s="56">
        <v>1.0</v>
      </c>
      <c r="G783" s="159">
        <v>38.4</v>
      </c>
      <c r="H783" s="57">
        <f t="shared" si="21"/>
        <v>38.4</v>
      </c>
      <c r="I783" s="58"/>
      <c r="J783" s="58"/>
      <c r="K783" s="54"/>
      <c r="L783" s="54"/>
      <c r="M783" s="54"/>
      <c r="N783" s="54"/>
      <c r="O783" s="202"/>
      <c r="P783" s="202"/>
      <c r="Q783" s="1"/>
      <c r="R783" s="1"/>
      <c r="S783" s="1"/>
      <c r="T783" s="1"/>
      <c r="U783" s="1"/>
      <c r="V783" s="1"/>
    </row>
    <row r="784" ht="15.75" hidden="1" customHeight="1">
      <c r="A784" s="15"/>
      <c r="B784" s="52" t="s">
        <v>18</v>
      </c>
      <c r="C784" s="196" t="s">
        <v>335</v>
      </c>
      <c r="D784" s="150" t="s">
        <v>22</v>
      </c>
      <c r="E784" s="52"/>
      <c r="F784" s="48">
        <v>0.0</v>
      </c>
      <c r="G784" s="50">
        <v>29.69</v>
      </c>
      <c r="H784" s="50">
        <f t="shared" si="21"/>
        <v>0</v>
      </c>
      <c r="I784" s="51"/>
      <c r="J784" s="51"/>
      <c r="K784" s="52"/>
      <c r="L784" s="52"/>
      <c r="M784" s="52"/>
      <c r="N784" s="52"/>
      <c r="O784" s="200"/>
      <c r="P784" s="200"/>
      <c r="Q784" s="1"/>
      <c r="R784" s="1"/>
      <c r="S784" s="1"/>
      <c r="T784" s="1"/>
      <c r="U784" s="1"/>
      <c r="V784" s="1"/>
    </row>
    <row r="785" ht="15.75" hidden="1" customHeight="1">
      <c r="A785" s="53"/>
      <c r="B785" s="54" t="s">
        <v>18</v>
      </c>
      <c r="C785" s="197" t="s">
        <v>336</v>
      </c>
      <c r="D785" s="198" t="s">
        <v>22</v>
      </c>
      <c r="E785" s="54" t="s">
        <v>337</v>
      </c>
      <c r="F785" s="56">
        <v>0.0</v>
      </c>
      <c r="G785" s="57">
        <v>29.99</v>
      </c>
      <c r="H785" s="57">
        <f t="shared" si="21"/>
        <v>0</v>
      </c>
      <c r="I785" s="58"/>
      <c r="J785" s="58"/>
      <c r="K785" s="54"/>
      <c r="L785" s="54"/>
      <c r="M785" s="54"/>
      <c r="N785" s="54"/>
      <c r="O785" s="202"/>
      <c r="P785" s="202"/>
      <c r="Q785" s="1"/>
      <c r="R785" s="1"/>
      <c r="S785" s="1"/>
      <c r="T785" s="1"/>
      <c r="U785" s="1"/>
      <c r="V785" s="1"/>
    </row>
    <row r="786" ht="15.75" hidden="1" customHeight="1">
      <c r="A786" s="53"/>
      <c r="B786" s="54" t="s">
        <v>18</v>
      </c>
      <c r="C786" s="197" t="s">
        <v>605</v>
      </c>
      <c r="D786" s="198" t="s">
        <v>22</v>
      </c>
      <c r="E786" s="54" t="s">
        <v>339</v>
      </c>
      <c r="F786" s="56">
        <v>0.0</v>
      </c>
      <c r="G786" s="57">
        <v>16.69</v>
      </c>
      <c r="H786" s="57">
        <f t="shared" si="21"/>
        <v>0</v>
      </c>
      <c r="I786" s="58"/>
      <c r="J786" s="58"/>
      <c r="K786" s="54"/>
      <c r="L786" s="54"/>
      <c r="M786" s="54"/>
      <c r="N786" s="54"/>
      <c r="O786" s="202"/>
      <c r="P786" s="202"/>
      <c r="Q786" s="1"/>
      <c r="R786" s="1"/>
      <c r="S786" s="1"/>
      <c r="T786" s="1"/>
      <c r="U786" s="1"/>
      <c r="V786" s="1"/>
    </row>
    <row r="787" ht="15.75" hidden="1" customHeight="1">
      <c r="A787" s="53"/>
      <c r="B787" s="54" t="s">
        <v>18</v>
      </c>
      <c r="C787" s="197" t="s">
        <v>591</v>
      </c>
      <c r="D787" s="198" t="s">
        <v>22</v>
      </c>
      <c r="E787" s="54" t="s">
        <v>592</v>
      </c>
      <c r="F787" s="56">
        <v>0.0</v>
      </c>
      <c r="G787" s="57">
        <v>17.99</v>
      </c>
      <c r="H787" s="57">
        <f t="shared" si="21"/>
        <v>0</v>
      </c>
      <c r="I787" s="58"/>
      <c r="J787" s="58"/>
      <c r="K787" s="54"/>
      <c r="L787" s="54"/>
      <c r="M787" s="54"/>
      <c r="N787" s="54"/>
      <c r="O787" s="202"/>
      <c r="P787" s="202"/>
      <c r="Q787" s="1"/>
      <c r="R787" s="1"/>
      <c r="S787" s="1"/>
      <c r="T787" s="1"/>
      <c r="U787" s="1"/>
      <c r="V787" s="1"/>
    </row>
    <row r="788" ht="15.75" hidden="1" customHeight="1">
      <c r="A788" s="15"/>
      <c r="B788" s="52" t="s">
        <v>18</v>
      </c>
      <c r="C788" s="196" t="s">
        <v>340</v>
      </c>
      <c r="D788" s="150" t="s">
        <v>22</v>
      </c>
      <c r="E788" s="52"/>
      <c r="F788" s="48">
        <v>0.0</v>
      </c>
      <c r="G788" s="50">
        <v>29.69</v>
      </c>
      <c r="H788" s="50">
        <f t="shared" si="21"/>
        <v>0</v>
      </c>
      <c r="I788" s="51"/>
      <c r="J788" s="51"/>
      <c r="K788" s="52"/>
      <c r="L788" s="52"/>
      <c r="M788" s="52"/>
      <c r="N788" s="52"/>
      <c r="O788" s="200"/>
      <c r="P788" s="200"/>
      <c r="Q788" s="1"/>
      <c r="R788" s="1"/>
      <c r="S788" s="1"/>
      <c r="T788" s="1"/>
      <c r="U788" s="1"/>
      <c r="V788" s="1"/>
    </row>
    <row r="789" ht="15.75" hidden="1" customHeight="1">
      <c r="A789" s="53"/>
      <c r="B789" s="54" t="s">
        <v>18</v>
      </c>
      <c r="C789" s="197" t="s">
        <v>341</v>
      </c>
      <c r="D789" s="198" t="s">
        <v>22</v>
      </c>
      <c r="E789" s="54" t="s">
        <v>337</v>
      </c>
      <c r="F789" s="56">
        <v>0.0</v>
      </c>
      <c r="G789" s="57">
        <v>29.99</v>
      </c>
      <c r="H789" s="57">
        <f t="shared" si="21"/>
        <v>0</v>
      </c>
      <c r="I789" s="58"/>
      <c r="J789" s="58"/>
      <c r="K789" s="54"/>
      <c r="L789" s="54"/>
      <c r="M789" s="54"/>
      <c r="N789" s="54"/>
      <c r="O789" s="202"/>
      <c r="P789" s="202"/>
      <c r="Q789" s="1"/>
      <c r="R789" s="1"/>
      <c r="S789" s="1"/>
      <c r="T789" s="1"/>
      <c r="U789" s="1"/>
      <c r="V789" s="1"/>
    </row>
    <row r="790" ht="15.75" hidden="1" customHeight="1">
      <c r="A790" s="53"/>
      <c r="B790" s="54" t="s">
        <v>18</v>
      </c>
      <c r="C790" s="197" t="s">
        <v>342</v>
      </c>
      <c r="D790" s="198" t="s">
        <v>22</v>
      </c>
      <c r="E790" s="54" t="s">
        <v>343</v>
      </c>
      <c r="F790" s="56">
        <v>0.0</v>
      </c>
      <c r="G790" s="57">
        <v>17.99</v>
      </c>
      <c r="H790" s="57">
        <f t="shared" si="21"/>
        <v>0</v>
      </c>
      <c r="I790" s="58"/>
      <c r="J790" s="58"/>
      <c r="K790" s="54"/>
      <c r="L790" s="54"/>
      <c r="M790" s="54"/>
      <c r="N790" s="54"/>
      <c r="O790" s="202"/>
      <c r="P790" s="202"/>
      <c r="Q790" s="1"/>
      <c r="R790" s="1"/>
      <c r="S790" s="1"/>
      <c r="T790" s="1"/>
      <c r="U790" s="1"/>
      <c r="V790" s="1"/>
    </row>
    <row r="791" ht="15.75" hidden="1" customHeight="1">
      <c r="A791" s="53"/>
      <c r="B791" s="54" t="s">
        <v>18</v>
      </c>
      <c r="C791" s="197" t="s">
        <v>593</v>
      </c>
      <c r="D791" s="198" t="s">
        <v>22</v>
      </c>
      <c r="E791" s="54" t="s">
        <v>594</v>
      </c>
      <c r="F791" s="56">
        <v>0.0</v>
      </c>
      <c r="G791" s="57">
        <v>16.99</v>
      </c>
      <c r="H791" s="57">
        <f t="shared" si="21"/>
        <v>0</v>
      </c>
      <c r="I791" s="58"/>
      <c r="J791" s="58"/>
      <c r="K791" s="54"/>
      <c r="L791" s="54"/>
      <c r="M791" s="54"/>
      <c r="N791" s="54"/>
      <c r="O791" s="202"/>
      <c r="P791" s="202"/>
      <c r="Q791" s="1"/>
      <c r="R791" s="1"/>
      <c r="S791" s="1"/>
      <c r="T791" s="1"/>
      <c r="U791" s="1"/>
      <c r="V791" s="1"/>
    </row>
    <row r="792" ht="15.75" hidden="1" customHeight="1">
      <c r="A792" s="53"/>
      <c r="B792" s="54" t="s">
        <v>18</v>
      </c>
      <c r="C792" s="197" t="s">
        <v>344</v>
      </c>
      <c r="D792" s="198" t="s">
        <v>22</v>
      </c>
      <c r="E792" s="205" t="s">
        <v>345</v>
      </c>
      <c r="F792" s="158">
        <v>0.0</v>
      </c>
      <c r="G792" s="57">
        <v>19.0</v>
      </c>
      <c r="H792" s="57">
        <f t="shared" si="21"/>
        <v>0</v>
      </c>
      <c r="I792" s="58"/>
      <c r="J792" s="58"/>
      <c r="K792" s="54"/>
      <c r="L792" s="54"/>
      <c r="M792" s="54"/>
      <c r="N792" s="54"/>
      <c r="O792" s="202"/>
      <c r="P792" s="202"/>
      <c r="Q792" s="1"/>
      <c r="R792" s="1"/>
      <c r="S792" s="1"/>
      <c r="T792" s="1"/>
      <c r="U792" s="1"/>
      <c r="V792" s="1"/>
    </row>
    <row r="793" ht="15.75" hidden="1" customHeight="1">
      <c r="A793" s="13"/>
      <c r="B793" s="206" t="s">
        <v>18</v>
      </c>
      <c r="C793" s="197" t="s">
        <v>346</v>
      </c>
      <c r="D793" s="198" t="s">
        <v>22</v>
      </c>
      <c r="E793" s="205" t="s">
        <v>347</v>
      </c>
      <c r="F793" s="158">
        <v>0.0</v>
      </c>
      <c r="G793" s="57">
        <v>35.0</v>
      </c>
      <c r="H793" s="57">
        <f t="shared" si="21"/>
        <v>0</v>
      </c>
      <c r="I793" s="18"/>
      <c r="J793" s="18"/>
      <c r="K793" s="13"/>
      <c r="L793" s="13"/>
      <c r="M793" s="13"/>
      <c r="N793" s="13"/>
      <c r="O793" s="19"/>
      <c r="P793" s="19"/>
      <c r="Q793" s="35"/>
      <c r="R793" s="35"/>
      <c r="S793" s="35"/>
      <c r="T793" s="1"/>
      <c r="U793" s="1"/>
      <c r="V793" s="1"/>
    </row>
    <row r="794" ht="15.75" customHeight="1">
      <c r="A794" s="13"/>
      <c r="B794" s="13" t="s">
        <v>18</v>
      </c>
      <c r="C794" s="196" t="s">
        <v>348</v>
      </c>
      <c r="D794" s="150" t="s">
        <v>22</v>
      </c>
      <c r="E794" s="199" t="s">
        <v>349</v>
      </c>
      <c r="F794" s="48">
        <v>1.0</v>
      </c>
      <c r="G794" s="49">
        <v>24.0</v>
      </c>
      <c r="H794" s="50">
        <f t="shared" si="21"/>
        <v>24</v>
      </c>
      <c r="I794" s="18"/>
      <c r="J794" s="18"/>
      <c r="K794" s="13"/>
      <c r="L794" s="13"/>
      <c r="M794" s="13"/>
      <c r="N794" s="13"/>
      <c r="O794" s="13"/>
      <c r="P794" s="13"/>
      <c r="Q794" s="35"/>
      <c r="R794" s="35"/>
      <c r="S794" s="35"/>
      <c r="T794" s="1"/>
      <c r="U794" s="1"/>
      <c r="V794" s="1"/>
    </row>
    <row r="795" ht="15.75" customHeight="1">
      <c r="A795" s="13"/>
      <c r="B795" s="13" t="s">
        <v>350</v>
      </c>
      <c r="C795" s="196" t="s">
        <v>351</v>
      </c>
      <c r="D795" s="150" t="s">
        <v>22</v>
      </c>
      <c r="E795" s="207" t="s">
        <v>352</v>
      </c>
      <c r="F795" s="48">
        <v>1.0</v>
      </c>
      <c r="G795" s="49">
        <v>420.0</v>
      </c>
      <c r="H795" s="50">
        <f t="shared" si="21"/>
        <v>420</v>
      </c>
      <c r="I795" s="18"/>
      <c r="J795" s="18"/>
      <c r="K795" s="13"/>
      <c r="L795" s="13"/>
      <c r="M795" s="13"/>
      <c r="N795" s="13"/>
      <c r="O795" s="13"/>
      <c r="P795" s="13"/>
      <c r="Q795" s="35"/>
      <c r="R795" s="35"/>
      <c r="S795" s="35"/>
      <c r="T795" s="1"/>
      <c r="U795" s="1"/>
      <c r="V795" s="1"/>
    </row>
    <row r="796" ht="15.75" customHeight="1">
      <c r="A796" s="13"/>
      <c r="B796" s="13" t="s">
        <v>350</v>
      </c>
      <c r="C796" s="197" t="s">
        <v>353</v>
      </c>
      <c r="D796" s="198" t="s">
        <v>22</v>
      </c>
      <c r="E796" s="208" t="s">
        <v>352</v>
      </c>
      <c r="F796" s="56">
        <v>1.0</v>
      </c>
      <c r="G796" s="159">
        <v>172.0</v>
      </c>
      <c r="H796" s="57">
        <f t="shared" si="21"/>
        <v>172</v>
      </c>
      <c r="I796" s="18"/>
      <c r="J796" s="18"/>
      <c r="K796" s="13"/>
      <c r="L796" s="13"/>
      <c r="M796" s="19"/>
      <c r="N796" s="13"/>
      <c r="O796" s="19"/>
      <c r="P796" s="19"/>
      <c r="Q796" s="35"/>
      <c r="R796" s="35"/>
      <c r="S796" s="35"/>
      <c r="T796" s="1"/>
      <c r="U796" s="1"/>
      <c r="V796" s="1"/>
    </row>
    <row r="797" ht="15.75" customHeight="1">
      <c r="A797" s="13"/>
      <c r="B797" s="13" t="s">
        <v>350</v>
      </c>
      <c r="C797" s="197" t="s">
        <v>354</v>
      </c>
      <c r="D797" s="198" t="s">
        <v>22</v>
      </c>
      <c r="E797" s="208" t="s">
        <v>352</v>
      </c>
      <c r="F797" s="56">
        <v>1.0</v>
      </c>
      <c r="G797" s="159">
        <v>97.0</v>
      </c>
      <c r="H797" s="57">
        <f t="shared" si="21"/>
        <v>97</v>
      </c>
      <c r="I797" s="18"/>
      <c r="J797" s="18"/>
      <c r="K797" s="13"/>
      <c r="L797" s="27"/>
      <c r="M797" s="28"/>
      <c r="N797" s="27"/>
      <c r="O797" s="28"/>
      <c r="P797" s="27"/>
      <c r="Q797" s="35"/>
      <c r="R797" s="35"/>
      <c r="S797" s="35"/>
      <c r="T797" s="1"/>
      <c r="U797" s="1"/>
      <c r="V797" s="1"/>
    </row>
    <row r="798" ht="15.75" hidden="1" customHeight="1">
      <c r="A798" s="13"/>
      <c r="B798" s="156" t="s">
        <v>350</v>
      </c>
      <c r="C798" s="197" t="s">
        <v>355</v>
      </c>
      <c r="D798" s="198" t="s">
        <v>22</v>
      </c>
      <c r="E798" s="208" t="s">
        <v>356</v>
      </c>
      <c r="F798" s="56">
        <v>0.0</v>
      </c>
      <c r="G798" s="159">
        <v>366.0</v>
      </c>
      <c r="H798" s="57">
        <f t="shared" si="21"/>
        <v>0</v>
      </c>
      <c r="I798" s="18"/>
      <c r="J798" s="18"/>
      <c r="K798" s="13"/>
      <c r="L798" s="27"/>
      <c r="M798" s="28"/>
      <c r="N798" s="27"/>
      <c r="O798" s="28"/>
      <c r="P798" s="27"/>
      <c r="Q798" s="35"/>
      <c r="R798" s="35"/>
      <c r="S798" s="35"/>
      <c r="T798" s="1"/>
      <c r="U798" s="1"/>
      <c r="V798" s="1"/>
    </row>
    <row r="799" ht="15.75" hidden="1" customHeight="1">
      <c r="A799" s="13"/>
      <c r="B799" s="206" t="s">
        <v>350</v>
      </c>
      <c r="C799" s="197" t="s">
        <v>357</v>
      </c>
      <c r="D799" s="198" t="s">
        <v>22</v>
      </c>
      <c r="E799" s="208" t="s">
        <v>356</v>
      </c>
      <c r="F799" s="56">
        <v>0.0</v>
      </c>
      <c r="G799" s="159">
        <v>107.5</v>
      </c>
      <c r="H799" s="57">
        <f t="shared" si="21"/>
        <v>0</v>
      </c>
      <c r="I799" s="18"/>
      <c r="J799" s="18"/>
      <c r="K799" s="13"/>
      <c r="L799" s="27"/>
      <c r="M799" s="28"/>
      <c r="N799" s="27"/>
      <c r="O799" s="28"/>
      <c r="P799" s="27"/>
      <c r="Q799" s="35"/>
      <c r="R799" s="35"/>
      <c r="S799" s="35"/>
      <c r="T799" s="1"/>
      <c r="U799" s="1"/>
      <c r="V799" s="1"/>
    </row>
    <row r="800" ht="15.75" hidden="1" customHeight="1">
      <c r="A800" s="13"/>
      <c r="B800" s="156" t="s">
        <v>350</v>
      </c>
      <c r="C800" s="197" t="s">
        <v>358</v>
      </c>
      <c r="D800" s="198" t="s">
        <v>22</v>
      </c>
      <c r="E800" s="208" t="s">
        <v>356</v>
      </c>
      <c r="F800" s="56">
        <v>0.0</v>
      </c>
      <c r="G800" s="159">
        <v>97.0</v>
      </c>
      <c r="H800" s="57">
        <f t="shared" si="21"/>
        <v>0</v>
      </c>
      <c r="I800" s="18"/>
      <c r="J800" s="18"/>
      <c r="K800" s="13"/>
      <c r="L800" s="27"/>
      <c r="M800" s="28"/>
      <c r="N800" s="27"/>
      <c r="O800" s="28"/>
      <c r="P800" s="27"/>
      <c r="Q800" s="35"/>
      <c r="R800" s="35"/>
      <c r="S800" s="35"/>
      <c r="T800" s="1"/>
      <c r="U800" s="1"/>
      <c r="V800" s="1"/>
    </row>
    <row r="801" ht="15.75" hidden="1" customHeight="1">
      <c r="A801" s="13"/>
      <c r="B801" s="13" t="s">
        <v>18</v>
      </c>
      <c r="C801" s="196" t="s">
        <v>359</v>
      </c>
      <c r="D801" s="150" t="s">
        <v>22</v>
      </c>
      <c r="E801" s="52" t="s">
        <v>360</v>
      </c>
      <c r="F801" s="48">
        <v>0.0</v>
      </c>
      <c r="G801" s="50">
        <v>18.0</v>
      </c>
      <c r="H801" s="50">
        <f t="shared" si="21"/>
        <v>0</v>
      </c>
      <c r="I801" s="18"/>
      <c r="J801" s="18"/>
      <c r="K801" s="13"/>
      <c r="L801" s="27"/>
      <c r="M801" s="28"/>
      <c r="N801" s="27"/>
      <c r="O801" s="28"/>
      <c r="P801" s="27"/>
      <c r="Q801" s="35"/>
      <c r="R801" s="35"/>
      <c r="S801" s="35"/>
      <c r="T801" s="1"/>
      <c r="U801" s="1"/>
      <c r="V801" s="1"/>
    </row>
    <row r="802" ht="15.75" customHeight="1">
      <c r="A802" s="13"/>
      <c r="B802" s="13" t="s">
        <v>361</v>
      </c>
      <c r="C802" s="169" t="s">
        <v>362</v>
      </c>
      <c r="D802" s="66" t="s">
        <v>22</v>
      </c>
      <c r="E802" s="15" t="s">
        <v>363</v>
      </c>
      <c r="F802" s="16">
        <v>4.0</v>
      </c>
      <c r="G802" s="17">
        <v>11.0</v>
      </c>
      <c r="H802" s="17">
        <f t="shared" si="21"/>
        <v>44</v>
      </c>
      <c r="I802" s="18"/>
      <c r="J802" s="18"/>
      <c r="K802" s="13"/>
      <c r="L802" s="95"/>
      <c r="M802" s="96"/>
      <c r="N802" s="95"/>
      <c r="O802" s="95"/>
      <c r="P802" s="95"/>
      <c r="Q802" s="35"/>
      <c r="R802" s="35"/>
      <c r="S802" s="35"/>
      <c r="T802" s="1"/>
      <c r="U802" s="1"/>
      <c r="V802" s="1"/>
    </row>
    <row r="803" ht="15.75" hidden="1" customHeight="1">
      <c r="A803" s="13"/>
      <c r="B803" s="13" t="s">
        <v>361</v>
      </c>
      <c r="C803" s="169" t="s">
        <v>364</v>
      </c>
      <c r="D803" s="66" t="s">
        <v>22</v>
      </c>
      <c r="E803" s="15" t="s">
        <v>365</v>
      </c>
      <c r="F803" s="16">
        <v>0.0</v>
      </c>
      <c r="G803" s="17">
        <v>6.0</v>
      </c>
      <c r="H803" s="17">
        <f t="shared" si="21"/>
        <v>0</v>
      </c>
      <c r="I803" s="18"/>
      <c r="J803" s="18"/>
      <c r="K803" s="13"/>
      <c r="L803" s="95"/>
      <c r="M803" s="96"/>
      <c r="N803" s="95"/>
      <c r="O803" s="95"/>
      <c r="P803" s="95"/>
      <c r="Q803" s="35"/>
      <c r="R803" s="35"/>
      <c r="S803" s="35"/>
      <c r="T803" s="1"/>
      <c r="U803" s="1"/>
      <c r="V803" s="1"/>
    </row>
    <row r="804" ht="15.75" customHeight="1">
      <c r="A804" s="13"/>
      <c r="B804" s="13" t="s">
        <v>974</v>
      </c>
      <c r="C804" s="169" t="s">
        <v>263</v>
      </c>
      <c r="D804" s="66" t="s">
        <v>22</v>
      </c>
      <c r="E804" s="15" t="s">
        <v>999</v>
      </c>
      <c r="F804" s="16">
        <v>1.0</v>
      </c>
      <c r="G804" s="17">
        <v>180.0</v>
      </c>
      <c r="H804" s="17">
        <f t="shared" si="21"/>
        <v>180</v>
      </c>
      <c r="I804" s="18"/>
      <c r="J804" s="18"/>
      <c r="K804" s="13"/>
      <c r="L804" s="13"/>
      <c r="M804" s="19"/>
      <c r="N804" s="13"/>
      <c r="O804" s="19"/>
      <c r="P804" s="19"/>
      <c r="Q804" s="35"/>
      <c r="R804" s="35"/>
      <c r="S804" s="35"/>
      <c r="T804" s="1"/>
      <c r="U804" s="1"/>
      <c r="V804" s="1"/>
    </row>
    <row r="805" ht="15.75" customHeight="1">
      <c r="A805" s="13"/>
      <c r="B805" s="13"/>
      <c r="C805" s="13" t="s">
        <v>67</v>
      </c>
      <c r="D805" s="70" t="s">
        <v>24</v>
      </c>
      <c r="E805" s="15"/>
      <c r="F805" s="16">
        <v>1.0</v>
      </c>
      <c r="G805" s="17">
        <v>18.0</v>
      </c>
      <c r="H805" s="17">
        <f t="shared" si="21"/>
        <v>18</v>
      </c>
      <c r="I805" s="18"/>
      <c r="J805" s="18"/>
      <c r="K805" s="13"/>
      <c r="L805" s="63"/>
      <c r="M805" s="79"/>
      <c r="N805" s="63"/>
      <c r="O805" s="79"/>
      <c r="P805" s="79"/>
      <c r="Q805" s="35"/>
      <c r="R805" s="35"/>
      <c r="S805" s="35"/>
      <c r="T805" s="1"/>
      <c r="U805" s="1"/>
      <c r="V805" s="1"/>
    </row>
    <row r="806" ht="15.75" customHeight="1">
      <c r="A806" s="13"/>
      <c r="B806" s="43" t="s">
        <v>88</v>
      </c>
      <c r="C806" s="54" t="s">
        <v>411</v>
      </c>
      <c r="D806" s="14" t="s">
        <v>20</v>
      </c>
      <c r="E806" s="171" t="s">
        <v>412</v>
      </c>
      <c r="F806" s="16">
        <v>1.0</v>
      </c>
      <c r="G806" s="34">
        <v>334.0</v>
      </c>
      <c r="H806" s="17">
        <f t="shared" si="21"/>
        <v>334</v>
      </c>
      <c r="I806" s="18"/>
      <c r="J806" s="18"/>
      <c r="K806" s="13"/>
      <c r="L806" s="13"/>
      <c r="M806" s="19"/>
      <c r="N806" s="13"/>
      <c r="O806" s="38"/>
      <c r="P806" s="19"/>
      <c r="Q806" s="35"/>
      <c r="R806" s="35"/>
      <c r="S806" s="35"/>
      <c r="T806" s="1"/>
      <c r="U806" s="1"/>
      <c r="V806" s="1"/>
    </row>
    <row r="807" ht="15.75" customHeight="1">
      <c r="A807" s="13"/>
      <c r="B807" s="13" t="s">
        <v>18</v>
      </c>
      <c r="C807" s="169" t="s">
        <v>280</v>
      </c>
      <c r="D807" s="14" t="s">
        <v>20</v>
      </c>
      <c r="E807" s="15" t="s">
        <v>606</v>
      </c>
      <c r="F807" s="16">
        <v>1.0</v>
      </c>
      <c r="G807" s="34">
        <v>20.0</v>
      </c>
      <c r="H807" s="17">
        <f t="shared" si="21"/>
        <v>20</v>
      </c>
      <c r="I807" s="18"/>
      <c r="J807" s="18"/>
      <c r="K807" s="13"/>
      <c r="L807" s="27"/>
      <c r="M807" s="27"/>
      <c r="N807" s="27"/>
      <c r="O807" s="27"/>
      <c r="P807" s="27"/>
      <c r="Q807" s="35"/>
      <c r="R807" s="35"/>
      <c r="S807" s="35"/>
      <c r="T807" s="1"/>
      <c r="U807" s="1"/>
      <c r="V807" s="1"/>
    </row>
    <row r="808" ht="15.75" customHeight="1">
      <c r="A808" s="13"/>
      <c r="B808" s="13"/>
      <c r="C808" s="169" t="s">
        <v>282</v>
      </c>
      <c r="D808" s="70" t="s">
        <v>24</v>
      </c>
      <c r="E808" s="15"/>
      <c r="F808" s="16">
        <v>1.0</v>
      </c>
      <c r="G808" s="17">
        <v>80.0</v>
      </c>
      <c r="H808" s="17">
        <f t="shared" si="21"/>
        <v>80</v>
      </c>
      <c r="I808" s="18"/>
      <c r="J808" s="18"/>
      <c r="K808" s="13"/>
      <c r="L808" s="63"/>
      <c r="M808" s="63"/>
      <c r="N808" s="63"/>
      <c r="O808" s="63"/>
      <c r="P808" s="63"/>
      <c r="Q808" s="35"/>
      <c r="R808" s="35"/>
      <c r="S808" s="35"/>
      <c r="T808" s="1"/>
      <c r="U808" s="1"/>
      <c r="V808" s="1"/>
    </row>
    <row r="809" ht="15.75" hidden="1" customHeight="1">
      <c r="A809" s="13"/>
      <c r="B809" s="13" t="s">
        <v>18</v>
      </c>
      <c r="C809" s="169" t="s">
        <v>283</v>
      </c>
      <c r="D809" s="14" t="s">
        <v>20</v>
      </c>
      <c r="E809" s="15" t="s">
        <v>284</v>
      </c>
      <c r="F809" s="16">
        <v>0.0</v>
      </c>
      <c r="G809" s="17">
        <v>12.0</v>
      </c>
      <c r="H809" s="17">
        <f t="shared" si="21"/>
        <v>0</v>
      </c>
      <c r="I809" s="18"/>
      <c r="J809" s="18"/>
      <c r="K809" s="13"/>
      <c r="L809" s="27"/>
      <c r="M809" s="28"/>
      <c r="N809" s="27"/>
      <c r="O809" s="28"/>
      <c r="P809" s="28"/>
      <c r="Q809" s="35"/>
      <c r="R809" s="35"/>
      <c r="S809" s="35"/>
      <c r="T809" s="1"/>
      <c r="U809" s="1"/>
      <c r="V809" s="1"/>
    </row>
    <row r="810" ht="15.75" customHeight="1">
      <c r="A810" s="13"/>
      <c r="B810" s="13" t="s">
        <v>369</v>
      </c>
      <c r="C810" s="169" t="s">
        <v>370</v>
      </c>
      <c r="D810" s="14" t="s">
        <v>20</v>
      </c>
      <c r="E810" s="15">
        <v>8.49069896E8</v>
      </c>
      <c r="F810" s="16">
        <v>1.0</v>
      </c>
      <c r="G810" s="17">
        <v>5.0</v>
      </c>
      <c r="H810" s="17">
        <f t="shared" si="21"/>
        <v>5</v>
      </c>
      <c r="I810" s="18"/>
      <c r="J810" s="18"/>
      <c r="K810" s="18"/>
      <c r="L810" s="13"/>
      <c r="M810" s="19"/>
      <c r="N810" s="13"/>
      <c r="O810" s="19"/>
      <c r="P810" s="19"/>
      <c r="Q810" s="35"/>
      <c r="R810" s="35"/>
      <c r="S810" s="35"/>
      <c r="T810" s="1"/>
      <c r="U810" s="1"/>
      <c r="V810" s="1"/>
    </row>
    <row r="811" ht="15.75" customHeight="1">
      <c r="A811" s="13"/>
      <c r="B811" s="13" t="s">
        <v>18</v>
      </c>
      <c r="C811" s="169" t="s">
        <v>371</v>
      </c>
      <c r="D811" s="14" t="s">
        <v>20</v>
      </c>
      <c r="E811" s="15" t="s">
        <v>286</v>
      </c>
      <c r="F811" s="16">
        <v>2.0</v>
      </c>
      <c r="G811" s="17">
        <v>3.0</v>
      </c>
      <c r="H811" s="17">
        <f t="shared" si="21"/>
        <v>6</v>
      </c>
      <c r="I811" s="18"/>
      <c r="J811" s="18"/>
      <c r="K811" s="13"/>
      <c r="L811" s="27"/>
      <c r="M811" s="28"/>
      <c r="N811" s="27"/>
      <c r="O811" s="28"/>
      <c r="P811" s="28"/>
      <c r="Q811" s="35"/>
      <c r="R811" s="35"/>
      <c r="S811" s="35"/>
      <c r="T811" s="1"/>
      <c r="U811" s="1"/>
      <c r="V811" s="1"/>
    </row>
    <row r="812" ht="15.75" customHeight="1">
      <c r="A812" s="13"/>
      <c r="B812" s="13" t="s">
        <v>18</v>
      </c>
      <c r="C812" s="169" t="s">
        <v>69</v>
      </c>
      <c r="D812" s="14" t="s">
        <v>20</v>
      </c>
      <c r="E812" s="210"/>
      <c r="F812" s="228">
        <v>1.0</v>
      </c>
      <c r="G812" s="265">
        <v>70.0</v>
      </c>
      <c r="H812" s="265">
        <f t="shared" si="21"/>
        <v>70</v>
      </c>
      <c r="I812" s="239"/>
      <c r="J812" s="239"/>
      <c r="K812" s="54"/>
      <c r="L812" s="107"/>
      <c r="M812" s="214"/>
      <c r="N812" s="13"/>
      <c r="O812" s="13"/>
      <c r="P812" s="13"/>
      <c r="Q812" s="35"/>
      <c r="R812" s="35"/>
      <c r="S812" s="35"/>
      <c r="T812" s="1"/>
      <c r="U812" s="1"/>
      <c r="V812" s="1"/>
    </row>
    <row r="813" ht="15.75" customHeight="1">
      <c r="A813" s="13"/>
      <c r="B813" s="13"/>
      <c r="C813" s="169" t="s">
        <v>374</v>
      </c>
      <c r="D813" s="70" t="s">
        <v>24</v>
      </c>
      <c r="E813" s="15"/>
      <c r="F813" s="40">
        <v>1.0</v>
      </c>
      <c r="G813" s="17">
        <v>70.0</v>
      </c>
      <c r="H813" s="17">
        <f t="shared" si="21"/>
        <v>70</v>
      </c>
      <c r="I813" s="18"/>
      <c r="J813" s="18"/>
      <c r="K813" s="13"/>
      <c r="L813" s="63"/>
      <c r="M813" s="63"/>
      <c r="N813" s="63"/>
      <c r="O813" s="63"/>
      <c r="P813" s="63"/>
      <c r="Q813" s="35"/>
      <c r="R813" s="35"/>
      <c r="S813" s="35"/>
      <c r="T813" s="1"/>
      <c r="U813" s="1"/>
      <c r="V813" s="1"/>
    </row>
    <row r="814" ht="15.75" customHeight="1">
      <c r="A814" s="13"/>
      <c r="B814" s="43" t="s">
        <v>18</v>
      </c>
      <c r="C814" s="156" t="s">
        <v>230</v>
      </c>
      <c r="D814" s="14" t="s">
        <v>20</v>
      </c>
      <c r="E814" s="157" t="s">
        <v>231</v>
      </c>
      <c r="F814" s="158">
        <v>2.0</v>
      </c>
      <c r="G814" s="159">
        <v>35.0</v>
      </c>
      <c r="H814" s="50">
        <f t="shared" si="21"/>
        <v>70</v>
      </c>
      <c r="I814" s="18"/>
      <c r="J814" s="18"/>
      <c r="K814" s="13"/>
      <c r="L814" s="63"/>
      <c r="M814" s="63"/>
      <c r="N814" s="63"/>
      <c r="O814" s="63"/>
      <c r="P814" s="63"/>
      <c r="Q814" s="35"/>
      <c r="R814" s="35"/>
      <c r="S814" s="35"/>
      <c r="T814" s="1"/>
      <c r="U814" s="1"/>
      <c r="V814" s="1"/>
    </row>
    <row r="815" ht="15.75" customHeight="1">
      <c r="A815" s="13"/>
      <c r="B815" s="43"/>
      <c r="C815" s="156" t="s">
        <v>232</v>
      </c>
      <c r="D815" s="70" t="s">
        <v>24</v>
      </c>
      <c r="E815" s="160"/>
      <c r="F815" s="158">
        <v>1.0</v>
      </c>
      <c r="G815" s="159">
        <v>150.0</v>
      </c>
      <c r="H815" s="50">
        <f t="shared" si="21"/>
        <v>150</v>
      </c>
      <c r="I815" s="18"/>
      <c r="J815" s="18"/>
      <c r="K815" s="13"/>
      <c r="L815" s="63"/>
      <c r="M815" s="63"/>
      <c r="N815" s="63"/>
      <c r="O815" s="63"/>
      <c r="P815" s="63"/>
      <c r="Q815" s="35"/>
      <c r="R815" s="35"/>
      <c r="S815" s="35"/>
      <c r="T815" s="1"/>
      <c r="U815" s="1"/>
      <c r="V815" s="1"/>
    </row>
    <row r="816" ht="15.75" hidden="1" customHeight="1">
      <c r="A816" s="13"/>
      <c r="B816" s="13"/>
      <c r="C816" s="169" t="s">
        <v>375</v>
      </c>
      <c r="D816" s="70" t="s">
        <v>24</v>
      </c>
      <c r="E816" s="15"/>
      <c r="F816" s="16">
        <v>0.0</v>
      </c>
      <c r="G816" s="17">
        <v>450.0</v>
      </c>
      <c r="H816" s="17">
        <f t="shared" si="21"/>
        <v>0</v>
      </c>
      <c r="I816" s="18"/>
      <c r="J816" s="18"/>
      <c r="K816" s="13" t="s">
        <v>376</v>
      </c>
      <c r="L816" s="63"/>
      <c r="M816" s="63"/>
      <c r="N816" s="63"/>
      <c r="O816" s="63"/>
      <c r="P816" s="63"/>
      <c r="Q816" s="35"/>
      <c r="R816" s="35"/>
      <c r="S816" s="35"/>
      <c r="T816" s="1"/>
      <c r="U816" s="1"/>
      <c r="V816" s="1"/>
    </row>
    <row r="817" ht="15.75" hidden="1" customHeight="1">
      <c r="A817" s="13"/>
      <c r="B817" s="13"/>
      <c r="C817" s="13" t="s">
        <v>71</v>
      </c>
      <c r="D817" s="213" t="s">
        <v>24</v>
      </c>
      <c r="E817" s="52"/>
      <c r="F817" s="48">
        <v>0.0</v>
      </c>
      <c r="G817" s="50">
        <v>80.0</v>
      </c>
      <c r="H817" s="50">
        <f t="shared" si="21"/>
        <v>0</v>
      </c>
      <c r="I817" s="18"/>
      <c r="J817" s="18"/>
      <c r="K817" s="13"/>
      <c r="L817" s="63"/>
      <c r="M817" s="63"/>
      <c r="N817" s="63"/>
      <c r="O817" s="63"/>
      <c r="P817" s="63"/>
      <c r="Q817" s="35"/>
      <c r="R817" s="35"/>
      <c r="S817" s="35"/>
      <c r="T817" s="1"/>
      <c r="U817" s="1"/>
      <c r="V817" s="1"/>
    </row>
    <row r="818" ht="15.75" hidden="1" customHeight="1">
      <c r="A818" s="13"/>
      <c r="B818" s="13" t="s">
        <v>18</v>
      </c>
      <c r="C818" s="13" t="s">
        <v>377</v>
      </c>
      <c r="D818" s="14" t="s">
        <v>20</v>
      </c>
      <c r="E818" s="52" t="s">
        <v>28</v>
      </c>
      <c r="F818" s="48">
        <v>0.0</v>
      </c>
      <c r="G818" s="50">
        <v>70.0</v>
      </c>
      <c r="H818" s="50">
        <f t="shared" si="21"/>
        <v>0</v>
      </c>
      <c r="I818" s="18"/>
      <c r="J818" s="18"/>
      <c r="K818" s="13"/>
      <c r="L818" s="63"/>
      <c r="M818" s="63"/>
      <c r="N818" s="63"/>
      <c r="O818" s="63"/>
      <c r="P818" s="63"/>
      <c r="Q818" s="35"/>
      <c r="R818" s="35"/>
      <c r="S818" s="35"/>
      <c r="T818" s="1"/>
      <c r="U818" s="1"/>
      <c r="V818" s="1"/>
    </row>
    <row r="819" ht="15.75" hidden="1" customHeight="1">
      <c r="A819" s="13"/>
      <c r="B819" s="13"/>
      <c r="C819" s="13" t="s">
        <v>221</v>
      </c>
      <c r="D819" s="213" t="s">
        <v>24</v>
      </c>
      <c r="E819" s="52"/>
      <c r="F819" s="48">
        <v>0.0</v>
      </c>
      <c r="G819" s="50">
        <v>50.0</v>
      </c>
      <c r="H819" s="50">
        <f t="shared" si="21"/>
        <v>0</v>
      </c>
      <c r="I819" s="18"/>
      <c r="J819" s="18"/>
      <c r="K819" s="13"/>
      <c r="L819" s="63"/>
      <c r="M819" s="63"/>
      <c r="N819" s="63"/>
      <c r="O819" s="63"/>
      <c r="P819" s="63"/>
      <c r="Q819" s="35"/>
      <c r="R819" s="35"/>
      <c r="S819" s="35"/>
      <c r="T819" s="1"/>
      <c r="U819" s="1"/>
      <c r="V819" s="1"/>
    </row>
    <row r="820" ht="15.75" hidden="1" customHeight="1">
      <c r="A820" s="13"/>
      <c r="B820" s="13"/>
      <c r="C820" s="206" t="s">
        <v>222</v>
      </c>
      <c r="D820" s="216" t="s">
        <v>24</v>
      </c>
      <c r="E820" s="54"/>
      <c r="F820" s="56">
        <v>0.0</v>
      </c>
      <c r="G820" s="57">
        <v>40.0</v>
      </c>
      <c r="H820" s="57">
        <f t="shared" si="21"/>
        <v>0</v>
      </c>
      <c r="I820" s="18"/>
      <c r="J820" s="18"/>
      <c r="K820" s="13"/>
      <c r="L820" s="63"/>
      <c r="M820" s="63"/>
      <c r="N820" s="63"/>
      <c r="O820" s="63"/>
      <c r="P820" s="63"/>
      <c r="Q820" s="35"/>
      <c r="R820" s="35"/>
      <c r="S820" s="35"/>
      <c r="T820" s="1"/>
      <c r="U820" s="1"/>
      <c r="V820" s="1"/>
    </row>
    <row r="821" ht="30.75" customHeight="1">
      <c r="A821" s="83"/>
      <c r="B821" s="345" t="s">
        <v>969</v>
      </c>
      <c r="C821" s="255">
        <f>SUM(H822:H895)</f>
        <v>14984.2</v>
      </c>
      <c r="D821" s="256"/>
      <c r="E821" s="256"/>
      <c r="F821" s="256"/>
      <c r="G821" s="257"/>
      <c r="H821" s="257"/>
      <c r="I821" s="257"/>
      <c r="J821" s="257"/>
      <c r="K821" s="256"/>
      <c r="L821" s="256"/>
      <c r="M821" s="256"/>
      <c r="N821" s="256"/>
      <c r="O821" s="256"/>
      <c r="P821" s="256"/>
      <c r="Q821" s="1"/>
      <c r="R821" s="1"/>
      <c r="S821" s="1"/>
      <c r="T821" s="1"/>
      <c r="U821" s="1"/>
      <c r="V821" s="1"/>
    </row>
    <row r="822" ht="15.75" hidden="1" customHeight="1">
      <c r="A822" s="53"/>
      <c r="B822" s="54"/>
      <c r="C822" s="197" t="s">
        <v>191</v>
      </c>
      <c r="D822" s="198" t="s">
        <v>22</v>
      </c>
      <c r="E822" s="54"/>
      <c r="F822" s="56">
        <v>0.0</v>
      </c>
      <c r="G822" s="57">
        <v>100.0</v>
      </c>
      <c r="H822" s="57">
        <f t="shared" ref="H822:H921" si="22">SUM(F822*G822)</f>
        <v>0</v>
      </c>
      <c r="I822" s="58"/>
      <c r="J822" s="58"/>
      <c r="K822" s="54"/>
      <c r="L822" s="54"/>
      <c r="M822" s="54"/>
      <c r="N822" s="54"/>
      <c r="O822" s="54"/>
      <c r="P822" s="54"/>
      <c r="Q822" s="1"/>
      <c r="R822" s="1"/>
      <c r="S822" s="1"/>
      <c r="T822" s="1"/>
      <c r="U822" s="1"/>
      <c r="V822" s="1"/>
    </row>
    <row r="823" ht="15.75" hidden="1" customHeight="1">
      <c r="A823" s="53"/>
      <c r="B823" s="54" t="s">
        <v>18</v>
      </c>
      <c r="C823" s="197" t="s">
        <v>433</v>
      </c>
      <c r="D823" s="55" t="s">
        <v>20</v>
      </c>
      <c r="E823" s="54"/>
      <c r="F823" s="56">
        <v>0.0</v>
      </c>
      <c r="G823" s="57">
        <v>5.0</v>
      </c>
      <c r="H823" s="57">
        <f t="shared" si="22"/>
        <v>0</v>
      </c>
      <c r="I823" s="58"/>
      <c r="J823" s="58"/>
      <c r="K823" s="54"/>
      <c r="L823" s="54"/>
      <c r="M823" s="54"/>
      <c r="N823" s="54"/>
      <c r="O823" s="54"/>
      <c r="P823" s="54"/>
      <c r="Q823" s="1"/>
      <c r="R823" s="1"/>
      <c r="S823" s="1"/>
      <c r="T823" s="1"/>
      <c r="U823" s="1"/>
      <c r="V823" s="1"/>
    </row>
    <row r="824" ht="15.75" hidden="1" customHeight="1">
      <c r="A824" s="53"/>
      <c r="B824" s="54" t="s">
        <v>18</v>
      </c>
      <c r="C824" s="197" t="s">
        <v>19</v>
      </c>
      <c r="D824" s="55" t="s">
        <v>20</v>
      </c>
      <c r="E824" s="54"/>
      <c r="F824" s="56">
        <v>0.0</v>
      </c>
      <c r="G824" s="57">
        <v>0.0</v>
      </c>
      <c r="H824" s="57">
        <f t="shared" si="22"/>
        <v>0</v>
      </c>
      <c r="I824" s="58"/>
      <c r="J824" s="58"/>
      <c r="K824" s="54"/>
      <c r="L824" s="54"/>
      <c r="M824" s="202"/>
      <c r="N824" s="202"/>
      <c r="O824" s="270"/>
      <c r="P824" s="202"/>
      <c r="Q824" s="1"/>
      <c r="R824" s="1"/>
      <c r="S824" s="1"/>
      <c r="T824" s="1"/>
      <c r="U824" s="1"/>
      <c r="V824" s="1"/>
    </row>
    <row r="825" ht="15.75" hidden="1" customHeight="1">
      <c r="A825" s="53"/>
      <c r="B825" s="54" t="s">
        <v>18</v>
      </c>
      <c r="C825" s="197" t="s">
        <v>434</v>
      </c>
      <c r="D825" s="55" t="s">
        <v>20</v>
      </c>
      <c r="E825" s="54"/>
      <c r="F825" s="56">
        <v>0.0</v>
      </c>
      <c r="G825" s="57">
        <v>5.0</v>
      </c>
      <c r="H825" s="57">
        <f t="shared" si="22"/>
        <v>0</v>
      </c>
      <c r="I825" s="58"/>
      <c r="J825" s="58"/>
      <c r="K825" s="54"/>
      <c r="L825" s="54"/>
      <c r="M825" s="202"/>
      <c r="N825" s="202"/>
      <c r="O825" s="270"/>
      <c r="P825" s="202"/>
      <c r="Q825" s="1"/>
      <c r="R825" s="1"/>
      <c r="S825" s="1"/>
      <c r="T825" s="1"/>
      <c r="U825" s="1"/>
      <c r="V825" s="1"/>
    </row>
    <row r="826" ht="15.75" hidden="1" customHeight="1">
      <c r="A826" s="53"/>
      <c r="B826" s="54"/>
      <c r="C826" s="197" t="s">
        <v>435</v>
      </c>
      <c r="D826" s="216" t="s">
        <v>24</v>
      </c>
      <c r="E826" s="54"/>
      <c r="F826" s="56">
        <v>0.0</v>
      </c>
      <c r="G826" s="57">
        <v>103.5</v>
      </c>
      <c r="H826" s="57">
        <f t="shared" si="22"/>
        <v>0</v>
      </c>
      <c r="I826" s="58"/>
      <c r="J826" s="58"/>
      <c r="K826" s="54"/>
      <c r="L826" s="54"/>
      <c r="M826" s="202"/>
      <c r="N826" s="202"/>
      <c r="O826" s="270"/>
      <c r="P826" s="202"/>
      <c r="Q826" s="1"/>
      <c r="R826" s="1"/>
      <c r="S826" s="1"/>
      <c r="T826" s="1"/>
      <c r="U826" s="1"/>
      <c r="V826" s="1"/>
    </row>
    <row r="827" ht="15.75" hidden="1" customHeight="1">
      <c r="A827" s="53"/>
      <c r="B827" s="54" t="s">
        <v>18</v>
      </c>
      <c r="C827" s="197" t="s">
        <v>258</v>
      </c>
      <c r="D827" s="55" t="s">
        <v>20</v>
      </c>
      <c r="E827" s="54"/>
      <c r="F827" s="56">
        <v>0.0</v>
      </c>
      <c r="G827" s="57">
        <v>123.0</v>
      </c>
      <c r="H827" s="57">
        <f t="shared" si="22"/>
        <v>0</v>
      </c>
      <c r="I827" s="58"/>
      <c r="J827" s="58"/>
      <c r="K827" s="54"/>
      <c r="L827" s="54"/>
      <c r="M827" s="202"/>
      <c r="N827" s="202"/>
      <c r="O827" s="270"/>
      <c r="P827" s="202"/>
      <c r="Q827" s="1"/>
      <c r="R827" s="1"/>
      <c r="S827" s="1"/>
      <c r="T827" s="1"/>
      <c r="U827" s="1"/>
      <c r="V827" s="1"/>
    </row>
    <row r="828" ht="15.75" hidden="1" customHeight="1">
      <c r="A828" s="53"/>
      <c r="B828" s="54" t="s">
        <v>18</v>
      </c>
      <c r="C828" s="197" t="s">
        <v>300</v>
      </c>
      <c r="D828" s="55" t="s">
        <v>20</v>
      </c>
      <c r="E828" s="54"/>
      <c r="F828" s="56">
        <v>0.0</v>
      </c>
      <c r="G828" s="57">
        <v>5.0</v>
      </c>
      <c r="H828" s="57">
        <f t="shared" si="22"/>
        <v>0</v>
      </c>
      <c r="I828" s="58"/>
      <c r="J828" s="58"/>
      <c r="K828" s="54"/>
      <c r="L828" s="54"/>
      <c r="M828" s="202"/>
      <c r="N828" s="202"/>
      <c r="O828" s="270"/>
      <c r="P828" s="202"/>
      <c r="Q828" s="1"/>
      <c r="R828" s="1"/>
      <c r="S828" s="1"/>
      <c r="T828" s="1"/>
      <c r="U828" s="1"/>
      <c r="V828" s="1"/>
    </row>
    <row r="829" ht="15.75" hidden="1" customHeight="1">
      <c r="A829" s="53"/>
      <c r="B829" s="54"/>
      <c r="C829" s="197" t="s">
        <v>380</v>
      </c>
      <c r="D829" s="216" t="s">
        <v>24</v>
      </c>
      <c r="E829" s="54"/>
      <c r="F829" s="56">
        <v>0.0</v>
      </c>
      <c r="G829" s="57">
        <v>95.0</v>
      </c>
      <c r="H829" s="57">
        <f t="shared" si="22"/>
        <v>0</v>
      </c>
      <c r="I829" s="58"/>
      <c r="J829" s="58"/>
      <c r="K829" s="54"/>
      <c r="L829" s="54"/>
      <c r="M829" s="202"/>
      <c r="N829" s="202"/>
      <c r="O829" s="270"/>
      <c r="P829" s="202"/>
      <c r="Q829" s="1"/>
      <c r="R829" s="1"/>
      <c r="S829" s="1"/>
      <c r="T829" s="1"/>
      <c r="U829" s="1"/>
      <c r="V829" s="1"/>
    </row>
    <row r="830" ht="15.75" hidden="1" customHeight="1">
      <c r="A830" s="53"/>
      <c r="B830" s="54"/>
      <c r="C830" s="197" t="s">
        <v>440</v>
      </c>
      <c r="D830" s="216" t="s">
        <v>24</v>
      </c>
      <c r="E830" s="54"/>
      <c r="F830" s="56">
        <v>0.0</v>
      </c>
      <c r="G830" s="57">
        <v>200.0</v>
      </c>
      <c r="H830" s="57">
        <f t="shared" si="22"/>
        <v>0</v>
      </c>
      <c r="I830" s="58"/>
      <c r="J830" s="58"/>
      <c r="K830" s="54"/>
      <c r="L830" s="54"/>
      <c r="M830" s="202"/>
      <c r="N830" s="202"/>
      <c r="O830" s="270"/>
      <c r="P830" s="202"/>
      <c r="Q830" s="1"/>
      <c r="R830" s="1"/>
      <c r="S830" s="1"/>
      <c r="T830" s="1"/>
      <c r="U830" s="1"/>
      <c r="V830" s="1"/>
    </row>
    <row r="831" ht="15.75" customHeight="1">
      <c r="A831" s="53"/>
      <c r="B831" s="258" t="s">
        <v>383</v>
      </c>
      <c r="C831" s="197" t="s">
        <v>436</v>
      </c>
      <c r="D831" s="259" t="s">
        <v>32</v>
      </c>
      <c r="E831" s="219"/>
      <c r="F831" s="190">
        <v>1.0</v>
      </c>
      <c r="G831" s="191">
        <v>11000.0</v>
      </c>
      <c r="H831" s="192">
        <f t="shared" si="22"/>
        <v>11000</v>
      </c>
      <c r="I831" s="193"/>
      <c r="J831" s="18"/>
      <c r="K831" s="13"/>
      <c r="L831" s="54"/>
      <c r="M831" s="202"/>
      <c r="N831" s="54"/>
      <c r="O831" s="202"/>
      <c r="P831" s="54"/>
      <c r="Q831" s="1"/>
      <c r="R831" s="1"/>
      <c r="S831" s="1"/>
      <c r="T831" s="1"/>
      <c r="U831" s="1"/>
      <c r="V831" s="1"/>
    </row>
    <row r="832" ht="15.75" hidden="1" customHeight="1">
      <c r="A832" s="53"/>
      <c r="B832" s="54"/>
      <c r="C832" s="197" t="s">
        <v>307</v>
      </c>
      <c r="D832" s="259" t="s">
        <v>32</v>
      </c>
      <c r="E832" s="54"/>
      <c r="F832" s="56">
        <v>0.0</v>
      </c>
      <c r="G832" s="57">
        <v>0.0</v>
      </c>
      <c r="H832" s="57">
        <f t="shared" si="22"/>
        <v>0</v>
      </c>
      <c r="I832" s="58"/>
      <c r="J832" s="58"/>
      <c r="K832" s="54"/>
      <c r="L832" s="271"/>
      <c r="M832" s="271"/>
      <c r="N832" s="271"/>
      <c r="O832" s="271"/>
      <c r="P832" s="271"/>
      <c r="Q832" s="1"/>
      <c r="R832" s="1"/>
      <c r="S832" s="1"/>
      <c r="T832" s="1"/>
      <c r="U832" s="1"/>
      <c r="V832" s="1"/>
    </row>
    <row r="833" ht="15.75" customHeight="1">
      <c r="A833" s="53"/>
      <c r="B833" s="54" t="s">
        <v>18</v>
      </c>
      <c r="C833" s="197" t="s">
        <v>308</v>
      </c>
      <c r="D833" s="259" t="s">
        <v>32</v>
      </c>
      <c r="E833" s="230" t="s">
        <v>970</v>
      </c>
      <c r="F833" s="56">
        <v>1.0</v>
      </c>
      <c r="G833" s="159">
        <v>456.0</v>
      </c>
      <c r="H833" s="57">
        <f t="shared" si="22"/>
        <v>456</v>
      </c>
      <c r="I833" s="58"/>
      <c r="J833" s="58"/>
      <c r="K833" s="54"/>
      <c r="L833" s="271"/>
      <c r="M833" s="280"/>
      <c r="N833" s="271"/>
      <c r="O833" s="271"/>
      <c r="P833" s="271"/>
      <c r="Q833" s="1"/>
      <c r="R833" s="1"/>
      <c r="S833" s="1"/>
      <c r="T833" s="1"/>
      <c r="U833" s="1"/>
      <c r="V833" s="1"/>
    </row>
    <row r="834" ht="15.75" hidden="1" customHeight="1">
      <c r="A834" s="53"/>
      <c r="B834" s="54" t="s">
        <v>18</v>
      </c>
      <c r="C834" s="197" t="s">
        <v>613</v>
      </c>
      <c r="D834" s="55" t="s">
        <v>20</v>
      </c>
      <c r="E834" s="205" t="s">
        <v>614</v>
      </c>
      <c r="F834" s="158">
        <v>0.0</v>
      </c>
      <c r="G834" s="57">
        <v>17.0</v>
      </c>
      <c r="H834" s="57">
        <f t="shared" si="22"/>
        <v>0</v>
      </c>
      <c r="I834" s="58"/>
      <c r="J834" s="58"/>
      <c r="K834" s="54"/>
      <c r="L834" s="272"/>
      <c r="M834" s="273"/>
      <c r="N834" s="272"/>
      <c r="O834" s="272"/>
      <c r="P834" s="272"/>
      <c r="Q834" s="1"/>
      <c r="R834" s="1"/>
      <c r="S834" s="1"/>
      <c r="T834" s="1"/>
      <c r="U834" s="1"/>
      <c r="V834" s="1"/>
    </row>
    <row r="835" ht="15.75" customHeight="1">
      <c r="A835" s="53"/>
      <c r="B835" s="54" t="s">
        <v>539</v>
      </c>
      <c r="C835" s="197" t="s">
        <v>1000</v>
      </c>
      <c r="D835" s="55" t="s">
        <v>20</v>
      </c>
      <c r="E835" s="54"/>
      <c r="F835" s="56">
        <v>1.0</v>
      </c>
      <c r="G835" s="57">
        <v>1500.0</v>
      </c>
      <c r="H835" s="57">
        <f t="shared" si="22"/>
        <v>1500</v>
      </c>
      <c r="I835" s="58"/>
      <c r="J835" s="58"/>
      <c r="K835" s="54"/>
      <c r="L835" s="272"/>
      <c r="M835" s="273"/>
      <c r="N835" s="272"/>
      <c r="O835" s="272"/>
      <c r="P835" s="272"/>
      <c r="Q835" s="1"/>
      <c r="R835" s="1"/>
      <c r="S835" s="1"/>
      <c r="T835" s="1"/>
      <c r="U835" s="1"/>
      <c r="V835" s="1"/>
    </row>
    <row r="836" ht="15.75" customHeight="1">
      <c r="A836" s="206"/>
      <c r="B836" s="13" t="s">
        <v>18</v>
      </c>
      <c r="C836" s="52" t="s">
        <v>542</v>
      </c>
      <c r="D836" s="150" t="s">
        <v>22</v>
      </c>
      <c r="E836" s="260" t="s">
        <v>543</v>
      </c>
      <c r="F836" s="48">
        <v>1.0</v>
      </c>
      <c r="G836" s="49">
        <v>156.0</v>
      </c>
      <c r="H836" s="50">
        <f t="shared" si="22"/>
        <v>156</v>
      </c>
      <c r="I836" s="57"/>
      <c r="J836" s="58"/>
      <c r="K836" s="258"/>
      <c r="L836" s="54"/>
      <c r="M836" s="54"/>
      <c r="N836" s="54"/>
      <c r="O836" s="54"/>
      <c r="P836" s="54"/>
      <c r="Q836" s="1"/>
      <c r="R836" s="1"/>
      <c r="S836" s="1"/>
      <c r="T836" s="1"/>
      <c r="U836" s="1"/>
      <c r="V836" s="1"/>
    </row>
    <row r="837" ht="15.75" customHeight="1">
      <c r="A837" s="206"/>
      <c r="B837" s="156" t="s">
        <v>88</v>
      </c>
      <c r="C837" s="258" t="s">
        <v>546</v>
      </c>
      <c r="D837" s="198" t="s">
        <v>22</v>
      </c>
      <c r="E837" s="261" t="s">
        <v>547</v>
      </c>
      <c r="F837" s="56">
        <v>1.0</v>
      </c>
      <c r="G837" s="159">
        <v>258.0</v>
      </c>
      <c r="H837" s="57">
        <f t="shared" si="22"/>
        <v>258</v>
      </c>
      <c r="I837" s="57"/>
      <c r="J837" s="58"/>
      <c r="K837" s="54"/>
      <c r="L837" s="54"/>
      <c r="M837" s="54"/>
      <c r="N837" s="54"/>
      <c r="O837" s="54"/>
      <c r="P837" s="54"/>
      <c r="Q837" s="1"/>
      <c r="R837" s="1"/>
      <c r="S837" s="1"/>
      <c r="T837" s="1"/>
      <c r="U837" s="1"/>
      <c r="V837" s="1"/>
    </row>
    <row r="838" ht="15.75" customHeight="1">
      <c r="A838" s="206"/>
      <c r="B838" s="206" t="s">
        <v>18</v>
      </c>
      <c r="C838" s="258" t="s">
        <v>552</v>
      </c>
      <c r="D838" s="198" t="s">
        <v>22</v>
      </c>
      <c r="E838" s="15"/>
      <c r="F838" s="56">
        <v>1.0</v>
      </c>
      <c r="G838" s="159">
        <v>20.0</v>
      </c>
      <c r="H838" s="57">
        <f t="shared" si="22"/>
        <v>20</v>
      </c>
      <c r="I838" s="57"/>
      <c r="J838" s="58"/>
      <c r="K838" s="54"/>
      <c r="L838" s="54"/>
      <c r="M838" s="54"/>
      <c r="N838" s="54"/>
      <c r="O838" s="54"/>
      <c r="P838" s="54"/>
      <c r="Q838" s="1"/>
      <c r="R838" s="1"/>
      <c r="S838" s="1"/>
      <c r="T838" s="1"/>
      <c r="U838" s="1"/>
      <c r="V838" s="1"/>
    </row>
    <row r="839" ht="15.75" hidden="1" customHeight="1">
      <c r="A839" s="13"/>
      <c r="B839" s="18" t="s">
        <v>18</v>
      </c>
      <c r="C839" s="169" t="s">
        <v>447</v>
      </c>
      <c r="D839" s="46" t="s">
        <v>20</v>
      </c>
      <c r="E839" s="207" t="s">
        <v>448</v>
      </c>
      <c r="F839" s="242">
        <v>0.0</v>
      </c>
      <c r="G839" s="243">
        <v>19.0</v>
      </c>
      <c r="H839" s="192">
        <f t="shared" si="22"/>
        <v>0</v>
      </c>
      <c r="I839" s="193"/>
      <c r="J839" s="18"/>
      <c r="K839" s="13"/>
      <c r="L839" s="27"/>
      <c r="M839" s="241"/>
      <c r="N839" s="27"/>
      <c r="O839" s="27"/>
      <c r="P839" s="27"/>
      <c r="Q839" s="35"/>
      <c r="R839" s="35"/>
      <c r="S839" s="35"/>
      <c r="T839" s="1"/>
      <c r="U839" s="1"/>
      <c r="V839" s="1"/>
    </row>
    <row r="840" ht="15.75" hidden="1" customHeight="1">
      <c r="A840" s="13"/>
      <c r="B840" s="18" t="s">
        <v>18</v>
      </c>
      <c r="C840" s="169" t="s">
        <v>450</v>
      </c>
      <c r="D840" s="46" t="s">
        <v>20</v>
      </c>
      <c r="E840" s="52" t="s">
        <v>451</v>
      </c>
      <c r="F840" s="48">
        <v>0.0</v>
      </c>
      <c r="G840" s="50">
        <v>19.99</v>
      </c>
      <c r="H840" s="50">
        <f t="shared" si="22"/>
        <v>0</v>
      </c>
      <c r="I840" s="193"/>
      <c r="J840" s="18"/>
      <c r="K840" s="13"/>
      <c r="L840" s="27"/>
      <c r="M840" s="241"/>
      <c r="N840" s="27"/>
      <c r="O840" s="27"/>
      <c r="P840" s="27"/>
      <c r="Q840" s="35"/>
      <c r="R840" s="35"/>
      <c r="S840" s="35"/>
      <c r="T840" s="1"/>
      <c r="U840" s="1"/>
      <c r="V840" s="1"/>
    </row>
    <row r="841" ht="15.75" hidden="1" customHeight="1">
      <c r="A841" s="53"/>
      <c r="B841" s="54"/>
      <c r="C841" s="197" t="s">
        <v>541</v>
      </c>
      <c r="D841" s="198" t="s">
        <v>22</v>
      </c>
      <c r="E841" s="54"/>
      <c r="F841" s="56">
        <v>0.0</v>
      </c>
      <c r="G841" s="57">
        <v>30.0</v>
      </c>
      <c r="H841" s="57">
        <f t="shared" si="22"/>
        <v>0</v>
      </c>
      <c r="I841" s="58"/>
      <c r="J841" s="58"/>
      <c r="K841" s="54"/>
      <c r="L841" s="54"/>
      <c r="M841" s="54"/>
      <c r="N841" s="54"/>
      <c r="O841" s="54"/>
      <c r="P841" s="54"/>
      <c r="Q841" s="1"/>
      <c r="R841" s="1"/>
      <c r="S841" s="1"/>
      <c r="T841" s="1"/>
      <c r="U841" s="1"/>
      <c r="V841" s="1"/>
    </row>
    <row r="842" ht="15.75" hidden="1" customHeight="1">
      <c r="A842" s="53"/>
      <c r="B842" s="54" t="s">
        <v>454</v>
      </c>
      <c r="C842" s="197" t="s">
        <v>321</v>
      </c>
      <c r="D842" s="198" t="s">
        <v>22</v>
      </c>
      <c r="E842" s="54"/>
      <c r="F842" s="56">
        <v>0.0</v>
      </c>
      <c r="G842" s="57">
        <v>10.0</v>
      </c>
      <c r="H842" s="57">
        <f t="shared" si="22"/>
        <v>0</v>
      </c>
      <c r="I842" s="58"/>
      <c r="J842" s="58"/>
      <c r="K842" s="54"/>
      <c r="L842" s="54"/>
      <c r="M842" s="202"/>
      <c r="N842" s="54"/>
      <c r="O842" s="54"/>
      <c r="P842" s="54"/>
      <c r="Q842" s="1"/>
      <c r="R842" s="1"/>
      <c r="S842" s="1"/>
      <c r="T842" s="1"/>
      <c r="U842" s="1"/>
      <c r="V842" s="1"/>
    </row>
    <row r="843" ht="15.75" customHeight="1">
      <c r="A843" s="53"/>
      <c r="B843" s="54" t="s">
        <v>18</v>
      </c>
      <c r="C843" s="197" t="s">
        <v>394</v>
      </c>
      <c r="D843" s="198" t="s">
        <v>22</v>
      </c>
      <c r="E843" s="230" t="s">
        <v>972</v>
      </c>
      <c r="F843" s="56">
        <v>4.0</v>
      </c>
      <c r="G843" s="159">
        <v>81.0</v>
      </c>
      <c r="H843" s="57">
        <f t="shared" si="22"/>
        <v>324</v>
      </c>
      <c r="I843" s="58"/>
      <c r="J843" s="58"/>
      <c r="K843" s="54"/>
      <c r="L843" s="54"/>
      <c r="M843" s="54"/>
      <c r="N843" s="54"/>
      <c r="O843" s="54"/>
      <c r="P843" s="54"/>
      <c r="Q843" s="1"/>
      <c r="R843" s="1"/>
      <c r="S843" s="1"/>
      <c r="T843" s="1"/>
      <c r="U843" s="1"/>
      <c r="V843" s="1"/>
    </row>
    <row r="844" ht="15.75" customHeight="1">
      <c r="A844" s="53"/>
      <c r="B844" s="54" t="s">
        <v>399</v>
      </c>
      <c r="C844" s="197" t="s">
        <v>364</v>
      </c>
      <c r="D844" s="198" t="s">
        <v>22</v>
      </c>
      <c r="E844" s="54" t="s">
        <v>365</v>
      </c>
      <c r="F844" s="56">
        <v>8.0</v>
      </c>
      <c r="G844" s="57">
        <v>6.0</v>
      </c>
      <c r="H844" s="57">
        <f t="shared" si="22"/>
        <v>48</v>
      </c>
      <c r="I844" s="58"/>
      <c r="J844" s="58"/>
      <c r="K844" s="54"/>
      <c r="L844" s="54"/>
      <c r="M844" s="54"/>
      <c r="N844" s="54"/>
      <c r="O844" s="54"/>
      <c r="P844" s="54"/>
      <c r="Q844" s="1"/>
      <c r="R844" s="1"/>
      <c r="S844" s="1"/>
      <c r="T844" s="1"/>
      <c r="U844" s="1"/>
      <c r="V844" s="1"/>
    </row>
    <row r="845" ht="15.75" hidden="1" customHeight="1">
      <c r="A845" s="53"/>
      <c r="B845" s="54"/>
      <c r="C845" s="197" t="s">
        <v>401</v>
      </c>
      <c r="D845" s="198" t="s">
        <v>22</v>
      </c>
      <c r="E845" s="54"/>
      <c r="F845" s="56">
        <v>0.0</v>
      </c>
      <c r="G845" s="57">
        <v>25.0</v>
      </c>
      <c r="H845" s="57">
        <f t="shared" si="22"/>
        <v>0</v>
      </c>
      <c r="I845" s="58"/>
      <c r="J845" s="58"/>
      <c r="K845" s="54"/>
      <c r="L845" s="54"/>
      <c r="M845" s="54"/>
      <c r="N845" s="54"/>
      <c r="O845" s="54"/>
      <c r="P845" s="54"/>
      <c r="Q845" s="1"/>
      <c r="R845" s="1"/>
      <c r="S845" s="1"/>
      <c r="T845" s="1"/>
      <c r="U845" s="1"/>
      <c r="V845" s="1"/>
    </row>
    <row r="846" ht="15.75" customHeight="1">
      <c r="A846" s="53"/>
      <c r="B846" s="258" t="s">
        <v>18</v>
      </c>
      <c r="C846" s="197" t="s">
        <v>405</v>
      </c>
      <c r="D846" s="198" t="s">
        <v>22</v>
      </c>
      <c r="E846" s="54"/>
      <c r="F846" s="158">
        <v>4.0</v>
      </c>
      <c r="G846" s="57">
        <v>25.0</v>
      </c>
      <c r="H846" s="57">
        <f t="shared" si="22"/>
        <v>100</v>
      </c>
      <c r="I846" s="58"/>
      <c r="J846" s="58"/>
      <c r="K846" s="54"/>
      <c r="L846" s="54"/>
      <c r="M846" s="54"/>
      <c r="N846" s="54"/>
      <c r="O846" s="54"/>
      <c r="P846" s="54"/>
      <c r="Q846" s="1"/>
      <c r="R846" s="1"/>
      <c r="S846" s="1"/>
      <c r="T846" s="1"/>
      <c r="U846" s="1"/>
      <c r="V846" s="1"/>
    </row>
    <row r="847" ht="15.75" customHeight="1">
      <c r="A847" s="53"/>
      <c r="B847" s="54" t="s">
        <v>18</v>
      </c>
      <c r="C847" s="197" t="s">
        <v>258</v>
      </c>
      <c r="D847" s="198" t="s">
        <v>22</v>
      </c>
      <c r="E847" s="201" t="s">
        <v>973</v>
      </c>
      <c r="F847" s="56">
        <v>1.0</v>
      </c>
      <c r="G847" s="159">
        <v>30.0</v>
      </c>
      <c r="H847" s="57">
        <f t="shared" si="22"/>
        <v>30</v>
      </c>
      <c r="I847" s="58"/>
      <c r="J847" s="58"/>
      <c r="K847" s="54"/>
      <c r="L847" s="54"/>
      <c r="M847" s="54"/>
      <c r="N847" s="54"/>
      <c r="O847" s="54"/>
      <c r="P847" s="54"/>
      <c r="Q847" s="1"/>
      <c r="R847" s="1"/>
      <c r="S847" s="1"/>
      <c r="T847" s="1"/>
      <c r="U847" s="1"/>
      <c r="V847" s="1"/>
    </row>
    <row r="848" ht="15.75" customHeight="1">
      <c r="A848" s="53"/>
      <c r="B848" s="54" t="s">
        <v>239</v>
      </c>
      <c r="C848" s="203" t="s">
        <v>406</v>
      </c>
      <c r="D848" s="55" t="s">
        <v>20</v>
      </c>
      <c r="E848" s="54"/>
      <c r="F848" s="56">
        <v>1.0</v>
      </c>
      <c r="G848" s="159">
        <v>300.0</v>
      </c>
      <c r="H848" s="57">
        <f t="shared" si="22"/>
        <v>300</v>
      </c>
      <c r="I848" s="58"/>
      <c r="J848" s="58"/>
      <c r="K848" s="54"/>
      <c r="L848" s="54"/>
      <c r="M848" s="54"/>
      <c r="N848" s="54"/>
      <c r="O848" s="54"/>
      <c r="P848" s="54"/>
      <c r="Q848" s="1"/>
      <c r="R848" s="1"/>
      <c r="S848" s="1"/>
      <c r="T848" s="1"/>
      <c r="U848" s="1"/>
      <c r="V848" s="1"/>
    </row>
    <row r="849" ht="15.75" hidden="1" customHeight="1">
      <c r="A849" s="53"/>
      <c r="B849" s="54"/>
      <c r="C849" s="169" t="s">
        <v>323</v>
      </c>
      <c r="D849" s="216" t="s">
        <v>24</v>
      </c>
      <c r="E849" s="54"/>
      <c r="F849" s="56">
        <v>0.0</v>
      </c>
      <c r="G849" s="57">
        <v>80.0</v>
      </c>
      <c r="H849" s="57">
        <f t="shared" si="22"/>
        <v>0</v>
      </c>
      <c r="I849" s="58"/>
      <c r="J849" s="58"/>
      <c r="K849" s="54"/>
      <c r="L849" s="54"/>
      <c r="M849" s="54"/>
      <c r="N849" s="54"/>
      <c r="O849" s="54"/>
      <c r="P849" s="54"/>
      <c r="Q849" s="1"/>
      <c r="R849" s="1"/>
      <c r="S849" s="1"/>
      <c r="T849" s="1"/>
      <c r="U849" s="1"/>
      <c r="V849" s="1"/>
    </row>
    <row r="850" ht="15.75" hidden="1" customHeight="1">
      <c r="A850" s="53"/>
      <c r="B850" s="54"/>
      <c r="C850" s="197" t="s">
        <v>324</v>
      </c>
      <c r="D850" s="55" t="s">
        <v>20</v>
      </c>
      <c r="E850" s="54"/>
      <c r="F850" s="56">
        <v>0.0</v>
      </c>
      <c r="G850" s="57">
        <v>35.0</v>
      </c>
      <c r="H850" s="57">
        <f t="shared" si="22"/>
        <v>0</v>
      </c>
      <c r="I850" s="58"/>
      <c r="J850" s="58"/>
      <c r="K850" s="54"/>
      <c r="L850" s="54"/>
      <c r="M850" s="202"/>
      <c r="N850" s="54"/>
      <c r="O850" s="202"/>
      <c r="P850" s="202"/>
      <c r="Q850" s="1"/>
      <c r="R850" s="1"/>
      <c r="S850" s="1"/>
      <c r="T850" s="1"/>
      <c r="U850" s="1"/>
      <c r="V850" s="1"/>
    </row>
    <row r="851" ht="15.75" hidden="1" customHeight="1">
      <c r="A851" s="53"/>
      <c r="B851" s="54"/>
      <c r="C851" s="197" t="s">
        <v>469</v>
      </c>
      <c r="D851" s="216" t="s">
        <v>24</v>
      </c>
      <c r="E851" s="54"/>
      <c r="F851" s="56">
        <v>0.0</v>
      </c>
      <c r="G851" s="57">
        <v>290.0</v>
      </c>
      <c r="H851" s="57">
        <f t="shared" si="22"/>
        <v>0</v>
      </c>
      <c r="I851" s="58"/>
      <c r="J851" s="58"/>
      <c r="K851" s="54"/>
      <c r="L851" s="252"/>
      <c r="M851" s="252"/>
      <c r="N851" s="252"/>
      <c r="O851" s="252"/>
      <c r="P851" s="252"/>
      <c r="Q851" s="1"/>
      <c r="R851" s="1"/>
      <c r="S851" s="1"/>
      <c r="T851" s="1"/>
      <c r="U851" s="1"/>
      <c r="V851" s="1"/>
    </row>
    <row r="852" ht="15.75" hidden="1" customHeight="1">
      <c r="A852" s="53"/>
      <c r="B852" s="54"/>
      <c r="C852" s="197" t="s">
        <v>470</v>
      </c>
      <c r="D852" s="55" t="s">
        <v>20</v>
      </c>
      <c r="E852" s="54"/>
      <c r="F852" s="56">
        <v>0.0</v>
      </c>
      <c r="G852" s="57">
        <v>150.0</v>
      </c>
      <c r="H852" s="57">
        <f t="shared" si="22"/>
        <v>0</v>
      </c>
      <c r="I852" s="58"/>
      <c r="J852" s="58"/>
      <c r="K852" s="54"/>
      <c r="L852" s="54"/>
      <c r="M852" s="202"/>
      <c r="N852" s="54"/>
      <c r="O852" s="202"/>
      <c r="P852" s="202"/>
      <c r="Q852" s="1"/>
      <c r="R852" s="1"/>
      <c r="S852" s="1"/>
      <c r="T852" s="1"/>
      <c r="U852" s="1"/>
      <c r="V852" s="1"/>
    </row>
    <row r="853" ht="15.75" hidden="1" customHeight="1">
      <c r="A853" s="53"/>
      <c r="B853" s="54"/>
      <c r="C853" s="197" t="s">
        <v>471</v>
      </c>
      <c r="D853" s="216" t="s">
        <v>24</v>
      </c>
      <c r="E853" s="54"/>
      <c r="F853" s="56">
        <v>0.0</v>
      </c>
      <c r="G853" s="57">
        <v>250.0</v>
      </c>
      <c r="H853" s="57">
        <f t="shared" si="22"/>
        <v>0</v>
      </c>
      <c r="I853" s="58"/>
      <c r="J853" s="58"/>
      <c r="K853" s="54"/>
      <c r="L853" s="54"/>
      <c r="M853" s="202"/>
      <c r="N853" s="54"/>
      <c r="O853" s="202"/>
      <c r="P853" s="202"/>
      <c r="Q853" s="1"/>
      <c r="R853" s="1"/>
      <c r="S853" s="1"/>
      <c r="T853" s="1"/>
      <c r="U853" s="1"/>
      <c r="V853" s="1"/>
    </row>
    <row r="854" ht="15.75" hidden="1" customHeight="1">
      <c r="A854" s="53"/>
      <c r="B854" s="54"/>
      <c r="C854" s="274" t="s">
        <v>472</v>
      </c>
      <c r="D854" s="55" t="s">
        <v>20</v>
      </c>
      <c r="E854" s="54"/>
      <c r="F854" s="56">
        <v>0.0</v>
      </c>
      <c r="G854" s="57">
        <v>150.0</v>
      </c>
      <c r="H854" s="57">
        <f t="shared" si="22"/>
        <v>0</v>
      </c>
      <c r="I854" s="58"/>
      <c r="J854" s="58"/>
      <c r="K854" s="54"/>
      <c r="L854" s="54"/>
      <c r="M854" s="202"/>
      <c r="N854" s="54"/>
      <c r="O854" s="202"/>
      <c r="P854" s="202"/>
      <c r="Q854" s="1"/>
      <c r="R854" s="1"/>
      <c r="S854" s="1"/>
      <c r="T854" s="1"/>
      <c r="U854" s="1"/>
      <c r="V854" s="1"/>
    </row>
    <row r="855" ht="15.75" hidden="1" customHeight="1">
      <c r="A855" s="53"/>
      <c r="B855" s="54" t="s">
        <v>18</v>
      </c>
      <c r="C855" s="197" t="s">
        <v>309</v>
      </c>
      <c r="D855" s="55" t="s">
        <v>20</v>
      </c>
      <c r="E855" s="208" t="s">
        <v>473</v>
      </c>
      <c r="F855" s="56">
        <v>0.0</v>
      </c>
      <c r="G855" s="57">
        <v>20.0</v>
      </c>
      <c r="H855" s="57">
        <f t="shared" si="22"/>
        <v>0</v>
      </c>
      <c r="I855" s="58"/>
      <c r="J855" s="58"/>
      <c r="K855" s="54"/>
      <c r="L855" s="54"/>
      <c r="M855" s="202"/>
      <c r="N855" s="54"/>
      <c r="O855" s="202"/>
      <c r="P855" s="202"/>
      <c r="Q855" s="1"/>
      <c r="R855" s="1"/>
      <c r="S855" s="1"/>
      <c r="T855" s="1"/>
      <c r="U855" s="1"/>
      <c r="V855" s="1"/>
    </row>
    <row r="856" ht="15.75" hidden="1" customHeight="1">
      <c r="A856" s="53"/>
      <c r="B856" s="54" t="s">
        <v>18</v>
      </c>
      <c r="C856" s="197" t="s">
        <v>474</v>
      </c>
      <c r="D856" s="55" t="s">
        <v>20</v>
      </c>
      <c r="E856" s="208" t="s">
        <v>475</v>
      </c>
      <c r="F856" s="56">
        <v>0.0</v>
      </c>
      <c r="G856" s="57">
        <v>24.0</v>
      </c>
      <c r="H856" s="57">
        <f t="shared" si="22"/>
        <v>0</v>
      </c>
      <c r="I856" s="58"/>
      <c r="J856" s="58"/>
      <c r="K856" s="54"/>
      <c r="L856" s="54"/>
      <c r="M856" s="202"/>
      <c r="N856" s="54"/>
      <c r="O856" s="202"/>
      <c r="P856" s="202"/>
      <c r="Q856" s="1"/>
      <c r="R856" s="1"/>
      <c r="S856" s="1"/>
      <c r="T856" s="1"/>
      <c r="U856" s="1"/>
      <c r="V856" s="1"/>
    </row>
    <row r="857" ht="15.75" hidden="1" customHeight="1">
      <c r="A857" s="53"/>
      <c r="B857" s="54"/>
      <c r="C857" s="197" t="s">
        <v>258</v>
      </c>
      <c r="D857" s="198" t="s">
        <v>22</v>
      </c>
      <c r="E857" s="54"/>
      <c r="F857" s="56">
        <v>0.0</v>
      </c>
      <c r="G857" s="57">
        <v>150.0</v>
      </c>
      <c r="H857" s="57">
        <f t="shared" si="22"/>
        <v>0</v>
      </c>
      <c r="I857" s="58"/>
      <c r="J857" s="58"/>
      <c r="K857" s="54"/>
      <c r="L857" s="54"/>
      <c r="M857" s="54"/>
      <c r="N857" s="54"/>
      <c r="O857" s="202"/>
      <c r="P857" s="202"/>
      <c r="Q857" s="1"/>
      <c r="R857" s="1"/>
      <c r="S857" s="1"/>
      <c r="T857" s="1"/>
      <c r="U857" s="1"/>
      <c r="V857" s="1"/>
    </row>
    <row r="858" ht="15.75" hidden="1" customHeight="1">
      <c r="A858" s="53"/>
      <c r="B858" s="54" t="s">
        <v>18</v>
      </c>
      <c r="C858" s="197" t="s">
        <v>476</v>
      </c>
      <c r="D858" s="198" t="s">
        <v>22</v>
      </c>
      <c r="E858" s="208" t="s">
        <v>477</v>
      </c>
      <c r="F858" s="56">
        <v>0.0</v>
      </c>
      <c r="G858" s="57">
        <v>15.0</v>
      </c>
      <c r="H858" s="57">
        <f t="shared" si="22"/>
        <v>0</v>
      </c>
      <c r="I858" s="58"/>
      <c r="J858" s="58"/>
      <c r="K858" s="54"/>
      <c r="L858" s="54"/>
      <c r="M858" s="54"/>
      <c r="N858" s="54"/>
      <c r="O858" s="54"/>
      <c r="P858" s="54"/>
      <c r="Q858" s="1"/>
      <c r="R858" s="1"/>
      <c r="S858" s="1"/>
      <c r="T858" s="1"/>
      <c r="U858" s="1"/>
      <c r="V858" s="1"/>
    </row>
    <row r="859" ht="15.75" hidden="1" customHeight="1">
      <c r="A859" s="53"/>
      <c r="B859" s="54"/>
      <c r="C859" s="197" t="s">
        <v>478</v>
      </c>
      <c r="D859" s="55" t="s">
        <v>20</v>
      </c>
      <c r="E859" s="54"/>
      <c r="F859" s="56">
        <v>0.0</v>
      </c>
      <c r="G859" s="57">
        <v>500.0</v>
      </c>
      <c r="H859" s="57">
        <f t="shared" si="22"/>
        <v>0</v>
      </c>
      <c r="I859" s="58"/>
      <c r="J859" s="58"/>
      <c r="K859" s="54"/>
      <c r="L859" s="54"/>
      <c r="M859" s="54"/>
      <c r="N859" s="54"/>
      <c r="O859" s="54"/>
      <c r="P859" s="54"/>
      <c r="Q859" s="1"/>
      <c r="R859" s="1"/>
      <c r="S859" s="1"/>
      <c r="T859" s="1"/>
      <c r="U859" s="1"/>
      <c r="V859" s="1"/>
    </row>
    <row r="860" ht="15.75" hidden="1" customHeight="1">
      <c r="A860" s="53"/>
      <c r="B860" s="54"/>
      <c r="C860" s="54" t="s">
        <v>479</v>
      </c>
      <c r="D860" s="216" t="s">
        <v>24</v>
      </c>
      <c r="E860" s="54"/>
      <c r="F860" s="56">
        <v>0.0</v>
      </c>
      <c r="G860" s="57">
        <v>210.0</v>
      </c>
      <c r="H860" s="57">
        <f t="shared" si="22"/>
        <v>0</v>
      </c>
      <c r="I860" s="58"/>
      <c r="J860" s="58"/>
      <c r="K860" s="54"/>
      <c r="L860" s="252"/>
      <c r="M860" s="252"/>
      <c r="N860" s="252"/>
      <c r="O860" s="252"/>
      <c r="P860" s="252"/>
      <c r="Q860" s="1"/>
      <c r="R860" s="1"/>
      <c r="S860" s="1"/>
      <c r="T860" s="1"/>
      <c r="U860" s="1"/>
      <c r="V860" s="1"/>
    </row>
    <row r="861" ht="15.75" hidden="1" customHeight="1">
      <c r="A861" s="53"/>
      <c r="B861" s="54"/>
      <c r="C861" s="197" t="s">
        <v>480</v>
      </c>
      <c r="D861" s="55" t="s">
        <v>20</v>
      </c>
      <c r="E861" s="54"/>
      <c r="F861" s="56">
        <v>0.0</v>
      </c>
      <c r="G861" s="57">
        <v>155.0</v>
      </c>
      <c r="H861" s="57">
        <f t="shared" si="22"/>
        <v>0</v>
      </c>
      <c r="I861" s="58"/>
      <c r="J861" s="58"/>
      <c r="K861" s="54"/>
      <c r="L861" s="54"/>
      <c r="M861" s="54"/>
      <c r="N861" s="54"/>
      <c r="O861" s="54"/>
      <c r="P861" s="54"/>
      <c r="Q861" s="1"/>
      <c r="R861" s="1"/>
      <c r="S861" s="1"/>
      <c r="T861" s="1"/>
      <c r="U861" s="1"/>
      <c r="V861" s="1"/>
    </row>
    <row r="862" ht="15.75" hidden="1" customHeight="1">
      <c r="A862" s="53"/>
      <c r="B862" s="54"/>
      <c r="C862" s="197" t="s">
        <v>481</v>
      </c>
      <c r="D862" s="216" t="s">
        <v>24</v>
      </c>
      <c r="E862" s="54"/>
      <c r="F862" s="56">
        <v>0.0</v>
      </c>
      <c r="G862" s="57">
        <v>70.0</v>
      </c>
      <c r="H862" s="57">
        <f t="shared" si="22"/>
        <v>0</v>
      </c>
      <c r="I862" s="58"/>
      <c r="J862" s="58"/>
      <c r="K862" s="54"/>
      <c r="L862" s="54"/>
      <c r="M862" s="202"/>
      <c r="N862" s="54"/>
      <c r="O862" s="202"/>
      <c r="P862" s="202"/>
      <c r="Q862" s="1"/>
      <c r="R862" s="1"/>
      <c r="S862" s="1"/>
      <c r="T862" s="1"/>
      <c r="U862" s="1"/>
      <c r="V862" s="1"/>
    </row>
    <row r="863" ht="15.75" hidden="1" customHeight="1">
      <c r="A863" s="53"/>
      <c r="B863" s="54"/>
      <c r="C863" s="197" t="s">
        <v>482</v>
      </c>
      <c r="D863" s="55" t="s">
        <v>20</v>
      </c>
      <c r="E863" s="54"/>
      <c r="F863" s="56">
        <v>0.0</v>
      </c>
      <c r="G863" s="57">
        <v>400.0</v>
      </c>
      <c r="H863" s="57">
        <f t="shared" si="22"/>
        <v>0</v>
      </c>
      <c r="I863" s="58"/>
      <c r="J863" s="58"/>
      <c r="K863" s="54"/>
      <c r="L863" s="54"/>
      <c r="M863" s="202"/>
      <c r="N863" s="54"/>
      <c r="O863" s="202"/>
      <c r="P863" s="202"/>
      <c r="Q863" s="1"/>
      <c r="R863" s="1"/>
      <c r="S863" s="1"/>
      <c r="T863" s="1"/>
      <c r="U863" s="1"/>
      <c r="V863" s="1"/>
    </row>
    <row r="864" ht="15.75" hidden="1" customHeight="1">
      <c r="A864" s="53"/>
      <c r="B864" s="54"/>
      <c r="C864" s="197" t="s">
        <v>483</v>
      </c>
      <c r="D864" s="55" t="s">
        <v>20</v>
      </c>
      <c r="E864" s="54"/>
      <c r="F864" s="56">
        <v>0.0</v>
      </c>
      <c r="G864" s="57">
        <v>440.0</v>
      </c>
      <c r="H864" s="57">
        <f t="shared" si="22"/>
        <v>0</v>
      </c>
      <c r="I864" s="58"/>
      <c r="J864" s="58"/>
      <c r="K864" s="54"/>
      <c r="L864" s="54"/>
      <c r="M864" s="202"/>
      <c r="N864" s="54"/>
      <c r="O864" s="202"/>
      <c r="P864" s="202"/>
      <c r="Q864" s="1"/>
      <c r="R864" s="1"/>
      <c r="S864" s="1"/>
      <c r="T864" s="1"/>
      <c r="U864" s="1"/>
      <c r="V864" s="1"/>
    </row>
    <row r="865" ht="15.75" hidden="1" customHeight="1">
      <c r="A865" s="53"/>
      <c r="B865" s="54"/>
      <c r="C865" s="197" t="s">
        <v>484</v>
      </c>
      <c r="D865" s="216" t="s">
        <v>24</v>
      </c>
      <c r="E865" s="54"/>
      <c r="F865" s="56">
        <v>0.0</v>
      </c>
      <c r="G865" s="57">
        <v>90.0</v>
      </c>
      <c r="H865" s="57">
        <f t="shared" si="22"/>
        <v>0</v>
      </c>
      <c r="I865" s="58"/>
      <c r="J865" s="58"/>
      <c r="K865" s="54"/>
      <c r="L865" s="252"/>
      <c r="M865" s="275"/>
      <c r="N865" s="252"/>
      <c r="O865" s="275"/>
      <c r="P865" s="275"/>
      <c r="Q865" s="1"/>
      <c r="R865" s="1"/>
      <c r="S865" s="1"/>
      <c r="T865" s="1"/>
      <c r="U865" s="1"/>
      <c r="V865" s="1"/>
    </row>
    <row r="866" ht="15.75" hidden="1" customHeight="1">
      <c r="A866" s="53"/>
      <c r="B866" s="54"/>
      <c r="C866" s="197" t="s">
        <v>485</v>
      </c>
      <c r="D866" s="55" t="s">
        <v>20</v>
      </c>
      <c r="E866" s="54"/>
      <c r="F866" s="56">
        <v>0.0</v>
      </c>
      <c r="G866" s="57">
        <v>100.0</v>
      </c>
      <c r="H866" s="57">
        <f t="shared" si="22"/>
        <v>0</v>
      </c>
      <c r="I866" s="58"/>
      <c r="J866" s="58"/>
      <c r="K866" s="54"/>
      <c r="L866" s="252"/>
      <c r="M866" s="275"/>
      <c r="N866" s="252"/>
      <c r="O866" s="275"/>
      <c r="P866" s="275"/>
      <c r="Q866" s="1"/>
      <c r="R866" s="1"/>
      <c r="S866" s="1"/>
      <c r="T866" s="1"/>
      <c r="U866" s="1"/>
      <c r="V866" s="1"/>
    </row>
    <row r="867" ht="15.75" hidden="1" customHeight="1">
      <c r="A867" s="53"/>
      <c r="B867" s="54"/>
      <c r="C867" s="54" t="s">
        <v>486</v>
      </c>
      <c r="D867" s="55" t="s">
        <v>20</v>
      </c>
      <c r="E867" s="54"/>
      <c r="F867" s="56">
        <v>0.0</v>
      </c>
      <c r="G867" s="57">
        <v>30.0</v>
      </c>
      <c r="H867" s="57">
        <f t="shared" si="22"/>
        <v>0</v>
      </c>
      <c r="I867" s="58"/>
      <c r="J867" s="58"/>
      <c r="K867" s="54"/>
      <c r="L867" s="252"/>
      <c r="M867" s="275"/>
      <c r="N867" s="252"/>
      <c r="O867" s="275"/>
      <c r="P867" s="275"/>
      <c r="Q867" s="1"/>
      <c r="R867" s="1"/>
      <c r="S867" s="1"/>
      <c r="T867" s="1"/>
      <c r="U867" s="1"/>
      <c r="V867" s="1"/>
    </row>
    <row r="868" ht="15.75" hidden="1" customHeight="1">
      <c r="A868" s="53"/>
      <c r="B868" s="54"/>
      <c r="C868" s="54" t="s">
        <v>487</v>
      </c>
      <c r="D868" s="55" t="s">
        <v>20</v>
      </c>
      <c r="E868" s="54"/>
      <c r="F868" s="56">
        <v>0.0</v>
      </c>
      <c r="G868" s="57">
        <v>30.0</v>
      </c>
      <c r="H868" s="57">
        <f t="shared" si="22"/>
        <v>0</v>
      </c>
      <c r="I868" s="58"/>
      <c r="J868" s="58"/>
      <c r="K868" s="54"/>
      <c r="L868" s="252"/>
      <c r="M868" s="275"/>
      <c r="N868" s="252"/>
      <c r="O868" s="275"/>
      <c r="P868" s="275"/>
      <c r="Q868" s="1"/>
      <c r="R868" s="1"/>
      <c r="S868" s="1"/>
      <c r="T868" s="1"/>
      <c r="U868" s="1"/>
      <c r="V868" s="1"/>
    </row>
    <row r="869" ht="15.75" hidden="1" customHeight="1">
      <c r="A869" s="53"/>
      <c r="B869" s="54"/>
      <c r="C869" s="54" t="s">
        <v>488</v>
      </c>
      <c r="D869" s="55" t="s">
        <v>20</v>
      </c>
      <c r="E869" s="54"/>
      <c r="F869" s="56">
        <v>0.0</v>
      </c>
      <c r="G869" s="57">
        <v>850.0</v>
      </c>
      <c r="H869" s="57">
        <f t="shared" si="22"/>
        <v>0</v>
      </c>
      <c r="I869" s="58"/>
      <c r="J869" s="58"/>
      <c r="K869" s="54"/>
      <c r="L869" s="252"/>
      <c r="M869" s="275"/>
      <c r="N869" s="252"/>
      <c r="O869" s="275"/>
      <c r="P869" s="275"/>
      <c r="Q869" s="1"/>
      <c r="R869" s="1"/>
      <c r="S869" s="1"/>
      <c r="T869" s="1"/>
      <c r="U869" s="1"/>
      <c r="V869" s="1"/>
    </row>
    <row r="870" ht="15.75" hidden="1" customHeight="1">
      <c r="A870" s="53"/>
      <c r="B870" s="54"/>
      <c r="C870" s="54" t="s">
        <v>489</v>
      </c>
      <c r="D870" s="216" t="s">
        <v>24</v>
      </c>
      <c r="E870" s="54"/>
      <c r="F870" s="56">
        <v>0.0</v>
      </c>
      <c r="G870" s="57">
        <v>460.0</v>
      </c>
      <c r="H870" s="57">
        <f t="shared" si="22"/>
        <v>0</v>
      </c>
      <c r="I870" s="58"/>
      <c r="J870" s="58"/>
      <c r="K870" s="54"/>
      <c r="L870" s="252"/>
      <c r="M870" s="275"/>
      <c r="N870" s="252"/>
      <c r="O870" s="275"/>
      <c r="P870" s="275"/>
      <c r="Q870" s="1"/>
      <c r="R870" s="1"/>
      <c r="S870" s="1"/>
      <c r="T870" s="1"/>
      <c r="U870" s="1"/>
      <c r="V870" s="1"/>
    </row>
    <row r="871" ht="15.75" hidden="1" customHeight="1">
      <c r="A871" s="53"/>
      <c r="B871" s="54"/>
      <c r="C871" s="197" t="s">
        <v>490</v>
      </c>
      <c r="D871" s="198" t="s">
        <v>22</v>
      </c>
      <c r="E871" s="54"/>
      <c r="F871" s="56">
        <v>0.0</v>
      </c>
      <c r="G871" s="57">
        <v>0.0</v>
      </c>
      <c r="H871" s="57">
        <f t="shared" si="22"/>
        <v>0</v>
      </c>
      <c r="I871" s="58"/>
      <c r="J871" s="58"/>
      <c r="K871" s="54"/>
      <c r="L871" s="54"/>
      <c r="M871" s="202"/>
      <c r="N871" s="54"/>
      <c r="O871" s="202"/>
      <c r="P871" s="202"/>
      <c r="Q871" s="1"/>
      <c r="R871" s="1"/>
      <c r="S871" s="1"/>
      <c r="T871" s="1"/>
      <c r="U871" s="1"/>
      <c r="V871" s="1"/>
    </row>
    <row r="872" ht="15.75" customHeight="1">
      <c r="A872" s="53"/>
      <c r="B872" s="54" t="s">
        <v>18</v>
      </c>
      <c r="C872" s="197" t="s">
        <v>407</v>
      </c>
      <c r="D872" s="198" t="s">
        <v>22</v>
      </c>
      <c r="E872" s="33" t="s">
        <v>458</v>
      </c>
      <c r="F872" s="16">
        <v>2.0</v>
      </c>
      <c r="G872" s="226">
        <v>153.6</v>
      </c>
      <c r="H872" s="17">
        <f t="shared" si="22"/>
        <v>307.2</v>
      </c>
      <c r="I872" s="58"/>
      <c r="J872" s="58"/>
      <c r="K872" s="54"/>
      <c r="L872" s="54"/>
      <c r="M872" s="202"/>
      <c r="N872" s="54"/>
      <c r="O872" s="202"/>
      <c r="P872" s="202"/>
      <c r="Q872" s="1"/>
      <c r="R872" s="1"/>
      <c r="S872" s="1"/>
      <c r="T872" s="1"/>
      <c r="U872" s="1"/>
      <c r="V872" s="1"/>
    </row>
    <row r="873" ht="15.75" hidden="1" customHeight="1">
      <c r="A873" s="53"/>
      <c r="B873" s="43" t="s">
        <v>350</v>
      </c>
      <c r="C873" s="197" t="s">
        <v>493</v>
      </c>
      <c r="D873" s="198" t="s">
        <v>22</v>
      </c>
      <c r="E873" s="154" t="s">
        <v>494</v>
      </c>
      <c r="F873" s="16">
        <v>0.0</v>
      </c>
      <c r="G873" s="227">
        <v>86.0</v>
      </c>
      <c r="H873" s="17">
        <f t="shared" si="22"/>
        <v>0</v>
      </c>
      <c r="I873" s="58"/>
      <c r="J873" s="58"/>
      <c r="K873" s="54"/>
      <c r="L873" s="54"/>
      <c r="M873" s="202"/>
      <c r="N873" s="54"/>
      <c r="O873" s="202"/>
      <c r="P873" s="202"/>
      <c r="Q873" s="1"/>
      <c r="R873" s="1"/>
      <c r="S873" s="1"/>
      <c r="T873" s="1"/>
      <c r="U873" s="1"/>
      <c r="V873" s="1"/>
    </row>
    <row r="874" ht="15.75" hidden="1" customHeight="1">
      <c r="A874" s="53"/>
      <c r="B874" s="54"/>
      <c r="C874" s="197" t="s">
        <v>495</v>
      </c>
      <c r="D874" s="198" t="s">
        <v>22</v>
      </c>
      <c r="E874" s="15"/>
      <c r="F874" s="16">
        <v>0.0</v>
      </c>
      <c r="G874" s="249">
        <v>70.0</v>
      </c>
      <c r="H874" s="17">
        <f t="shared" si="22"/>
        <v>0</v>
      </c>
      <c r="I874" s="58"/>
      <c r="J874" s="58"/>
      <c r="K874" s="54"/>
      <c r="L874" s="54"/>
      <c r="M874" s="202"/>
      <c r="N874" s="54"/>
      <c r="O874" s="202"/>
      <c r="P874" s="202"/>
      <c r="Q874" s="1"/>
      <c r="R874" s="1"/>
      <c r="S874" s="1"/>
      <c r="T874" s="1"/>
      <c r="U874" s="1"/>
      <c r="V874" s="1"/>
    </row>
    <row r="875" ht="15.75" customHeight="1">
      <c r="A875" s="53"/>
      <c r="B875" s="54" t="s">
        <v>18</v>
      </c>
      <c r="C875" s="197" t="s">
        <v>409</v>
      </c>
      <c r="D875" s="198" t="s">
        <v>22</v>
      </c>
      <c r="E875" s="33" t="s">
        <v>430</v>
      </c>
      <c r="F875" s="16">
        <v>2.0</v>
      </c>
      <c r="G875" s="227">
        <v>20.0</v>
      </c>
      <c r="H875" s="17">
        <f t="shared" si="22"/>
        <v>40</v>
      </c>
      <c r="I875" s="58"/>
      <c r="J875" s="58"/>
      <c r="K875" s="54"/>
      <c r="L875" s="271"/>
      <c r="M875" s="276"/>
      <c r="N875" s="271"/>
      <c r="O875" s="276"/>
      <c r="P875" s="271"/>
      <c r="Q875" s="1"/>
      <c r="R875" s="1"/>
      <c r="S875" s="1"/>
      <c r="T875" s="1"/>
      <c r="U875" s="1"/>
      <c r="V875" s="1"/>
    </row>
    <row r="876" ht="15.75" hidden="1" customHeight="1">
      <c r="A876" s="53"/>
      <c r="B876" s="54"/>
      <c r="C876" s="197" t="s">
        <v>407</v>
      </c>
      <c r="D876" s="198" t="s">
        <v>22</v>
      </c>
      <c r="E876" s="54" t="s">
        <v>615</v>
      </c>
      <c r="F876" s="56">
        <v>0.0</v>
      </c>
      <c r="G876" s="248">
        <v>135.4</v>
      </c>
      <c r="H876" s="57">
        <f t="shared" si="22"/>
        <v>0</v>
      </c>
      <c r="I876" s="58"/>
      <c r="J876" s="58"/>
      <c r="K876" s="54"/>
      <c r="L876" s="271"/>
      <c r="M876" s="276"/>
      <c r="N876" s="271"/>
      <c r="O876" s="276"/>
      <c r="P876" s="271"/>
      <c r="Q876" s="1"/>
      <c r="R876" s="1"/>
      <c r="S876" s="1"/>
      <c r="T876" s="1"/>
      <c r="U876" s="1"/>
      <c r="V876" s="1"/>
    </row>
    <row r="877" ht="15.75" hidden="1" customHeight="1">
      <c r="A877" s="53"/>
      <c r="B877" s="231" t="s">
        <v>350</v>
      </c>
      <c r="C877" s="197" t="s">
        <v>427</v>
      </c>
      <c r="D877" s="198" t="s">
        <v>22</v>
      </c>
      <c r="E877" s="231" t="s">
        <v>428</v>
      </c>
      <c r="F877" s="56">
        <v>0.0</v>
      </c>
      <c r="G877" s="235">
        <v>107.5</v>
      </c>
      <c r="H877" s="57">
        <f t="shared" si="22"/>
        <v>0</v>
      </c>
      <c r="I877" s="58"/>
      <c r="J877" s="58"/>
      <c r="K877" s="54"/>
      <c r="L877" s="271"/>
      <c r="M877" s="276"/>
      <c r="N877" s="271"/>
      <c r="O877" s="276"/>
      <c r="P877" s="271"/>
      <c r="Q877" s="1"/>
      <c r="R877" s="1"/>
      <c r="S877" s="1"/>
      <c r="T877" s="1"/>
      <c r="U877" s="1"/>
      <c r="V877" s="1"/>
    </row>
    <row r="878" ht="15.75" hidden="1" customHeight="1">
      <c r="A878" s="53"/>
      <c r="B878" s="258" t="s">
        <v>350</v>
      </c>
      <c r="C878" s="197" t="s">
        <v>429</v>
      </c>
      <c r="D878" s="198" t="s">
        <v>22</v>
      </c>
      <c r="E878" s="54"/>
      <c r="F878" s="56">
        <v>0.0</v>
      </c>
      <c r="G878" s="277">
        <v>97.0</v>
      </c>
      <c r="H878" s="57">
        <f t="shared" si="22"/>
        <v>0</v>
      </c>
      <c r="I878" s="58"/>
      <c r="J878" s="58"/>
      <c r="K878" s="54"/>
      <c r="L878" s="271"/>
      <c r="M878" s="276"/>
      <c r="N878" s="271"/>
      <c r="O878" s="276"/>
      <c r="P878" s="271"/>
      <c r="Q878" s="1"/>
      <c r="R878" s="1"/>
      <c r="S878" s="1"/>
      <c r="T878" s="1"/>
      <c r="U878" s="1"/>
      <c r="V878" s="1"/>
    </row>
    <row r="879" ht="15.75" hidden="1" customHeight="1">
      <c r="A879" s="53"/>
      <c r="B879" s="54" t="s">
        <v>18</v>
      </c>
      <c r="C879" s="197" t="s">
        <v>409</v>
      </c>
      <c r="D879" s="198" t="s">
        <v>22</v>
      </c>
      <c r="E879" s="54" t="s">
        <v>616</v>
      </c>
      <c r="F879" s="56">
        <v>0.0</v>
      </c>
      <c r="G879" s="57">
        <v>19.99</v>
      </c>
      <c r="H879" s="57">
        <f t="shared" si="22"/>
        <v>0</v>
      </c>
      <c r="I879" s="58"/>
      <c r="J879" s="58"/>
      <c r="K879" s="54"/>
      <c r="L879" s="271"/>
      <c r="M879" s="276"/>
      <c r="N879" s="271"/>
      <c r="O879" s="276"/>
      <c r="P879" s="271"/>
      <c r="Q879" s="1"/>
      <c r="R879" s="1"/>
      <c r="S879" s="1"/>
      <c r="T879" s="1"/>
      <c r="U879" s="1"/>
      <c r="V879" s="1"/>
    </row>
    <row r="880" ht="15.75" hidden="1" customHeight="1">
      <c r="A880" s="53"/>
      <c r="B880" s="54" t="s">
        <v>18</v>
      </c>
      <c r="C880" s="197" t="s">
        <v>500</v>
      </c>
      <c r="D880" s="55" t="s">
        <v>20</v>
      </c>
      <c r="E880" s="54"/>
      <c r="F880" s="56">
        <v>0.0</v>
      </c>
      <c r="G880" s="57">
        <v>5.0</v>
      </c>
      <c r="H880" s="57">
        <f t="shared" si="22"/>
        <v>0</v>
      </c>
      <c r="I880" s="58"/>
      <c r="J880" s="58"/>
      <c r="K880" s="58"/>
      <c r="L880" s="54"/>
      <c r="M880" s="202"/>
      <c r="N880" s="54"/>
      <c r="O880" s="202"/>
      <c r="P880" s="202"/>
      <c r="Q880" s="1"/>
      <c r="R880" s="1"/>
      <c r="S880" s="1"/>
      <c r="T880" s="1"/>
      <c r="U880" s="1"/>
      <c r="V880" s="1"/>
    </row>
    <row r="881" ht="15.75" hidden="1" customHeight="1">
      <c r="A881" s="53"/>
      <c r="B881" s="54"/>
      <c r="C881" s="197" t="s">
        <v>501</v>
      </c>
      <c r="D881" s="216" t="s">
        <v>24</v>
      </c>
      <c r="E881" s="54"/>
      <c r="F881" s="56">
        <v>0.0</v>
      </c>
      <c r="G881" s="57">
        <v>210.0</v>
      </c>
      <c r="H881" s="57">
        <f t="shared" si="22"/>
        <v>0</v>
      </c>
      <c r="I881" s="58"/>
      <c r="J881" s="58"/>
      <c r="K881" s="54"/>
      <c r="L881" s="252"/>
      <c r="M881" s="275"/>
      <c r="N881" s="252"/>
      <c r="O881" s="275"/>
      <c r="P881" s="275"/>
      <c r="Q881" s="1"/>
      <c r="R881" s="1"/>
      <c r="S881" s="1"/>
      <c r="T881" s="1"/>
      <c r="U881" s="1"/>
      <c r="V881" s="1"/>
    </row>
    <row r="882" ht="15.75" hidden="1" customHeight="1">
      <c r="A882" s="53"/>
      <c r="B882" s="54" t="s">
        <v>18</v>
      </c>
      <c r="C882" s="197" t="s">
        <v>502</v>
      </c>
      <c r="D882" s="198" t="s">
        <v>22</v>
      </c>
      <c r="E882" s="54"/>
      <c r="F882" s="56">
        <v>0.0</v>
      </c>
      <c r="G882" s="57">
        <v>0.0</v>
      </c>
      <c r="H882" s="57">
        <f t="shared" si="22"/>
        <v>0</v>
      </c>
      <c r="I882" s="58"/>
      <c r="J882" s="58"/>
      <c r="K882" s="54"/>
      <c r="L882" s="54"/>
      <c r="M882" s="202"/>
      <c r="N882" s="54"/>
      <c r="O882" s="202"/>
      <c r="P882" s="202"/>
      <c r="Q882" s="1"/>
      <c r="R882" s="1"/>
      <c r="S882" s="1"/>
      <c r="T882" s="1"/>
      <c r="U882" s="1"/>
      <c r="V882" s="1"/>
    </row>
    <row r="883" ht="15.75" customHeight="1">
      <c r="A883" s="53"/>
      <c r="B883" s="43" t="s">
        <v>88</v>
      </c>
      <c r="C883" s="54" t="s">
        <v>411</v>
      </c>
      <c r="D883" s="55" t="s">
        <v>20</v>
      </c>
      <c r="E883" s="171" t="s">
        <v>412</v>
      </c>
      <c r="F883" s="56">
        <v>1.0</v>
      </c>
      <c r="G883" s="34">
        <v>334.0</v>
      </c>
      <c r="H883" s="57">
        <f t="shared" si="22"/>
        <v>334</v>
      </c>
      <c r="I883" s="58"/>
      <c r="J883" s="58"/>
      <c r="K883" s="54"/>
      <c r="L883" s="54"/>
      <c r="M883" s="202"/>
      <c r="N883" s="54"/>
      <c r="O883" s="54"/>
      <c r="P883" s="54"/>
      <c r="Q883" s="1"/>
      <c r="R883" s="1"/>
      <c r="S883" s="1"/>
      <c r="T883" s="1"/>
      <c r="U883" s="1"/>
      <c r="V883" s="1"/>
    </row>
    <row r="884" ht="15.75" customHeight="1">
      <c r="A884" s="53"/>
      <c r="B884" s="54" t="s">
        <v>18</v>
      </c>
      <c r="C884" s="197" t="s">
        <v>280</v>
      </c>
      <c r="D884" s="55" t="s">
        <v>20</v>
      </c>
      <c r="E884" s="15" t="s">
        <v>569</v>
      </c>
      <c r="F884" s="56">
        <v>1.0</v>
      </c>
      <c r="G884" s="34">
        <v>20.0</v>
      </c>
      <c r="H884" s="57">
        <f t="shared" si="22"/>
        <v>20</v>
      </c>
      <c r="I884" s="58"/>
      <c r="J884" s="58"/>
      <c r="K884" s="54"/>
      <c r="L884" s="271"/>
      <c r="M884" s="271"/>
      <c r="N884" s="271"/>
      <c r="O884" s="271"/>
      <c r="P884" s="271"/>
      <c r="Q884" s="1"/>
      <c r="R884" s="1"/>
      <c r="S884" s="1"/>
      <c r="T884" s="1"/>
      <c r="U884" s="1"/>
      <c r="V884" s="1"/>
    </row>
    <row r="885" ht="15.75" customHeight="1">
      <c r="A885" s="53"/>
      <c r="B885" s="54"/>
      <c r="C885" s="197" t="s">
        <v>414</v>
      </c>
      <c r="D885" s="216" t="s">
        <v>24</v>
      </c>
      <c r="E885" s="54"/>
      <c r="F885" s="56">
        <v>1.0</v>
      </c>
      <c r="G885" s="57">
        <v>80.0</v>
      </c>
      <c r="H885" s="57">
        <f t="shared" si="22"/>
        <v>80</v>
      </c>
      <c r="I885" s="58"/>
      <c r="J885" s="58"/>
      <c r="K885" s="54"/>
      <c r="L885" s="252"/>
      <c r="M885" s="252"/>
      <c r="N885" s="252"/>
      <c r="O885" s="252"/>
      <c r="P885" s="252"/>
      <c r="Q885" s="1"/>
      <c r="R885" s="1"/>
      <c r="S885" s="1"/>
      <c r="T885" s="1"/>
      <c r="U885" s="1"/>
      <c r="V885" s="1"/>
    </row>
    <row r="886" ht="15.75" hidden="1" customHeight="1">
      <c r="A886" s="53"/>
      <c r="B886" s="54" t="s">
        <v>18</v>
      </c>
      <c r="C886" s="197" t="s">
        <v>283</v>
      </c>
      <c r="D886" s="55" t="s">
        <v>20</v>
      </c>
      <c r="E886" s="208" t="s">
        <v>284</v>
      </c>
      <c r="F886" s="56">
        <v>0.0</v>
      </c>
      <c r="G886" s="57">
        <v>12.0</v>
      </c>
      <c r="H886" s="57">
        <f t="shared" si="22"/>
        <v>0</v>
      </c>
      <c r="I886" s="58"/>
      <c r="J886" s="58"/>
      <c r="K886" s="54"/>
      <c r="L886" s="252"/>
      <c r="M886" s="252"/>
      <c r="N886" s="252"/>
      <c r="O886" s="252"/>
      <c r="P886" s="252"/>
      <c r="Q886" s="1"/>
      <c r="R886" s="1"/>
      <c r="S886" s="1"/>
      <c r="T886" s="1"/>
      <c r="U886" s="1"/>
      <c r="V886" s="1"/>
    </row>
    <row r="887" ht="15.75" customHeight="1">
      <c r="A887" s="53"/>
      <c r="B887" s="54" t="s">
        <v>18</v>
      </c>
      <c r="C887" s="197" t="s">
        <v>370</v>
      </c>
      <c r="D887" s="55" t="s">
        <v>20</v>
      </c>
      <c r="E887" s="208">
        <v>8.49069896E8</v>
      </c>
      <c r="F887" s="56">
        <v>1.0</v>
      </c>
      <c r="G887" s="57">
        <v>5.0</v>
      </c>
      <c r="H887" s="57">
        <f t="shared" si="22"/>
        <v>5</v>
      </c>
      <c r="I887" s="58"/>
      <c r="J887" s="58"/>
      <c r="K887" s="54"/>
      <c r="L887" s="252"/>
      <c r="M887" s="252"/>
      <c r="N887" s="252"/>
      <c r="O887" s="252"/>
      <c r="P887" s="252"/>
      <c r="Q887" s="1"/>
      <c r="R887" s="1"/>
      <c r="S887" s="1"/>
      <c r="T887" s="1"/>
      <c r="U887" s="1"/>
      <c r="V887" s="1"/>
    </row>
    <row r="888" ht="15.75" customHeight="1">
      <c r="A888" s="53"/>
      <c r="B888" s="54" t="s">
        <v>18</v>
      </c>
      <c r="C888" s="197" t="s">
        <v>371</v>
      </c>
      <c r="D888" s="55" t="s">
        <v>20</v>
      </c>
      <c r="E888" s="208" t="s">
        <v>286</v>
      </c>
      <c r="F888" s="56">
        <v>2.0</v>
      </c>
      <c r="G888" s="57">
        <v>3.0</v>
      </c>
      <c r="H888" s="57">
        <f t="shared" si="22"/>
        <v>6</v>
      </c>
      <c r="I888" s="58"/>
      <c r="J888" s="58"/>
      <c r="K888" s="13"/>
      <c r="L888" s="252"/>
      <c r="M888" s="252"/>
      <c r="N888" s="252"/>
      <c r="O888" s="252"/>
      <c r="P888" s="252"/>
      <c r="Q888" s="1"/>
      <c r="R888" s="1"/>
      <c r="S888" s="1"/>
      <c r="T888" s="1"/>
      <c r="U888" s="1"/>
      <c r="V888" s="1"/>
    </row>
    <row r="889" ht="15.75" hidden="1" customHeight="1">
      <c r="A889" s="53"/>
      <c r="B889" s="54"/>
      <c r="C889" s="54" t="s">
        <v>221</v>
      </c>
      <c r="D889" s="216" t="s">
        <v>24</v>
      </c>
      <c r="E889" s="54"/>
      <c r="F889" s="56">
        <v>0.0</v>
      </c>
      <c r="G889" s="57">
        <v>50.0</v>
      </c>
      <c r="H889" s="57">
        <f t="shared" si="22"/>
        <v>0</v>
      </c>
      <c r="I889" s="58"/>
      <c r="J889" s="58"/>
      <c r="K889" s="54"/>
      <c r="L889" s="252"/>
      <c r="M889" s="252"/>
      <c r="N889" s="252"/>
      <c r="O889" s="252"/>
      <c r="P889" s="252"/>
      <c r="Q889" s="1"/>
      <c r="R889" s="1"/>
      <c r="S889" s="1"/>
      <c r="T889" s="1"/>
      <c r="U889" s="1"/>
      <c r="V889" s="1"/>
    </row>
    <row r="890" ht="15.75" hidden="1" customHeight="1">
      <c r="A890" s="53"/>
      <c r="B890" s="54"/>
      <c r="C890" s="54" t="s">
        <v>222</v>
      </c>
      <c r="D890" s="216" t="s">
        <v>24</v>
      </c>
      <c r="E890" s="54"/>
      <c r="F890" s="56">
        <v>0.0</v>
      </c>
      <c r="G890" s="57">
        <v>40.0</v>
      </c>
      <c r="H890" s="57">
        <f t="shared" si="22"/>
        <v>0</v>
      </c>
      <c r="I890" s="58"/>
      <c r="J890" s="58"/>
      <c r="K890" s="54"/>
      <c r="L890" s="252"/>
      <c r="M890" s="252"/>
      <c r="N890" s="252"/>
      <c r="O890" s="252"/>
      <c r="P890" s="252"/>
      <c r="Q890" s="1"/>
      <c r="R890" s="1"/>
      <c r="S890" s="1"/>
      <c r="T890" s="1"/>
      <c r="U890" s="1"/>
      <c r="V890" s="1"/>
    </row>
    <row r="891" ht="15.75" hidden="1" customHeight="1">
      <c r="A891" s="53"/>
      <c r="B891" s="54"/>
      <c r="C891" s="197" t="s">
        <v>374</v>
      </c>
      <c r="D891" s="216" t="s">
        <v>24</v>
      </c>
      <c r="E891" s="54"/>
      <c r="F891" s="56">
        <v>0.0</v>
      </c>
      <c r="G891" s="57">
        <v>210.0</v>
      </c>
      <c r="H891" s="57">
        <f t="shared" si="22"/>
        <v>0</v>
      </c>
      <c r="I891" s="58"/>
      <c r="J891" s="58"/>
      <c r="K891" s="54"/>
      <c r="L891" s="252"/>
      <c r="M891" s="252"/>
      <c r="N891" s="252"/>
      <c r="O891" s="252"/>
      <c r="P891" s="252"/>
      <c r="Q891" s="1"/>
      <c r="R891" s="1"/>
      <c r="S891" s="1"/>
      <c r="T891" s="1"/>
      <c r="U891" s="1"/>
      <c r="V891" s="1"/>
    </row>
    <row r="892" ht="15.75" hidden="1" customHeight="1">
      <c r="A892" s="53"/>
      <c r="B892" s="54" t="s">
        <v>373</v>
      </c>
      <c r="C892" s="197" t="s">
        <v>372</v>
      </c>
      <c r="D892" s="55" t="s">
        <v>20</v>
      </c>
      <c r="E892" s="54"/>
      <c r="F892" s="56">
        <v>0.0</v>
      </c>
      <c r="G892" s="57">
        <v>70.0</v>
      </c>
      <c r="H892" s="57">
        <f t="shared" si="22"/>
        <v>0</v>
      </c>
      <c r="I892" s="58"/>
      <c r="J892" s="58"/>
      <c r="K892" s="54"/>
      <c r="L892" s="54"/>
      <c r="M892" s="54"/>
      <c r="N892" s="54"/>
      <c r="O892" s="54"/>
      <c r="P892" s="54"/>
      <c r="Q892" s="1"/>
      <c r="R892" s="1"/>
      <c r="S892" s="1"/>
      <c r="T892" s="1"/>
      <c r="U892" s="1"/>
      <c r="V892" s="1"/>
    </row>
    <row r="893" ht="15.75" hidden="1" customHeight="1">
      <c r="A893" s="53"/>
      <c r="B893" s="54" t="s">
        <v>18</v>
      </c>
      <c r="C893" s="197" t="s">
        <v>503</v>
      </c>
      <c r="D893" s="55" t="s">
        <v>20</v>
      </c>
      <c r="E893" s="54"/>
      <c r="F893" s="56">
        <v>0.0</v>
      </c>
      <c r="G893" s="57">
        <v>50.0</v>
      </c>
      <c r="H893" s="57">
        <f t="shared" si="22"/>
        <v>0</v>
      </c>
      <c r="I893" s="58"/>
      <c r="J893" s="58"/>
      <c r="K893" s="54"/>
      <c r="L893" s="54"/>
      <c r="M893" s="54"/>
      <c r="N893" s="54"/>
      <c r="O893" s="54"/>
      <c r="P893" s="54"/>
      <c r="Q893" s="1"/>
      <c r="R893" s="1"/>
      <c r="S893" s="1"/>
      <c r="T893" s="1"/>
      <c r="U893" s="1"/>
      <c r="V893" s="1"/>
    </row>
    <row r="894" ht="15.75" hidden="1" customHeight="1">
      <c r="A894" s="53"/>
      <c r="B894" s="54"/>
      <c r="C894" s="197" t="s">
        <v>504</v>
      </c>
      <c r="D894" s="216" t="s">
        <v>24</v>
      </c>
      <c r="E894" s="54"/>
      <c r="F894" s="56">
        <v>0.0</v>
      </c>
      <c r="G894" s="57">
        <v>50.0</v>
      </c>
      <c r="H894" s="57">
        <f t="shared" si="22"/>
        <v>0</v>
      </c>
      <c r="I894" s="58"/>
      <c r="J894" s="58"/>
      <c r="K894" s="54"/>
      <c r="L894" s="54"/>
      <c r="M894" s="54"/>
      <c r="N894" s="54"/>
      <c r="O894" s="54"/>
      <c r="P894" s="54"/>
      <c r="Q894" s="1"/>
      <c r="R894" s="1"/>
      <c r="S894" s="1"/>
      <c r="T894" s="1"/>
      <c r="U894" s="1"/>
      <c r="V894" s="1"/>
    </row>
    <row r="895" ht="15.75" hidden="1" customHeight="1">
      <c r="A895" s="53"/>
      <c r="B895" s="54"/>
      <c r="C895" s="197" t="s">
        <v>505</v>
      </c>
      <c r="D895" s="216" t="s">
        <v>24</v>
      </c>
      <c r="E895" s="54"/>
      <c r="F895" s="56">
        <v>0.0</v>
      </c>
      <c r="G895" s="57">
        <v>120.0</v>
      </c>
      <c r="H895" s="57">
        <f t="shared" si="22"/>
        <v>0</v>
      </c>
      <c r="I895" s="58"/>
      <c r="J895" s="58"/>
      <c r="K895" s="54"/>
      <c r="L895" s="252"/>
      <c r="M895" s="252"/>
      <c r="N895" s="252"/>
      <c r="O895" s="252"/>
      <c r="P895" s="252"/>
      <c r="Q895" s="1"/>
      <c r="R895" s="1"/>
      <c r="S895" s="1"/>
      <c r="T895" s="1"/>
      <c r="U895" s="1"/>
      <c r="V895" s="1"/>
    </row>
    <row r="896" ht="15.75" hidden="1" customHeight="1">
      <c r="A896" s="53"/>
      <c r="B896" s="54"/>
      <c r="C896" s="197" t="s">
        <v>506</v>
      </c>
      <c r="D896" s="216" t="s">
        <v>24</v>
      </c>
      <c r="E896" s="54"/>
      <c r="F896" s="56">
        <v>0.0</v>
      </c>
      <c r="G896" s="57">
        <v>80.0</v>
      </c>
      <c r="H896" s="57">
        <f t="shared" si="22"/>
        <v>0</v>
      </c>
      <c r="I896" s="58"/>
      <c r="J896" s="58"/>
      <c r="K896" s="54"/>
      <c r="L896" s="252"/>
      <c r="M896" s="252"/>
      <c r="N896" s="252"/>
      <c r="O896" s="252"/>
      <c r="P896" s="252"/>
      <c r="Q896" s="1"/>
      <c r="R896" s="1"/>
      <c r="S896" s="1"/>
      <c r="T896" s="1"/>
      <c r="U896" s="1"/>
      <c r="V896" s="1"/>
    </row>
    <row r="897" ht="15.75" hidden="1" customHeight="1">
      <c r="A897" s="53"/>
      <c r="B897" s="54"/>
      <c r="C897" s="197" t="s">
        <v>507</v>
      </c>
      <c r="D897" s="55" t="s">
        <v>20</v>
      </c>
      <c r="E897" s="54"/>
      <c r="F897" s="56">
        <v>0.0</v>
      </c>
      <c r="G897" s="57">
        <v>300.0</v>
      </c>
      <c r="H897" s="57">
        <f t="shared" si="22"/>
        <v>0</v>
      </c>
      <c r="I897" s="58"/>
      <c r="J897" s="58"/>
      <c r="K897" s="54"/>
      <c r="L897" s="252"/>
      <c r="M897" s="252"/>
      <c r="N897" s="252"/>
      <c r="O897" s="252"/>
      <c r="P897" s="252"/>
      <c r="Q897" s="1"/>
      <c r="R897" s="1"/>
      <c r="S897" s="1"/>
      <c r="T897" s="1"/>
      <c r="U897" s="1"/>
      <c r="V897" s="1"/>
    </row>
    <row r="898" ht="15.75" hidden="1" customHeight="1">
      <c r="A898" s="53"/>
      <c r="B898" s="54"/>
      <c r="C898" s="197" t="s">
        <v>508</v>
      </c>
      <c r="D898" s="216" t="s">
        <v>24</v>
      </c>
      <c r="E898" s="54"/>
      <c r="F898" s="56">
        <v>0.0</v>
      </c>
      <c r="G898" s="57">
        <v>290.0</v>
      </c>
      <c r="H898" s="57">
        <f t="shared" si="22"/>
        <v>0</v>
      </c>
      <c r="I898" s="58"/>
      <c r="J898" s="58"/>
      <c r="K898" s="54"/>
      <c r="L898" s="252"/>
      <c r="M898" s="252"/>
      <c r="N898" s="252"/>
      <c r="O898" s="252"/>
      <c r="P898" s="252"/>
      <c r="Q898" s="1"/>
      <c r="R898" s="1"/>
      <c r="S898" s="1"/>
      <c r="T898" s="1"/>
      <c r="U898" s="1"/>
      <c r="V898" s="1"/>
    </row>
    <row r="899" ht="15.75" hidden="1" customHeight="1">
      <c r="A899" s="53"/>
      <c r="B899" s="54"/>
      <c r="C899" s="54" t="s">
        <v>509</v>
      </c>
      <c r="D899" s="55" t="s">
        <v>20</v>
      </c>
      <c r="E899" s="54"/>
      <c r="F899" s="56">
        <v>0.0</v>
      </c>
      <c r="G899" s="57">
        <v>30.0</v>
      </c>
      <c r="H899" s="57">
        <f t="shared" si="22"/>
        <v>0</v>
      </c>
      <c r="I899" s="58"/>
      <c r="J899" s="58"/>
      <c r="K899" s="54"/>
      <c r="L899" s="252"/>
      <c r="M899" s="252"/>
      <c r="N899" s="252"/>
      <c r="O899" s="252"/>
      <c r="P899" s="252"/>
      <c r="Q899" s="1"/>
      <c r="R899" s="1"/>
      <c r="S899" s="1"/>
      <c r="T899" s="1"/>
      <c r="U899" s="1"/>
      <c r="V899" s="1"/>
    </row>
    <row r="900" ht="15.75" hidden="1" customHeight="1">
      <c r="A900" s="53"/>
      <c r="B900" s="54"/>
      <c r="C900" s="54" t="s">
        <v>510</v>
      </c>
      <c r="D900" s="216" t="s">
        <v>24</v>
      </c>
      <c r="E900" s="54"/>
      <c r="F900" s="56">
        <v>0.0</v>
      </c>
      <c r="G900" s="57">
        <v>70.0</v>
      </c>
      <c r="H900" s="57">
        <f t="shared" si="22"/>
        <v>0</v>
      </c>
      <c r="I900" s="58"/>
      <c r="J900" s="58"/>
      <c r="K900" s="54"/>
      <c r="L900" s="252"/>
      <c r="M900" s="252"/>
      <c r="N900" s="252"/>
      <c r="O900" s="252"/>
      <c r="P900" s="252"/>
      <c r="Q900" s="1"/>
      <c r="R900" s="1"/>
      <c r="S900" s="1"/>
      <c r="T900" s="1"/>
      <c r="U900" s="1"/>
      <c r="V900" s="1"/>
    </row>
    <row r="901" ht="15.75" hidden="1" customHeight="1">
      <c r="A901" s="53"/>
      <c r="B901" s="54"/>
      <c r="C901" s="54" t="s">
        <v>511</v>
      </c>
      <c r="D901" s="55" t="s">
        <v>20</v>
      </c>
      <c r="E901" s="54"/>
      <c r="F901" s="56">
        <v>0.0</v>
      </c>
      <c r="G901" s="57">
        <v>368.0</v>
      </c>
      <c r="H901" s="57">
        <f t="shared" si="22"/>
        <v>0</v>
      </c>
      <c r="I901" s="58"/>
      <c r="J901" s="58"/>
      <c r="K901" s="54"/>
      <c r="L901" s="252"/>
      <c r="M901" s="252"/>
      <c r="N901" s="252"/>
      <c r="O901" s="252"/>
      <c r="P901" s="252"/>
      <c r="Q901" s="1"/>
      <c r="R901" s="1"/>
      <c r="S901" s="1"/>
      <c r="T901" s="1"/>
      <c r="U901" s="1"/>
      <c r="V901" s="1"/>
    </row>
    <row r="902" ht="15.75" hidden="1" customHeight="1">
      <c r="A902" s="53"/>
      <c r="B902" s="54"/>
      <c r="C902" s="54" t="s">
        <v>512</v>
      </c>
      <c r="D902" s="55" t="s">
        <v>20</v>
      </c>
      <c r="E902" s="54"/>
      <c r="F902" s="56">
        <v>0.0</v>
      </c>
      <c r="G902" s="57">
        <v>183.0</v>
      </c>
      <c r="H902" s="57">
        <f t="shared" si="22"/>
        <v>0</v>
      </c>
      <c r="I902" s="58"/>
      <c r="J902" s="58"/>
      <c r="K902" s="54"/>
      <c r="L902" s="252"/>
      <c r="M902" s="252"/>
      <c r="N902" s="252"/>
      <c r="O902" s="252"/>
      <c r="P902" s="252"/>
      <c r="Q902" s="1"/>
      <c r="R902" s="1"/>
      <c r="S902" s="1"/>
      <c r="T902" s="1"/>
      <c r="U902" s="1"/>
      <c r="V902" s="1"/>
    </row>
    <row r="903" ht="15.75" hidden="1" customHeight="1">
      <c r="A903" s="53"/>
      <c r="B903" s="54"/>
      <c r="C903" s="278" t="s">
        <v>513</v>
      </c>
      <c r="D903" s="55" t="s">
        <v>20</v>
      </c>
      <c r="E903" s="54"/>
      <c r="F903" s="56">
        <v>0.0</v>
      </c>
      <c r="G903" s="57">
        <v>45.0</v>
      </c>
      <c r="H903" s="57">
        <f t="shared" si="22"/>
        <v>0</v>
      </c>
      <c r="I903" s="58"/>
      <c r="J903" s="58"/>
      <c r="K903" s="54"/>
      <c r="L903" s="252"/>
      <c r="M903" s="252"/>
      <c r="N903" s="252"/>
      <c r="O903" s="252"/>
      <c r="P903" s="252"/>
      <c r="Q903" s="1"/>
      <c r="R903" s="1"/>
      <c r="S903" s="1"/>
      <c r="T903" s="1"/>
      <c r="U903" s="1"/>
      <c r="V903" s="1"/>
    </row>
    <row r="904" ht="15.75" hidden="1" customHeight="1">
      <c r="A904" s="53"/>
      <c r="B904" s="54"/>
      <c r="C904" s="278" t="s">
        <v>514</v>
      </c>
      <c r="D904" s="55" t="s">
        <v>20</v>
      </c>
      <c r="E904" s="54"/>
      <c r="F904" s="56">
        <v>0.0</v>
      </c>
      <c r="G904" s="57">
        <v>60.0</v>
      </c>
      <c r="H904" s="57">
        <f t="shared" si="22"/>
        <v>0</v>
      </c>
      <c r="I904" s="58"/>
      <c r="J904" s="58"/>
      <c r="K904" s="54"/>
      <c r="L904" s="252"/>
      <c r="M904" s="252"/>
      <c r="N904" s="252"/>
      <c r="O904" s="252"/>
      <c r="P904" s="252"/>
      <c r="Q904" s="1"/>
      <c r="R904" s="1"/>
      <c r="S904" s="1"/>
      <c r="T904" s="1"/>
      <c r="U904" s="1"/>
      <c r="V904" s="1"/>
    </row>
    <row r="905" ht="15.75" hidden="1" customHeight="1">
      <c r="A905" s="53"/>
      <c r="B905" s="54"/>
      <c r="C905" s="279" t="s">
        <v>515</v>
      </c>
      <c r="D905" s="216" t="s">
        <v>24</v>
      </c>
      <c r="E905" s="54"/>
      <c r="F905" s="56">
        <v>0.0</v>
      </c>
      <c r="G905" s="57">
        <v>290.0</v>
      </c>
      <c r="H905" s="57">
        <f t="shared" si="22"/>
        <v>0</v>
      </c>
      <c r="I905" s="58"/>
      <c r="J905" s="58"/>
      <c r="K905" s="54"/>
      <c r="L905" s="252"/>
      <c r="M905" s="252"/>
      <c r="N905" s="252"/>
      <c r="O905" s="252"/>
      <c r="P905" s="252"/>
      <c r="Q905" s="1"/>
      <c r="R905" s="1"/>
      <c r="S905" s="1"/>
      <c r="T905" s="1"/>
      <c r="U905" s="1"/>
      <c r="V905" s="1"/>
    </row>
    <row r="906" ht="15.75" hidden="1" customHeight="1">
      <c r="A906" s="53"/>
      <c r="B906" s="54"/>
      <c r="C906" s="54" t="s">
        <v>71</v>
      </c>
      <c r="D906" s="216" t="s">
        <v>24</v>
      </c>
      <c r="E906" s="54"/>
      <c r="F906" s="56">
        <v>0.0</v>
      </c>
      <c r="G906" s="57">
        <v>80.0</v>
      </c>
      <c r="H906" s="57">
        <f t="shared" si="22"/>
        <v>0</v>
      </c>
      <c r="I906" s="58"/>
      <c r="J906" s="58"/>
      <c r="K906" s="54"/>
      <c r="L906" s="252"/>
      <c r="M906" s="252"/>
      <c r="N906" s="252"/>
      <c r="O906" s="252"/>
      <c r="P906" s="252"/>
      <c r="Q906" s="1"/>
      <c r="R906" s="1"/>
      <c r="S906" s="1"/>
      <c r="T906" s="1"/>
      <c r="U906" s="1"/>
      <c r="V906" s="1"/>
    </row>
    <row r="907" ht="15.75" hidden="1" customHeight="1">
      <c r="A907" s="53"/>
      <c r="B907" s="54"/>
      <c r="C907" s="197" t="s">
        <v>516</v>
      </c>
      <c r="D907" s="55" t="s">
        <v>20</v>
      </c>
      <c r="E907" s="54"/>
      <c r="F907" s="56">
        <v>0.0</v>
      </c>
      <c r="G907" s="57">
        <v>300.0</v>
      </c>
      <c r="H907" s="57">
        <f t="shared" si="22"/>
        <v>0</v>
      </c>
      <c r="I907" s="58"/>
      <c r="J907" s="58"/>
      <c r="K907" s="54"/>
      <c r="L907" s="252"/>
      <c r="M907" s="252"/>
      <c r="N907" s="252"/>
      <c r="O907" s="252"/>
      <c r="P907" s="252"/>
      <c r="Q907" s="1"/>
      <c r="R907" s="1"/>
      <c r="S907" s="1"/>
      <c r="T907" s="1"/>
      <c r="U907" s="1"/>
      <c r="V907" s="1"/>
    </row>
    <row r="908" ht="15.75" hidden="1" customHeight="1">
      <c r="A908" s="53"/>
      <c r="B908" s="54"/>
      <c r="C908" s="197" t="s">
        <v>517</v>
      </c>
      <c r="D908" s="216" t="s">
        <v>24</v>
      </c>
      <c r="E908" s="54"/>
      <c r="F908" s="56">
        <v>0.0</v>
      </c>
      <c r="G908" s="57">
        <v>900.0</v>
      </c>
      <c r="H908" s="57">
        <f t="shared" si="22"/>
        <v>0</v>
      </c>
      <c r="I908" s="58"/>
      <c r="J908" s="58"/>
      <c r="K908" s="54"/>
      <c r="L908" s="252"/>
      <c r="M908" s="252"/>
      <c r="N908" s="252"/>
      <c r="O908" s="252"/>
      <c r="P908" s="252"/>
      <c r="Q908" s="1"/>
      <c r="R908" s="1"/>
      <c r="S908" s="1"/>
      <c r="T908" s="1"/>
      <c r="U908" s="1"/>
      <c r="V908" s="1"/>
    </row>
    <row r="909" ht="15.75" hidden="1" customHeight="1">
      <c r="A909" s="53"/>
      <c r="B909" s="54"/>
      <c r="C909" s="197" t="s">
        <v>518</v>
      </c>
      <c r="D909" s="216" t="s">
        <v>24</v>
      </c>
      <c r="E909" s="54"/>
      <c r="F909" s="56">
        <v>0.0</v>
      </c>
      <c r="G909" s="57">
        <v>150.0</v>
      </c>
      <c r="H909" s="57">
        <f t="shared" si="22"/>
        <v>0</v>
      </c>
      <c r="I909" s="58"/>
      <c r="J909" s="58"/>
      <c r="K909" s="54"/>
      <c r="L909" s="252"/>
      <c r="M909" s="252"/>
      <c r="N909" s="252"/>
      <c r="O909" s="252"/>
      <c r="P909" s="252"/>
      <c r="Q909" s="1"/>
      <c r="R909" s="1"/>
      <c r="S909" s="1"/>
      <c r="T909" s="1"/>
      <c r="U909" s="1"/>
      <c r="V909" s="1"/>
    </row>
    <row r="910" ht="15.75" hidden="1" customHeight="1">
      <c r="A910" s="53"/>
      <c r="B910" s="54"/>
      <c r="C910" s="197" t="s">
        <v>519</v>
      </c>
      <c r="D910" s="55" t="s">
        <v>20</v>
      </c>
      <c r="E910" s="54"/>
      <c r="F910" s="56">
        <v>0.0</v>
      </c>
      <c r="G910" s="57">
        <v>60.0</v>
      </c>
      <c r="H910" s="57">
        <f t="shared" si="22"/>
        <v>0</v>
      </c>
      <c r="I910" s="58"/>
      <c r="J910" s="58"/>
      <c r="K910" s="54"/>
      <c r="L910" s="252"/>
      <c r="M910" s="252"/>
      <c r="N910" s="252"/>
      <c r="O910" s="252"/>
      <c r="P910" s="252"/>
      <c r="Q910" s="1"/>
      <c r="R910" s="1"/>
      <c r="S910" s="1"/>
      <c r="T910" s="1"/>
      <c r="U910" s="1"/>
      <c r="V910" s="1"/>
    </row>
    <row r="911" ht="15.75" hidden="1" customHeight="1">
      <c r="A911" s="53"/>
      <c r="B911" s="54"/>
      <c r="C911" s="197" t="s">
        <v>520</v>
      </c>
      <c r="D911" s="216" t="s">
        <v>24</v>
      </c>
      <c r="E911" s="54"/>
      <c r="F911" s="56">
        <v>0.0</v>
      </c>
      <c r="G911" s="57">
        <v>500.0</v>
      </c>
      <c r="H911" s="57">
        <f t="shared" si="22"/>
        <v>0</v>
      </c>
      <c r="I911" s="58"/>
      <c r="J911" s="58"/>
      <c r="K911" s="54"/>
      <c r="L911" s="252"/>
      <c r="M911" s="252"/>
      <c r="N911" s="252"/>
      <c r="O911" s="252"/>
      <c r="P911" s="252"/>
      <c r="Q911" s="1"/>
      <c r="R911" s="1"/>
      <c r="S911" s="1"/>
      <c r="T911" s="1"/>
      <c r="U911" s="1"/>
      <c r="V911" s="1"/>
    </row>
    <row r="912" ht="15.75" hidden="1" customHeight="1">
      <c r="A912" s="53"/>
      <c r="B912" s="54"/>
      <c r="C912" s="197" t="s">
        <v>521</v>
      </c>
      <c r="D912" s="55" t="s">
        <v>20</v>
      </c>
      <c r="E912" s="54"/>
      <c r="F912" s="56">
        <v>0.0</v>
      </c>
      <c r="G912" s="57">
        <v>130.0</v>
      </c>
      <c r="H912" s="57">
        <f t="shared" si="22"/>
        <v>0</v>
      </c>
      <c r="I912" s="58"/>
      <c r="J912" s="58"/>
      <c r="K912" s="54"/>
      <c r="L912" s="252"/>
      <c r="M912" s="252"/>
      <c r="N912" s="252"/>
      <c r="O912" s="252"/>
      <c r="P912" s="252"/>
      <c r="Q912" s="1"/>
      <c r="R912" s="1"/>
      <c r="S912" s="1"/>
      <c r="T912" s="1"/>
      <c r="U912" s="1"/>
      <c r="V912" s="1"/>
    </row>
    <row r="913" ht="15.75" hidden="1" customHeight="1">
      <c r="A913" s="53"/>
      <c r="B913" s="54"/>
      <c r="C913" s="197" t="s">
        <v>522</v>
      </c>
      <c r="D913" s="55" t="s">
        <v>20</v>
      </c>
      <c r="E913" s="54"/>
      <c r="F913" s="56">
        <v>0.0</v>
      </c>
      <c r="G913" s="57">
        <v>30.0</v>
      </c>
      <c r="H913" s="57">
        <f t="shared" si="22"/>
        <v>0</v>
      </c>
      <c r="I913" s="58"/>
      <c r="J913" s="58"/>
      <c r="K913" s="54"/>
      <c r="L913" s="54"/>
      <c r="M913" s="54"/>
      <c r="N913" s="54"/>
      <c r="O913" s="54"/>
      <c r="P913" s="54"/>
      <c r="Q913" s="1"/>
      <c r="R913" s="1"/>
      <c r="S913" s="1"/>
      <c r="T913" s="1"/>
      <c r="U913" s="1"/>
      <c r="V913" s="1"/>
    </row>
    <row r="914" ht="15.75" hidden="1" customHeight="1">
      <c r="A914" s="53"/>
      <c r="B914" s="54"/>
      <c r="C914" s="197" t="s">
        <v>523</v>
      </c>
      <c r="D914" s="216" t="s">
        <v>24</v>
      </c>
      <c r="E914" s="54"/>
      <c r="F914" s="56">
        <v>0.0</v>
      </c>
      <c r="G914" s="57">
        <v>25.0</v>
      </c>
      <c r="H914" s="57">
        <f t="shared" si="22"/>
        <v>0</v>
      </c>
      <c r="I914" s="58"/>
      <c r="J914" s="58"/>
      <c r="K914" s="54"/>
      <c r="L914" s="252"/>
      <c r="M914" s="252"/>
      <c r="N914" s="252"/>
      <c r="O914" s="252"/>
      <c r="P914" s="252"/>
      <c r="Q914" s="1"/>
      <c r="R914" s="1"/>
      <c r="S914" s="1"/>
      <c r="T914" s="1"/>
      <c r="U914" s="1"/>
      <c r="V914" s="1"/>
    </row>
    <row r="915" ht="15.75" hidden="1" customHeight="1">
      <c r="A915" s="53"/>
      <c r="B915" s="54"/>
      <c r="C915" s="197" t="s">
        <v>524</v>
      </c>
      <c r="D915" s="55" t="s">
        <v>20</v>
      </c>
      <c r="E915" s="54"/>
      <c r="F915" s="56">
        <v>0.0</v>
      </c>
      <c r="G915" s="57">
        <v>15.0</v>
      </c>
      <c r="H915" s="57">
        <f t="shared" si="22"/>
        <v>0</v>
      </c>
      <c r="I915" s="58"/>
      <c r="J915" s="58"/>
      <c r="K915" s="54"/>
      <c r="L915" s="54"/>
      <c r="M915" s="54"/>
      <c r="N915" s="54"/>
      <c r="O915" s="54"/>
      <c r="P915" s="54"/>
      <c r="Q915" s="1"/>
      <c r="R915" s="1"/>
      <c r="S915" s="1"/>
      <c r="T915" s="1"/>
      <c r="U915" s="1"/>
      <c r="V915" s="1"/>
    </row>
    <row r="916" ht="15.75" hidden="1" customHeight="1">
      <c r="A916" s="53"/>
      <c r="B916" s="54"/>
      <c r="C916" s="197" t="s">
        <v>525</v>
      </c>
      <c r="D916" s="216" t="s">
        <v>24</v>
      </c>
      <c r="E916" s="54"/>
      <c r="F916" s="56">
        <v>0.0</v>
      </c>
      <c r="G916" s="57">
        <v>60.0</v>
      </c>
      <c r="H916" s="57">
        <f t="shared" si="22"/>
        <v>0</v>
      </c>
      <c r="I916" s="58"/>
      <c r="J916" s="58"/>
      <c r="K916" s="54"/>
      <c r="L916" s="252"/>
      <c r="M916" s="252"/>
      <c r="N916" s="252"/>
      <c r="O916" s="252"/>
      <c r="P916" s="252"/>
      <c r="Q916" s="1"/>
      <c r="R916" s="1"/>
      <c r="S916" s="1"/>
      <c r="T916" s="1"/>
      <c r="U916" s="1"/>
      <c r="V916" s="1"/>
    </row>
    <row r="917" ht="15.75" hidden="1" customHeight="1">
      <c r="A917" s="53"/>
      <c r="B917" s="54"/>
      <c r="C917" s="197" t="s">
        <v>526</v>
      </c>
      <c r="D917" s="216" t="s">
        <v>24</v>
      </c>
      <c r="E917" s="54"/>
      <c r="F917" s="56">
        <v>0.0</v>
      </c>
      <c r="G917" s="57">
        <v>80.0</v>
      </c>
      <c r="H917" s="57">
        <f t="shared" si="22"/>
        <v>0</v>
      </c>
      <c r="I917" s="58"/>
      <c r="J917" s="58"/>
      <c r="K917" s="54"/>
      <c r="L917" s="252"/>
      <c r="M917" s="252"/>
      <c r="N917" s="252"/>
      <c r="O917" s="252"/>
      <c r="P917" s="252"/>
      <c r="Q917" s="1"/>
      <c r="R917" s="1"/>
      <c r="S917" s="1"/>
      <c r="T917" s="1"/>
      <c r="U917" s="1"/>
      <c r="V917" s="1"/>
    </row>
    <row r="918" ht="15.75" hidden="1" customHeight="1">
      <c r="A918" s="53"/>
      <c r="B918" s="54"/>
      <c r="C918" s="197" t="s">
        <v>527</v>
      </c>
      <c r="D918" s="55" t="s">
        <v>20</v>
      </c>
      <c r="E918" s="54"/>
      <c r="F918" s="56">
        <v>0.0</v>
      </c>
      <c r="G918" s="57">
        <v>5000.0</v>
      </c>
      <c r="H918" s="57">
        <f t="shared" si="22"/>
        <v>0</v>
      </c>
      <c r="I918" s="58"/>
      <c r="J918" s="58"/>
      <c r="K918" s="54"/>
      <c r="L918" s="252"/>
      <c r="M918" s="252"/>
      <c r="N918" s="252"/>
      <c r="O918" s="252"/>
      <c r="P918" s="252"/>
      <c r="Q918" s="1"/>
      <c r="R918" s="1"/>
      <c r="S918" s="1"/>
      <c r="T918" s="1"/>
      <c r="U918" s="1"/>
      <c r="V918" s="1"/>
    </row>
    <row r="919" ht="15.75" hidden="1" customHeight="1">
      <c r="A919" s="53"/>
      <c r="B919" s="54"/>
      <c r="C919" s="197" t="s">
        <v>528</v>
      </c>
      <c r="D919" s="216" t="s">
        <v>24</v>
      </c>
      <c r="E919" s="54" t="s">
        <v>529</v>
      </c>
      <c r="F919" s="56">
        <v>0.0</v>
      </c>
      <c r="G919" s="57">
        <v>2800.0</v>
      </c>
      <c r="H919" s="57">
        <f t="shared" si="22"/>
        <v>0</v>
      </c>
      <c r="I919" s="58"/>
      <c r="J919" s="58"/>
      <c r="K919" s="54"/>
      <c r="L919" s="252"/>
      <c r="M919" s="252"/>
      <c r="N919" s="252"/>
      <c r="O919" s="252"/>
      <c r="P919" s="252"/>
      <c r="Q919" s="1"/>
      <c r="R919" s="1"/>
      <c r="S919" s="1"/>
      <c r="T919" s="1"/>
      <c r="U919" s="1"/>
      <c r="V919" s="1"/>
    </row>
    <row r="920" ht="15.75" hidden="1" customHeight="1">
      <c r="A920" s="53"/>
      <c r="B920" s="54"/>
      <c r="C920" s="197" t="s">
        <v>530</v>
      </c>
      <c r="D920" s="216" t="s">
        <v>24</v>
      </c>
      <c r="E920" s="54"/>
      <c r="F920" s="56">
        <v>0.0</v>
      </c>
      <c r="G920" s="57">
        <v>2000.0</v>
      </c>
      <c r="H920" s="57">
        <f t="shared" si="22"/>
        <v>0</v>
      </c>
      <c r="I920" s="58"/>
      <c r="J920" s="58"/>
      <c r="K920" s="54"/>
      <c r="L920" s="252"/>
      <c r="M920" s="252"/>
      <c r="N920" s="252"/>
      <c r="O920" s="252"/>
      <c r="P920" s="252"/>
      <c r="Q920" s="1"/>
      <c r="R920" s="1"/>
      <c r="S920" s="1"/>
      <c r="T920" s="1"/>
      <c r="U920" s="1"/>
      <c r="V920" s="1"/>
    </row>
    <row r="921" ht="15.75" hidden="1" customHeight="1">
      <c r="A921" s="53"/>
      <c r="B921" s="54"/>
      <c r="C921" s="197" t="s">
        <v>531</v>
      </c>
      <c r="D921" s="216" t="s">
        <v>24</v>
      </c>
      <c r="E921" s="54"/>
      <c r="F921" s="56">
        <v>0.0</v>
      </c>
      <c r="G921" s="57">
        <v>2200.0</v>
      </c>
      <c r="H921" s="57">
        <f t="shared" si="22"/>
        <v>0</v>
      </c>
      <c r="I921" s="58"/>
      <c r="J921" s="58"/>
      <c r="K921" s="54"/>
      <c r="L921" s="252"/>
      <c r="M921" s="252"/>
      <c r="N921" s="252"/>
      <c r="O921" s="252"/>
      <c r="P921" s="252"/>
      <c r="Q921" s="1"/>
      <c r="R921" s="1"/>
      <c r="S921" s="1"/>
      <c r="T921" s="1"/>
      <c r="U921" s="1"/>
      <c r="V921" s="1"/>
    </row>
    <row r="922" ht="30.75" customHeight="1">
      <c r="A922" s="83"/>
      <c r="B922" s="254" t="s">
        <v>617</v>
      </c>
      <c r="C922" s="255">
        <f>SUM(H923:H996)</f>
        <v>13094.8</v>
      </c>
      <c r="D922" s="256"/>
      <c r="E922" s="256"/>
      <c r="F922" s="256"/>
      <c r="G922" s="257"/>
      <c r="H922" s="257"/>
      <c r="I922" s="257"/>
      <c r="J922" s="257"/>
      <c r="K922" s="256"/>
      <c r="L922" s="256"/>
      <c r="M922" s="256"/>
      <c r="N922" s="256"/>
      <c r="O922" s="256"/>
      <c r="P922" s="256"/>
      <c r="Q922" s="1"/>
      <c r="R922" s="1"/>
      <c r="S922" s="1"/>
      <c r="T922" s="1"/>
      <c r="U922" s="1"/>
      <c r="V922" s="1"/>
    </row>
    <row r="923" ht="15.75" hidden="1" customHeight="1">
      <c r="A923" s="53"/>
      <c r="B923" s="54"/>
      <c r="C923" s="197" t="s">
        <v>191</v>
      </c>
      <c r="D923" s="198" t="s">
        <v>22</v>
      </c>
      <c r="E923" s="54"/>
      <c r="F923" s="56">
        <v>0.0</v>
      </c>
      <c r="G923" s="57">
        <v>100.0</v>
      </c>
      <c r="H923" s="57">
        <f t="shared" ref="H923:H929" si="23">SUM(F923*G923)</f>
        <v>0</v>
      </c>
      <c r="I923" s="58"/>
      <c r="J923" s="58"/>
      <c r="K923" s="54"/>
      <c r="L923" s="54"/>
      <c r="M923" s="54"/>
      <c r="N923" s="54"/>
      <c r="O923" s="54"/>
      <c r="P923" s="54"/>
      <c r="Q923" s="1"/>
      <c r="R923" s="1"/>
      <c r="S923" s="1"/>
      <c r="T923" s="1"/>
      <c r="U923" s="1"/>
      <c r="V923" s="1"/>
    </row>
    <row r="924" ht="15.75" hidden="1" customHeight="1">
      <c r="A924" s="53"/>
      <c r="B924" s="54" t="s">
        <v>18</v>
      </c>
      <c r="C924" s="197" t="s">
        <v>433</v>
      </c>
      <c r="D924" s="55" t="s">
        <v>20</v>
      </c>
      <c r="E924" s="54"/>
      <c r="F924" s="56">
        <v>0.0</v>
      </c>
      <c r="G924" s="57">
        <v>5.0</v>
      </c>
      <c r="H924" s="57">
        <f t="shared" si="23"/>
        <v>0</v>
      </c>
      <c r="I924" s="58"/>
      <c r="J924" s="58"/>
      <c r="K924" s="54"/>
      <c r="L924" s="54"/>
      <c r="M924" s="54"/>
      <c r="N924" s="54"/>
      <c r="O924" s="54"/>
      <c r="P924" s="54"/>
      <c r="Q924" s="1"/>
      <c r="R924" s="1"/>
      <c r="S924" s="1"/>
      <c r="T924" s="1"/>
      <c r="U924" s="1"/>
      <c r="V924" s="1"/>
    </row>
    <row r="925" ht="15.75" hidden="1" customHeight="1">
      <c r="A925" s="53"/>
      <c r="B925" s="54" t="s">
        <v>18</v>
      </c>
      <c r="C925" s="197" t="s">
        <v>19</v>
      </c>
      <c r="D925" s="55" t="s">
        <v>20</v>
      </c>
      <c r="E925" s="54"/>
      <c r="F925" s="56">
        <v>0.0</v>
      </c>
      <c r="G925" s="57">
        <v>0.0</v>
      </c>
      <c r="H925" s="57">
        <f t="shared" si="23"/>
        <v>0</v>
      </c>
      <c r="I925" s="58"/>
      <c r="J925" s="58"/>
      <c r="K925" s="54"/>
      <c r="L925" s="54"/>
      <c r="M925" s="202"/>
      <c r="N925" s="202"/>
      <c r="O925" s="270"/>
      <c r="P925" s="202"/>
      <c r="Q925" s="1"/>
      <c r="R925" s="1"/>
      <c r="S925" s="1"/>
      <c r="T925" s="1"/>
      <c r="U925" s="1"/>
      <c r="V925" s="1"/>
    </row>
    <row r="926" ht="15.75" hidden="1" customHeight="1">
      <c r="A926" s="53"/>
      <c r="B926" s="54" t="s">
        <v>18</v>
      </c>
      <c r="C926" s="197" t="s">
        <v>434</v>
      </c>
      <c r="D926" s="55" t="s">
        <v>20</v>
      </c>
      <c r="E926" s="54"/>
      <c r="F926" s="56">
        <v>0.0</v>
      </c>
      <c r="G926" s="57">
        <v>5.0</v>
      </c>
      <c r="H926" s="57">
        <f t="shared" si="23"/>
        <v>0</v>
      </c>
      <c r="I926" s="58"/>
      <c r="J926" s="58"/>
      <c r="K926" s="54"/>
      <c r="L926" s="54"/>
      <c r="M926" s="202"/>
      <c r="N926" s="202"/>
      <c r="O926" s="270"/>
      <c r="P926" s="202"/>
      <c r="Q926" s="1"/>
      <c r="R926" s="1"/>
      <c r="S926" s="1"/>
      <c r="T926" s="1"/>
      <c r="U926" s="1"/>
      <c r="V926" s="1"/>
    </row>
    <row r="927" ht="15.75" hidden="1" customHeight="1">
      <c r="A927" s="53"/>
      <c r="B927" s="54"/>
      <c r="C927" s="197" t="s">
        <v>435</v>
      </c>
      <c r="D927" s="216" t="s">
        <v>24</v>
      </c>
      <c r="E927" s="54"/>
      <c r="F927" s="56">
        <v>0.0</v>
      </c>
      <c r="G927" s="57">
        <v>103.5</v>
      </c>
      <c r="H927" s="57">
        <f t="shared" si="23"/>
        <v>0</v>
      </c>
      <c r="I927" s="58"/>
      <c r="J927" s="58"/>
      <c r="K927" s="54"/>
      <c r="L927" s="54"/>
      <c r="M927" s="202"/>
      <c r="N927" s="202"/>
      <c r="O927" s="270"/>
      <c r="P927" s="202"/>
      <c r="Q927" s="1"/>
      <c r="R927" s="1"/>
      <c r="S927" s="1"/>
      <c r="T927" s="1"/>
      <c r="U927" s="1"/>
      <c r="V927" s="1"/>
    </row>
    <row r="928" ht="15.75" customHeight="1">
      <c r="A928" s="53"/>
      <c r="B928" s="54" t="s">
        <v>18</v>
      </c>
      <c r="C928" s="197" t="s">
        <v>296</v>
      </c>
      <c r="D928" s="55" t="s">
        <v>20</v>
      </c>
      <c r="E928" s="54"/>
      <c r="F928" s="56">
        <v>1.0</v>
      </c>
      <c r="G928" s="159">
        <v>200.0</v>
      </c>
      <c r="H928" s="57">
        <f t="shared" si="23"/>
        <v>200</v>
      </c>
      <c r="I928" s="58"/>
      <c r="J928" s="58"/>
      <c r="K928" s="54"/>
      <c r="L928" s="54"/>
      <c r="M928" s="202"/>
      <c r="N928" s="202"/>
      <c r="O928" s="270"/>
      <c r="P928" s="202"/>
      <c r="Q928" s="1"/>
      <c r="R928" s="1"/>
      <c r="S928" s="1"/>
      <c r="T928" s="1"/>
      <c r="U928" s="1"/>
      <c r="V928" s="1"/>
    </row>
    <row r="929" ht="15.75" customHeight="1">
      <c r="A929" s="53"/>
      <c r="B929" s="54" t="s">
        <v>18</v>
      </c>
      <c r="C929" s="197" t="s">
        <v>300</v>
      </c>
      <c r="D929" s="55" t="s">
        <v>20</v>
      </c>
      <c r="E929" s="54"/>
      <c r="F929" s="56">
        <v>9.0</v>
      </c>
      <c r="G929" s="57">
        <v>5.0</v>
      </c>
      <c r="H929" s="57">
        <f t="shared" si="23"/>
        <v>45</v>
      </c>
      <c r="I929" s="58"/>
      <c r="J929" s="58"/>
      <c r="K929" s="13"/>
      <c r="L929" s="54"/>
      <c r="M929" s="202"/>
      <c r="N929" s="202"/>
      <c r="O929" s="270"/>
      <c r="P929" s="202"/>
      <c r="Q929" s="1"/>
      <c r="R929" s="1"/>
      <c r="S929" s="1"/>
      <c r="T929" s="1"/>
      <c r="U929" s="1"/>
      <c r="V929" s="1"/>
    </row>
    <row r="930" ht="15.75" hidden="1" customHeight="1">
      <c r="A930" s="53"/>
      <c r="B930" s="54" t="s">
        <v>18</v>
      </c>
      <c r="C930" s="197" t="s">
        <v>19</v>
      </c>
      <c r="D930" s="55" t="s">
        <v>20</v>
      </c>
      <c r="E930" s="201" t="s">
        <v>619</v>
      </c>
      <c r="F930" s="158">
        <v>0.0</v>
      </c>
      <c r="G930" s="57"/>
      <c r="H930" s="57"/>
      <c r="I930" s="58"/>
      <c r="J930" s="58"/>
      <c r="K930" s="54"/>
      <c r="L930" s="54"/>
      <c r="M930" s="202"/>
      <c r="N930" s="202"/>
      <c r="O930" s="270"/>
      <c r="P930" s="202"/>
      <c r="Q930" s="1"/>
      <c r="R930" s="1"/>
      <c r="S930" s="1"/>
      <c r="T930" s="1"/>
      <c r="U930" s="1"/>
      <c r="V930" s="1"/>
    </row>
    <row r="931" ht="15.75" hidden="1" customHeight="1">
      <c r="A931" s="53"/>
      <c r="B931" s="54" t="s">
        <v>620</v>
      </c>
      <c r="C931" s="197" t="s">
        <v>23</v>
      </c>
      <c r="D931" s="55" t="s">
        <v>20</v>
      </c>
      <c r="E931" s="201" t="s">
        <v>621</v>
      </c>
      <c r="F931" s="158">
        <v>0.0</v>
      </c>
      <c r="G931" s="57"/>
      <c r="H931" s="57"/>
      <c r="I931" s="58"/>
      <c r="J931" s="58"/>
      <c r="K931" s="54"/>
      <c r="L931" s="54"/>
      <c r="M931" s="202"/>
      <c r="N931" s="202"/>
      <c r="O931" s="270"/>
      <c r="P931" s="202"/>
      <c r="Q931" s="1"/>
      <c r="R931" s="1"/>
      <c r="S931" s="1"/>
      <c r="T931" s="1"/>
      <c r="U931" s="1"/>
      <c r="V931" s="1"/>
    </row>
    <row r="932" ht="15.75" customHeight="1">
      <c r="A932" s="53"/>
      <c r="B932" s="54"/>
      <c r="C932" s="197" t="s">
        <v>380</v>
      </c>
      <c r="D932" s="216" t="s">
        <v>24</v>
      </c>
      <c r="E932" s="54"/>
      <c r="F932" s="158">
        <v>1.0</v>
      </c>
      <c r="G932" s="57">
        <v>95.0</v>
      </c>
      <c r="H932" s="57">
        <f t="shared" ref="H932:H1022" si="24">SUM(F932*G932)</f>
        <v>95</v>
      </c>
      <c r="I932" s="58"/>
      <c r="J932" s="58"/>
      <c r="K932" s="54"/>
      <c r="L932" s="54"/>
      <c r="M932" s="202"/>
      <c r="N932" s="202"/>
      <c r="O932" s="270"/>
      <c r="P932" s="202"/>
      <c r="Q932" s="1"/>
      <c r="R932" s="1"/>
      <c r="S932" s="1"/>
      <c r="T932" s="1"/>
      <c r="U932" s="1"/>
      <c r="V932" s="1"/>
    </row>
    <row r="933" ht="15.75" hidden="1" customHeight="1">
      <c r="A933" s="53"/>
      <c r="B933" s="54"/>
      <c r="C933" s="197" t="s">
        <v>440</v>
      </c>
      <c r="D933" s="216" t="s">
        <v>24</v>
      </c>
      <c r="E933" s="54"/>
      <c r="F933" s="56">
        <v>0.0</v>
      </c>
      <c r="G933" s="57">
        <v>200.0</v>
      </c>
      <c r="H933" s="57">
        <f t="shared" si="24"/>
        <v>0</v>
      </c>
      <c r="I933" s="58"/>
      <c r="J933" s="58"/>
      <c r="K933" s="54"/>
      <c r="L933" s="54"/>
      <c r="M933" s="202"/>
      <c r="N933" s="202"/>
      <c r="O933" s="270"/>
      <c r="P933" s="202"/>
      <c r="Q933" s="1"/>
      <c r="R933" s="1"/>
      <c r="S933" s="1"/>
      <c r="T933" s="1"/>
      <c r="U933" s="1"/>
      <c r="V933" s="1"/>
    </row>
    <row r="934" ht="15.75" customHeight="1">
      <c r="A934" s="53"/>
      <c r="B934" s="54" t="s">
        <v>637</v>
      </c>
      <c r="C934" s="197" t="s">
        <v>436</v>
      </c>
      <c r="D934" s="259" t="s">
        <v>32</v>
      </c>
      <c r="E934" s="219"/>
      <c r="F934" s="190">
        <v>1.0</v>
      </c>
      <c r="G934" s="191">
        <v>11000.0</v>
      </c>
      <c r="H934" s="192">
        <f t="shared" si="24"/>
        <v>11000</v>
      </c>
      <c r="I934" s="193"/>
      <c r="J934" s="18"/>
      <c r="K934" s="13"/>
      <c r="L934" s="54"/>
      <c r="M934" s="202"/>
      <c r="N934" s="54"/>
      <c r="O934" s="202"/>
      <c r="P934" s="54"/>
      <c r="Q934" s="1"/>
      <c r="R934" s="1"/>
      <c r="S934" s="1"/>
      <c r="T934" s="1"/>
      <c r="U934" s="1"/>
      <c r="V934" s="1"/>
    </row>
    <row r="935" ht="15.75" hidden="1" customHeight="1">
      <c r="A935" s="53"/>
      <c r="B935" s="54"/>
      <c r="C935" s="197" t="s">
        <v>307</v>
      </c>
      <c r="D935" s="259" t="s">
        <v>32</v>
      </c>
      <c r="E935" s="54"/>
      <c r="F935" s="56">
        <v>0.0</v>
      </c>
      <c r="G935" s="57">
        <v>0.0</v>
      </c>
      <c r="H935" s="57">
        <f t="shared" si="24"/>
        <v>0</v>
      </c>
      <c r="I935" s="58"/>
      <c r="J935" s="58"/>
      <c r="K935" s="54"/>
      <c r="L935" s="271"/>
      <c r="M935" s="271"/>
      <c r="N935" s="271"/>
      <c r="O935" s="271"/>
      <c r="P935" s="271"/>
      <c r="Q935" s="1"/>
      <c r="R935" s="1"/>
      <c r="S935" s="1"/>
      <c r="T935" s="1"/>
      <c r="U935" s="1"/>
      <c r="V935" s="1"/>
    </row>
    <row r="936" ht="15.75" customHeight="1">
      <c r="A936" s="53"/>
      <c r="B936" s="54" t="s">
        <v>264</v>
      </c>
      <c r="C936" s="197" t="s">
        <v>308</v>
      </c>
      <c r="D936" s="259" t="s">
        <v>32</v>
      </c>
      <c r="E936" s="54">
        <v>202413.0</v>
      </c>
      <c r="F936" s="56">
        <v>1.0</v>
      </c>
      <c r="G936" s="159">
        <v>235.2</v>
      </c>
      <c r="H936" s="57">
        <f t="shared" si="24"/>
        <v>235.2</v>
      </c>
      <c r="I936" s="58"/>
      <c r="J936" s="58"/>
      <c r="K936" s="54"/>
      <c r="L936" s="271"/>
      <c r="M936" s="280"/>
      <c r="N936" s="271"/>
      <c r="O936" s="271"/>
      <c r="P936" s="271"/>
      <c r="Q936" s="1"/>
      <c r="R936" s="1"/>
      <c r="S936" s="1"/>
      <c r="T936" s="1"/>
      <c r="U936" s="1"/>
      <c r="V936" s="1"/>
    </row>
    <row r="937" ht="15.75" hidden="1" customHeight="1">
      <c r="A937" s="13"/>
      <c r="B937" s="18" t="s">
        <v>18</v>
      </c>
      <c r="C937" s="169" t="s">
        <v>447</v>
      </c>
      <c r="D937" s="46" t="s">
        <v>20</v>
      </c>
      <c r="E937" s="207" t="s">
        <v>448</v>
      </c>
      <c r="F937" s="242">
        <v>0.0</v>
      </c>
      <c r="G937" s="243">
        <v>19.0</v>
      </c>
      <c r="H937" s="192">
        <f t="shared" si="24"/>
        <v>0</v>
      </c>
      <c r="I937" s="193"/>
      <c r="J937" s="18"/>
      <c r="K937" s="13"/>
      <c r="L937" s="27"/>
      <c r="M937" s="241"/>
      <c r="N937" s="27"/>
      <c r="O937" s="27"/>
      <c r="P937" s="27"/>
      <c r="Q937" s="35"/>
      <c r="R937" s="35"/>
      <c r="S937" s="35"/>
      <c r="T937" s="1"/>
      <c r="U937" s="1"/>
      <c r="V937" s="1"/>
    </row>
    <row r="938" ht="15.75" hidden="1" customHeight="1">
      <c r="A938" s="13"/>
      <c r="B938" s="18" t="s">
        <v>18</v>
      </c>
      <c r="C938" s="169" t="s">
        <v>450</v>
      </c>
      <c r="D938" s="46" t="s">
        <v>20</v>
      </c>
      <c r="E938" s="52" t="s">
        <v>451</v>
      </c>
      <c r="F938" s="48">
        <v>0.0</v>
      </c>
      <c r="G938" s="50">
        <v>19.99</v>
      </c>
      <c r="H938" s="50">
        <f t="shared" si="24"/>
        <v>0</v>
      </c>
      <c r="I938" s="193"/>
      <c r="J938" s="18"/>
      <c r="K938" s="13"/>
      <c r="L938" s="27"/>
      <c r="M938" s="241"/>
      <c r="N938" s="27"/>
      <c r="O938" s="27"/>
      <c r="P938" s="27"/>
      <c r="Q938" s="35"/>
      <c r="R938" s="35"/>
      <c r="S938" s="35"/>
      <c r="T938" s="1"/>
      <c r="U938" s="1"/>
      <c r="V938" s="1"/>
    </row>
    <row r="939" ht="15.75" hidden="1" customHeight="1">
      <c r="A939" s="53"/>
      <c r="B939" s="54"/>
      <c r="C939" s="197" t="s">
        <v>541</v>
      </c>
      <c r="D939" s="198" t="s">
        <v>22</v>
      </c>
      <c r="E939" s="54"/>
      <c r="F939" s="56">
        <v>0.0</v>
      </c>
      <c r="G939" s="57">
        <v>30.0</v>
      </c>
      <c r="H939" s="57">
        <f t="shared" si="24"/>
        <v>0</v>
      </c>
      <c r="I939" s="58"/>
      <c r="J939" s="58"/>
      <c r="K939" s="54"/>
      <c r="L939" s="54"/>
      <c r="M939" s="54"/>
      <c r="N939" s="54"/>
      <c r="O939" s="54"/>
      <c r="P939" s="54"/>
      <c r="Q939" s="1"/>
      <c r="R939" s="1"/>
      <c r="S939" s="1"/>
      <c r="T939" s="1"/>
      <c r="U939" s="1"/>
      <c r="V939" s="1"/>
    </row>
    <row r="940" ht="15.75" hidden="1" customHeight="1">
      <c r="A940" s="53"/>
      <c r="B940" s="54" t="s">
        <v>454</v>
      </c>
      <c r="C940" s="197" t="s">
        <v>321</v>
      </c>
      <c r="D940" s="198" t="s">
        <v>22</v>
      </c>
      <c r="E940" s="54"/>
      <c r="F940" s="56">
        <v>0.0</v>
      </c>
      <c r="G940" s="57">
        <v>10.0</v>
      </c>
      <c r="H940" s="57">
        <f t="shared" si="24"/>
        <v>0</v>
      </c>
      <c r="I940" s="58"/>
      <c r="J940" s="58"/>
      <c r="K940" s="54"/>
      <c r="L940" s="54"/>
      <c r="M940" s="202"/>
      <c r="N940" s="54"/>
      <c r="O940" s="54"/>
      <c r="P940" s="54"/>
      <c r="Q940" s="1"/>
      <c r="R940" s="1"/>
      <c r="S940" s="1"/>
      <c r="T940" s="1"/>
      <c r="U940" s="1"/>
      <c r="V940" s="1"/>
    </row>
    <row r="941" ht="15.75" customHeight="1">
      <c r="A941" s="53"/>
      <c r="B941" s="54" t="s">
        <v>18</v>
      </c>
      <c r="C941" s="197" t="s">
        <v>626</v>
      </c>
      <c r="D941" s="198" t="s">
        <v>22</v>
      </c>
      <c r="E941" s="205" t="s">
        <v>627</v>
      </c>
      <c r="F941" s="56">
        <v>4.0</v>
      </c>
      <c r="G941" s="159">
        <v>63.6</v>
      </c>
      <c r="H941" s="57">
        <f t="shared" si="24"/>
        <v>254.4</v>
      </c>
      <c r="I941" s="58"/>
      <c r="J941" s="58"/>
      <c r="K941" s="54"/>
      <c r="L941" s="54"/>
      <c r="M941" s="54"/>
      <c r="N941" s="54"/>
      <c r="O941" s="54"/>
      <c r="P941" s="54"/>
      <c r="Q941" s="1"/>
      <c r="R941" s="1"/>
      <c r="S941" s="1"/>
      <c r="T941" s="1"/>
      <c r="U941" s="1"/>
      <c r="V941" s="1"/>
    </row>
    <row r="942" ht="15.75" hidden="1" customHeight="1">
      <c r="A942" s="281"/>
      <c r="B942" s="120"/>
      <c r="C942" s="282" t="s">
        <v>442</v>
      </c>
      <c r="D942" s="283" t="s">
        <v>22</v>
      </c>
      <c r="E942" s="120"/>
      <c r="F942" s="284">
        <v>0.0</v>
      </c>
      <c r="G942" s="285">
        <v>30.0</v>
      </c>
      <c r="H942" s="285">
        <f t="shared" si="24"/>
        <v>0</v>
      </c>
      <c r="I942" s="286"/>
      <c r="J942" s="286"/>
      <c r="K942" s="120"/>
      <c r="L942" s="120"/>
      <c r="M942" s="120"/>
      <c r="N942" s="120"/>
      <c r="O942" s="120"/>
      <c r="P942" s="120"/>
      <c r="Q942" s="182"/>
      <c r="R942" s="182"/>
      <c r="S942" s="182"/>
      <c r="T942" s="182"/>
      <c r="U942" s="182"/>
      <c r="V942" s="182"/>
    </row>
    <row r="943" ht="15.75" customHeight="1">
      <c r="A943" s="53"/>
      <c r="B943" s="54" t="s">
        <v>399</v>
      </c>
      <c r="C943" s="197" t="s">
        <v>364</v>
      </c>
      <c r="D943" s="198" t="s">
        <v>22</v>
      </c>
      <c r="E943" s="54" t="s">
        <v>365</v>
      </c>
      <c r="F943" s="56">
        <v>4.0</v>
      </c>
      <c r="G943" s="57">
        <v>6.0</v>
      </c>
      <c r="H943" s="57">
        <f t="shared" si="24"/>
        <v>24</v>
      </c>
      <c r="I943" s="58"/>
      <c r="J943" s="58"/>
      <c r="K943" s="54"/>
      <c r="L943" s="54"/>
      <c r="M943" s="54"/>
      <c r="N943" s="54"/>
      <c r="O943" s="54"/>
      <c r="P943" s="54"/>
      <c r="Q943" s="1"/>
      <c r="R943" s="1"/>
      <c r="S943" s="1"/>
      <c r="T943" s="1"/>
      <c r="U943" s="1"/>
      <c r="V943" s="1"/>
    </row>
    <row r="944" ht="15.75" customHeight="1">
      <c r="A944" s="53"/>
      <c r="B944" s="54" t="s">
        <v>18</v>
      </c>
      <c r="C944" s="197" t="s">
        <v>400</v>
      </c>
      <c r="D944" s="198" t="s">
        <v>22</v>
      </c>
      <c r="E944" s="205" t="s">
        <v>628</v>
      </c>
      <c r="F944" s="56">
        <v>2.0</v>
      </c>
      <c r="G944" s="159">
        <v>20.4</v>
      </c>
      <c r="H944" s="57">
        <f t="shared" si="24"/>
        <v>40.8</v>
      </c>
      <c r="I944" s="58"/>
      <c r="J944" s="58"/>
      <c r="K944" s="54"/>
      <c r="L944" s="54"/>
      <c r="M944" s="54"/>
      <c r="N944" s="54"/>
      <c r="O944" s="54"/>
      <c r="P944" s="54"/>
      <c r="Q944" s="1"/>
      <c r="R944" s="1"/>
      <c r="S944" s="1"/>
      <c r="T944" s="1"/>
      <c r="U944" s="1"/>
      <c r="V944" s="1"/>
    </row>
    <row r="945" ht="15.75" customHeight="1">
      <c r="A945" s="53"/>
      <c r="B945" s="54" t="s">
        <v>18</v>
      </c>
      <c r="C945" s="197" t="s">
        <v>258</v>
      </c>
      <c r="D945" s="198" t="s">
        <v>22</v>
      </c>
      <c r="E945" s="201" t="s">
        <v>629</v>
      </c>
      <c r="F945" s="56">
        <v>1.0</v>
      </c>
      <c r="G945" s="159">
        <v>49.2</v>
      </c>
      <c r="H945" s="57">
        <f t="shared" si="24"/>
        <v>49.2</v>
      </c>
      <c r="I945" s="58"/>
      <c r="J945" s="58"/>
      <c r="K945" s="54"/>
      <c r="L945" s="54"/>
      <c r="M945" s="54"/>
      <c r="N945" s="54"/>
      <c r="O945" s="54"/>
      <c r="P945" s="54"/>
      <c r="Q945" s="1"/>
      <c r="R945" s="1"/>
      <c r="S945" s="1"/>
      <c r="T945" s="1"/>
      <c r="U945" s="1"/>
      <c r="V945" s="1"/>
    </row>
    <row r="946" ht="15.75" hidden="1" customHeight="1">
      <c r="A946" s="53"/>
      <c r="B946" s="54" t="s">
        <v>18</v>
      </c>
      <c r="C946" s="197" t="s">
        <v>258</v>
      </c>
      <c r="D946" s="198" t="s">
        <v>22</v>
      </c>
      <c r="E946" s="54"/>
      <c r="F946" s="158">
        <v>0.0</v>
      </c>
      <c r="G946" s="57">
        <v>300.0</v>
      </c>
      <c r="H946" s="57">
        <f t="shared" si="24"/>
        <v>0</v>
      </c>
      <c r="I946" s="58"/>
      <c r="J946" s="58"/>
      <c r="K946" s="54"/>
      <c r="L946" s="54"/>
      <c r="M946" s="54"/>
      <c r="N946" s="54"/>
      <c r="O946" s="54"/>
      <c r="P946" s="54"/>
      <c r="Q946" s="1"/>
      <c r="R946" s="1"/>
      <c r="S946" s="1"/>
      <c r="T946" s="1"/>
      <c r="U946" s="1"/>
      <c r="V946" s="1"/>
    </row>
    <row r="947" ht="15.75" customHeight="1">
      <c r="A947" s="53"/>
      <c r="B947" s="54" t="s">
        <v>18</v>
      </c>
      <c r="C947" s="197" t="s">
        <v>258</v>
      </c>
      <c r="D947" s="198" t="s">
        <v>22</v>
      </c>
      <c r="E947" s="205" t="s">
        <v>630</v>
      </c>
      <c r="F947" s="56">
        <v>2.0</v>
      </c>
      <c r="G947" s="159">
        <v>36.0</v>
      </c>
      <c r="H947" s="57">
        <f t="shared" si="24"/>
        <v>72</v>
      </c>
      <c r="I947" s="58"/>
      <c r="J947" s="58"/>
      <c r="K947" s="54"/>
      <c r="L947" s="54"/>
      <c r="M947" s="54"/>
      <c r="N947" s="54"/>
      <c r="O947" s="54"/>
      <c r="P947" s="54"/>
      <c r="Q947" s="1"/>
      <c r="R947" s="1"/>
      <c r="S947" s="1"/>
      <c r="T947" s="1"/>
      <c r="U947" s="1"/>
      <c r="V947" s="1"/>
    </row>
    <row r="948" ht="15.75" customHeight="1">
      <c r="A948" s="53"/>
      <c r="B948" s="54" t="s">
        <v>18</v>
      </c>
      <c r="C948" s="197" t="s">
        <v>258</v>
      </c>
      <c r="D948" s="198" t="s">
        <v>22</v>
      </c>
      <c r="E948" s="201" t="s">
        <v>975</v>
      </c>
      <c r="F948" s="56">
        <v>1.0</v>
      </c>
      <c r="G948" s="57">
        <v>27.0</v>
      </c>
      <c r="H948" s="57">
        <f t="shared" si="24"/>
        <v>27</v>
      </c>
      <c r="I948" s="58"/>
      <c r="J948" s="58"/>
      <c r="K948" s="54"/>
      <c r="L948" s="54"/>
      <c r="M948" s="54"/>
      <c r="N948" s="54"/>
      <c r="O948" s="54"/>
      <c r="P948" s="54"/>
      <c r="Q948" s="1"/>
      <c r="R948" s="1"/>
      <c r="S948" s="1"/>
      <c r="T948" s="1"/>
      <c r="U948" s="1"/>
      <c r="V948" s="1"/>
    </row>
    <row r="949" ht="15.75" customHeight="1">
      <c r="A949" s="53"/>
      <c r="B949" s="54" t="s">
        <v>239</v>
      </c>
      <c r="C949" s="203" t="s">
        <v>406</v>
      </c>
      <c r="D949" s="55" t="s">
        <v>20</v>
      </c>
      <c r="E949" s="54"/>
      <c r="F949" s="56">
        <v>1.0</v>
      </c>
      <c r="G949" s="159">
        <v>300.0</v>
      </c>
      <c r="H949" s="57">
        <f t="shared" si="24"/>
        <v>300</v>
      </c>
      <c r="I949" s="58"/>
      <c r="J949" s="58"/>
      <c r="K949" s="54"/>
      <c r="L949" s="54"/>
      <c r="M949" s="54"/>
      <c r="N949" s="54"/>
      <c r="O949" s="54"/>
      <c r="P949" s="54"/>
      <c r="Q949" s="1"/>
      <c r="R949" s="1"/>
      <c r="S949" s="1"/>
      <c r="T949" s="1"/>
      <c r="U949" s="1"/>
      <c r="V949" s="1"/>
    </row>
    <row r="950" ht="15.75" hidden="1" customHeight="1">
      <c r="A950" s="53"/>
      <c r="B950" s="54"/>
      <c r="C950" s="169" t="s">
        <v>323</v>
      </c>
      <c r="D950" s="216" t="s">
        <v>24</v>
      </c>
      <c r="E950" s="54"/>
      <c r="F950" s="56">
        <v>0.0</v>
      </c>
      <c r="G950" s="57">
        <v>80.0</v>
      </c>
      <c r="H950" s="57">
        <f t="shared" si="24"/>
        <v>0</v>
      </c>
      <c r="I950" s="58"/>
      <c r="J950" s="58"/>
      <c r="K950" s="54"/>
      <c r="L950" s="54"/>
      <c r="M950" s="54"/>
      <c r="N950" s="54"/>
      <c r="O950" s="54"/>
      <c r="P950" s="54"/>
      <c r="Q950" s="1"/>
      <c r="R950" s="1"/>
      <c r="S950" s="1"/>
      <c r="T950" s="1"/>
      <c r="U950" s="1"/>
      <c r="V950" s="1"/>
    </row>
    <row r="951" ht="15.75" hidden="1" customHeight="1">
      <c r="A951" s="53"/>
      <c r="B951" s="54"/>
      <c r="C951" s="197" t="s">
        <v>324</v>
      </c>
      <c r="D951" s="55" t="s">
        <v>20</v>
      </c>
      <c r="E951" s="54"/>
      <c r="F951" s="56">
        <v>0.0</v>
      </c>
      <c r="G951" s="57">
        <v>35.0</v>
      </c>
      <c r="H951" s="57">
        <f t="shared" si="24"/>
        <v>0</v>
      </c>
      <c r="I951" s="58"/>
      <c r="J951" s="58"/>
      <c r="K951" s="54"/>
      <c r="L951" s="54"/>
      <c r="M951" s="202"/>
      <c r="N951" s="54"/>
      <c r="O951" s="202"/>
      <c r="P951" s="202"/>
      <c r="Q951" s="1"/>
      <c r="R951" s="1"/>
      <c r="S951" s="1"/>
      <c r="T951" s="1"/>
      <c r="U951" s="1"/>
      <c r="V951" s="1"/>
    </row>
    <row r="952" ht="15.75" hidden="1" customHeight="1">
      <c r="A952" s="53"/>
      <c r="B952" s="54"/>
      <c r="C952" s="197" t="s">
        <v>469</v>
      </c>
      <c r="D952" s="216" t="s">
        <v>24</v>
      </c>
      <c r="E952" s="54"/>
      <c r="F952" s="56">
        <v>0.0</v>
      </c>
      <c r="G952" s="57">
        <v>290.0</v>
      </c>
      <c r="H952" s="57">
        <f t="shared" si="24"/>
        <v>0</v>
      </c>
      <c r="I952" s="58"/>
      <c r="J952" s="58"/>
      <c r="K952" s="54"/>
      <c r="L952" s="252"/>
      <c r="M952" s="252"/>
      <c r="N952" s="252"/>
      <c r="O952" s="252"/>
      <c r="P952" s="252"/>
      <c r="Q952" s="1"/>
      <c r="R952" s="1"/>
      <c r="S952" s="1"/>
      <c r="T952" s="1"/>
      <c r="U952" s="1"/>
      <c r="V952" s="1"/>
    </row>
    <row r="953" ht="15.75" hidden="1" customHeight="1">
      <c r="A953" s="53"/>
      <c r="B953" s="54"/>
      <c r="C953" s="197" t="s">
        <v>470</v>
      </c>
      <c r="D953" s="55" t="s">
        <v>20</v>
      </c>
      <c r="E953" s="54"/>
      <c r="F953" s="56">
        <v>0.0</v>
      </c>
      <c r="G953" s="57">
        <v>150.0</v>
      </c>
      <c r="H953" s="57">
        <f t="shared" si="24"/>
        <v>0</v>
      </c>
      <c r="I953" s="58"/>
      <c r="J953" s="58"/>
      <c r="K953" s="54"/>
      <c r="L953" s="54"/>
      <c r="M953" s="202"/>
      <c r="N953" s="54"/>
      <c r="O953" s="202"/>
      <c r="P953" s="202"/>
      <c r="Q953" s="1"/>
      <c r="R953" s="1"/>
      <c r="S953" s="1"/>
      <c r="T953" s="1"/>
      <c r="U953" s="1"/>
      <c r="V953" s="1"/>
    </row>
    <row r="954" ht="15.75" hidden="1" customHeight="1">
      <c r="A954" s="53"/>
      <c r="B954" s="54"/>
      <c r="C954" s="197" t="s">
        <v>471</v>
      </c>
      <c r="D954" s="216" t="s">
        <v>24</v>
      </c>
      <c r="E954" s="54"/>
      <c r="F954" s="56">
        <v>0.0</v>
      </c>
      <c r="G954" s="57">
        <v>250.0</v>
      </c>
      <c r="H954" s="57">
        <f t="shared" si="24"/>
        <v>0</v>
      </c>
      <c r="I954" s="58"/>
      <c r="J954" s="58"/>
      <c r="K954" s="54"/>
      <c r="L954" s="54"/>
      <c r="M954" s="202"/>
      <c r="N954" s="54"/>
      <c r="O954" s="202"/>
      <c r="P954" s="202"/>
      <c r="Q954" s="1"/>
      <c r="R954" s="1"/>
      <c r="S954" s="1"/>
      <c r="T954" s="1"/>
      <c r="U954" s="1"/>
      <c r="V954" s="1"/>
    </row>
    <row r="955" ht="15.75" hidden="1" customHeight="1">
      <c r="A955" s="53"/>
      <c r="B955" s="54"/>
      <c r="C955" s="274" t="s">
        <v>472</v>
      </c>
      <c r="D955" s="55" t="s">
        <v>20</v>
      </c>
      <c r="E955" s="54"/>
      <c r="F955" s="56">
        <v>0.0</v>
      </c>
      <c r="G955" s="57">
        <v>150.0</v>
      </c>
      <c r="H955" s="57">
        <f t="shared" si="24"/>
        <v>0</v>
      </c>
      <c r="I955" s="58"/>
      <c r="J955" s="58"/>
      <c r="K955" s="54"/>
      <c r="L955" s="54"/>
      <c r="M955" s="202"/>
      <c r="N955" s="54"/>
      <c r="O955" s="202"/>
      <c r="P955" s="202"/>
      <c r="Q955" s="1"/>
      <c r="R955" s="1"/>
      <c r="S955" s="1"/>
      <c r="T955" s="1"/>
      <c r="U955" s="1"/>
      <c r="V955" s="1"/>
    </row>
    <row r="956" ht="15.75" hidden="1" customHeight="1">
      <c r="A956" s="53"/>
      <c r="B956" s="54" t="s">
        <v>18</v>
      </c>
      <c r="C956" s="197" t="s">
        <v>309</v>
      </c>
      <c r="D956" s="55" t="s">
        <v>20</v>
      </c>
      <c r="E956" s="208" t="s">
        <v>473</v>
      </c>
      <c r="F956" s="56">
        <v>0.0</v>
      </c>
      <c r="G956" s="57">
        <v>20.0</v>
      </c>
      <c r="H956" s="57">
        <f t="shared" si="24"/>
        <v>0</v>
      </c>
      <c r="I956" s="58"/>
      <c r="J956" s="58"/>
      <c r="K956" s="54"/>
      <c r="L956" s="54"/>
      <c r="M956" s="202"/>
      <c r="N956" s="54"/>
      <c r="O956" s="202"/>
      <c r="P956" s="202"/>
      <c r="Q956" s="1"/>
      <c r="R956" s="1"/>
      <c r="S956" s="1"/>
      <c r="T956" s="1"/>
      <c r="U956" s="1"/>
      <c r="V956" s="1"/>
    </row>
    <row r="957" ht="15.75" hidden="1" customHeight="1">
      <c r="A957" s="53"/>
      <c r="B957" s="54" t="s">
        <v>18</v>
      </c>
      <c r="C957" s="197" t="s">
        <v>474</v>
      </c>
      <c r="D957" s="55" t="s">
        <v>20</v>
      </c>
      <c r="E957" s="208" t="s">
        <v>475</v>
      </c>
      <c r="F957" s="56">
        <v>0.0</v>
      </c>
      <c r="G957" s="57">
        <v>24.0</v>
      </c>
      <c r="H957" s="57">
        <f t="shared" si="24"/>
        <v>0</v>
      </c>
      <c r="I957" s="58"/>
      <c r="J957" s="58"/>
      <c r="K957" s="54"/>
      <c r="L957" s="54"/>
      <c r="M957" s="202"/>
      <c r="N957" s="54"/>
      <c r="O957" s="202"/>
      <c r="P957" s="202"/>
      <c r="Q957" s="1"/>
      <c r="R957" s="1"/>
      <c r="S957" s="1"/>
      <c r="T957" s="1"/>
      <c r="U957" s="1"/>
      <c r="V957" s="1"/>
    </row>
    <row r="958" ht="15.75" hidden="1" customHeight="1">
      <c r="A958" s="53"/>
      <c r="B958" s="54"/>
      <c r="C958" s="197" t="s">
        <v>258</v>
      </c>
      <c r="D958" s="198" t="s">
        <v>22</v>
      </c>
      <c r="E958" s="54"/>
      <c r="F958" s="56">
        <v>0.0</v>
      </c>
      <c r="G958" s="57">
        <v>150.0</v>
      </c>
      <c r="H958" s="57">
        <f t="shared" si="24"/>
        <v>0</v>
      </c>
      <c r="I958" s="58"/>
      <c r="J958" s="58"/>
      <c r="K958" s="54"/>
      <c r="L958" s="54"/>
      <c r="M958" s="54"/>
      <c r="N958" s="54"/>
      <c r="O958" s="202"/>
      <c r="P958" s="202"/>
      <c r="Q958" s="1"/>
      <c r="R958" s="1"/>
      <c r="S958" s="1"/>
      <c r="T958" s="1"/>
      <c r="U958" s="1"/>
      <c r="V958" s="1"/>
    </row>
    <row r="959" ht="15.75" hidden="1" customHeight="1">
      <c r="A959" s="53"/>
      <c r="B959" s="54" t="s">
        <v>18</v>
      </c>
      <c r="C959" s="197" t="s">
        <v>476</v>
      </c>
      <c r="D959" s="198" t="s">
        <v>22</v>
      </c>
      <c r="E959" s="208" t="s">
        <v>477</v>
      </c>
      <c r="F959" s="56">
        <v>0.0</v>
      </c>
      <c r="G959" s="57">
        <v>15.0</v>
      </c>
      <c r="H959" s="57">
        <f t="shared" si="24"/>
        <v>0</v>
      </c>
      <c r="I959" s="58"/>
      <c r="J959" s="58"/>
      <c r="K959" s="54"/>
      <c r="L959" s="54"/>
      <c r="M959" s="54"/>
      <c r="N959" s="54"/>
      <c r="O959" s="54"/>
      <c r="P959" s="54"/>
      <c r="Q959" s="1"/>
      <c r="R959" s="1"/>
      <c r="S959" s="1"/>
      <c r="T959" s="1"/>
      <c r="U959" s="1"/>
      <c r="V959" s="1"/>
    </row>
    <row r="960" ht="15.75" hidden="1" customHeight="1">
      <c r="A960" s="53"/>
      <c r="B960" s="54"/>
      <c r="C960" s="197" t="s">
        <v>478</v>
      </c>
      <c r="D960" s="55" t="s">
        <v>20</v>
      </c>
      <c r="E960" s="54"/>
      <c r="F960" s="56">
        <v>0.0</v>
      </c>
      <c r="G960" s="57">
        <v>500.0</v>
      </c>
      <c r="H960" s="57">
        <f t="shared" si="24"/>
        <v>0</v>
      </c>
      <c r="I960" s="58"/>
      <c r="J960" s="58"/>
      <c r="K960" s="54"/>
      <c r="L960" s="54"/>
      <c r="M960" s="54"/>
      <c r="N960" s="54"/>
      <c r="O960" s="54"/>
      <c r="P960" s="54"/>
      <c r="Q960" s="1"/>
      <c r="R960" s="1"/>
      <c r="S960" s="1"/>
      <c r="T960" s="1"/>
      <c r="U960" s="1"/>
      <c r="V960" s="1"/>
    </row>
    <row r="961" ht="15.75" hidden="1" customHeight="1">
      <c r="A961" s="53"/>
      <c r="B961" s="54"/>
      <c r="C961" s="54" t="s">
        <v>479</v>
      </c>
      <c r="D961" s="216" t="s">
        <v>24</v>
      </c>
      <c r="E961" s="54"/>
      <c r="F961" s="56">
        <v>0.0</v>
      </c>
      <c r="G961" s="57">
        <v>210.0</v>
      </c>
      <c r="H961" s="57">
        <f t="shared" si="24"/>
        <v>0</v>
      </c>
      <c r="I961" s="58"/>
      <c r="J961" s="58"/>
      <c r="K961" s="54"/>
      <c r="L961" s="252"/>
      <c r="M961" s="252"/>
      <c r="N961" s="252"/>
      <c r="O961" s="252"/>
      <c r="P961" s="252"/>
      <c r="Q961" s="1"/>
      <c r="R961" s="1"/>
      <c r="S961" s="1"/>
      <c r="T961" s="1"/>
      <c r="U961" s="1"/>
      <c r="V961" s="1"/>
    </row>
    <row r="962" ht="15.75" hidden="1" customHeight="1">
      <c r="A962" s="53"/>
      <c r="B962" s="54"/>
      <c r="C962" s="197" t="s">
        <v>480</v>
      </c>
      <c r="D962" s="55" t="s">
        <v>20</v>
      </c>
      <c r="E962" s="54"/>
      <c r="F962" s="56">
        <v>0.0</v>
      </c>
      <c r="G962" s="57">
        <v>155.0</v>
      </c>
      <c r="H962" s="57">
        <f t="shared" si="24"/>
        <v>0</v>
      </c>
      <c r="I962" s="58"/>
      <c r="J962" s="58"/>
      <c r="K962" s="54"/>
      <c r="L962" s="54"/>
      <c r="M962" s="54"/>
      <c r="N962" s="54"/>
      <c r="O962" s="54"/>
      <c r="P962" s="54"/>
      <c r="Q962" s="1"/>
      <c r="R962" s="1"/>
      <c r="S962" s="1"/>
      <c r="T962" s="1"/>
      <c r="U962" s="1"/>
      <c r="V962" s="1"/>
    </row>
    <row r="963" ht="15.75" hidden="1" customHeight="1">
      <c r="A963" s="53"/>
      <c r="B963" s="54"/>
      <c r="C963" s="197" t="s">
        <v>481</v>
      </c>
      <c r="D963" s="216" t="s">
        <v>24</v>
      </c>
      <c r="E963" s="54"/>
      <c r="F963" s="56">
        <v>0.0</v>
      </c>
      <c r="G963" s="57">
        <v>70.0</v>
      </c>
      <c r="H963" s="57">
        <f t="shared" si="24"/>
        <v>0</v>
      </c>
      <c r="I963" s="58"/>
      <c r="J963" s="58"/>
      <c r="K963" s="54"/>
      <c r="L963" s="54"/>
      <c r="M963" s="202"/>
      <c r="N963" s="54"/>
      <c r="O963" s="202"/>
      <c r="P963" s="202"/>
      <c r="Q963" s="1"/>
      <c r="R963" s="1"/>
      <c r="S963" s="1"/>
      <c r="T963" s="1"/>
      <c r="U963" s="1"/>
      <c r="V963" s="1"/>
    </row>
    <row r="964" ht="15.75" hidden="1" customHeight="1">
      <c r="A964" s="53"/>
      <c r="B964" s="54"/>
      <c r="C964" s="197" t="s">
        <v>482</v>
      </c>
      <c r="D964" s="55" t="s">
        <v>20</v>
      </c>
      <c r="E964" s="54"/>
      <c r="F964" s="56">
        <v>0.0</v>
      </c>
      <c r="G964" s="57">
        <v>400.0</v>
      </c>
      <c r="H964" s="57">
        <f t="shared" si="24"/>
        <v>0</v>
      </c>
      <c r="I964" s="58"/>
      <c r="J964" s="58"/>
      <c r="K964" s="54"/>
      <c r="L964" s="54"/>
      <c r="M964" s="202"/>
      <c r="N964" s="54"/>
      <c r="O964" s="202"/>
      <c r="P964" s="202"/>
      <c r="Q964" s="1"/>
      <c r="R964" s="1"/>
      <c r="S964" s="1"/>
      <c r="T964" s="1"/>
      <c r="U964" s="1"/>
      <c r="V964" s="1"/>
    </row>
    <row r="965" ht="15.75" hidden="1" customHeight="1">
      <c r="A965" s="53"/>
      <c r="B965" s="54"/>
      <c r="C965" s="197" t="s">
        <v>483</v>
      </c>
      <c r="D965" s="55" t="s">
        <v>20</v>
      </c>
      <c r="E965" s="54"/>
      <c r="F965" s="56">
        <v>0.0</v>
      </c>
      <c r="G965" s="57">
        <v>440.0</v>
      </c>
      <c r="H965" s="57">
        <f t="shared" si="24"/>
        <v>0</v>
      </c>
      <c r="I965" s="58"/>
      <c r="J965" s="58"/>
      <c r="K965" s="54"/>
      <c r="L965" s="54"/>
      <c r="M965" s="202"/>
      <c r="N965" s="54"/>
      <c r="O965" s="202"/>
      <c r="P965" s="202"/>
      <c r="Q965" s="1"/>
      <c r="R965" s="1"/>
      <c r="S965" s="1"/>
      <c r="T965" s="1"/>
      <c r="U965" s="1"/>
      <c r="V965" s="1"/>
    </row>
    <row r="966" ht="15.75" hidden="1" customHeight="1">
      <c r="A966" s="53"/>
      <c r="B966" s="54"/>
      <c r="C966" s="197" t="s">
        <v>484</v>
      </c>
      <c r="D966" s="216" t="s">
        <v>24</v>
      </c>
      <c r="E966" s="54"/>
      <c r="F966" s="56">
        <v>0.0</v>
      </c>
      <c r="G966" s="57">
        <v>90.0</v>
      </c>
      <c r="H966" s="57">
        <f t="shared" si="24"/>
        <v>0</v>
      </c>
      <c r="I966" s="58"/>
      <c r="J966" s="58"/>
      <c r="K966" s="54"/>
      <c r="L966" s="252"/>
      <c r="M966" s="275"/>
      <c r="N966" s="252"/>
      <c r="O966" s="275"/>
      <c r="P966" s="275"/>
      <c r="Q966" s="1"/>
      <c r="R966" s="1"/>
      <c r="S966" s="1"/>
      <c r="T966" s="1"/>
      <c r="U966" s="1"/>
      <c r="V966" s="1"/>
    </row>
    <row r="967" ht="15.75" hidden="1" customHeight="1">
      <c r="A967" s="53"/>
      <c r="B967" s="54"/>
      <c r="C967" s="197" t="s">
        <v>485</v>
      </c>
      <c r="D967" s="55" t="s">
        <v>20</v>
      </c>
      <c r="E967" s="54"/>
      <c r="F967" s="56">
        <v>0.0</v>
      </c>
      <c r="G967" s="57">
        <v>100.0</v>
      </c>
      <c r="H967" s="57">
        <f t="shared" si="24"/>
        <v>0</v>
      </c>
      <c r="I967" s="58"/>
      <c r="J967" s="58"/>
      <c r="K967" s="54"/>
      <c r="L967" s="252"/>
      <c r="M967" s="275"/>
      <c r="N967" s="252"/>
      <c r="O967" s="275"/>
      <c r="P967" s="275"/>
      <c r="Q967" s="1"/>
      <c r="R967" s="1"/>
      <c r="S967" s="1"/>
      <c r="T967" s="1"/>
      <c r="U967" s="1"/>
      <c r="V967" s="1"/>
    </row>
    <row r="968" ht="15.75" hidden="1" customHeight="1">
      <c r="A968" s="53"/>
      <c r="B968" s="54"/>
      <c r="C968" s="54" t="s">
        <v>486</v>
      </c>
      <c r="D968" s="55" t="s">
        <v>20</v>
      </c>
      <c r="E968" s="54"/>
      <c r="F968" s="56">
        <v>0.0</v>
      </c>
      <c r="G968" s="57">
        <v>30.0</v>
      </c>
      <c r="H968" s="57">
        <f t="shared" si="24"/>
        <v>0</v>
      </c>
      <c r="I968" s="58"/>
      <c r="J968" s="58"/>
      <c r="K968" s="54"/>
      <c r="L968" s="252"/>
      <c r="M968" s="275"/>
      <c r="N968" s="252"/>
      <c r="O968" s="275"/>
      <c r="P968" s="275"/>
      <c r="Q968" s="1"/>
      <c r="R968" s="1"/>
      <c r="S968" s="1"/>
      <c r="T968" s="1"/>
      <c r="U968" s="1"/>
      <c r="V968" s="1"/>
    </row>
    <row r="969" ht="15.75" hidden="1" customHeight="1">
      <c r="A969" s="53"/>
      <c r="B969" s="54"/>
      <c r="C969" s="54" t="s">
        <v>487</v>
      </c>
      <c r="D969" s="55" t="s">
        <v>20</v>
      </c>
      <c r="E969" s="54"/>
      <c r="F969" s="56">
        <v>0.0</v>
      </c>
      <c r="G969" s="57">
        <v>30.0</v>
      </c>
      <c r="H969" s="57">
        <f t="shared" si="24"/>
        <v>0</v>
      </c>
      <c r="I969" s="58"/>
      <c r="J969" s="58"/>
      <c r="K969" s="54"/>
      <c r="L969" s="252"/>
      <c r="M969" s="275"/>
      <c r="N969" s="252"/>
      <c r="O969" s="275"/>
      <c r="P969" s="275"/>
      <c r="Q969" s="1"/>
      <c r="R969" s="1"/>
      <c r="S969" s="1"/>
      <c r="T969" s="1"/>
      <c r="U969" s="1"/>
      <c r="V969" s="1"/>
    </row>
    <row r="970" ht="15.75" hidden="1" customHeight="1">
      <c r="A970" s="53"/>
      <c r="B970" s="54"/>
      <c r="C970" s="54" t="s">
        <v>488</v>
      </c>
      <c r="D970" s="55" t="s">
        <v>20</v>
      </c>
      <c r="E970" s="54"/>
      <c r="F970" s="56">
        <v>0.0</v>
      </c>
      <c r="G970" s="57">
        <v>850.0</v>
      </c>
      <c r="H970" s="57">
        <f t="shared" si="24"/>
        <v>0</v>
      </c>
      <c r="I970" s="58"/>
      <c r="J970" s="58"/>
      <c r="K970" s="54"/>
      <c r="L970" s="252"/>
      <c r="M970" s="275"/>
      <c r="N970" s="252"/>
      <c r="O970" s="275"/>
      <c r="P970" s="275"/>
      <c r="Q970" s="1"/>
      <c r="R970" s="1"/>
      <c r="S970" s="1"/>
      <c r="T970" s="1"/>
      <c r="U970" s="1"/>
      <c r="V970" s="1"/>
    </row>
    <row r="971" ht="15.75" hidden="1" customHeight="1">
      <c r="A971" s="53"/>
      <c r="B971" s="54"/>
      <c r="C971" s="54" t="s">
        <v>489</v>
      </c>
      <c r="D971" s="216" t="s">
        <v>24</v>
      </c>
      <c r="E971" s="54"/>
      <c r="F971" s="56">
        <v>0.0</v>
      </c>
      <c r="G971" s="57">
        <v>460.0</v>
      </c>
      <c r="H971" s="57">
        <f t="shared" si="24"/>
        <v>0</v>
      </c>
      <c r="I971" s="58"/>
      <c r="J971" s="58"/>
      <c r="K971" s="54"/>
      <c r="L971" s="252"/>
      <c r="M971" s="275"/>
      <c r="N971" s="252"/>
      <c r="O971" s="275"/>
      <c r="P971" s="275"/>
      <c r="Q971" s="1"/>
      <c r="R971" s="1"/>
      <c r="S971" s="1"/>
      <c r="T971" s="1"/>
      <c r="U971" s="1"/>
      <c r="V971" s="1"/>
    </row>
    <row r="972" ht="15.75" hidden="1" customHeight="1">
      <c r="A972" s="53"/>
      <c r="B972" s="54"/>
      <c r="C972" s="197" t="s">
        <v>490</v>
      </c>
      <c r="D972" s="198" t="s">
        <v>22</v>
      </c>
      <c r="E972" s="54"/>
      <c r="F972" s="56">
        <v>0.0</v>
      </c>
      <c r="G972" s="57">
        <v>0.0</v>
      </c>
      <c r="H972" s="57">
        <f t="shared" si="24"/>
        <v>0</v>
      </c>
      <c r="I972" s="58"/>
      <c r="J972" s="58"/>
      <c r="K972" s="54"/>
      <c r="L972" s="54"/>
      <c r="M972" s="202"/>
      <c r="N972" s="54"/>
      <c r="O972" s="202"/>
      <c r="P972" s="202"/>
      <c r="Q972" s="1"/>
      <c r="R972" s="1"/>
      <c r="S972" s="1"/>
      <c r="T972" s="1"/>
      <c r="U972" s="1"/>
      <c r="V972" s="1"/>
    </row>
    <row r="973" ht="15.75" customHeight="1">
      <c r="A973" s="53"/>
      <c r="B973" s="54" t="s">
        <v>18</v>
      </c>
      <c r="C973" s="197" t="s">
        <v>491</v>
      </c>
      <c r="D973" s="198" t="s">
        <v>22</v>
      </c>
      <c r="E973" s="33" t="s">
        <v>632</v>
      </c>
      <c r="F973" s="16">
        <v>2.0</v>
      </c>
      <c r="G973" s="226">
        <v>134.4</v>
      </c>
      <c r="H973" s="17">
        <f t="shared" si="24"/>
        <v>268.8</v>
      </c>
      <c r="I973" s="58"/>
      <c r="J973" s="58"/>
      <c r="K973" s="54"/>
      <c r="L973" s="54"/>
      <c r="M973" s="202"/>
      <c r="N973" s="54"/>
      <c r="O973" s="202"/>
      <c r="P973" s="202"/>
      <c r="Q973" s="1"/>
      <c r="R973" s="1"/>
      <c r="S973" s="1"/>
      <c r="T973" s="1"/>
      <c r="U973" s="1"/>
      <c r="V973" s="1"/>
    </row>
    <row r="974" ht="15.75" hidden="1" customHeight="1">
      <c r="A974" s="53"/>
      <c r="B974" s="43" t="s">
        <v>350</v>
      </c>
      <c r="C974" s="197" t="s">
        <v>493</v>
      </c>
      <c r="D974" s="198" t="s">
        <v>22</v>
      </c>
      <c r="E974" s="154" t="s">
        <v>494</v>
      </c>
      <c r="F974" s="16">
        <v>0.0</v>
      </c>
      <c r="G974" s="227">
        <v>86.0</v>
      </c>
      <c r="H974" s="17">
        <f t="shared" si="24"/>
        <v>0</v>
      </c>
      <c r="I974" s="58"/>
      <c r="J974" s="58"/>
      <c r="K974" s="54"/>
      <c r="L974" s="54"/>
      <c r="M974" s="202"/>
      <c r="N974" s="54"/>
      <c r="O974" s="202"/>
      <c r="P974" s="202"/>
      <c r="Q974" s="1"/>
      <c r="R974" s="1"/>
      <c r="S974" s="1"/>
      <c r="T974" s="1"/>
      <c r="U974" s="1"/>
      <c r="V974" s="1"/>
    </row>
    <row r="975" ht="15.75" hidden="1" customHeight="1">
      <c r="A975" s="53"/>
      <c r="B975" s="54"/>
      <c r="C975" s="197" t="s">
        <v>495</v>
      </c>
      <c r="D975" s="198" t="s">
        <v>22</v>
      </c>
      <c r="E975" s="15"/>
      <c r="F975" s="16">
        <v>0.0</v>
      </c>
      <c r="G975" s="249">
        <v>70.0</v>
      </c>
      <c r="H975" s="17">
        <f t="shared" si="24"/>
        <v>0</v>
      </c>
      <c r="I975" s="58"/>
      <c r="J975" s="58"/>
      <c r="K975" s="54"/>
      <c r="L975" s="54"/>
      <c r="M975" s="202"/>
      <c r="N975" s="54"/>
      <c r="O975" s="202"/>
      <c r="P975" s="202"/>
      <c r="Q975" s="1"/>
      <c r="R975" s="1"/>
      <c r="S975" s="1"/>
      <c r="T975" s="1"/>
      <c r="U975" s="1"/>
      <c r="V975" s="1"/>
    </row>
    <row r="976" ht="15.75" customHeight="1">
      <c r="A976" s="53"/>
      <c r="B976" s="54" t="s">
        <v>18</v>
      </c>
      <c r="C976" s="197" t="s">
        <v>496</v>
      </c>
      <c r="D976" s="198" t="s">
        <v>22</v>
      </c>
      <c r="E976" s="33" t="s">
        <v>633</v>
      </c>
      <c r="F976" s="16">
        <v>2.0</v>
      </c>
      <c r="G976" s="227">
        <v>19.2</v>
      </c>
      <c r="H976" s="17">
        <f t="shared" si="24"/>
        <v>38.4</v>
      </c>
      <c r="I976" s="58"/>
      <c r="J976" s="58"/>
      <c r="K976" s="54"/>
      <c r="L976" s="271"/>
      <c r="M976" s="276"/>
      <c r="N976" s="271"/>
      <c r="O976" s="276"/>
      <c r="P976" s="271"/>
      <c r="Q976" s="1"/>
      <c r="R976" s="1"/>
      <c r="S976" s="1"/>
      <c r="T976" s="1"/>
      <c r="U976" s="1"/>
      <c r="V976" s="1"/>
    </row>
    <row r="977" ht="15.75" hidden="1" customHeight="1">
      <c r="A977" s="53"/>
      <c r="B977" s="54"/>
      <c r="C977" s="197" t="s">
        <v>407</v>
      </c>
      <c r="D977" s="198" t="s">
        <v>22</v>
      </c>
      <c r="E977" s="54"/>
      <c r="F977" s="56">
        <v>0.0</v>
      </c>
      <c r="G977" s="248">
        <v>135.4</v>
      </c>
      <c r="H977" s="57">
        <f t="shared" si="24"/>
        <v>0</v>
      </c>
      <c r="I977" s="58"/>
      <c r="J977" s="58"/>
      <c r="K977" s="54"/>
      <c r="L977" s="271"/>
      <c r="M977" s="276"/>
      <c r="N977" s="271"/>
      <c r="O977" s="276"/>
      <c r="P977" s="271"/>
      <c r="Q977" s="1"/>
      <c r="R977" s="1"/>
      <c r="S977" s="1"/>
      <c r="T977" s="1"/>
      <c r="U977" s="1"/>
      <c r="V977" s="1"/>
    </row>
    <row r="978" ht="15.75" hidden="1" customHeight="1">
      <c r="A978" s="53"/>
      <c r="B978" s="231" t="s">
        <v>350</v>
      </c>
      <c r="C978" s="197" t="s">
        <v>427</v>
      </c>
      <c r="D978" s="198" t="s">
        <v>22</v>
      </c>
      <c r="E978" s="231" t="s">
        <v>428</v>
      </c>
      <c r="F978" s="56">
        <v>0.0</v>
      </c>
      <c r="G978" s="235">
        <v>107.5</v>
      </c>
      <c r="H978" s="57">
        <f t="shared" si="24"/>
        <v>0</v>
      </c>
      <c r="I978" s="58"/>
      <c r="J978" s="58"/>
      <c r="K978" s="54"/>
      <c r="L978" s="271"/>
      <c r="M978" s="276"/>
      <c r="N978" s="271"/>
      <c r="O978" s="276"/>
      <c r="P978" s="271"/>
      <c r="Q978" s="1"/>
      <c r="R978" s="1"/>
      <c r="S978" s="1"/>
      <c r="T978" s="1"/>
      <c r="U978" s="1"/>
      <c r="V978" s="1"/>
    </row>
    <row r="979" ht="15.75" hidden="1" customHeight="1">
      <c r="A979" s="53"/>
      <c r="B979" s="258" t="s">
        <v>350</v>
      </c>
      <c r="C979" s="197" t="s">
        <v>429</v>
      </c>
      <c r="D979" s="198" t="s">
        <v>22</v>
      </c>
      <c r="E979" s="54"/>
      <c r="F979" s="56">
        <v>0.0</v>
      </c>
      <c r="G979" s="277">
        <v>97.0</v>
      </c>
      <c r="H979" s="57">
        <f t="shared" si="24"/>
        <v>0</v>
      </c>
      <c r="I979" s="58"/>
      <c r="J979" s="58"/>
      <c r="K979" s="54"/>
      <c r="L979" s="271"/>
      <c r="M979" s="276"/>
      <c r="N979" s="271"/>
      <c r="O979" s="276"/>
      <c r="P979" s="271"/>
      <c r="Q979" s="1"/>
      <c r="R979" s="1"/>
      <c r="S979" s="1"/>
      <c r="T979" s="1"/>
      <c r="U979" s="1"/>
      <c r="V979" s="1"/>
    </row>
    <row r="980" ht="15.75" hidden="1" customHeight="1">
      <c r="A980" s="53"/>
      <c r="B980" s="54" t="s">
        <v>18</v>
      </c>
      <c r="C980" s="197" t="s">
        <v>409</v>
      </c>
      <c r="D980" s="198" t="s">
        <v>22</v>
      </c>
      <c r="E980" s="54" t="s">
        <v>616</v>
      </c>
      <c r="F980" s="56">
        <v>0.0</v>
      </c>
      <c r="G980" s="57">
        <v>19.99</v>
      </c>
      <c r="H980" s="57">
        <f t="shared" si="24"/>
        <v>0</v>
      </c>
      <c r="I980" s="58"/>
      <c r="J980" s="58"/>
      <c r="K980" s="54"/>
      <c r="L980" s="271"/>
      <c r="M980" s="276"/>
      <c r="N980" s="271"/>
      <c r="O980" s="276"/>
      <c r="P980" s="271"/>
      <c r="Q980" s="1"/>
      <c r="R980" s="1"/>
      <c r="S980" s="1"/>
      <c r="T980" s="1"/>
      <c r="U980" s="1"/>
      <c r="V980" s="1"/>
    </row>
    <row r="981" ht="15.75" hidden="1" customHeight="1">
      <c r="A981" s="53"/>
      <c r="B981" s="54" t="s">
        <v>18</v>
      </c>
      <c r="C981" s="197" t="s">
        <v>500</v>
      </c>
      <c r="D981" s="55" t="s">
        <v>20</v>
      </c>
      <c r="E981" s="54"/>
      <c r="F981" s="56">
        <v>0.0</v>
      </c>
      <c r="G981" s="57">
        <v>5.0</v>
      </c>
      <c r="H981" s="57">
        <f t="shared" si="24"/>
        <v>0</v>
      </c>
      <c r="I981" s="58"/>
      <c r="J981" s="58"/>
      <c r="K981" s="58"/>
      <c r="L981" s="54"/>
      <c r="M981" s="202"/>
      <c r="N981" s="54"/>
      <c r="O981" s="202"/>
      <c r="P981" s="202"/>
      <c r="Q981" s="1"/>
      <c r="R981" s="1"/>
      <c r="S981" s="1"/>
      <c r="T981" s="1"/>
      <c r="U981" s="1"/>
      <c r="V981" s="1"/>
    </row>
    <row r="982" ht="15.75" hidden="1" customHeight="1">
      <c r="A982" s="53"/>
      <c r="B982" s="54"/>
      <c r="C982" s="197" t="s">
        <v>501</v>
      </c>
      <c r="D982" s="216" t="s">
        <v>24</v>
      </c>
      <c r="E982" s="54"/>
      <c r="F982" s="56">
        <v>0.0</v>
      </c>
      <c r="G982" s="57">
        <v>210.0</v>
      </c>
      <c r="H982" s="57">
        <f t="shared" si="24"/>
        <v>0</v>
      </c>
      <c r="I982" s="58"/>
      <c r="J982" s="58"/>
      <c r="K982" s="54"/>
      <c r="L982" s="252"/>
      <c r="M982" s="275"/>
      <c r="N982" s="252"/>
      <c r="O982" s="275"/>
      <c r="P982" s="275"/>
      <c r="Q982" s="1"/>
      <c r="R982" s="1"/>
      <c r="S982" s="1"/>
      <c r="T982" s="1"/>
      <c r="U982" s="1"/>
      <c r="V982" s="1"/>
    </row>
    <row r="983" ht="15.75" hidden="1" customHeight="1">
      <c r="A983" s="53"/>
      <c r="B983" s="54" t="s">
        <v>18</v>
      </c>
      <c r="C983" s="197" t="s">
        <v>502</v>
      </c>
      <c r="D983" s="198" t="s">
        <v>22</v>
      </c>
      <c r="E983" s="54"/>
      <c r="F983" s="56">
        <v>0.0</v>
      </c>
      <c r="G983" s="57">
        <v>0.0</v>
      </c>
      <c r="H983" s="57">
        <f t="shared" si="24"/>
        <v>0</v>
      </c>
      <c r="I983" s="58"/>
      <c r="J983" s="58"/>
      <c r="K983" s="54"/>
      <c r="L983" s="54"/>
      <c r="M983" s="202"/>
      <c r="N983" s="54"/>
      <c r="O983" s="202"/>
      <c r="P983" s="202"/>
      <c r="Q983" s="1"/>
      <c r="R983" s="1"/>
      <c r="S983" s="1"/>
      <c r="T983" s="1"/>
      <c r="U983" s="1"/>
      <c r="V983" s="1"/>
    </row>
    <row r="984" ht="15.75" customHeight="1">
      <c r="A984" s="53"/>
      <c r="B984" s="43" t="s">
        <v>88</v>
      </c>
      <c r="C984" s="54" t="s">
        <v>411</v>
      </c>
      <c r="D984" s="55" t="s">
        <v>20</v>
      </c>
      <c r="E984" s="171" t="s">
        <v>412</v>
      </c>
      <c r="F984" s="56">
        <v>1.0</v>
      </c>
      <c r="G984" s="34">
        <v>334.0</v>
      </c>
      <c r="H984" s="57">
        <f t="shared" si="24"/>
        <v>334</v>
      </c>
      <c r="I984" s="58"/>
      <c r="J984" s="58"/>
      <c r="K984" s="54"/>
      <c r="L984" s="54"/>
      <c r="M984" s="202"/>
      <c r="N984" s="54"/>
      <c r="O984" s="54"/>
      <c r="P984" s="54"/>
      <c r="Q984" s="1"/>
      <c r="R984" s="1"/>
      <c r="S984" s="1"/>
      <c r="T984" s="1"/>
      <c r="U984" s="1"/>
      <c r="V984" s="1"/>
    </row>
    <row r="985" ht="15.75" customHeight="1">
      <c r="A985" s="53"/>
      <c r="B985" s="54" t="s">
        <v>18</v>
      </c>
      <c r="C985" s="197" t="s">
        <v>280</v>
      </c>
      <c r="D985" s="55" t="s">
        <v>20</v>
      </c>
      <c r="E985" s="15" t="s">
        <v>636</v>
      </c>
      <c r="F985" s="56">
        <v>1.0</v>
      </c>
      <c r="G985" s="34">
        <v>20.0</v>
      </c>
      <c r="H985" s="57">
        <f t="shared" si="24"/>
        <v>20</v>
      </c>
      <c r="I985" s="58"/>
      <c r="J985" s="58"/>
      <c r="K985" s="54"/>
      <c r="L985" s="271"/>
      <c r="M985" s="271"/>
      <c r="N985" s="271"/>
      <c r="O985" s="271"/>
      <c r="P985" s="271"/>
      <c r="Q985" s="1"/>
      <c r="R985" s="1"/>
      <c r="S985" s="1"/>
      <c r="T985" s="1"/>
      <c r="U985" s="1"/>
      <c r="V985" s="1"/>
    </row>
    <row r="986" ht="15.75" customHeight="1">
      <c r="A986" s="53"/>
      <c r="B986" s="54" t="s">
        <v>637</v>
      </c>
      <c r="C986" s="197" t="s">
        <v>414</v>
      </c>
      <c r="D986" s="216" t="s">
        <v>24</v>
      </c>
      <c r="E986" s="54"/>
      <c r="F986" s="56">
        <v>1.0</v>
      </c>
      <c r="G986" s="57">
        <v>80.0</v>
      </c>
      <c r="H986" s="57">
        <f t="shared" si="24"/>
        <v>80</v>
      </c>
      <c r="I986" s="58"/>
      <c r="J986" s="58"/>
      <c r="K986" s="13"/>
      <c r="L986" s="252"/>
      <c r="M986" s="252"/>
      <c r="N986" s="252"/>
      <c r="O986" s="252"/>
      <c r="P986" s="252"/>
      <c r="Q986" s="1"/>
      <c r="R986" s="1"/>
      <c r="S986" s="1"/>
      <c r="T986" s="1"/>
      <c r="U986" s="1"/>
      <c r="V986" s="1"/>
    </row>
    <row r="987" ht="15.75" hidden="1" customHeight="1">
      <c r="A987" s="53"/>
      <c r="B987" s="54" t="s">
        <v>18</v>
      </c>
      <c r="C987" s="197" t="s">
        <v>283</v>
      </c>
      <c r="D987" s="55" t="s">
        <v>20</v>
      </c>
      <c r="E987" s="208" t="s">
        <v>284</v>
      </c>
      <c r="F987" s="56">
        <v>0.0</v>
      </c>
      <c r="G987" s="57">
        <v>12.0</v>
      </c>
      <c r="H987" s="57">
        <f t="shared" si="24"/>
        <v>0</v>
      </c>
      <c r="I987" s="58"/>
      <c r="J987" s="58"/>
      <c r="K987" s="54"/>
      <c r="L987" s="252"/>
      <c r="M987" s="252"/>
      <c r="N987" s="252"/>
      <c r="O987" s="252"/>
      <c r="P987" s="252"/>
      <c r="Q987" s="1"/>
      <c r="R987" s="1"/>
      <c r="S987" s="1"/>
      <c r="T987" s="1"/>
      <c r="U987" s="1"/>
      <c r="V987" s="1"/>
    </row>
    <row r="988" ht="15.75" customHeight="1">
      <c r="A988" s="53"/>
      <c r="B988" s="54" t="s">
        <v>18</v>
      </c>
      <c r="C988" s="197" t="s">
        <v>370</v>
      </c>
      <c r="D988" s="55" t="s">
        <v>20</v>
      </c>
      <c r="E988" s="208">
        <v>8.49069896E8</v>
      </c>
      <c r="F988" s="56">
        <v>1.0</v>
      </c>
      <c r="G988" s="57">
        <v>5.0</v>
      </c>
      <c r="H988" s="57">
        <f t="shared" si="24"/>
        <v>5</v>
      </c>
      <c r="I988" s="58"/>
      <c r="J988" s="58"/>
      <c r="K988" s="54"/>
      <c r="L988" s="252"/>
      <c r="M988" s="252"/>
      <c r="N988" s="252"/>
      <c r="O988" s="252"/>
      <c r="P988" s="252"/>
      <c r="Q988" s="1"/>
      <c r="R988" s="1"/>
      <c r="S988" s="1"/>
      <c r="T988" s="1"/>
      <c r="U988" s="1"/>
      <c r="V988" s="1"/>
    </row>
    <row r="989" ht="15.75" customHeight="1">
      <c r="A989" s="53"/>
      <c r="B989" s="54" t="s">
        <v>18</v>
      </c>
      <c r="C989" s="197" t="s">
        <v>371</v>
      </c>
      <c r="D989" s="55" t="s">
        <v>20</v>
      </c>
      <c r="E989" s="208" t="s">
        <v>286</v>
      </c>
      <c r="F989" s="56">
        <v>2.0</v>
      </c>
      <c r="G989" s="57">
        <v>3.0</v>
      </c>
      <c r="H989" s="57">
        <f t="shared" si="24"/>
        <v>6</v>
      </c>
      <c r="I989" s="58"/>
      <c r="J989" s="58"/>
      <c r="K989" s="13"/>
      <c r="L989" s="252"/>
      <c r="M989" s="252"/>
      <c r="N989" s="252"/>
      <c r="O989" s="252"/>
      <c r="P989" s="252"/>
      <c r="Q989" s="1"/>
      <c r="R989" s="1"/>
      <c r="S989" s="1"/>
      <c r="T989" s="1"/>
      <c r="U989" s="1"/>
      <c r="V989" s="1"/>
    </row>
    <row r="990" ht="15.75" hidden="1" customHeight="1">
      <c r="A990" s="53"/>
      <c r="B990" s="54"/>
      <c r="C990" s="54" t="s">
        <v>221</v>
      </c>
      <c r="D990" s="216" t="s">
        <v>24</v>
      </c>
      <c r="E990" s="54"/>
      <c r="F990" s="56">
        <v>0.0</v>
      </c>
      <c r="G990" s="57">
        <v>50.0</v>
      </c>
      <c r="H990" s="57">
        <f t="shared" si="24"/>
        <v>0</v>
      </c>
      <c r="I990" s="58"/>
      <c r="J990" s="58"/>
      <c r="K990" s="54"/>
      <c r="L990" s="252"/>
      <c r="M990" s="252"/>
      <c r="N990" s="252"/>
      <c r="O990" s="252"/>
      <c r="P990" s="252"/>
      <c r="Q990" s="1"/>
      <c r="R990" s="1"/>
      <c r="S990" s="1"/>
      <c r="T990" s="1"/>
      <c r="U990" s="1"/>
      <c r="V990" s="1"/>
    </row>
    <row r="991" ht="15.75" hidden="1" customHeight="1">
      <c r="A991" s="53"/>
      <c r="B991" s="54"/>
      <c r="C991" s="54" t="s">
        <v>222</v>
      </c>
      <c r="D991" s="216" t="s">
        <v>24</v>
      </c>
      <c r="E991" s="54"/>
      <c r="F991" s="56">
        <v>0.0</v>
      </c>
      <c r="G991" s="57">
        <v>40.0</v>
      </c>
      <c r="H991" s="57">
        <f t="shared" si="24"/>
        <v>0</v>
      </c>
      <c r="I991" s="58"/>
      <c r="J991" s="58"/>
      <c r="K991" s="54"/>
      <c r="L991" s="252"/>
      <c r="M991" s="252"/>
      <c r="N991" s="252"/>
      <c r="O991" s="252"/>
      <c r="P991" s="252"/>
      <c r="Q991" s="1"/>
      <c r="R991" s="1"/>
      <c r="S991" s="1"/>
      <c r="T991" s="1"/>
      <c r="U991" s="1"/>
      <c r="V991" s="1"/>
    </row>
    <row r="992" ht="15.75" hidden="1" customHeight="1">
      <c r="A992" s="53"/>
      <c r="B992" s="54"/>
      <c r="C992" s="197" t="s">
        <v>374</v>
      </c>
      <c r="D992" s="216" t="s">
        <v>24</v>
      </c>
      <c r="E992" s="54"/>
      <c r="F992" s="56">
        <v>0.0</v>
      </c>
      <c r="G992" s="57">
        <v>210.0</v>
      </c>
      <c r="H992" s="57">
        <f t="shared" si="24"/>
        <v>0</v>
      </c>
      <c r="I992" s="58"/>
      <c r="J992" s="58"/>
      <c r="K992" s="54"/>
      <c r="L992" s="252"/>
      <c r="M992" s="252"/>
      <c r="N992" s="252"/>
      <c r="O992" s="252"/>
      <c r="P992" s="252"/>
      <c r="Q992" s="1"/>
      <c r="R992" s="1"/>
      <c r="S992" s="1"/>
      <c r="T992" s="1"/>
      <c r="U992" s="1"/>
      <c r="V992" s="1"/>
    </row>
    <row r="993" ht="15.75" hidden="1" customHeight="1">
      <c r="A993" s="53"/>
      <c r="B993" s="54" t="s">
        <v>373</v>
      </c>
      <c r="C993" s="197" t="s">
        <v>372</v>
      </c>
      <c r="D993" s="55" t="s">
        <v>20</v>
      </c>
      <c r="E993" s="54"/>
      <c r="F993" s="56">
        <v>0.0</v>
      </c>
      <c r="G993" s="57">
        <v>70.0</v>
      </c>
      <c r="H993" s="57">
        <f t="shared" si="24"/>
        <v>0</v>
      </c>
      <c r="I993" s="58"/>
      <c r="J993" s="58"/>
      <c r="K993" s="54"/>
      <c r="L993" s="54"/>
      <c r="M993" s="54"/>
      <c r="N993" s="54"/>
      <c r="O993" s="54"/>
      <c r="P993" s="54"/>
      <c r="Q993" s="1"/>
      <c r="R993" s="1"/>
      <c r="S993" s="1"/>
      <c r="T993" s="1"/>
      <c r="U993" s="1"/>
      <c r="V993" s="1"/>
    </row>
    <row r="994" ht="15.75" hidden="1" customHeight="1">
      <c r="A994" s="53"/>
      <c r="B994" s="54" t="s">
        <v>18</v>
      </c>
      <c r="C994" s="197" t="s">
        <v>503</v>
      </c>
      <c r="D994" s="55" t="s">
        <v>20</v>
      </c>
      <c r="E994" s="54"/>
      <c r="F994" s="56">
        <v>0.0</v>
      </c>
      <c r="G994" s="57">
        <v>50.0</v>
      </c>
      <c r="H994" s="57">
        <f t="shared" si="24"/>
        <v>0</v>
      </c>
      <c r="I994" s="58"/>
      <c r="J994" s="58"/>
      <c r="K994" s="54"/>
      <c r="L994" s="54"/>
      <c r="M994" s="54"/>
      <c r="N994" s="54"/>
      <c r="O994" s="54"/>
      <c r="P994" s="54"/>
      <c r="Q994" s="1"/>
      <c r="R994" s="1"/>
      <c r="S994" s="1"/>
      <c r="T994" s="1"/>
      <c r="U994" s="1"/>
      <c r="V994" s="1"/>
    </row>
    <row r="995" ht="15.75" hidden="1" customHeight="1">
      <c r="A995" s="53"/>
      <c r="B995" s="54"/>
      <c r="C995" s="197" t="s">
        <v>504</v>
      </c>
      <c r="D995" s="216" t="s">
        <v>24</v>
      </c>
      <c r="E995" s="54"/>
      <c r="F995" s="56">
        <v>0.0</v>
      </c>
      <c r="G995" s="57">
        <v>50.0</v>
      </c>
      <c r="H995" s="57">
        <f t="shared" si="24"/>
        <v>0</v>
      </c>
      <c r="I995" s="58"/>
      <c r="J995" s="58"/>
      <c r="K995" s="54"/>
      <c r="L995" s="54"/>
      <c r="M995" s="54"/>
      <c r="N995" s="54"/>
      <c r="O995" s="54"/>
      <c r="P995" s="54"/>
      <c r="Q995" s="1"/>
      <c r="R995" s="1"/>
      <c r="S995" s="1"/>
      <c r="T995" s="1"/>
      <c r="U995" s="1"/>
      <c r="V995" s="1"/>
    </row>
    <row r="996" ht="15.75" hidden="1" customHeight="1">
      <c r="A996" s="53"/>
      <c r="B996" s="54"/>
      <c r="C996" s="197" t="s">
        <v>505</v>
      </c>
      <c r="D996" s="216" t="s">
        <v>24</v>
      </c>
      <c r="E996" s="54"/>
      <c r="F996" s="56">
        <v>0.0</v>
      </c>
      <c r="G996" s="57">
        <v>120.0</v>
      </c>
      <c r="H996" s="57">
        <f t="shared" si="24"/>
        <v>0</v>
      </c>
      <c r="I996" s="58"/>
      <c r="J996" s="58"/>
      <c r="K996" s="54"/>
      <c r="L996" s="252"/>
      <c r="M996" s="252"/>
      <c r="N996" s="252"/>
      <c r="O996" s="252"/>
      <c r="P996" s="252"/>
      <c r="Q996" s="1"/>
      <c r="R996" s="1"/>
      <c r="S996" s="1"/>
      <c r="T996" s="1"/>
      <c r="U996" s="1"/>
      <c r="V996" s="1"/>
    </row>
    <row r="997" ht="15.75" hidden="1" customHeight="1">
      <c r="A997" s="53"/>
      <c r="B997" s="54"/>
      <c r="C997" s="197" t="s">
        <v>506</v>
      </c>
      <c r="D997" s="216" t="s">
        <v>24</v>
      </c>
      <c r="E997" s="54"/>
      <c r="F997" s="56">
        <v>0.0</v>
      </c>
      <c r="G997" s="57">
        <v>80.0</v>
      </c>
      <c r="H997" s="57">
        <f t="shared" si="24"/>
        <v>0</v>
      </c>
      <c r="I997" s="58"/>
      <c r="J997" s="58"/>
      <c r="K997" s="54"/>
      <c r="L997" s="252"/>
      <c r="M997" s="252"/>
      <c r="N997" s="252"/>
      <c r="O997" s="252"/>
      <c r="P997" s="252"/>
      <c r="Q997" s="1"/>
      <c r="R997" s="1"/>
      <c r="S997" s="1"/>
      <c r="T997" s="1"/>
      <c r="U997" s="1"/>
      <c r="V997" s="1"/>
    </row>
    <row r="998" ht="15.75" hidden="1" customHeight="1">
      <c r="A998" s="53"/>
      <c r="B998" s="54"/>
      <c r="C998" s="197" t="s">
        <v>507</v>
      </c>
      <c r="D998" s="55" t="s">
        <v>20</v>
      </c>
      <c r="E998" s="54"/>
      <c r="F998" s="56">
        <v>0.0</v>
      </c>
      <c r="G998" s="57">
        <v>300.0</v>
      </c>
      <c r="H998" s="57">
        <f t="shared" si="24"/>
        <v>0</v>
      </c>
      <c r="I998" s="58"/>
      <c r="J998" s="58"/>
      <c r="K998" s="54"/>
      <c r="L998" s="252"/>
      <c r="M998" s="252"/>
      <c r="N998" s="252"/>
      <c r="O998" s="252"/>
      <c r="P998" s="252"/>
      <c r="Q998" s="1"/>
      <c r="R998" s="1"/>
      <c r="S998" s="1"/>
      <c r="T998" s="1"/>
      <c r="U998" s="1"/>
      <c r="V998" s="1"/>
    </row>
    <row r="999" ht="15.75" hidden="1" customHeight="1">
      <c r="A999" s="53"/>
      <c r="B999" s="54"/>
      <c r="C999" s="197" t="s">
        <v>508</v>
      </c>
      <c r="D999" s="216" t="s">
        <v>24</v>
      </c>
      <c r="E999" s="54"/>
      <c r="F999" s="56">
        <v>0.0</v>
      </c>
      <c r="G999" s="57">
        <v>290.0</v>
      </c>
      <c r="H999" s="57">
        <f t="shared" si="24"/>
        <v>0</v>
      </c>
      <c r="I999" s="58"/>
      <c r="J999" s="58"/>
      <c r="K999" s="54"/>
      <c r="L999" s="252"/>
      <c r="M999" s="252"/>
      <c r="N999" s="252"/>
      <c r="O999" s="252"/>
      <c r="P999" s="252"/>
      <c r="Q999" s="1"/>
      <c r="R999" s="1"/>
      <c r="S999" s="1"/>
      <c r="T999" s="1"/>
      <c r="U999" s="1"/>
      <c r="V999" s="1"/>
    </row>
    <row r="1000" ht="15.75" hidden="1" customHeight="1">
      <c r="A1000" s="53"/>
      <c r="B1000" s="54"/>
      <c r="C1000" s="54" t="s">
        <v>509</v>
      </c>
      <c r="D1000" s="55" t="s">
        <v>20</v>
      </c>
      <c r="E1000" s="54"/>
      <c r="F1000" s="56">
        <v>0.0</v>
      </c>
      <c r="G1000" s="57">
        <v>30.0</v>
      </c>
      <c r="H1000" s="57">
        <f t="shared" si="24"/>
        <v>0</v>
      </c>
      <c r="I1000" s="58"/>
      <c r="J1000" s="58"/>
      <c r="K1000" s="54"/>
      <c r="L1000" s="252"/>
      <c r="M1000" s="252"/>
      <c r="N1000" s="252"/>
      <c r="O1000" s="252"/>
      <c r="P1000" s="252"/>
      <c r="Q1000" s="1"/>
      <c r="R1000" s="1"/>
      <c r="S1000" s="1"/>
      <c r="T1000" s="1"/>
      <c r="U1000" s="1"/>
      <c r="V1000" s="1"/>
    </row>
    <row r="1001" ht="15.75" hidden="1" customHeight="1">
      <c r="A1001" s="53"/>
      <c r="B1001" s="54"/>
      <c r="C1001" s="54" t="s">
        <v>510</v>
      </c>
      <c r="D1001" s="216" t="s">
        <v>24</v>
      </c>
      <c r="E1001" s="54"/>
      <c r="F1001" s="56">
        <v>0.0</v>
      </c>
      <c r="G1001" s="57">
        <v>70.0</v>
      </c>
      <c r="H1001" s="57">
        <f t="shared" si="24"/>
        <v>0</v>
      </c>
      <c r="I1001" s="58"/>
      <c r="J1001" s="58"/>
      <c r="K1001" s="54"/>
      <c r="L1001" s="252"/>
      <c r="M1001" s="252"/>
      <c r="N1001" s="252"/>
      <c r="O1001" s="252"/>
      <c r="P1001" s="252"/>
      <c r="Q1001" s="1"/>
      <c r="R1001" s="1"/>
      <c r="S1001" s="1"/>
      <c r="T1001" s="1"/>
      <c r="U1001" s="1"/>
      <c r="V1001" s="1"/>
    </row>
    <row r="1002" ht="15.75" hidden="1" customHeight="1">
      <c r="A1002" s="53"/>
      <c r="B1002" s="54"/>
      <c r="C1002" s="54" t="s">
        <v>511</v>
      </c>
      <c r="D1002" s="55" t="s">
        <v>20</v>
      </c>
      <c r="E1002" s="54"/>
      <c r="F1002" s="56">
        <v>0.0</v>
      </c>
      <c r="G1002" s="57">
        <v>368.0</v>
      </c>
      <c r="H1002" s="57">
        <f t="shared" si="24"/>
        <v>0</v>
      </c>
      <c r="I1002" s="58"/>
      <c r="J1002" s="58"/>
      <c r="K1002" s="54"/>
      <c r="L1002" s="252"/>
      <c r="M1002" s="252"/>
      <c r="N1002" s="252"/>
      <c r="O1002" s="252"/>
      <c r="P1002" s="252"/>
      <c r="Q1002" s="1"/>
      <c r="R1002" s="1"/>
      <c r="S1002" s="1"/>
      <c r="T1002" s="1"/>
      <c r="U1002" s="1"/>
      <c r="V1002" s="1"/>
    </row>
    <row r="1003" ht="15.75" hidden="1" customHeight="1">
      <c r="A1003" s="53"/>
      <c r="B1003" s="54"/>
      <c r="C1003" s="54" t="s">
        <v>512</v>
      </c>
      <c r="D1003" s="55" t="s">
        <v>20</v>
      </c>
      <c r="E1003" s="54"/>
      <c r="F1003" s="56">
        <v>0.0</v>
      </c>
      <c r="G1003" s="57">
        <v>183.0</v>
      </c>
      <c r="H1003" s="57">
        <f t="shared" si="24"/>
        <v>0</v>
      </c>
      <c r="I1003" s="58"/>
      <c r="J1003" s="58"/>
      <c r="K1003" s="54"/>
      <c r="L1003" s="252"/>
      <c r="M1003" s="252"/>
      <c r="N1003" s="252"/>
      <c r="O1003" s="252"/>
      <c r="P1003" s="252"/>
      <c r="Q1003" s="1"/>
      <c r="R1003" s="1"/>
      <c r="S1003" s="1"/>
      <c r="T1003" s="1"/>
      <c r="U1003" s="1"/>
      <c r="V1003" s="1"/>
    </row>
    <row r="1004" ht="15.75" hidden="1" customHeight="1">
      <c r="A1004" s="53"/>
      <c r="B1004" s="54"/>
      <c r="C1004" s="278" t="s">
        <v>513</v>
      </c>
      <c r="D1004" s="55" t="s">
        <v>20</v>
      </c>
      <c r="E1004" s="54"/>
      <c r="F1004" s="56">
        <v>0.0</v>
      </c>
      <c r="G1004" s="57">
        <v>45.0</v>
      </c>
      <c r="H1004" s="57">
        <f t="shared" si="24"/>
        <v>0</v>
      </c>
      <c r="I1004" s="58"/>
      <c r="J1004" s="58"/>
      <c r="K1004" s="54"/>
      <c r="L1004" s="252"/>
      <c r="M1004" s="252"/>
      <c r="N1004" s="252"/>
      <c r="O1004" s="252"/>
      <c r="P1004" s="252"/>
      <c r="Q1004" s="1"/>
      <c r="R1004" s="1"/>
      <c r="S1004" s="1"/>
      <c r="T1004" s="1"/>
      <c r="U1004" s="1"/>
      <c r="V1004" s="1"/>
    </row>
    <row r="1005" ht="15.75" hidden="1" customHeight="1">
      <c r="A1005" s="53"/>
      <c r="B1005" s="54"/>
      <c r="C1005" s="278" t="s">
        <v>514</v>
      </c>
      <c r="D1005" s="55" t="s">
        <v>20</v>
      </c>
      <c r="E1005" s="54"/>
      <c r="F1005" s="56">
        <v>0.0</v>
      </c>
      <c r="G1005" s="57">
        <v>60.0</v>
      </c>
      <c r="H1005" s="57">
        <f t="shared" si="24"/>
        <v>0</v>
      </c>
      <c r="I1005" s="58"/>
      <c r="J1005" s="58"/>
      <c r="K1005" s="54"/>
      <c r="L1005" s="252"/>
      <c r="M1005" s="252"/>
      <c r="N1005" s="252"/>
      <c r="O1005" s="252"/>
      <c r="P1005" s="252"/>
      <c r="Q1005" s="1"/>
      <c r="R1005" s="1"/>
      <c r="S1005" s="1"/>
      <c r="T1005" s="1"/>
      <c r="U1005" s="1"/>
      <c r="V1005" s="1"/>
    </row>
    <row r="1006" ht="15.75" hidden="1" customHeight="1">
      <c r="A1006" s="53"/>
      <c r="B1006" s="54"/>
      <c r="C1006" s="279" t="s">
        <v>515</v>
      </c>
      <c r="D1006" s="216" t="s">
        <v>24</v>
      </c>
      <c r="E1006" s="54"/>
      <c r="F1006" s="56">
        <v>0.0</v>
      </c>
      <c r="G1006" s="57">
        <v>290.0</v>
      </c>
      <c r="H1006" s="57">
        <f t="shared" si="24"/>
        <v>0</v>
      </c>
      <c r="I1006" s="58"/>
      <c r="J1006" s="58"/>
      <c r="K1006" s="54"/>
      <c r="L1006" s="252"/>
      <c r="M1006" s="252"/>
      <c r="N1006" s="252"/>
      <c r="O1006" s="252"/>
      <c r="P1006" s="252"/>
      <c r="Q1006" s="1"/>
      <c r="R1006" s="1"/>
      <c r="S1006" s="1"/>
      <c r="T1006" s="1"/>
      <c r="U1006" s="1"/>
      <c r="V1006" s="1"/>
    </row>
    <row r="1007" ht="15.75" hidden="1" customHeight="1">
      <c r="A1007" s="53"/>
      <c r="B1007" s="54"/>
      <c r="C1007" s="54" t="s">
        <v>71</v>
      </c>
      <c r="D1007" s="216" t="s">
        <v>24</v>
      </c>
      <c r="E1007" s="54"/>
      <c r="F1007" s="56">
        <v>0.0</v>
      </c>
      <c r="G1007" s="57">
        <v>80.0</v>
      </c>
      <c r="H1007" s="57">
        <f t="shared" si="24"/>
        <v>0</v>
      </c>
      <c r="I1007" s="58"/>
      <c r="J1007" s="58"/>
      <c r="K1007" s="54"/>
      <c r="L1007" s="252"/>
      <c r="M1007" s="252"/>
      <c r="N1007" s="252"/>
      <c r="O1007" s="252"/>
      <c r="P1007" s="252"/>
      <c r="Q1007" s="1"/>
      <c r="R1007" s="1"/>
      <c r="S1007" s="1"/>
      <c r="T1007" s="1"/>
      <c r="U1007" s="1"/>
      <c r="V1007" s="1"/>
    </row>
    <row r="1008" ht="15.75" hidden="1" customHeight="1">
      <c r="A1008" s="53"/>
      <c r="B1008" s="54"/>
      <c r="C1008" s="197" t="s">
        <v>516</v>
      </c>
      <c r="D1008" s="55" t="s">
        <v>20</v>
      </c>
      <c r="E1008" s="54"/>
      <c r="F1008" s="56">
        <v>0.0</v>
      </c>
      <c r="G1008" s="57">
        <v>300.0</v>
      </c>
      <c r="H1008" s="57">
        <f t="shared" si="24"/>
        <v>0</v>
      </c>
      <c r="I1008" s="58"/>
      <c r="J1008" s="58"/>
      <c r="K1008" s="54"/>
      <c r="L1008" s="252"/>
      <c r="M1008" s="252"/>
      <c r="N1008" s="252"/>
      <c r="O1008" s="252"/>
      <c r="P1008" s="252"/>
      <c r="Q1008" s="1"/>
      <c r="R1008" s="1"/>
      <c r="S1008" s="1"/>
      <c r="T1008" s="1"/>
      <c r="U1008" s="1"/>
      <c r="V1008" s="1"/>
    </row>
    <row r="1009" ht="15.75" hidden="1" customHeight="1">
      <c r="A1009" s="53"/>
      <c r="B1009" s="54"/>
      <c r="C1009" s="197" t="s">
        <v>517</v>
      </c>
      <c r="D1009" s="216" t="s">
        <v>24</v>
      </c>
      <c r="E1009" s="54"/>
      <c r="F1009" s="56">
        <v>0.0</v>
      </c>
      <c r="G1009" s="57">
        <v>900.0</v>
      </c>
      <c r="H1009" s="57">
        <f t="shared" si="24"/>
        <v>0</v>
      </c>
      <c r="I1009" s="58"/>
      <c r="J1009" s="58"/>
      <c r="K1009" s="54"/>
      <c r="L1009" s="252"/>
      <c r="M1009" s="252"/>
      <c r="N1009" s="252"/>
      <c r="O1009" s="252"/>
      <c r="P1009" s="252"/>
      <c r="Q1009" s="1"/>
      <c r="R1009" s="1"/>
      <c r="S1009" s="1"/>
      <c r="T1009" s="1"/>
      <c r="U1009" s="1"/>
      <c r="V1009" s="1"/>
    </row>
    <row r="1010" ht="15.75" hidden="1" customHeight="1">
      <c r="A1010" s="53"/>
      <c r="B1010" s="54"/>
      <c r="C1010" s="197" t="s">
        <v>518</v>
      </c>
      <c r="D1010" s="216" t="s">
        <v>24</v>
      </c>
      <c r="E1010" s="54"/>
      <c r="F1010" s="56">
        <v>0.0</v>
      </c>
      <c r="G1010" s="57">
        <v>150.0</v>
      </c>
      <c r="H1010" s="57">
        <f t="shared" si="24"/>
        <v>0</v>
      </c>
      <c r="I1010" s="58"/>
      <c r="J1010" s="58"/>
      <c r="K1010" s="54"/>
      <c r="L1010" s="252"/>
      <c r="M1010" s="252"/>
      <c r="N1010" s="252"/>
      <c r="O1010" s="252"/>
      <c r="P1010" s="252"/>
      <c r="Q1010" s="1"/>
      <c r="R1010" s="1"/>
      <c r="S1010" s="1"/>
      <c r="T1010" s="1"/>
      <c r="U1010" s="1"/>
      <c r="V1010" s="1"/>
    </row>
    <row r="1011" ht="15.75" hidden="1" customHeight="1">
      <c r="A1011" s="53"/>
      <c r="B1011" s="54"/>
      <c r="C1011" s="197" t="s">
        <v>519</v>
      </c>
      <c r="D1011" s="55" t="s">
        <v>20</v>
      </c>
      <c r="E1011" s="54"/>
      <c r="F1011" s="56">
        <v>0.0</v>
      </c>
      <c r="G1011" s="57">
        <v>60.0</v>
      </c>
      <c r="H1011" s="57">
        <f t="shared" si="24"/>
        <v>0</v>
      </c>
      <c r="I1011" s="58"/>
      <c r="J1011" s="58"/>
      <c r="K1011" s="54"/>
      <c r="L1011" s="252"/>
      <c r="M1011" s="252"/>
      <c r="N1011" s="252"/>
      <c r="O1011" s="252"/>
      <c r="P1011" s="252"/>
      <c r="Q1011" s="1"/>
      <c r="R1011" s="1"/>
      <c r="S1011" s="1"/>
      <c r="T1011" s="1"/>
      <c r="U1011" s="1"/>
      <c r="V1011" s="1"/>
    </row>
    <row r="1012" ht="15.75" hidden="1" customHeight="1">
      <c r="A1012" s="53"/>
      <c r="B1012" s="54"/>
      <c r="C1012" s="197" t="s">
        <v>520</v>
      </c>
      <c r="D1012" s="216" t="s">
        <v>24</v>
      </c>
      <c r="E1012" s="54"/>
      <c r="F1012" s="56">
        <v>0.0</v>
      </c>
      <c r="G1012" s="57">
        <v>500.0</v>
      </c>
      <c r="H1012" s="57">
        <f t="shared" si="24"/>
        <v>0</v>
      </c>
      <c r="I1012" s="58"/>
      <c r="J1012" s="58"/>
      <c r="K1012" s="54"/>
      <c r="L1012" s="252"/>
      <c r="M1012" s="252"/>
      <c r="N1012" s="252"/>
      <c r="O1012" s="252"/>
      <c r="P1012" s="252"/>
      <c r="Q1012" s="1"/>
      <c r="R1012" s="1"/>
      <c r="S1012" s="1"/>
      <c r="T1012" s="1"/>
      <c r="U1012" s="1"/>
      <c r="V1012" s="1"/>
    </row>
    <row r="1013" ht="15.75" hidden="1" customHeight="1">
      <c r="A1013" s="53"/>
      <c r="B1013" s="54"/>
      <c r="C1013" s="197" t="s">
        <v>521</v>
      </c>
      <c r="D1013" s="55" t="s">
        <v>20</v>
      </c>
      <c r="E1013" s="54"/>
      <c r="F1013" s="56">
        <v>0.0</v>
      </c>
      <c r="G1013" s="57">
        <v>130.0</v>
      </c>
      <c r="H1013" s="57">
        <f t="shared" si="24"/>
        <v>0</v>
      </c>
      <c r="I1013" s="58"/>
      <c r="J1013" s="58"/>
      <c r="K1013" s="54"/>
      <c r="L1013" s="252"/>
      <c r="M1013" s="252"/>
      <c r="N1013" s="252"/>
      <c r="O1013" s="252"/>
      <c r="P1013" s="252"/>
      <c r="Q1013" s="1"/>
      <c r="R1013" s="1"/>
      <c r="S1013" s="1"/>
      <c r="T1013" s="1"/>
      <c r="U1013" s="1"/>
      <c r="V1013" s="1"/>
    </row>
    <row r="1014" ht="15.75" hidden="1" customHeight="1">
      <c r="A1014" s="53"/>
      <c r="B1014" s="54"/>
      <c r="C1014" s="197" t="s">
        <v>522</v>
      </c>
      <c r="D1014" s="55" t="s">
        <v>20</v>
      </c>
      <c r="E1014" s="54"/>
      <c r="F1014" s="56">
        <v>0.0</v>
      </c>
      <c r="G1014" s="57">
        <v>30.0</v>
      </c>
      <c r="H1014" s="57">
        <f t="shared" si="24"/>
        <v>0</v>
      </c>
      <c r="I1014" s="58"/>
      <c r="J1014" s="58"/>
      <c r="K1014" s="54"/>
      <c r="L1014" s="54"/>
      <c r="M1014" s="54"/>
      <c r="N1014" s="54"/>
      <c r="O1014" s="54"/>
      <c r="P1014" s="54"/>
      <c r="Q1014" s="1"/>
      <c r="R1014" s="1"/>
      <c r="S1014" s="1"/>
      <c r="T1014" s="1"/>
      <c r="U1014" s="1"/>
      <c r="V1014" s="1"/>
    </row>
    <row r="1015" ht="15.75" hidden="1" customHeight="1">
      <c r="A1015" s="53"/>
      <c r="B1015" s="54"/>
      <c r="C1015" s="197" t="s">
        <v>523</v>
      </c>
      <c r="D1015" s="216" t="s">
        <v>24</v>
      </c>
      <c r="E1015" s="54"/>
      <c r="F1015" s="56">
        <v>0.0</v>
      </c>
      <c r="G1015" s="57">
        <v>25.0</v>
      </c>
      <c r="H1015" s="57">
        <f t="shared" si="24"/>
        <v>0</v>
      </c>
      <c r="I1015" s="58"/>
      <c r="J1015" s="58"/>
      <c r="K1015" s="54"/>
      <c r="L1015" s="252"/>
      <c r="M1015" s="252"/>
      <c r="N1015" s="252"/>
      <c r="O1015" s="252"/>
      <c r="P1015" s="252"/>
      <c r="Q1015" s="1"/>
      <c r="R1015" s="1"/>
      <c r="S1015" s="1"/>
      <c r="T1015" s="1"/>
      <c r="U1015" s="1"/>
      <c r="V1015" s="1"/>
    </row>
    <row r="1016" ht="15.75" hidden="1" customHeight="1">
      <c r="A1016" s="53"/>
      <c r="B1016" s="54"/>
      <c r="C1016" s="197" t="s">
        <v>524</v>
      </c>
      <c r="D1016" s="55" t="s">
        <v>20</v>
      </c>
      <c r="E1016" s="54"/>
      <c r="F1016" s="56">
        <v>0.0</v>
      </c>
      <c r="G1016" s="57">
        <v>15.0</v>
      </c>
      <c r="H1016" s="57">
        <f t="shared" si="24"/>
        <v>0</v>
      </c>
      <c r="I1016" s="58"/>
      <c r="J1016" s="58"/>
      <c r="K1016" s="54"/>
      <c r="L1016" s="54"/>
      <c r="M1016" s="54"/>
      <c r="N1016" s="54"/>
      <c r="O1016" s="54"/>
      <c r="P1016" s="54"/>
      <c r="Q1016" s="1"/>
      <c r="R1016" s="1"/>
      <c r="S1016" s="1"/>
      <c r="T1016" s="1"/>
      <c r="U1016" s="1"/>
      <c r="V1016" s="1"/>
    </row>
    <row r="1017" ht="15.75" hidden="1" customHeight="1">
      <c r="A1017" s="53"/>
      <c r="B1017" s="54"/>
      <c r="C1017" s="197" t="s">
        <v>525</v>
      </c>
      <c r="D1017" s="216" t="s">
        <v>24</v>
      </c>
      <c r="E1017" s="54"/>
      <c r="F1017" s="56">
        <v>0.0</v>
      </c>
      <c r="G1017" s="57">
        <v>60.0</v>
      </c>
      <c r="H1017" s="57">
        <f t="shared" si="24"/>
        <v>0</v>
      </c>
      <c r="I1017" s="58"/>
      <c r="J1017" s="58"/>
      <c r="K1017" s="54"/>
      <c r="L1017" s="252"/>
      <c r="M1017" s="252"/>
      <c r="N1017" s="252"/>
      <c r="O1017" s="252"/>
      <c r="P1017" s="252"/>
      <c r="Q1017" s="1"/>
      <c r="R1017" s="1"/>
      <c r="S1017" s="1"/>
      <c r="T1017" s="1"/>
      <c r="U1017" s="1"/>
      <c r="V1017" s="1"/>
    </row>
    <row r="1018" ht="15.75" hidden="1" customHeight="1">
      <c r="A1018" s="53"/>
      <c r="B1018" s="54"/>
      <c r="C1018" s="197" t="s">
        <v>526</v>
      </c>
      <c r="D1018" s="216" t="s">
        <v>24</v>
      </c>
      <c r="E1018" s="54"/>
      <c r="F1018" s="56">
        <v>0.0</v>
      </c>
      <c r="G1018" s="57">
        <v>80.0</v>
      </c>
      <c r="H1018" s="57">
        <f t="shared" si="24"/>
        <v>0</v>
      </c>
      <c r="I1018" s="58"/>
      <c r="J1018" s="58"/>
      <c r="K1018" s="54"/>
      <c r="L1018" s="252"/>
      <c r="M1018" s="252"/>
      <c r="N1018" s="252"/>
      <c r="O1018" s="252"/>
      <c r="P1018" s="252"/>
      <c r="Q1018" s="1"/>
      <c r="R1018" s="1"/>
      <c r="S1018" s="1"/>
      <c r="T1018" s="1"/>
      <c r="U1018" s="1"/>
      <c r="V1018" s="1"/>
    </row>
    <row r="1019" ht="15.75" hidden="1" customHeight="1">
      <c r="A1019" s="53"/>
      <c r="B1019" s="54"/>
      <c r="C1019" s="197" t="s">
        <v>527</v>
      </c>
      <c r="D1019" s="55" t="s">
        <v>20</v>
      </c>
      <c r="E1019" s="54"/>
      <c r="F1019" s="56">
        <v>0.0</v>
      </c>
      <c r="G1019" s="57">
        <v>5000.0</v>
      </c>
      <c r="H1019" s="57">
        <f t="shared" si="24"/>
        <v>0</v>
      </c>
      <c r="I1019" s="58"/>
      <c r="J1019" s="58"/>
      <c r="K1019" s="54"/>
      <c r="L1019" s="252"/>
      <c r="M1019" s="252"/>
      <c r="N1019" s="252"/>
      <c r="O1019" s="252"/>
      <c r="P1019" s="252"/>
      <c r="Q1019" s="1"/>
      <c r="R1019" s="1"/>
      <c r="S1019" s="1"/>
      <c r="T1019" s="1"/>
      <c r="U1019" s="1"/>
      <c r="V1019" s="1"/>
    </row>
    <row r="1020" ht="15.75" hidden="1" customHeight="1">
      <c r="A1020" s="53"/>
      <c r="B1020" s="54"/>
      <c r="C1020" s="197" t="s">
        <v>528</v>
      </c>
      <c r="D1020" s="216" t="s">
        <v>24</v>
      </c>
      <c r="E1020" s="54" t="s">
        <v>529</v>
      </c>
      <c r="F1020" s="56">
        <v>0.0</v>
      </c>
      <c r="G1020" s="57">
        <v>2800.0</v>
      </c>
      <c r="H1020" s="57">
        <f t="shared" si="24"/>
        <v>0</v>
      </c>
      <c r="I1020" s="58"/>
      <c r="J1020" s="58"/>
      <c r="K1020" s="54"/>
      <c r="L1020" s="252"/>
      <c r="M1020" s="252"/>
      <c r="N1020" s="252"/>
      <c r="O1020" s="252"/>
      <c r="P1020" s="252"/>
      <c r="Q1020" s="1"/>
      <c r="R1020" s="1"/>
      <c r="S1020" s="1"/>
      <c r="T1020" s="1"/>
      <c r="U1020" s="1"/>
      <c r="V1020" s="1"/>
    </row>
    <row r="1021" ht="15.75" hidden="1" customHeight="1">
      <c r="A1021" s="53"/>
      <c r="B1021" s="54"/>
      <c r="C1021" s="197" t="s">
        <v>530</v>
      </c>
      <c r="D1021" s="216" t="s">
        <v>24</v>
      </c>
      <c r="E1021" s="54"/>
      <c r="F1021" s="56">
        <v>0.0</v>
      </c>
      <c r="G1021" s="57">
        <v>2000.0</v>
      </c>
      <c r="H1021" s="57">
        <f t="shared" si="24"/>
        <v>0</v>
      </c>
      <c r="I1021" s="58"/>
      <c r="J1021" s="58"/>
      <c r="K1021" s="54"/>
      <c r="L1021" s="252"/>
      <c r="M1021" s="252"/>
      <c r="N1021" s="252"/>
      <c r="O1021" s="252"/>
      <c r="P1021" s="252"/>
      <c r="Q1021" s="1"/>
      <c r="R1021" s="1"/>
      <c r="S1021" s="1"/>
      <c r="T1021" s="1"/>
      <c r="U1021" s="1"/>
      <c r="V1021" s="1"/>
    </row>
    <row r="1022" ht="15.75" hidden="1" customHeight="1">
      <c r="A1022" s="53"/>
      <c r="B1022" s="54"/>
      <c r="C1022" s="197" t="s">
        <v>531</v>
      </c>
      <c r="D1022" s="216" t="s">
        <v>24</v>
      </c>
      <c r="E1022" s="54"/>
      <c r="F1022" s="56">
        <v>0.0</v>
      </c>
      <c r="G1022" s="57">
        <v>2200.0</v>
      </c>
      <c r="H1022" s="57">
        <f t="shared" si="24"/>
        <v>0</v>
      </c>
      <c r="I1022" s="58"/>
      <c r="J1022" s="58"/>
      <c r="K1022" s="54"/>
      <c r="L1022" s="252"/>
      <c r="M1022" s="252"/>
      <c r="N1022" s="252"/>
      <c r="O1022" s="252"/>
      <c r="P1022" s="252"/>
      <c r="Q1022" s="1"/>
      <c r="R1022" s="1"/>
      <c r="S1022" s="1"/>
      <c r="T1022" s="1"/>
      <c r="U1022" s="1"/>
      <c r="V1022" s="1"/>
    </row>
    <row r="1023" ht="28.5" customHeight="1">
      <c r="A1023" s="6"/>
      <c r="B1023" s="6" t="s">
        <v>638</v>
      </c>
      <c r="C1023" s="7">
        <f>SUM(H1024:H1047)</f>
        <v>1562.29</v>
      </c>
      <c r="D1023" s="148"/>
      <c r="E1023" s="148"/>
      <c r="F1023" s="81"/>
      <c r="G1023" s="82"/>
      <c r="H1023" s="82"/>
      <c r="I1023" s="82"/>
      <c r="J1023" s="82"/>
      <c r="K1023" s="81"/>
      <c r="L1023" s="83"/>
      <c r="M1023" s="83"/>
      <c r="N1023" s="83"/>
      <c r="O1023" s="83"/>
      <c r="P1023" s="83"/>
      <c r="Q1023" s="35"/>
      <c r="R1023" s="35"/>
      <c r="S1023" s="35"/>
      <c r="T1023" s="1"/>
      <c r="U1023" s="1"/>
      <c r="V1023" s="1"/>
    </row>
    <row r="1024" ht="15.75" customHeight="1">
      <c r="A1024" s="15"/>
      <c r="B1024" s="52" t="s">
        <v>18</v>
      </c>
      <c r="C1024" s="52" t="s">
        <v>639</v>
      </c>
      <c r="D1024" s="150" t="s">
        <v>22</v>
      </c>
      <c r="E1024" s="287" t="s">
        <v>640</v>
      </c>
      <c r="F1024" s="48">
        <v>1.0</v>
      </c>
      <c r="G1024" s="49">
        <v>20.0</v>
      </c>
      <c r="H1024" s="50">
        <f t="shared" ref="H1024:H1047" si="25">SUM(F1024*G1024)</f>
        <v>20</v>
      </c>
      <c r="I1024" s="51"/>
      <c r="J1024" s="51"/>
      <c r="K1024" s="52"/>
      <c r="L1024" s="52"/>
      <c r="M1024" s="52"/>
      <c r="N1024" s="52"/>
      <c r="O1024" s="52"/>
      <c r="P1024" s="52"/>
      <c r="Q1024" s="1"/>
      <c r="R1024" s="1"/>
      <c r="S1024" s="1"/>
      <c r="T1024" s="1"/>
      <c r="U1024" s="1"/>
      <c r="V1024" s="1"/>
    </row>
    <row r="1025" ht="15.75" customHeight="1">
      <c r="A1025" s="53"/>
      <c r="B1025" s="54" t="s">
        <v>18</v>
      </c>
      <c r="C1025" s="54" t="s">
        <v>641</v>
      </c>
      <c r="D1025" s="198" t="s">
        <v>22</v>
      </c>
      <c r="E1025" s="288" t="s">
        <v>642</v>
      </c>
      <c r="F1025" s="56">
        <v>1.0</v>
      </c>
      <c r="G1025" s="159">
        <v>9.6</v>
      </c>
      <c r="H1025" s="57">
        <f t="shared" si="25"/>
        <v>9.6</v>
      </c>
      <c r="I1025" s="58"/>
      <c r="J1025" s="58"/>
      <c r="K1025" s="54"/>
      <c r="L1025" s="54"/>
      <c r="M1025" s="54"/>
      <c r="N1025" s="54"/>
      <c r="O1025" s="54"/>
      <c r="P1025" s="54"/>
      <c r="Q1025" s="1"/>
      <c r="R1025" s="1"/>
      <c r="S1025" s="1"/>
      <c r="T1025" s="1"/>
      <c r="U1025" s="1"/>
      <c r="V1025" s="1"/>
    </row>
    <row r="1026" ht="15.75" customHeight="1">
      <c r="A1026" s="53"/>
      <c r="B1026" s="54" t="s">
        <v>18</v>
      </c>
      <c r="C1026" s="54" t="s">
        <v>643</v>
      </c>
      <c r="D1026" s="198" t="s">
        <v>22</v>
      </c>
      <c r="E1026" s="288" t="s">
        <v>644</v>
      </c>
      <c r="F1026" s="56">
        <v>1.0</v>
      </c>
      <c r="G1026" s="159">
        <v>20.0</v>
      </c>
      <c r="H1026" s="57">
        <f t="shared" si="25"/>
        <v>20</v>
      </c>
      <c r="I1026" s="58"/>
      <c r="J1026" s="58"/>
      <c r="K1026" s="289"/>
      <c r="L1026" s="290"/>
      <c r="M1026" s="290"/>
      <c r="N1026" s="290"/>
      <c r="O1026" s="290"/>
      <c r="P1026" s="290"/>
      <c r="Q1026" s="1"/>
      <c r="R1026" s="1"/>
      <c r="S1026" s="1"/>
      <c r="T1026" s="1"/>
      <c r="U1026" s="1"/>
      <c r="V1026" s="1"/>
    </row>
    <row r="1027" ht="15.75" customHeight="1">
      <c r="A1027" s="53"/>
      <c r="B1027" s="54" t="s">
        <v>18</v>
      </c>
      <c r="C1027" s="54" t="s">
        <v>645</v>
      </c>
      <c r="D1027" s="198" t="s">
        <v>22</v>
      </c>
      <c r="E1027" s="288" t="s">
        <v>646</v>
      </c>
      <c r="F1027" s="56">
        <v>1.0</v>
      </c>
      <c r="G1027" s="159">
        <v>8.65</v>
      </c>
      <c r="H1027" s="57">
        <f t="shared" si="25"/>
        <v>8.65</v>
      </c>
      <c r="I1027" s="58"/>
      <c r="J1027" s="58"/>
      <c r="K1027" s="54"/>
      <c r="L1027" s="54"/>
      <c r="M1027" s="54"/>
      <c r="N1027" s="54"/>
      <c r="O1027" s="54"/>
      <c r="P1027" s="54"/>
      <c r="Q1027" s="1"/>
      <c r="R1027" s="1"/>
      <c r="S1027" s="1"/>
      <c r="T1027" s="1"/>
      <c r="U1027" s="1"/>
      <c r="V1027" s="1"/>
    </row>
    <row r="1028" ht="15.75" customHeight="1">
      <c r="A1028" s="53"/>
      <c r="B1028" s="54" t="s">
        <v>320</v>
      </c>
      <c r="C1028" s="54" t="s">
        <v>647</v>
      </c>
      <c r="D1028" s="198" t="s">
        <v>22</v>
      </c>
      <c r="E1028" s="288" t="s">
        <v>648</v>
      </c>
      <c r="F1028" s="56">
        <v>5.0</v>
      </c>
      <c r="G1028" s="159">
        <v>4.8</v>
      </c>
      <c r="H1028" s="57">
        <f t="shared" si="25"/>
        <v>24</v>
      </c>
      <c r="I1028" s="58"/>
      <c r="J1028" s="58"/>
      <c r="K1028" s="54"/>
      <c r="L1028" s="54"/>
      <c r="M1028" s="202"/>
      <c r="N1028" s="54"/>
      <c r="O1028" s="202"/>
      <c r="P1028" s="54"/>
      <c r="Q1028" s="1"/>
      <c r="R1028" s="1"/>
      <c r="S1028" s="1"/>
      <c r="T1028" s="1"/>
      <c r="U1028" s="1"/>
      <c r="V1028" s="1"/>
    </row>
    <row r="1029" ht="15.75" customHeight="1">
      <c r="A1029" s="53"/>
      <c r="B1029" s="54" t="s">
        <v>320</v>
      </c>
      <c r="C1029" s="54" t="s">
        <v>649</v>
      </c>
      <c r="D1029" s="198" t="s">
        <v>22</v>
      </c>
      <c r="E1029" s="291" t="s">
        <v>650</v>
      </c>
      <c r="F1029" s="56">
        <v>5.0</v>
      </c>
      <c r="G1029" s="159">
        <v>18.0</v>
      </c>
      <c r="H1029" s="57">
        <f t="shared" si="25"/>
        <v>90</v>
      </c>
      <c r="I1029" s="58"/>
      <c r="J1029" s="58"/>
      <c r="K1029" s="54"/>
      <c r="L1029" s="54"/>
      <c r="M1029" s="54"/>
      <c r="N1029" s="54"/>
      <c r="O1029" s="54"/>
      <c r="P1029" s="54"/>
      <c r="Q1029" s="1"/>
      <c r="R1029" s="1"/>
      <c r="S1029" s="1"/>
      <c r="T1029" s="1"/>
      <c r="U1029" s="1"/>
      <c r="V1029" s="1"/>
    </row>
    <row r="1030" ht="15.75" customHeight="1">
      <c r="A1030" s="53"/>
      <c r="B1030" s="54" t="s">
        <v>64</v>
      </c>
      <c r="C1030" s="54" t="s">
        <v>651</v>
      </c>
      <c r="D1030" s="198" t="s">
        <v>22</v>
      </c>
      <c r="E1030" s="54"/>
      <c r="F1030" s="56">
        <v>5.0</v>
      </c>
      <c r="G1030" s="57">
        <v>35.0</v>
      </c>
      <c r="H1030" s="57">
        <f t="shared" si="25"/>
        <v>175</v>
      </c>
      <c r="I1030" s="58"/>
      <c r="J1030" s="58"/>
      <c r="K1030" s="54"/>
      <c r="L1030" s="54"/>
      <c r="M1030" s="54"/>
      <c r="N1030" s="54"/>
      <c r="O1030" s="54"/>
      <c r="P1030" s="54"/>
      <c r="Q1030" s="1"/>
      <c r="R1030" s="1"/>
      <c r="S1030" s="1"/>
      <c r="T1030" s="1"/>
      <c r="U1030" s="1"/>
      <c r="V1030" s="1"/>
    </row>
    <row r="1031" ht="15.75" customHeight="1">
      <c r="A1031" s="53"/>
      <c r="B1031" s="54"/>
      <c r="C1031" s="54" t="s">
        <v>67</v>
      </c>
      <c r="D1031" s="216" t="s">
        <v>24</v>
      </c>
      <c r="E1031" s="54"/>
      <c r="F1031" s="56">
        <v>10.0</v>
      </c>
      <c r="G1031" s="57">
        <v>18.0</v>
      </c>
      <c r="H1031" s="57">
        <f t="shared" si="25"/>
        <v>180</v>
      </c>
      <c r="I1031" s="58"/>
      <c r="J1031" s="58"/>
      <c r="K1031" s="54"/>
      <c r="L1031" s="252"/>
      <c r="M1031" s="275"/>
      <c r="N1031" s="252"/>
      <c r="O1031" s="275"/>
      <c r="P1031" s="275"/>
      <c r="Q1031" s="1"/>
      <c r="R1031" s="1"/>
      <c r="S1031" s="1"/>
      <c r="T1031" s="1"/>
      <c r="U1031" s="1"/>
      <c r="V1031" s="1"/>
    </row>
    <row r="1032" ht="15.75" customHeight="1">
      <c r="A1032" s="53"/>
      <c r="B1032" s="54" t="s">
        <v>18</v>
      </c>
      <c r="C1032" s="54" t="s">
        <v>652</v>
      </c>
      <c r="D1032" s="198" t="s">
        <v>22</v>
      </c>
      <c r="E1032" s="288" t="s">
        <v>653</v>
      </c>
      <c r="F1032" s="56">
        <v>5.0</v>
      </c>
      <c r="G1032" s="159">
        <v>19.58</v>
      </c>
      <c r="H1032" s="57">
        <f t="shared" si="25"/>
        <v>97.9</v>
      </c>
      <c r="I1032" s="58"/>
      <c r="J1032" s="58"/>
      <c r="K1032" s="54"/>
      <c r="L1032" s="292"/>
      <c r="M1032" s="292"/>
      <c r="N1032" s="292"/>
      <c r="O1032" s="292"/>
      <c r="P1032" s="292"/>
      <c r="Q1032" s="1"/>
      <c r="R1032" s="1"/>
      <c r="S1032" s="1"/>
      <c r="T1032" s="1"/>
      <c r="U1032" s="1"/>
      <c r="V1032" s="1"/>
    </row>
    <row r="1033" ht="15.75" customHeight="1">
      <c r="A1033" s="53"/>
      <c r="B1033" s="54" t="s">
        <v>64</v>
      </c>
      <c r="C1033" s="54" t="s">
        <v>654</v>
      </c>
      <c r="D1033" s="198" t="s">
        <v>22</v>
      </c>
      <c r="E1033" s="54"/>
      <c r="F1033" s="56">
        <v>5.0</v>
      </c>
      <c r="G1033" s="57">
        <v>15.0</v>
      </c>
      <c r="H1033" s="57">
        <f t="shared" si="25"/>
        <v>75</v>
      </c>
      <c r="I1033" s="58"/>
      <c r="J1033" s="58"/>
      <c r="K1033" s="54"/>
      <c r="L1033" s="54"/>
      <c r="M1033" s="54"/>
      <c r="N1033" s="54"/>
      <c r="O1033" s="54"/>
      <c r="P1033" s="54"/>
      <c r="Q1033" s="1"/>
      <c r="R1033" s="1"/>
      <c r="S1033" s="1"/>
      <c r="T1033" s="1"/>
      <c r="U1033" s="1"/>
      <c r="V1033" s="1"/>
    </row>
    <row r="1034" ht="15.75" customHeight="1">
      <c r="A1034" s="53"/>
      <c r="B1034" s="54" t="s">
        <v>64</v>
      </c>
      <c r="C1034" s="54" t="s">
        <v>655</v>
      </c>
      <c r="D1034" s="198" t="s">
        <v>22</v>
      </c>
      <c r="E1034" s="54"/>
      <c r="F1034" s="56">
        <v>5.0</v>
      </c>
      <c r="G1034" s="57">
        <v>15.0</v>
      </c>
      <c r="H1034" s="57">
        <f t="shared" si="25"/>
        <v>75</v>
      </c>
      <c r="I1034" s="58"/>
      <c r="J1034" s="58"/>
      <c r="K1034" s="54"/>
      <c r="L1034" s="54"/>
      <c r="M1034" s="202"/>
      <c r="N1034" s="54"/>
      <c r="O1034" s="202"/>
      <c r="P1034" s="202"/>
      <c r="Q1034" s="1"/>
      <c r="R1034" s="1"/>
      <c r="S1034" s="1"/>
      <c r="T1034" s="1"/>
      <c r="U1034" s="1"/>
      <c r="V1034" s="1"/>
    </row>
    <row r="1035" ht="15.75" customHeight="1">
      <c r="A1035" s="53"/>
      <c r="B1035" s="54" t="s">
        <v>18</v>
      </c>
      <c r="C1035" s="54" t="s">
        <v>656</v>
      </c>
      <c r="D1035" s="198" t="s">
        <v>22</v>
      </c>
      <c r="E1035" s="288" t="s">
        <v>657</v>
      </c>
      <c r="F1035" s="56">
        <v>5.0</v>
      </c>
      <c r="G1035" s="159">
        <v>12.0</v>
      </c>
      <c r="H1035" s="57">
        <f t="shared" si="25"/>
        <v>60</v>
      </c>
      <c r="I1035" s="58"/>
      <c r="J1035" s="58"/>
      <c r="K1035" s="54"/>
      <c r="L1035" s="271"/>
      <c r="M1035" s="271"/>
      <c r="N1035" s="271"/>
      <c r="O1035" s="271"/>
      <c r="P1035" s="293">
        <v>16.0</v>
      </c>
      <c r="Q1035" s="1"/>
      <c r="R1035" s="1"/>
      <c r="S1035" s="1"/>
      <c r="T1035" s="1"/>
      <c r="U1035" s="1"/>
      <c r="V1035" s="1"/>
    </row>
    <row r="1036" ht="15.75" customHeight="1">
      <c r="A1036" s="53"/>
      <c r="B1036" s="54" t="s">
        <v>18</v>
      </c>
      <c r="C1036" s="54" t="s">
        <v>658</v>
      </c>
      <c r="D1036" s="198" t="s">
        <v>22</v>
      </c>
      <c r="E1036" s="291" t="s">
        <v>659</v>
      </c>
      <c r="F1036" s="56">
        <v>1.0</v>
      </c>
      <c r="G1036" s="159">
        <v>28.8</v>
      </c>
      <c r="H1036" s="57">
        <f t="shared" si="25"/>
        <v>28.8</v>
      </c>
      <c r="I1036" s="58"/>
      <c r="J1036" s="58"/>
      <c r="K1036" s="54"/>
      <c r="L1036" s="271"/>
      <c r="M1036" s="271"/>
      <c r="N1036" s="271"/>
      <c r="O1036" s="271"/>
      <c r="P1036" s="293"/>
      <c r="Q1036" s="1"/>
      <c r="R1036" s="1"/>
      <c r="S1036" s="1"/>
      <c r="T1036" s="1"/>
      <c r="U1036" s="1"/>
      <c r="V1036" s="1"/>
    </row>
    <row r="1037" ht="15.75" customHeight="1">
      <c r="A1037" s="53"/>
      <c r="B1037" s="54" t="s">
        <v>64</v>
      </c>
      <c r="C1037" s="294" t="s">
        <v>660</v>
      </c>
      <c r="D1037" s="198" t="s">
        <v>22</v>
      </c>
      <c r="E1037" s="54"/>
      <c r="F1037" s="56">
        <v>5.0</v>
      </c>
      <c r="G1037" s="57">
        <v>30.0</v>
      </c>
      <c r="H1037" s="57">
        <f t="shared" si="25"/>
        <v>150</v>
      </c>
      <c r="I1037" s="58"/>
      <c r="J1037" s="58"/>
      <c r="K1037" s="54"/>
      <c r="L1037" s="54"/>
      <c r="M1037" s="54"/>
      <c r="N1037" s="54"/>
      <c r="O1037" s="54"/>
      <c r="P1037" s="54"/>
      <c r="Q1037" s="1"/>
      <c r="R1037" s="1"/>
      <c r="S1037" s="1"/>
      <c r="T1037" s="1"/>
      <c r="U1037" s="1"/>
      <c r="V1037" s="1"/>
    </row>
    <row r="1038" ht="15.75" customHeight="1">
      <c r="A1038" s="53"/>
      <c r="B1038" s="392" t="s">
        <v>121</v>
      </c>
      <c r="C1038" s="393" t="s">
        <v>661</v>
      </c>
      <c r="D1038" s="394" t="s">
        <v>22</v>
      </c>
      <c r="E1038" s="392"/>
      <c r="F1038" s="395">
        <v>9.0</v>
      </c>
      <c r="G1038" s="396">
        <v>27.99</v>
      </c>
      <c r="H1038" s="396">
        <f t="shared" si="25"/>
        <v>251.91</v>
      </c>
      <c r="I1038" s="58"/>
      <c r="J1038" s="58"/>
      <c r="K1038" s="54"/>
      <c r="L1038" s="54"/>
      <c r="M1038" s="54"/>
      <c r="N1038" s="54"/>
      <c r="O1038" s="54"/>
      <c r="P1038" s="54"/>
      <c r="Q1038" s="1"/>
      <c r="R1038" s="1"/>
      <c r="S1038" s="1"/>
      <c r="T1038" s="1"/>
      <c r="U1038" s="1"/>
      <c r="V1038" s="1"/>
    </row>
    <row r="1039" ht="15.75" customHeight="1">
      <c r="A1039" s="53"/>
      <c r="B1039" s="392" t="s">
        <v>121</v>
      </c>
      <c r="C1039" s="392" t="s">
        <v>662</v>
      </c>
      <c r="D1039" s="394" t="s">
        <v>22</v>
      </c>
      <c r="E1039" s="392"/>
      <c r="F1039" s="395">
        <v>5.0</v>
      </c>
      <c r="G1039" s="397">
        <v>20.31</v>
      </c>
      <c r="H1039" s="396">
        <f t="shared" si="25"/>
        <v>101.55</v>
      </c>
      <c r="I1039" s="58"/>
      <c r="J1039" s="58"/>
      <c r="K1039" s="258">
        <v>20.31</v>
      </c>
      <c r="L1039" s="54"/>
      <c r="M1039" s="54"/>
      <c r="N1039" s="54"/>
      <c r="O1039" s="54"/>
      <c r="P1039" s="54"/>
      <c r="Q1039" s="1"/>
      <c r="R1039" s="1"/>
      <c r="S1039" s="1"/>
      <c r="T1039" s="1"/>
      <c r="U1039" s="1"/>
      <c r="V1039" s="1"/>
    </row>
    <row r="1040" ht="15.75" customHeight="1">
      <c r="A1040" s="53"/>
      <c r="B1040" s="392" t="s">
        <v>121</v>
      </c>
      <c r="C1040" s="392" t="s">
        <v>663</v>
      </c>
      <c r="D1040" s="394" t="s">
        <v>22</v>
      </c>
      <c r="E1040" s="392"/>
      <c r="F1040" s="395">
        <v>3.0</v>
      </c>
      <c r="G1040" s="397">
        <v>14.96</v>
      </c>
      <c r="H1040" s="396">
        <f t="shared" si="25"/>
        <v>44.88</v>
      </c>
      <c r="I1040" s="58"/>
      <c r="J1040" s="58"/>
      <c r="K1040" s="258">
        <v>14.96</v>
      </c>
      <c r="L1040" s="54"/>
      <c r="M1040" s="54"/>
      <c r="N1040" s="54"/>
      <c r="O1040" s="54"/>
      <c r="P1040" s="54"/>
      <c r="Q1040" s="1"/>
      <c r="R1040" s="1"/>
      <c r="S1040" s="1"/>
      <c r="T1040" s="1"/>
      <c r="U1040" s="1"/>
      <c r="V1040" s="1"/>
    </row>
    <row r="1041" ht="15.75" customHeight="1">
      <c r="A1041" s="53"/>
      <c r="B1041" s="54" t="s">
        <v>64</v>
      </c>
      <c r="C1041" s="54" t="s">
        <v>664</v>
      </c>
      <c r="D1041" s="198" t="s">
        <v>22</v>
      </c>
      <c r="E1041" s="54"/>
      <c r="F1041" s="56">
        <v>10.0</v>
      </c>
      <c r="G1041" s="159">
        <v>15.0</v>
      </c>
      <c r="H1041" s="57">
        <f t="shared" si="25"/>
        <v>150</v>
      </c>
      <c r="I1041" s="58"/>
      <c r="J1041" s="58"/>
      <c r="K1041" s="54"/>
      <c r="L1041" s="54"/>
      <c r="M1041" s="54"/>
      <c r="N1041" s="54"/>
      <c r="O1041" s="54"/>
      <c r="P1041" s="54"/>
      <c r="Q1041" s="1"/>
      <c r="R1041" s="1"/>
      <c r="S1041" s="1"/>
      <c r="T1041" s="1"/>
      <c r="U1041" s="1"/>
      <c r="V1041" s="1"/>
    </row>
    <row r="1042" ht="15.75" hidden="1" customHeight="1">
      <c r="A1042" s="53"/>
      <c r="B1042" s="54" t="s">
        <v>574</v>
      </c>
      <c r="C1042" s="54" t="s">
        <v>665</v>
      </c>
      <c r="D1042" s="198" t="s">
        <v>22</v>
      </c>
      <c r="E1042" s="54"/>
      <c r="F1042" s="56">
        <v>0.0</v>
      </c>
      <c r="G1042" s="57">
        <v>400.0</v>
      </c>
      <c r="H1042" s="57">
        <f t="shared" si="25"/>
        <v>0</v>
      </c>
      <c r="I1042" s="58"/>
      <c r="J1042" s="58"/>
      <c r="K1042" s="54"/>
      <c r="L1042" s="54"/>
      <c r="M1042" s="54"/>
      <c r="N1042" s="54"/>
      <c r="O1042" s="54"/>
      <c r="P1042" s="54"/>
      <c r="Q1042" s="1"/>
      <c r="R1042" s="1"/>
      <c r="S1042" s="1"/>
      <c r="T1042" s="1"/>
      <c r="U1042" s="1"/>
      <c r="V1042" s="1"/>
    </row>
    <row r="1043" ht="15.75" hidden="1" customHeight="1">
      <c r="A1043" s="53"/>
      <c r="B1043" s="54"/>
      <c r="C1043" s="54" t="s">
        <v>666</v>
      </c>
      <c r="D1043" s="216" t="s">
        <v>24</v>
      </c>
      <c r="E1043" s="54"/>
      <c r="F1043" s="56">
        <v>0.0</v>
      </c>
      <c r="G1043" s="57">
        <v>250.0</v>
      </c>
      <c r="H1043" s="57">
        <f t="shared" si="25"/>
        <v>0</v>
      </c>
      <c r="I1043" s="58"/>
      <c r="J1043" s="58"/>
      <c r="K1043" s="54"/>
      <c r="L1043" s="54"/>
      <c r="M1043" s="54"/>
      <c r="N1043" s="54"/>
      <c r="O1043" s="54"/>
      <c r="P1043" s="54"/>
      <c r="Q1043" s="1"/>
      <c r="R1043" s="1"/>
      <c r="S1043" s="1"/>
      <c r="T1043" s="1"/>
      <c r="U1043" s="1"/>
      <c r="V1043" s="1"/>
    </row>
    <row r="1044" ht="15.75" hidden="1" customHeight="1">
      <c r="A1044" s="53"/>
      <c r="B1044" s="54" t="s">
        <v>18</v>
      </c>
      <c r="C1044" s="54" t="s">
        <v>667</v>
      </c>
      <c r="D1044" s="55" t="s">
        <v>20</v>
      </c>
      <c r="E1044" s="208" t="s">
        <v>668</v>
      </c>
      <c r="F1044" s="56">
        <v>0.0</v>
      </c>
      <c r="G1044" s="57">
        <v>17.97</v>
      </c>
      <c r="H1044" s="57">
        <f t="shared" si="25"/>
        <v>0</v>
      </c>
      <c r="I1044" s="58"/>
      <c r="J1044" s="58"/>
      <c r="K1044" s="54"/>
      <c r="L1044" s="54"/>
      <c r="M1044" s="54"/>
      <c r="N1044" s="54"/>
      <c r="O1044" s="54"/>
      <c r="P1044" s="54"/>
      <c r="Q1044" s="1"/>
      <c r="R1044" s="1"/>
      <c r="S1044" s="1"/>
      <c r="T1044" s="1"/>
      <c r="U1044" s="1"/>
      <c r="V1044" s="1"/>
    </row>
    <row r="1045" ht="15.75" hidden="1" customHeight="1">
      <c r="A1045" s="53"/>
      <c r="B1045" s="54" t="s">
        <v>18</v>
      </c>
      <c r="C1045" s="54" t="s">
        <v>669</v>
      </c>
      <c r="D1045" s="55" t="s">
        <v>20</v>
      </c>
      <c r="E1045" s="208" t="s">
        <v>670</v>
      </c>
      <c r="F1045" s="56">
        <v>0.0</v>
      </c>
      <c r="G1045" s="57">
        <v>9.99</v>
      </c>
      <c r="H1045" s="57">
        <f t="shared" si="25"/>
        <v>0</v>
      </c>
      <c r="I1045" s="58"/>
      <c r="J1045" s="58"/>
      <c r="K1045" s="54"/>
      <c r="L1045" s="54"/>
      <c r="M1045" s="54"/>
      <c r="N1045" s="54"/>
      <c r="O1045" s="54"/>
      <c r="P1045" s="54"/>
      <c r="Q1045" s="1"/>
      <c r="R1045" s="1"/>
      <c r="S1045" s="1"/>
      <c r="T1045" s="1"/>
      <c r="U1045" s="1"/>
      <c r="V1045" s="1"/>
    </row>
    <row r="1046" ht="15.75" hidden="1" customHeight="1">
      <c r="A1046" s="53"/>
      <c r="B1046" s="54" t="s">
        <v>18</v>
      </c>
      <c r="C1046" s="54" t="s">
        <v>671</v>
      </c>
      <c r="D1046" s="55" t="s">
        <v>20</v>
      </c>
      <c r="E1046" s="208" t="s">
        <v>672</v>
      </c>
      <c r="F1046" s="56">
        <v>0.0</v>
      </c>
      <c r="G1046" s="57">
        <v>16.92</v>
      </c>
      <c r="H1046" s="57">
        <f t="shared" si="25"/>
        <v>0</v>
      </c>
      <c r="I1046" s="58"/>
      <c r="J1046" s="58"/>
      <c r="K1046" s="54"/>
      <c r="L1046" s="54"/>
      <c r="M1046" s="54"/>
      <c r="N1046" s="54"/>
      <c r="O1046" s="54"/>
      <c r="P1046" s="54"/>
      <c r="Q1046" s="1"/>
      <c r="R1046" s="1"/>
      <c r="S1046" s="1"/>
      <c r="T1046" s="1"/>
      <c r="U1046" s="1"/>
      <c r="V1046" s="1"/>
    </row>
    <row r="1047" ht="15.75" hidden="1" customHeight="1">
      <c r="A1047" s="53"/>
      <c r="B1047" s="54"/>
      <c r="C1047" s="54" t="s">
        <v>673</v>
      </c>
      <c r="D1047" s="216" t="s">
        <v>24</v>
      </c>
      <c r="E1047" s="54"/>
      <c r="F1047" s="56">
        <v>0.0</v>
      </c>
      <c r="G1047" s="57">
        <v>25.0</v>
      </c>
      <c r="H1047" s="57">
        <f t="shared" si="25"/>
        <v>0</v>
      </c>
      <c r="I1047" s="58"/>
      <c r="J1047" s="58"/>
      <c r="K1047" s="54"/>
      <c r="L1047" s="54"/>
      <c r="M1047" s="54"/>
      <c r="N1047" s="54"/>
      <c r="O1047" s="54"/>
      <c r="P1047" s="54"/>
      <c r="Q1047" s="1"/>
      <c r="R1047" s="1"/>
      <c r="S1047" s="1"/>
      <c r="T1047" s="1"/>
      <c r="U1047" s="1"/>
      <c r="V1047" s="1"/>
    </row>
    <row r="1048" ht="28.5" customHeight="1">
      <c r="A1048" s="6"/>
      <c r="B1048" s="6" t="s">
        <v>674</v>
      </c>
      <c r="C1048" s="7">
        <f>SUM(H1049:H1072)</f>
        <v>764.94</v>
      </c>
      <c r="D1048" s="148"/>
      <c r="E1048" s="148"/>
      <c r="F1048" s="81"/>
      <c r="G1048" s="82"/>
      <c r="H1048" s="82"/>
      <c r="I1048" s="82"/>
      <c r="J1048" s="82"/>
      <c r="K1048" s="81"/>
      <c r="L1048" s="83"/>
      <c r="M1048" s="83"/>
      <c r="N1048" s="83"/>
      <c r="O1048" s="83"/>
      <c r="P1048" s="83"/>
      <c r="Q1048" s="35"/>
      <c r="R1048" s="35"/>
      <c r="S1048" s="35"/>
      <c r="T1048" s="1"/>
      <c r="U1048" s="1"/>
      <c r="V1048" s="1"/>
    </row>
    <row r="1049" ht="15.75" hidden="1" customHeight="1">
      <c r="A1049" s="15"/>
      <c r="B1049" s="52" t="s">
        <v>18</v>
      </c>
      <c r="C1049" s="52" t="s">
        <v>639</v>
      </c>
      <c r="D1049" s="150" t="s">
        <v>22</v>
      </c>
      <c r="E1049" s="207" t="s">
        <v>675</v>
      </c>
      <c r="F1049" s="48">
        <v>0.0</v>
      </c>
      <c r="G1049" s="50">
        <v>18.99</v>
      </c>
      <c r="H1049" s="50">
        <f t="shared" ref="H1049:H1072" si="26">SUM(F1049*G1049)</f>
        <v>0</v>
      </c>
      <c r="I1049" s="51"/>
      <c r="J1049" s="51"/>
      <c r="K1049" s="52"/>
      <c r="L1049" s="52"/>
      <c r="M1049" s="52"/>
      <c r="N1049" s="52"/>
      <c r="O1049" s="52"/>
      <c r="P1049" s="52"/>
      <c r="Q1049" s="1"/>
      <c r="R1049" s="1"/>
      <c r="S1049" s="1"/>
      <c r="T1049" s="1"/>
      <c r="U1049" s="1"/>
      <c r="V1049" s="1"/>
    </row>
    <row r="1050" ht="15.75" hidden="1" customHeight="1">
      <c r="A1050" s="53"/>
      <c r="B1050" s="54" t="s">
        <v>18</v>
      </c>
      <c r="C1050" s="54" t="s">
        <v>641</v>
      </c>
      <c r="D1050" s="198" t="s">
        <v>22</v>
      </c>
      <c r="E1050" s="208" t="s">
        <v>676</v>
      </c>
      <c r="F1050" s="56">
        <v>0.0</v>
      </c>
      <c r="G1050" s="57">
        <v>6.57</v>
      </c>
      <c r="H1050" s="57">
        <f t="shared" si="26"/>
        <v>0</v>
      </c>
      <c r="I1050" s="58"/>
      <c r="J1050" s="58"/>
      <c r="K1050" s="54"/>
      <c r="L1050" s="54"/>
      <c r="M1050" s="54"/>
      <c r="N1050" s="54"/>
      <c r="O1050" s="54"/>
      <c r="P1050" s="54"/>
      <c r="Q1050" s="1"/>
      <c r="R1050" s="1"/>
      <c r="S1050" s="1"/>
      <c r="T1050" s="1"/>
      <c r="U1050" s="1"/>
      <c r="V1050" s="1"/>
    </row>
    <row r="1051" ht="15.75" hidden="1" customHeight="1">
      <c r="A1051" s="53"/>
      <c r="B1051" s="54" t="s">
        <v>18</v>
      </c>
      <c r="C1051" s="54" t="s">
        <v>643</v>
      </c>
      <c r="D1051" s="198" t="s">
        <v>22</v>
      </c>
      <c r="E1051" s="208" t="s">
        <v>677</v>
      </c>
      <c r="F1051" s="56">
        <v>0.0</v>
      </c>
      <c r="G1051" s="57">
        <v>11.0</v>
      </c>
      <c r="H1051" s="57">
        <f t="shared" si="26"/>
        <v>0</v>
      </c>
      <c r="I1051" s="58"/>
      <c r="J1051" s="58"/>
      <c r="K1051" s="295" t="s">
        <v>678</v>
      </c>
      <c r="L1051" s="290"/>
      <c r="M1051" s="290"/>
      <c r="N1051" s="290"/>
      <c r="O1051" s="290"/>
      <c r="P1051" s="290"/>
      <c r="Q1051" s="1"/>
      <c r="R1051" s="1"/>
      <c r="S1051" s="1"/>
      <c r="T1051" s="1"/>
      <c r="U1051" s="1"/>
      <c r="V1051" s="1"/>
    </row>
    <row r="1052" ht="15.75" hidden="1" customHeight="1">
      <c r="A1052" s="53"/>
      <c r="B1052" s="54" t="s">
        <v>18</v>
      </c>
      <c r="C1052" s="54" t="s">
        <v>645</v>
      </c>
      <c r="D1052" s="198" t="s">
        <v>22</v>
      </c>
      <c r="E1052" s="208" t="s">
        <v>679</v>
      </c>
      <c r="F1052" s="56">
        <v>0.0</v>
      </c>
      <c r="G1052" s="57">
        <v>7.0</v>
      </c>
      <c r="H1052" s="57">
        <f t="shared" si="26"/>
        <v>0</v>
      </c>
      <c r="I1052" s="58"/>
      <c r="J1052" s="58"/>
      <c r="K1052" s="54"/>
      <c r="L1052" s="54"/>
      <c r="M1052" s="54"/>
      <c r="N1052" s="54"/>
      <c r="O1052" s="54"/>
      <c r="P1052" s="54"/>
      <c r="Q1052" s="1"/>
      <c r="R1052" s="1"/>
      <c r="S1052" s="1"/>
      <c r="T1052" s="1"/>
      <c r="U1052" s="1"/>
      <c r="V1052" s="1"/>
    </row>
    <row r="1053" ht="15.75" customHeight="1">
      <c r="A1053" s="53"/>
      <c r="B1053" s="54" t="s">
        <v>320</v>
      </c>
      <c r="C1053" s="54" t="s">
        <v>680</v>
      </c>
      <c r="D1053" s="198" t="s">
        <v>22</v>
      </c>
      <c r="E1053" s="288" t="s">
        <v>648</v>
      </c>
      <c r="F1053" s="56">
        <v>3.0</v>
      </c>
      <c r="G1053" s="159">
        <v>4.8</v>
      </c>
      <c r="H1053" s="57">
        <f t="shared" si="26"/>
        <v>14.4</v>
      </c>
      <c r="I1053" s="58"/>
      <c r="J1053" s="58"/>
      <c r="K1053" s="54"/>
      <c r="L1053" s="54"/>
      <c r="M1053" s="202"/>
      <c r="N1053" s="54"/>
      <c r="O1053" s="202"/>
      <c r="P1053" s="54"/>
      <c r="Q1053" s="1"/>
      <c r="R1053" s="1"/>
      <c r="S1053" s="1"/>
      <c r="T1053" s="1"/>
      <c r="U1053" s="1"/>
      <c r="V1053" s="1"/>
    </row>
    <row r="1054" ht="15.75" customHeight="1">
      <c r="A1054" s="53"/>
      <c r="B1054" s="54" t="s">
        <v>320</v>
      </c>
      <c r="C1054" s="54" t="s">
        <v>649</v>
      </c>
      <c r="D1054" s="198" t="s">
        <v>22</v>
      </c>
      <c r="E1054" s="291" t="s">
        <v>650</v>
      </c>
      <c r="F1054" s="56">
        <v>3.0</v>
      </c>
      <c r="G1054" s="159">
        <v>18.0</v>
      </c>
      <c r="H1054" s="57">
        <f t="shared" si="26"/>
        <v>54</v>
      </c>
      <c r="I1054" s="58"/>
      <c r="J1054" s="58"/>
      <c r="K1054" s="54"/>
      <c r="L1054" s="54"/>
      <c r="M1054" s="54"/>
      <c r="N1054" s="54"/>
      <c r="O1054" s="54"/>
      <c r="P1054" s="54"/>
      <c r="Q1054" s="1"/>
      <c r="R1054" s="1"/>
      <c r="S1054" s="1"/>
      <c r="T1054" s="1"/>
      <c r="U1054" s="1"/>
      <c r="V1054" s="1"/>
    </row>
    <row r="1055" ht="15.75" customHeight="1">
      <c r="A1055" s="53"/>
      <c r="B1055" s="54" t="s">
        <v>64</v>
      </c>
      <c r="C1055" s="54" t="s">
        <v>651</v>
      </c>
      <c r="D1055" s="198" t="s">
        <v>22</v>
      </c>
      <c r="E1055" s="54"/>
      <c r="F1055" s="56">
        <v>3.0</v>
      </c>
      <c r="G1055" s="57">
        <v>35.0</v>
      </c>
      <c r="H1055" s="57">
        <f t="shared" si="26"/>
        <v>105</v>
      </c>
      <c r="I1055" s="58"/>
      <c r="J1055" s="58"/>
      <c r="K1055" s="54"/>
      <c r="L1055" s="54"/>
      <c r="M1055" s="54"/>
      <c r="N1055" s="54"/>
      <c r="O1055" s="54"/>
      <c r="P1055" s="54"/>
      <c r="Q1055" s="1"/>
      <c r="R1055" s="1"/>
      <c r="S1055" s="1"/>
      <c r="T1055" s="1"/>
      <c r="U1055" s="1"/>
      <c r="V1055" s="1"/>
    </row>
    <row r="1056" ht="15.75" customHeight="1">
      <c r="A1056" s="53"/>
      <c r="B1056" s="54"/>
      <c r="C1056" s="54" t="s">
        <v>67</v>
      </c>
      <c r="D1056" s="216" t="s">
        <v>24</v>
      </c>
      <c r="E1056" s="54"/>
      <c r="F1056" s="56">
        <v>6.0</v>
      </c>
      <c r="G1056" s="57">
        <v>18.0</v>
      </c>
      <c r="H1056" s="57">
        <f t="shared" si="26"/>
        <v>108</v>
      </c>
      <c r="I1056" s="58"/>
      <c r="J1056" s="58"/>
      <c r="K1056" s="54"/>
      <c r="L1056" s="252"/>
      <c r="M1056" s="275"/>
      <c r="N1056" s="252"/>
      <c r="O1056" s="275"/>
      <c r="P1056" s="275"/>
      <c r="Q1056" s="1"/>
      <c r="R1056" s="1"/>
      <c r="S1056" s="1"/>
      <c r="T1056" s="1"/>
      <c r="U1056" s="1"/>
      <c r="V1056" s="1"/>
    </row>
    <row r="1057" ht="15.75" customHeight="1">
      <c r="A1057" s="53"/>
      <c r="B1057" s="54" t="s">
        <v>18</v>
      </c>
      <c r="C1057" s="54" t="s">
        <v>652</v>
      </c>
      <c r="D1057" s="198" t="s">
        <v>22</v>
      </c>
      <c r="E1057" s="288" t="s">
        <v>653</v>
      </c>
      <c r="F1057" s="56">
        <v>3.0</v>
      </c>
      <c r="G1057" s="159">
        <v>19.58</v>
      </c>
      <c r="H1057" s="57">
        <f t="shared" si="26"/>
        <v>58.74</v>
      </c>
      <c r="I1057" s="58"/>
      <c r="J1057" s="58"/>
      <c r="K1057" s="54"/>
      <c r="L1057" s="292"/>
      <c r="M1057" s="292"/>
      <c r="N1057" s="292"/>
      <c r="O1057" s="292"/>
      <c r="P1057" s="292"/>
      <c r="Q1057" s="1"/>
      <c r="R1057" s="1"/>
      <c r="S1057" s="1"/>
      <c r="T1057" s="1"/>
      <c r="U1057" s="1"/>
      <c r="V1057" s="1"/>
    </row>
    <row r="1058" ht="15.75" customHeight="1">
      <c r="A1058" s="53"/>
      <c r="B1058" s="54" t="s">
        <v>64</v>
      </c>
      <c r="C1058" s="54" t="s">
        <v>654</v>
      </c>
      <c r="D1058" s="198" t="s">
        <v>22</v>
      </c>
      <c r="E1058" s="54"/>
      <c r="F1058" s="56">
        <v>6.0</v>
      </c>
      <c r="G1058" s="57">
        <v>15.0</v>
      </c>
      <c r="H1058" s="57">
        <f t="shared" si="26"/>
        <v>90</v>
      </c>
      <c r="I1058" s="58"/>
      <c r="J1058" s="58"/>
      <c r="K1058" s="54"/>
      <c r="L1058" s="54"/>
      <c r="M1058" s="54"/>
      <c r="N1058" s="54"/>
      <c r="O1058" s="54"/>
      <c r="P1058" s="54"/>
      <c r="Q1058" s="1"/>
      <c r="R1058" s="1"/>
      <c r="S1058" s="1"/>
      <c r="T1058" s="1"/>
      <c r="U1058" s="1"/>
      <c r="V1058" s="1"/>
    </row>
    <row r="1059" ht="15.75" customHeight="1">
      <c r="A1059" s="53"/>
      <c r="B1059" s="54" t="s">
        <v>64</v>
      </c>
      <c r="C1059" s="54" t="s">
        <v>655</v>
      </c>
      <c r="D1059" s="198" t="s">
        <v>22</v>
      </c>
      <c r="E1059" s="54"/>
      <c r="F1059" s="56">
        <v>6.0</v>
      </c>
      <c r="G1059" s="57">
        <v>15.0</v>
      </c>
      <c r="H1059" s="57">
        <f t="shared" si="26"/>
        <v>90</v>
      </c>
      <c r="I1059" s="58"/>
      <c r="J1059" s="58"/>
      <c r="K1059" s="54"/>
      <c r="L1059" s="54"/>
      <c r="M1059" s="202"/>
      <c r="N1059" s="54"/>
      <c r="O1059" s="202"/>
      <c r="P1059" s="202"/>
      <c r="Q1059" s="1"/>
      <c r="R1059" s="1"/>
      <c r="S1059" s="1"/>
      <c r="T1059" s="1"/>
      <c r="U1059" s="1"/>
      <c r="V1059" s="1"/>
    </row>
    <row r="1060" ht="15.75" customHeight="1">
      <c r="A1060" s="53"/>
      <c r="B1060" s="54" t="s">
        <v>18</v>
      </c>
      <c r="C1060" s="54" t="s">
        <v>656</v>
      </c>
      <c r="D1060" s="198" t="s">
        <v>22</v>
      </c>
      <c r="E1060" s="288" t="s">
        <v>681</v>
      </c>
      <c r="F1060" s="56">
        <v>3.0</v>
      </c>
      <c r="G1060" s="159">
        <v>12.0</v>
      </c>
      <c r="H1060" s="57">
        <f t="shared" si="26"/>
        <v>36</v>
      </c>
      <c r="I1060" s="58"/>
      <c r="J1060" s="58"/>
      <c r="K1060" s="54"/>
      <c r="L1060" s="271"/>
      <c r="M1060" s="271"/>
      <c r="N1060" s="271"/>
      <c r="O1060" s="271"/>
      <c r="P1060" s="293">
        <v>16.0</v>
      </c>
      <c r="Q1060" s="1"/>
      <c r="R1060" s="1"/>
      <c r="S1060" s="1"/>
      <c r="T1060" s="1"/>
      <c r="U1060" s="1"/>
      <c r="V1060" s="1"/>
    </row>
    <row r="1061" ht="15.75" customHeight="1">
      <c r="A1061" s="53"/>
      <c r="B1061" s="54" t="s">
        <v>18</v>
      </c>
      <c r="C1061" s="54" t="s">
        <v>658</v>
      </c>
      <c r="D1061" s="198" t="s">
        <v>22</v>
      </c>
      <c r="E1061" s="291" t="s">
        <v>659</v>
      </c>
      <c r="F1061" s="56">
        <v>1.0</v>
      </c>
      <c r="G1061" s="159">
        <v>28.8</v>
      </c>
      <c r="H1061" s="57">
        <f t="shared" si="26"/>
        <v>28.8</v>
      </c>
      <c r="I1061" s="58"/>
      <c r="J1061" s="58"/>
      <c r="K1061" s="54"/>
      <c r="L1061" s="271"/>
      <c r="M1061" s="271"/>
      <c r="N1061" s="271"/>
      <c r="O1061" s="271"/>
      <c r="P1061" s="293"/>
      <c r="Q1061" s="1"/>
      <c r="R1061" s="1"/>
      <c r="S1061" s="1"/>
      <c r="T1061" s="1"/>
      <c r="U1061" s="1"/>
      <c r="V1061" s="1"/>
    </row>
    <row r="1062" ht="15.75" customHeight="1">
      <c r="A1062" s="53"/>
      <c r="B1062" s="54" t="s">
        <v>64</v>
      </c>
      <c r="C1062" s="294" t="s">
        <v>660</v>
      </c>
      <c r="D1062" s="198" t="s">
        <v>22</v>
      </c>
      <c r="E1062" s="54"/>
      <c r="F1062" s="56">
        <v>6.0</v>
      </c>
      <c r="G1062" s="57">
        <v>30.0</v>
      </c>
      <c r="H1062" s="57">
        <f t="shared" si="26"/>
        <v>180</v>
      </c>
      <c r="I1062" s="58"/>
      <c r="J1062" s="58"/>
      <c r="K1062" s="54"/>
      <c r="L1062" s="54"/>
      <c r="M1062" s="54"/>
      <c r="N1062" s="54"/>
      <c r="O1062" s="54"/>
      <c r="P1062" s="54"/>
      <c r="Q1062" s="1"/>
      <c r="R1062" s="1"/>
      <c r="S1062" s="1"/>
      <c r="T1062" s="1"/>
      <c r="U1062" s="1"/>
      <c r="V1062" s="1"/>
    </row>
    <row r="1063" ht="15.75" hidden="1" customHeight="1">
      <c r="A1063" s="53"/>
      <c r="B1063" s="54" t="s">
        <v>399</v>
      </c>
      <c r="C1063" s="274" t="s">
        <v>661</v>
      </c>
      <c r="D1063" s="198" t="s">
        <v>22</v>
      </c>
      <c r="E1063" s="54"/>
      <c r="F1063" s="56">
        <v>0.0</v>
      </c>
      <c r="G1063" s="57">
        <v>27.99</v>
      </c>
      <c r="H1063" s="57">
        <f t="shared" si="26"/>
        <v>0</v>
      </c>
      <c r="I1063" s="58"/>
      <c r="J1063" s="58"/>
      <c r="K1063" s="54"/>
      <c r="L1063" s="54"/>
      <c r="M1063" s="54"/>
      <c r="N1063" s="54"/>
      <c r="O1063" s="54"/>
      <c r="P1063" s="54"/>
      <c r="Q1063" s="1"/>
      <c r="R1063" s="1"/>
      <c r="S1063" s="1"/>
      <c r="T1063" s="1"/>
      <c r="U1063" s="1"/>
      <c r="V1063" s="1"/>
    </row>
    <row r="1064" ht="15.75" hidden="1" customHeight="1">
      <c r="A1064" s="53"/>
      <c r="B1064" s="54" t="s">
        <v>399</v>
      </c>
      <c r="C1064" s="54" t="s">
        <v>662</v>
      </c>
      <c r="D1064" s="198" t="s">
        <v>22</v>
      </c>
      <c r="E1064" s="54"/>
      <c r="F1064" s="56">
        <v>0.0</v>
      </c>
      <c r="G1064" s="57">
        <v>18.99</v>
      </c>
      <c r="H1064" s="57">
        <f t="shared" si="26"/>
        <v>0</v>
      </c>
      <c r="I1064" s="58"/>
      <c r="J1064" s="58"/>
      <c r="K1064" s="54"/>
      <c r="L1064" s="54"/>
      <c r="M1064" s="54"/>
      <c r="N1064" s="54"/>
      <c r="O1064" s="54"/>
      <c r="P1064" s="54"/>
      <c r="Q1064" s="1"/>
      <c r="R1064" s="1"/>
      <c r="S1064" s="1"/>
      <c r="T1064" s="1"/>
      <c r="U1064" s="1"/>
      <c r="V1064" s="1"/>
    </row>
    <row r="1065" ht="15.75" hidden="1" customHeight="1">
      <c r="A1065" s="53"/>
      <c r="B1065" s="54" t="s">
        <v>399</v>
      </c>
      <c r="C1065" s="54" t="s">
        <v>663</v>
      </c>
      <c r="D1065" s="198" t="s">
        <v>22</v>
      </c>
      <c r="E1065" s="54"/>
      <c r="F1065" s="56">
        <v>0.0</v>
      </c>
      <c r="G1065" s="57">
        <v>13.99</v>
      </c>
      <c r="H1065" s="57">
        <f t="shared" si="26"/>
        <v>0</v>
      </c>
      <c r="I1065" s="58"/>
      <c r="J1065" s="58"/>
      <c r="K1065" s="54"/>
      <c r="L1065" s="54"/>
      <c r="M1065" s="54"/>
      <c r="N1065" s="54"/>
      <c r="O1065" s="54"/>
      <c r="P1065" s="54"/>
      <c r="Q1065" s="1"/>
      <c r="R1065" s="1"/>
      <c r="S1065" s="1"/>
      <c r="T1065" s="1"/>
      <c r="U1065" s="1"/>
      <c r="V1065" s="1"/>
    </row>
    <row r="1066" ht="15.75" hidden="1" customHeight="1">
      <c r="A1066" s="53"/>
      <c r="B1066" s="54"/>
      <c r="C1066" s="54" t="s">
        <v>682</v>
      </c>
      <c r="D1066" s="198" t="s">
        <v>22</v>
      </c>
      <c r="E1066" s="54"/>
      <c r="F1066" s="56">
        <v>0.0</v>
      </c>
      <c r="G1066" s="57">
        <v>23.99</v>
      </c>
      <c r="H1066" s="57">
        <f t="shared" si="26"/>
        <v>0</v>
      </c>
      <c r="I1066" s="58"/>
      <c r="J1066" s="58"/>
      <c r="K1066" s="54"/>
      <c r="L1066" s="54"/>
      <c r="M1066" s="54"/>
      <c r="N1066" s="54"/>
      <c r="O1066" s="54"/>
      <c r="P1066" s="54"/>
      <c r="Q1066" s="1"/>
      <c r="R1066" s="1"/>
      <c r="S1066" s="1"/>
      <c r="T1066" s="1"/>
      <c r="U1066" s="1"/>
      <c r="V1066" s="1"/>
    </row>
    <row r="1067" ht="15.75" hidden="1" customHeight="1">
      <c r="A1067" s="53"/>
      <c r="B1067" s="54" t="s">
        <v>574</v>
      </c>
      <c r="C1067" s="54" t="s">
        <v>665</v>
      </c>
      <c r="D1067" s="198" t="s">
        <v>22</v>
      </c>
      <c r="E1067" s="54"/>
      <c r="F1067" s="56">
        <v>0.0</v>
      </c>
      <c r="G1067" s="57">
        <v>400.0</v>
      </c>
      <c r="H1067" s="57">
        <f t="shared" si="26"/>
        <v>0</v>
      </c>
      <c r="I1067" s="58"/>
      <c r="J1067" s="58"/>
      <c r="K1067" s="54"/>
      <c r="L1067" s="54"/>
      <c r="M1067" s="54"/>
      <c r="N1067" s="54"/>
      <c r="O1067" s="54"/>
      <c r="P1067" s="54"/>
      <c r="Q1067" s="1"/>
      <c r="R1067" s="1"/>
      <c r="S1067" s="1"/>
      <c r="T1067" s="1"/>
      <c r="U1067" s="1"/>
      <c r="V1067" s="1"/>
    </row>
    <row r="1068" ht="15.75" hidden="1" customHeight="1">
      <c r="A1068" s="53"/>
      <c r="B1068" s="54"/>
      <c r="C1068" s="54" t="s">
        <v>666</v>
      </c>
      <c r="D1068" s="216" t="s">
        <v>24</v>
      </c>
      <c r="E1068" s="54"/>
      <c r="F1068" s="56">
        <v>0.0</v>
      </c>
      <c r="G1068" s="57">
        <v>250.0</v>
      </c>
      <c r="H1068" s="57">
        <f t="shared" si="26"/>
        <v>0</v>
      </c>
      <c r="I1068" s="58"/>
      <c r="J1068" s="58"/>
      <c r="K1068" s="54"/>
      <c r="L1068" s="54"/>
      <c r="M1068" s="54"/>
      <c r="N1068" s="54"/>
      <c r="O1068" s="54"/>
      <c r="P1068" s="54"/>
      <c r="Q1068" s="1"/>
      <c r="R1068" s="1"/>
      <c r="S1068" s="1"/>
      <c r="T1068" s="1"/>
      <c r="U1068" s="1"/>
      <c r="V1068" s="1"/>
    </row>
    <row r="1069" ht="15.75" hidden="1" customHeight="1">
      <c r="A1069" s="53"/>
      <c r="B1069" s="54" t="s">
        <v>18</v>
      </c>
      <c r="C1069" s="54" t="s">
        <v>667</v>
      </c>
      <c r="D1069" s="55" t="s">
        <v>20</v>
      </c>
      <c r="E1069" s="208" t="s">
        <v>668</v>
      </c>
      <c r="F1069" s="56">
        <v>0.0</v>
      </c>
      <c r="G1069" s="57">
        <v>17.97</v>
      </c>
      <c r="H1069" s="57">
        <f t="shared" si="26"/>
        <v>0</v>
      </c>
      <c r="I1069" s="58"/>
      <c r="J1069" s="58"/>
      <c r="K1069" s="54"/>
      <c r="L1069" s="54"/>
      <c r="M1069" s="54"/>
      <c r="N1069" s="54"/>
      <c r="O1069" s="54"/>
      <c r="P1069" s="54"/>
      <c r="Q1069" s="1"/>
      <c r="R1069" s="1"/>
      <c r="S1069" s="1"/>
      <c r="T1069" s="1"/>
      <c r="U1069" s="1"/>
      <c r="V1069" s="1"/>
    </row>
    <row r="1070" ht="15.75" hidden="1" customHeight="1">
      <c r="A1070" s="53"/>
      <c r="B1070" s="54" t="s">
        <v>18</v>
      </c>
      <c r="C1070" s="54" t="s">
        <v>669</v>
      </c>
      <c r="D1070" s="55" t="s">
        <v>20</v>
      </c>
      <c r="E1070" s="208" t="s">
        <v>670</v>
      </c>
      <c r="F1070" s="56">
        <v>0.0</v>
      </c>
      <c r="G1070" s="57">
        <v>9.99</v>
      </c>
      <c r="H1070" s="57">
        <f t="shared" si="26"/>
        <v>0</v>
      </c>
      <c r="I1070" s="58"/>
      <c r="J1070" s="58"/>
      <c r="K1070" s="54"/>
      <c r="L1070" s="54"/>
      <c r="M1070" s="54"/>
      <c r="N1070" s="54"/>
      <c r="O1070" s="54"/>
      <c r="P1070" s="54"/>
      <c r="Q1070" s="1"/>
      <c r="R1070" s="1"/>
      <c r="S1070" s="1"/>
      <c r="T1070" s="1"/>
      <c r="U1070" s="1"/>
      <c r="V1070" s="1"/>
    </row>
    <row r="1071" ht="15.75" hidden="1" customHeight="1">
      <c r="A1071" s="53"/>
      <c r="B1071" s="54" t="s">
        <v>18</v>
      </c>
      <c r="C1071" s="54" t="s">
        <v>671</v>
      </c>
      <c r="D1071" s="55" t="s">
        <v>20</v>
      </c>
      <c r="E1071" s="208" t="s">
        <v>672</v>
      </c>
      <c r="F1071" s="56">
        <v>0.0</v>
      </c>
      <c r="G1071" s="57">
        <v>16.92</v>
      </c>
      <c r="H1071" s="57">
        <f t="shared" si="26"/>
        <v>0</v>
      </c>
      <c r="I1071" s="58"/>
      <c r="J1071" s="58"/>
      <c r="K1071" s="54"/>
      <c r="L1071" s="54"/>
      <c r="M1071" s="54"/>
      <c r="N1071" s="54"/>
      <c r="O1071" s="54"/>
      <c r="P1071" s="54"/>
      <c r="Q1071" s="1"/>
      <c r="R1071" s="1"/>
      <c r="S1071" s="1"/>
      <c r="T1071" s="1"/>
      <c r="U1071" s="1"/>
      <c r="V1071" s="1"/>
    </row>
    <row r="1072" ht="15.75" hidden="1" customHeight="1">
      <c r="A1072" s="53"/>
      <c r="B1072" s="54"/>
      <c r="C1072" s="54" t="s">
        <v>673</v>
      </c>
      <c r="D1072" s="216" t="s">
        <v>24</v>
      </c>
      <c r="E1072" s="54"/>
      <c r="F1072" s="56">
        <v>0.0</v>
      </c>
      <c r="G1072" s="57">
        <v>25.0</v>
      </c>
      <c r="H1072" s="57">
        <f t="shared" si="26"/>
        <v>0</v>
      </c>
      <c r="I1072" s="58"/>
      <c r="J1072" s="58"/>
      <c r="K1072" s="54"/>
      <c r="L1072" s="54"/>
      <c r="M1072" s="54"/>
      <c r="N1072" s="54"/>
      <c r="O1072" s="54"/>
      <c r="P1072" s="54"/>
      <c r="Q1072" s="1"/>
      <c r="R1072" s="1"/>
      <c r="S1072" s="1"/>
      <c r="T1072" s="1"/>
      <c r="U1072" s="1"/>
      <c r="V1072" s="1"/>
    </row>
    <row r="1073" ht="24.75" customHeight="1">
      <c r="A1073" s="6"/>
      <c r="B1073" s="6" t="s">
        <v>683</v>
      </c>
      <c r="C1073" s="7">
        <f>SUM(H1074:H1102)</f>
        <v>5634.01</v>
      </c>
      <c r="D1073" s="148"/>
      <c r="E1073" s="148"/>
      <c r="F1073" s="83"/>
      <c r="G1073" s="82"/>
      <c r="H1073" s="82"/>
      <c r="I1073" s="82"/>
      <c r="J1073" s="82"/>
      <c r="K1073" s="83"/>
      <c r="L1073" s="83"/>
      <c r="M1073" s="83"/>
      <c r="N1073" s="83"/>
      <c r="O1073" s="83"/>
      <c r="P1073" s="83"/>
      <c r="Q1073" s="35"/>
      <c r="R1073" s="35"/>
      <c r="S1073" s="35"/>
      <c r="T1073" s="1"/>
      <c r="U1073" s="1"/>
      <c r="V1073" s="1"/>
    </row>
    <row r="1074" ht="15.75" customHeight="1">
      <c r="A1074" s="13"/>
      <c r="B1074" s="13" t="s">
        <v>18</v>
      </c>
      <c r="C1074" s="13" t="s">
        <v>684</v>
      </c>
      <c r="D1074" s="66" t="s">
        <v>22</v>
      </c>
      <c r="E1074" s="155" t="s">
        <v>685</v>
      </c>
      <c r="F1074" s="16">
        <v>3.0</v>
      </c>
      <c r="G1074" s="34">
        <v>16.8</v>
      </c>
      <c r="H1074" s="17">
        <f t="shared" ref="H1074:H1104" si="27">SUM(F1074*G1074)</f>
        <v>50.4</v>
      </c>
      <c r="I1074" s="18"/>
      <c r="J1074" s="18"/>
      <c r="K1074" s="13"/>
      <c r="L1074" s="13"/>
      <c r="M1074" s="13"/>
      <c r="N1074" s="13"/>
      <c r="O1074" s="13"/>
      <c r="P1074" s="13"/>
      <c r="Q1074" s="35"/>
      <c r="R1074" s="35"/>
      <c r="S1074" s="35"/>
      <c r="T1074" s="1"/>
      <c r="U1074" s="1"/>
      <c r="V1074" s="1"/>
    </row>
    <row r="1075" ht="15.75" customHeight="1">
      <c r="A1075" s="13"/>
      <c r="B1075" s="13" t="s">
        <v>18</v>
      </c>
      <c r="C1075" s="13" t="s">
        <v>686</v>
      </c>
      <c r="D1075" s="66" t="s">
        <v>22</v>
      </c>
      <c r="E1075" s="155" t="s">
        <v>687</v>
      </c>
      <c r="F1075" s="16">
        <v>2.0</v>
      </c>
      <c r="G1075" s="34">
        <v>27.6</v>
      </c>
      <c r="H1075" s="17">
        <f t="shared" si="27"/>
        <v>55.2</v>
      </c>
      <c r="I1075" s="18"/>
      <c r="J1075" s="18"/>
      <c r="K1075" s="13"/>
      <c r="L1075" s="13"/>
      <c r="M1075" s="13"/>
      <c r="N1075" s="13"/>
      <c r="O1075" s="13"/>
      <c r="P1075" s="13"/>
      <c r="Q1075" s="35"/>
      <c r="R1075" s="35"/>
      <c r="S1075" s="35"/>
      <c r="T1075" s="1"/>
      <c r="U1075" s="1"/>
      <c r="V1075" s="1"/>
    </row>
    <row r="1076" ht="15.75" customHeight="1">
      <c r="A1076" s="13"/>
      <c r="B1076" s="13" t="s">
        <v>18</v>
      </c>
      <c r="C1076" s="13" t="s">
        <v>688</v>
      </c>
      <c r="D1076" s="66" t="s">
        <v>22</v>
      </c>
      <c r="E1076" s="155" t="s">
        <v>689</v>
      </c>
      <c r="F1076" s="16">
        <v>1.0</v>
      </c>
      <c r="G1076" s="34">
        <v>17.0</v>
      </c>
      <c r="H1076" s="17">
        <f t="shared" si="27"/>
        <v>17</v>
      </c>
      <c r="I1076" s="18"/>
      <c r="J1076" s="18"/>
      <c r="K1076" s="13"/>
      <c r="L1076" s="13"/>
      <c r="M1076" s="13"/>
      <c r="N1076" s="13"/>
      <c r="O1076" s="13"/>
      <c r="P1076" s="13"/>
      <c r="Q1076" s="35"/>
      <c r="R1076" s="35"/>
      <c r="S1076" s="35"/>
      <c r="T1076" s="1"/>
      <c r="U1076" s="1"/>
      <c r="V1076" s="1"/>
    </row>
    <row r="1077" ht="15.75" customHeight="1">
      <c r="A1077" s="13"/>
      <c r="B1077" s="13" t="s">
        <v>18</v>
      </c>
      <c r="C1077" s="13" t="s">
        <v>690</v>
      </c>
      <c r="D1077" s="66" t="s">
        <v>22</v>
      </c>
      <c r="E1077" s="33" t="s">
        <v>976</v>
      </c>
      <c r="F1077" s="16">
        <v>1.0</v>
      </c>
      <c r="G1077" s="34">
        <v>27.6</v>
      </c>
      <c r="H1077" s="17">
        <f t="shared" si="27"/>
        <v>27.6</v>
      </c>
      <c r="I1077" s="18"/>
      <c r="J1077" s="18"/>
      <c r="K1077" s="13"/>
      <c r="L1077" s="13"/>
      <c r="M1077" s="13"/>
      <c r="N1077" s="13"/>
      <c r="O1077" s="13"/>
      <c r="P1077" s="13"/>
      <c r="Q1077" s="35"/>
      <c r="R1077" s="35"/>
      <c r="S1077" s="35"/>
      <c r="T1077" s="1"/>
      <c r="U1077" s="1"/>
      <c r="V1077" s="1"/>
    </row>
    <row r="1078" ht="15.75" customHeight="1">
      <c r="A1078" s="13"/>
      <c r="B1078" s="13" t="s">
        <v>18</v>
      </c>
      <c r="C1078" s="13" t="s">
        <v>692</v>
      </c>
      <c r="D1078" s="66" t="s">
        <v>22</v>
      </c>
      <c r="E1078" s="218" t="s">
        <v>693</v>
      </c>
      <c r="F1078" s="16">
        <v>2.0</v>
      </c>
      <c r="G1078" s="34">
        <v>110.4</v>
      </c>
      <c r="H1078" s="17">
        <f t="shared" si="27"/>
        <v>220.8</v>
      </c>
      <c r="I1078" s="18"/>
      <c r="J1078" s="18"/>
      <c r="K1078" s="13"/>
      <c r="L1078" s="13"/>
      <c r="M1078" s="13"/>
      <c r="N1078" s="13"/>
      <c r="O1078" s="13"/>
      <c r="P1078" s="13"/>
      <c r="Q1078" s="35"/>
      <c r="R1078" s="35"/>
      <c r="S1078" s="35"/>
      <c r="T1078" s="1"/>
      <c r="U1078" s="1"/>
      <c r="V1078" s="1"/>
    </row>
    <row r="1079" ht="15.75" customHeight="1">
      <c r="A1079" s="13"/>
      <c r="B1079" s="27" t="s">
        <v>694</v>
      </c>
      <c r="C1079" s="27" t="s">
        <v>695</v>
      </c>
      <c r="D1079" s="101" t="s">
        <v>32</v>
      </c>
      <c r="E1079" s="15"/>
      <c r="F1079" s="16">
        <v>1.0</v>
      </c>
      <c r="G1079" s="17">
        <v>450.0</v>
      </c>
      <c r="H1079" s="17">
        <f t="shared" si="27"/>
        <v>450</v>
      </c>
      <c r="I1079" s="18"/>
      <c r="J1079" s="18"/>
      <c r="K1079" s="13"/>
      <c r="L1079" s="27"/>
      <c r="M1079" s="27"/>
      <c r="N1079" s="27"/>
      <c r="O1079" s="27"/>
      <c r="P1079" s="27"/>
      <c r="Q1079" s="35"/>
      <c r="R1079" s="35"/>
      <c r="S1079" s="35"/>
      <c r="T1079" s="1"/>
      <c r="U1079" s="1"/>
      <c r="V1079" s="1"/>
    </row>
    <row r="1080" ht="15.75" customHeight="1">
      <c r="A1080" s="13"/>
      <c r="B1080" s="13" t="s">
        <v>64</v>
      </c>
      <c r="C1080" s="13" t="s">
        <v>696</v>
      </c>
      <c r="D1080" s="66" t="s">
        <v>22</v>
      </c>
      <c r="E1080" s="15"/>
      <c r="F1080" s="16">
        <v>2.0</v>
      </c>
      <c r="G1080" s="17">
        <v>50.0</v>
      </c>
      <c r="H1080" s="17">
        <f t="shared" si="27"/>
        <v>100</v>
      </c>
      <c r="I1080" s="18"/>
      <c r="J1080" s="18"/>
      <c r="K1080" s="13"/>
      <c r="L1080" s="13"/>
      <c r="M1080" s="13"/>
      <c r="N1080" s="13"/>
      <c r="O1080" s="13"/>
      <c r="P1080" s="13"/>
      <c r="Q1080" s="35"/>
      <c r="R1080" s="35"/>
      <c r="S1080" s="35"/>
      <c r="T1080" s="1"/>
      <c r="U1080" s="1"/>
      <c r="V1080" s="1"/>
    </row>
    <row r="1081" ht="15.75" customHeight="1">
      <c r="A1081" s="13"/>
      <c r="B1081" s="13" t="s">
        <v>64</v>
      </c>
      <c r="C1081" s="13" t="s">
        <v>697</v>
      </c>
      <c r="D1081" s="66" t="s">
        <v>22</v>
      </c>
      <c r="E1081" s="15"/>
      <c r="F1081" s="16">
        <v>1.0</v>
      </c>
      <c r="G1081" s="17">
        <v>100.0</v>
      </c>
      <c r="H1081" s="17">
        <f t="shared" si="27"/>
        <v>100</v>
      </c>
      <c r="I1081" s="18"/>
      <c r="J1081" s="18"/>
      <c r="K1081" s="13"/>
      <c r="L1081" s="13"/>
      <c r="M1081" s="13"/>
      <c r="N1081" s="13"/>
      <c r="O1081" s="13"/>
      <c r="P1081" s="13"/>
      <c r="Q1081" s="35"/>
      <c r="R1081" s="35"/>
      <c r="S1081" s="35"/>
      <c r="T1081" s="1"/>
      <c r="U1081" s="1"/>
      <c r="V1081" s="1"/>
    </row>
    <row r="1082" ht="15.75" hidden="1" customHeight="1">
      <c r="A1082" s="13"/>
      <c r="B1082" s="296" t="s">
        <v>454</v>
      </c>
      <c r="C1082" s="296" t="s">
        <v>698</v>
      </c>
      <c r="D1082" s="66" t="s">
        <v>22</v>
      </c>
      <c r="E1082" s="15"/>
      <c r="F1082" s="16">
        <v>0.0</v>
      </c>
      <c r="G1082" s="17">
        <v>77.0</v>
      </c>
      <c r="H1082" s="17">
        <f t="shared" si="27"/>
        <v>0</v>
      </c>
      <c r="I1082" s="18"/>
      <c r="J1082" s="18"/>
      <c r="K1082" s="13"/>
      <c r="L1082" s="13"/>
      <c r="M1082" s="19"/>
      <c r="N1082" s="13"/>
      <c r="O1082" s="19"/>
      <c r="P1082" s="19"/>
      <c r="Q1082" s="35"/>
      <c r="R1082" s="35"/>
      <c r="S1082" s="35"/>
      <c r="T1082" s="1"/>
      <c r="U1082" s="1"/>
      <c r="V1082" s="1"/>
    </row>
    <row r="1083" ht="15.75" hidden="1" customHeight="1">
      <c r="A1083" s="13"/>
      <c r="B1083" s="296" t="s">
        <v>454</v>
      </c>
      <c r="C1083" s="296" t="s">
        <v>699</v>
      </c>
      <c r="D1083" s="66" t="s">
        <v>22</v>
      </c>
      <c r="E1083" s="15"/>
      <c r="F1083" s="16">
        <v>0.0</v>
      </c>
      <c r="G1083" s="17">
        <v>7.0</v>
      </c>
      <c r="H1083" s="17">
        <f t="shared" si="27"/>
        <v>0</v>
      </c>
      <c r="I1083" s="18"/>
      <c r="J1083" s="18"/>
      <c r="K1083" s="13"/>
      <c r="L1083" s="13"/>
      <c r="M1083" s="19"/>
      <c r="N1083" s="13"/>
      <c r="O1083" s="13"/>
      <c r="P1083" s="13"/>
      <c r="Q1083" s="35"/>
      <c r="R1083" s="35"/>
      <c r="S1083" s="35"/>
      <c r="T1083" s="1"/>
      <c r="U1083" s="1"/>
      <c r="V1083" s="1"/>
    </row>
    <row r="1084" ht="15.75" customHeight="1">
      <c r="A1084" s="13"/>
      <c r="B1084" s="365" t="s">
        <v>385</v>
      </c>
      <c r="C1084" s="398" t="s">
        <v>700</v>
      </c>
      <c r="D1084" s="366" t="s">
        <v>32</v>
      </c>
      <c r="E1084" s="399" t="s">
        <v>701</v>
      </c>
      <c r="F1084" s="400">
        <v>1.0</v>
      </c>
      <c r="G1084" s="401">
        <v>617.7</v>
      </c>
      <c r="H1084" s="370">
        <f t="shared" si="27"/>
        <v>617.7</v>
      </c>
      <c r="I1084" s="18"/>
      <c r="J1084" s="17"/>
      <c r="K1084" s="43" t="s">
        <v>1001</v>
      </c>
      <c r="L1084" s="13"/>
      <c r="M1084" s="13"/>
      <c r="N1084" s="13"/>
      <c r="O1084" s="13"/>
      <c r="P1084" s="13"/>
      <c r="Q1084" s="35"/>
      <c r="R1084" s="35"/>
      <c r="S1084" s="35"/>
      <c r="T1084" s="1"/>
      <c r="U1084" s="1"/>
      <c r="V1084" s="1"/>
    </row>
    <row r="1085" ht="15.75" customHeight="1">
      <c r="A1085" s="13"/>
      <c r="B1085" s="365" t="s">
        <v>385</v>
      </c>
      <c r="C1085" s="365" t="s">
        <v>702</v>
      </c>
      <c r="D1085" s="366" t="s">
        <v>32</v>
      </c>
      <c r="E1085" s="402" t="s">
        <v>703</v>
      </c>
      <c r="F1085" s="372">
        <v>1.0</v>
      </c>
      <c r="G1085" s="369">
        <v>1320.0</v>
      </c>
      <c r="H1085" s="370">
        <f t="shared" si="27"/>
        <v>1320</v>
      </c>
      <c r="I1085" s="18"/>
      <c r="J1085" s="18"/>
      <c r="K1085" s="43"/>
      <c r="L1085" s="27"/>
      <c r="M1085" s="27"/>
      <c r="N1085" s="27"/>
      <c r="O1085" s="27"/>
      <c r="P1085" s="27"/>
      <c r="Q1085" s="35"/>
      <c r="R1085" s="35"/>
      <c r="S1085" s="35"/>
      <c r="T1085" s="1"/>
      <c r="U1085" s="1"/>
      <c r="V1085" s="1"/>
    </row>
    <row r="1086" ht="15.75" hidden="1" customHeight="1">
      <c r="A1086" s="13"/>
      <c r="B1086" s="13" t="s">
        <v>704</v>
      </c>
      <c r="C1086" s="13" t="s">
        <v>705</v>
      </c>
      <c r="D1086" s="101" t="s">
        <v>32</v>
      </c>
      <c r="E1086" s="15" t="s">
        <v>706</v>
      </c>
      <c r="F1086" s="16">
        <v>0.0</v>
      </c>
      <c r="G1086" s="17">
        <v>336.0</v>
      </c>
      <c r="H1086" s="17">
        <f t="shared" si="27"/>
        <v>0</v>
      </c>
      <c r="I1086" s="18"/>
      <c r="J1086" s="18"/>
      <c r="K1086" s="13"/>
      <c r="L1086" s="27"/>
      <c r="M1086" s="27"/>
      <c r="N1086" s="27"/>
      <c r="O1086" s="27"/>
      <c r="P1086" s="27"/>
      <c r="Q1086" s="35"/>
      <c r="R1086" s="35"/>
      <c r="S1086" s="35"/>
      <c r="T1086" s="1"/>
      <c r="U1086" s="1"/>
      <c r="V1086" s="1"/>
    </row>
    <row r="1087" ht="15.75" customHeight="1">
      <c r="A1087" s="13"/>
      <c r="B1087" s="364" t="s">
        <v>217</v>
      </c>
      <c r="C1087" s="364" t="s">
        <v>707</v>
      </c>
      <c r="D1087" s="366" t="s">
        <v>32</v>
      </c>
      <c r="E1087" s="403" t="s">
        <v>708</v>
      </c>
      <c r="F1087" s="368">
        <v>1.0</v>
      </c>
      <c r="G1087" s="369">
        <v>1205.11</v>
      </c>
      <c r="H1087" s="370">
        <f t="shared" si="27"/>
        <v>1205.11</v>
      </c>
      <c r="I1087" s="18"/>
      <c r="J1087" s="18"/>
      <c r="K1087" s="301">
        <v>1205.11</v>
      </c>
      <c r="L1087" s="27"/>
      <c r="M1087" s="27"/>
      <c r="N1087" s="27"/>
      <c r="O1087" s="27"/>
      <c r="P1087" s="27"/>
      <c r="Q1087" s="35"/>
      <c r="R1087" s="35"/>
      <c r="S1087" s="35"/>
      <c r="T1087" s="1"/>
      <c r="U1087" s="1"/>
      <c r="V1087" s="1"/>
    </row>
    <row r="1088" ht="15.75" hidden="1" customHeight="1">
      <c r="A1088" s="13"/>
      <c r="B1088" s="43" t="s">
        <v>385</v>
      </c>
      <c r="C1088" s="43" t="s">
        <v>709</v>
      </c>
      <c r="D1088" s="101" t="s">
        <v>32</v>
      </c>
      <c r="E1088" s="194" t="s">
        <v>710</v>
      </c>
      <c r="F1088" s="40">
        <v>0.0</v>
      </c>
      <c r="G1088" s="34">
        <v>420.0</v>
      </c>
      <c r="H1088" s="17">
        <f t="shared" si="27"/>
        <v>0</v>
      </c>
      <c r="I1088" s="18"/>
      <c r="J1088" s="18"/>
      <c r="K1088" s="13"/>
      <c r="L1088" s="27"/>
      <c r="M1088" s="27"/>
      <c r="N1088" s="27"/>
      <c r="O1088" s="27"/>
      <c r="P1088" s="27"/>
      <c r="Q1088" s="35"/>
      <c r="R1088" s="35"/>
      <c r="S1088" s="35"/>
      <c r="T1088" s="1"/>
      <c r="U1088" s="1"/>
      <c r="V1088" s="1"/>
    </row>
    <row r="1089" ht="15.75" hidden="1" customHeight="1">
      <c r="A1089" s="13"/>
      <c r="B1089" s="13" t="s">
        <v>574</v>
      </c>
      <c r="C1089" s="13" t="s">
        <v>711</v>
      </c>
      <c r="D1089" s="66" t="s">
        <v>22</v>
      </c>
      <c r="E1089" s="15"/>
      <c r="F1089" s="16">
        <v>0.0</v>
      </c>
      <c r="G1089" s="17">
        <v>350.0</v>
      </c>
      <c r="H1089" s="17">
        <f t="shared" si="27"/>
        <v>0</v>
      </c>
      <c r="I1089" s="18"/>
      <c r="J1089" s="18"/>
      <c r="K1089" s="13"/>
      <c r="L1089" s="13"/>
      <c r="M1089" s="13"/>
      <c r="N1089" s="13"/>
      <c r="O1089" s="13"/>
      <c r="P1089" s="13"/>
      <c r="Q1089" s="35"/>
      <c r="R1089" s="35"/>
      <c r="S1089" s="35"/>
      <c r="T1089" s="1"/>
      <c r="U1089" s="1"/>
      <c r="V1089" s="1"/>
    </row>
    <row r="1090" ht="15.75" customHeight="1">
      <c r="A1090" s="13"/>
      <c r="B1090" s="13"/>
      <c r="C1090" s="13" t="s">
        <v>712</v>
      </c>
      <c r="D1090" s="70" t="s">
        <v>24</v>
      </c>
      <c r="E1090" s="15"/>
      <c r="F1090" s="40">
        <v>1.0</v>
      </c>
      <c r="G1090" s="34">
        <v>250.0</v>
      </c>
      <c r="H1090" s="17">
        <f t="shared" si="27"/>
        <v>250</v>
      </c>
      <c r="I1090" s="18"/>
      <c r="J1090" s="18"/>
      <c r="K1090" s="13"/>
      <c r="L1090" s="63"/>
      <c r="M1090" s="63"/>
      <c r="N1090" s="63"/>
      <c r="O1090" s="63"/>
      <c r="P1090" s="63"/>
      <c r="Q1090" s="35"/>
      <c r="R1090" s="35"/>
      <c r="S1090" s="35"/>
      <c r="T1090" s="1"/>
      <c r="U1090" s="1"/>
      <c r="V1090" s="1"/>
    </row>
    <row r="1091" ht="15.75" hidden="1" customHeight="1">
      <c r="A1091" s="13"/>
      <c r="B1091" s="13"/>
      <c r="C1091" s="13" t="s">
        <v>713</v>
      </c>
      <c r="D1091" s="70" t="s">
        <v>24</v>
      </c>
      <c r="E1091" s="15"/>
      <c r="F1091" s="16">
        <v>0.0</v>
      </c>
      <c r="G1091" s="17">
        <v>115.0</v>
      </c>
      <c r="H1091" s="17">
        <f t="shared" si="27"/>
        <v>0</v>
      </c>
      <c r="I1091" s="18"/>
      <c r="J1091" s="18"/>
      <c r="K1091" s="13"/>
      <c r="L1091" s="13"/>
      <c r="M1091" s="13"/>
      <c r="N1091" s="13"/>
      <c r="O1091" s="13"/>
      <c r="P1091" s="13"/>
      <c r="Q1091" s="35"/>
      <c r="R1091" s="35"/>
      <c r="S1091" s="35"/>
      <c r="T1091" s="1"/>
      <c r="U1091" s="1"/>
      <c r="V1091" s="1"/>
    </row>
    <row r="1092" ht="15.75" customHeight="1">
      <c r="A1092" s="13"/>
      <c r="B1092" s="13" t="s">
        <v>64</v>
      </c>
      <c r="C1092" s="13" t="s">
        <v>263</v>
      </c>
      <c r="D1092" s="66" t="s">
        <v>22</v>
      </c>
      <c r="E1092" s="15"/>
      <c r="F1092" s="16">
        <v>2.0</v>
      </c>
      <c r="G1092" s="17">
        <v>100.0</v>
      </c>
      <c r="H1092" s="17">
        <f t="shared" si="27"/>
        <v>200</v>
      </c>
      <c r="I1092" s="18"/>
      <c r="J1092" s="18"/>
      <c r="K1092" s="13"/>
      <c r="L1092" s="13"/>
      <c r="M1092" s="13"/>
      <c r="N1092" s="13"/>
      <c r="O1092" s="13"/>
      <c r="P1092" s="13"/>
      <c r="Q1092" s="35"/>
      <c r="R1092" s="35"/>
      <c r="S1092" s="35"/>
      <c r="T1092" s="1"/>
      <c r="U1092" s="1"/>
      <c r="V1092" s="1"/>
    </row>
    <row r="1093" ht="15.75" customHeight="1">
      <c r="A1093" s="13"/>
      <c r="B1093" s="13"/>
      <c r="C1093" s="13" t="s">
        <v>67</v>
      </c>
      <c r="D1093" s="70" t="s">
        <v>24</v>
      </c>
      <c r="E1093" s="15"/>
      <c r="F1093" s="16">
        <v>2.0</v>
      </c>
      <c r="G1093" s="17">
        <v>18.0</v>
      </c>
      <c r="H1093" s="17">
        <f t="shared" si="27"/>
        <v>36</v>
      </c>
      <c r="I1093" s="18"/>
      <c r="J1093" s="18"/>
      <c r="K1093" s="13"/>
      <c r="L1093" s="13"/>
      <c r="M1093" s="13"/>
      <c r="N1093" s="13"/>
      <c r="O1093" s="13"/>
      <c r="P1093" s="13"/>
      <c r="Q1093" s="35"/>
      <c r="R1093" s="35"/>
      <c r="S1093" s="35"/>
      <c r="T1093" s="1"/>
      <c r="U1093" s="1"/>
      <c r="V1093" s="1"/>
    </row>
    <row r="1094" ht="15.75" customHeight="1">
      <c r="A1094" s="13"/>
      <c r="B1094" s="13" t="s">
        <v>18</v>
      </c>
      <c r="C1094" s="13" t="s">
        <v>714</v>
      </c>
      <c r="D1094" s="14" t="s">
        <v>20</v>
      </c>
      <c r="E1094" s="33" t="s">
        <v>715</v>
      </c>
      <c r="F1094" s="16">
        <v>1.0</v>
      </c>
      <c r="G1094" s="34">
        <v>54.0</v>
      </c>
      <c r="H1094" s="17">
        <f t="shared" si="27"/>
        <v>54</v>
      </c>
      <c r="I1094" s="18"/>
      <c r="J1094" s="18"/>
      <c r="K1094" s="13"/>
      <c r="L1094" s="27"/>
      <c r="M1094" s="28"/>
      <c r="N1094" s="27"/>
      <c r="O1094" s="28"/>
      <c r="P1094" s="28"/>
      <c r="Q1094" s="35"/>
      <c r="R1094" s="35"/>
      <c r="S1094" s="35"/>
      <c r="T1094" s="1"/>
      <c r="U1094" s="1"/>
      <c r="V1094" s="1"/>
    </row>
    <row r="1095" ht="15.75" customHeight="1">
      <c r="A1095" s="13"/>
      <c r="B1095" s="13"/>
      <c r="C1095" s="13" t="s">
        <v>716</v>
      </c>
      <c r="D1095" s="70" t="s">
        <v>24</v>
      </c>
      <c r="E1095" s="15"/>
      <c r="F1095" s="16">
        <v>2.0</v>
      </c>
      <c r="G1095" s="17">
        <v>95.0</v>
      </c>
      <c r="H1095" s="17">
        <f t="shared" si="27"/>
        <v>190</v>
      </c>
      <c r="I1095" s="18"/>
      <c r="J1095" s="18"/>
      <c r="K1095" s="13"/>
      <c r="L1095" s="63"/>
      <c r="M1095" s="63"/>
      <c r="N1095" s="63"/>
      <c r="O1095" s="63"/>
      <c r="P1095" s="63"/>
      <c r="Q1095" s="35"/>
      <c r="R1095" s="35"/>
      <c r="S1095" s="35"/>
      <c r="T1095" s="1"/>
      <c r="U1095" s="1"/>
      <c r="V1095" s="1"/>
    </row>
    <row r="1096" ht="15.75" customHeight="1">
      <c r="A1096" s="13"/>
      <c r="B1096" s="404" t="s">
        <v>717</v>
      </c>
      <c r="C1096" s="404" t="s">
        <v>718</v>
      </c>
      <c r="D1096" s="405" t="s">
        <v>20</v>
      </c>
      <c r="E1096" s="406" t="s">
        <v>719</v>
      </c>
      <c r="F1096" s="407">
        <v>2.0</v>
      </c>
      <c r="G1096" s="408">
        <v>192.0</v>
      </c>
      <c r="H1096" s="409">
        <f t="shared" si="27"/>
        <v>384</v>
      </c>
      <c r="I1096" s="18"/>
      <c r="J1096" s="18"/>
      <c r="K1096" s="43" t="s">
        <v>1002</v>
      </c>
      <c r="L1096" s="13"/>
      <c r="M1096" s="19"/>
      <c r="N1096" s="13"/>
      <c r="O1096" s="19"/>
      <c r="P1096" s="13"/>
      <c r="Q1096" s="35"/>
      <c r="R1096" s="35"/>
      <c r="S1096" s="35"/>
      <c r="T1096" s="1"/>
      <c r="U1096" s="1"/>
      <c r="V1096" s="1"/>
    </row>
    <row r="1097" ht="15.75" customHeight="1">
      <c r="A1097" s="13"/>
      <c r="B1097" s="13"/>
      <c r="C1097" s="13" t="s">
        <v>720</v>
      </c>
      <c r="D1097" s="70" t="s">
        <v>24</v>
      </c>
      <c r="E1097" s="15"/>
      <c r="F1097" s="16">
        <v>2.0</v>
      </c>
      <c r="G1097" s="17">
        <v>150.0</v>
      </c>
      <c r="H1097" s="17">
        <f t="shared" si="27"/>
        <v>300</v>
      </c>
      <c r="I1097" s="18"/>
      <c r="J1097" s="18"/>
      <c r="K1097" s="13"/>
      <c r="L1097" s="63"/>
      <c r="M1097" s="63"/>
      <c r="N1097" s="63"/>
      <c r="O1097" s="63"/>
      <c r="P1097" s="63"/>
      <c r="Q1097" s="35"/>
      <c r="R1097" s="35"/>
      <c r="S1097" s="35"/>
      <c r="T1097" s="1"/>
      <c r="U1097" s="1"/>
      <c r="V1097" s="1"/>
    </row>
    <row r="1098" ht="15.75" customHeight="1">
      <c r="A1098" s="13"/>
      <c r="B1098" s="13" t="s">
        <v>18</v>
      </c>
      <c r="C1098" s="13" t="s">
        <v>721</v>
      </c>
      <c r="D1098" s="66" t="s">
        <v>22</v>
      </c>
      <c r="E1098" s="33" t="s">
        <v>977</v>
      </c>
      <c r="F1098" s="16">
        <v>1.0</v>
      </c>
      <c r="G1098" s="34">
        <v>25.0</v>
      </c>
      <c r="H1098" s="17">
        <f t="shared" si="27"/>
        <v>25</v>
      </c>
      <c r="I1098" s="18"/>
      <c r="J1098" s="18"/>
      <c r="K1098" s="13"/>
      <c r="L1098" s="13"/>
      <c r="M1098" s="13"/>
      <c r="N1098" s="13"/>
      <c r="O1098" s="13"/>
      <c r="P1098" s="13"/>
      <c r="Q1098" s="35"/>
      <c r="R1098" s="35"/>
      <c r="S1098" s="35"/>
      <c r="T1098" s="1"/>
      <c r="U1098" s="1"/>
      <c r="V1098" s="1"/>
    </row>
    <row r="1099" ht="15.75" customHeight="1">
      <c r="A1099" s="13"/>
      <c r="B1099" s="13" t="s">
        <v>18</v>
      </c>
      <c r="C1099" s="13" t="s">
        <v>721</v>
      </c>
      <c r="D1099" s="66" t="s">
        <v>22</v>
      </c>
      <c r="E1099" s="33" t="s">
        <v>978</v>
      </c>
      <c r="F1099" s="16">
        <v>1.0</v>
      </c>
      <c r="G1099" s="34">
        <v>31.2</v>
      </c>
      <c r="H1099" s="17">
        <f t="shared" si="27"/>
        <v>31.2</v>
      </c>
      <c r="I1099" s="18"/>
      <c r="J1099" s="18"/>
      <c r="K1099" s="13"/>
      <c r="L1099" s="13"/>
      <c r="M1099" s="13"/>
      <c r="N1099" s="13"/>
      <c r="O1099" s="13"/>
      <c r="P1099" s="13"/>
      <c r="Q1099" s="35"/>
      <c r="R1099" s="35"/>
      <c r="S1099" s="35"/>
      <c r="T1099" s="1"/>
      <c r="U1099" s="1"/>
      <c r="V1099" s="1"/>
    </row>
    <row r="1100" ht="15.75" hidden="1" customHeight="1">
      <c r="A1100" s="13"/>
      <c r="B1100" s="13"/>
      <c r="C1100" s="13" t="s">
        <v>724</v>
      </c>
      <c r="D1100" s="66" t="s">
        <v>22</v>
      </c>
      <c r="E1100" s="15"/>
      <c r="F1100" s="16">
        <v>0.0</v>
      </c>
      <c r="G1100" s="17">
        <v>100.0</v>
      </c>
      <c r="H1100" s="17">
        <f t="shared" si="27"/>
        <v>0</v>
      </c>
      <c r="I1100" s="18"/>
      <c r="J1100" s="18"/>
      <c r="K1100" s="13"/>
      <c r="L1100" s="63"/>
      <c r="M1100" s="63"/>
      <c r="N1100" s="63"/>
      <c r="O1100" s="63"/>
      <c r="P1100" s="63"/>
      <c r="Q1100" s="35"/>
      <c r="R1100" s="35"/>
      <c r="S1100" s="35"/>
      <c r="T1100" s="1"/>
      <c r="U1100" s="1"/>
      <c r="V1100" s="1"/>
    </row>
    <row r="1101" ht="15.75" hidden="1" customHeight="1">
      <c r="A1101" s="13"/>
      <c r="B1101" s="13"/>
      <c r="C1101" s="13" t="s">
        <v>67</v>
      </c>
      <c r="D1101" s="70" t="s">
        <v>24</v>
      </c>
      <c r="E1101" s="15"/>
      <c r="F1101" s="16">
        <v>0.0</v>
      </c>
      <c r="G1101" s="17">
        <v>17.0</v>
      </c>
      <c r="H1101" s="17">
        <f t="shared" si="27"/>
        <v>0</v>
      </c>
      <c r="I1101" s="18"/>
      <c r="J1101" s="18"/>
      <c r="K1101" s="13"/>
      <c r="L1101" s="63"/>
      <c r="M1101" s="63"/>
      <c r="N1101" s="63"/>
      <c r="O1101" s="63"/>
      <c r="P1101" s="63"/>
      <c r="Q1101" s="35"/>
      <c r="R1101" s="35"/>
      <c r="S1101" s="35"/>
      <c r="T1101" s="1"/>
      <c r="U1101" s="1"/>
      <c r="V1101" s="1"/>
    </row>
    <row r="1102" ht="15.75" hidden="1" customHeight="1">
      <c r="A1102" s="13"/>
      <c r="B1102" s="13" t="s">
        <v>574</v>
      </c>
      <c r="C1102" s="13" t="s">
        <v>725</v>
      </c>
      <c r="D1102" s="150" t="s">
        <v>22</v>
      </c>
      <c r="E1102" s="52"/>
      <c r="F1102" s="215">
        <v>0.0</v>
      </c>
      <c r="G1102" s="50">
        <v>200.0</v>
      </c>
      <c r="H1102" s="50">
        <f t="shared" si="27"/>
        <v>0</v>
      </c>
      <c r="I1102" s="50"/>
      <c r="J1102" s="18"/>
      <c r="K1102" s="13"/>
      <c r="L1102" s="63"/>
      <c r="M1102" s="63"/>
      <c r="N1102" s="63"/>
      <c r="O1102" s="63"/>
      <c r="P1102" s="63"/>
      <c r="Q1102" s="35"/>
      <c r="R1102" s="35"/>
      <c r="S1102" s="35"/>
      <c r="T1102" s="1"/>
      <c r="U1102" s="1"/>
      <c r="V1102" s="1"/>
    </row>
    <row r="1103" ht="15.75" customHeight="1">
      <c r="A1103" s="13"/>
      <c r="B1103" s="52"/>
      <c r="C1103" s="44" t="s">
        <v>726</v>
      </c>
      <c r="D1103" s="150" t="s">
        <v>22</v>
      </c>
      <c r="E1103" s="52"/>
      <c r="F1103" s="215">
        <v>1.0</v>
      </c>
      <c r="G1103" s="49">
        <v>10500.0</v>
      </c>
      <c r="H1103" s="50">
        <f t="shared" si="27"/>
        <v>10500</v>
      </c>
      <c r="I1103" s="50"/>
      <c r="J1103" s="51"/>
      <c r="K1103" s="52"/>
      <c r="L1103" s="308"/>
      <c r="M1103" s="308"/>
      <c r="N1103" s="308"/>
      <c r="O1103" s="308"/>
      <c r="P1103" s="308"/>
      <c r="Q1103" s="35"/>
      <c r="R1103" s="35"/>
      <c r="S1103" s="35"/>
      <c r="T1103" s="1"/>
      <c r="U1103" s="1"/>
      <c r="V1103" s="1"/>
    </row>
    <row r="1104" ht="15.75" customHeight="1">
      <c r="A1104" s="13"/>
      <c r="B1104" s="52"/>
      <c r="C1104" s="44" t="s">
        <v>727</v>
      </c>
      <c r="D1104" s="150" t="s">
        <v>22</v>
      </c>
      <c r="E1104" s="410"/>
      <c r="F1104" s="411">
        <v>1.0</v>
      </c>
      <c r="G1104" s="412">
        <v>9000.0</v>
      </c>
      <c r="H1104" s="413">
        <f t="shared" si="27"/>
        <v>9000</v>
      </c>
      <c r="I1104" s="413"/>
      <c r="J1104" s="414"/>
      <c r="K1104" s="415" t="s">
        <v>1003</v>
      </c>
      <c r="L1104" s="308"/>
      <c r="M1104" s="308"/>
      <c r="N1104" s="308"/>
      <c r="O1104" s="308"/>
      <c r="P1104" s="308"/>
      <c r="Q1104" s="35"/>
      <c r="R1104" s="35"/>
      <c r="S1104" s="35"/>
      <c r="T1104" s="1"/>
      <c r="U1104" s="1"/>
      <c r="V1104" s="1"/>
    </row>
    <row r="1105" ht="32.25" customHeight="1">
      <c r="A1105" s="83"/>
      <c r="B1105" s="309" t="s">
        <v>728</v>
      </c>
      <c r="C1105" s="255">
        <f>SUM(H1106:H1188)</f>
        <v>22419.29</v>
      </c>
      <c r="D1105" s="256"/>
      <c r="E1105" s="256"/>
      <c r="F1105" s="256"/>
      <c r="G1105" s="257"/>
      <c r="H1105" s="257"/>
      <c r="I1105" s="257"/>
      <c r="J1105" s="257"/>
      <c r="K1105" s="256"/>
      <c r="L1105" s="256"/>
      <c r="M1105" s="256"/>
      <c r="N1105" s="256"/>
      <c r="O1105" s="256"/>
      <c r="P1105" s="256"/>
      <c r="Q1105" s="1"/>
      <c r="R1105" s="1"/>
      <c r="S1105" s="1"/>
      <c r="T1105" s="1"/>
      <c r="U1105" s="1"/>
      <c r="V1105" s="1"/>
    </row>
    <row r="1106" ht="15.75" hidden="1" customHeight="1">
      <c r="A1106" s="206"/>
      <c r="B1106" s="54" t="s">
        <v>320</v>
      </c>
      <c r="C1106" s="54" t="s">
        <v>729</v>
      </c>
      <c r="D1106" s="198" t="s">
        <v>22</v>
      </c>
      <c r="E1106" s="54"/>
      <c r="F1106" s="56">
        <v>0.0</v>
      </c>
      <c r="G1106" s="57">
        <v>50.0</v>
      </c>
      <c r="H1106" s="57">
        <f t="shared" ref="H1106:H1184" si="28">SUM(F1106*G1106)</f>
        <v>0</v>
      </c>
      <c r="I1106" s="58"/>
      <c r="J1106" s="58"/>
      <c r="K1106" s="54"/>
      <c r="L1106" s="54"/>
      <c r="M1106" s="54"/>
      <c r="N1106" s="54"/>
      <c r="O1106" s="54"/>
      <c r="P1106" s="54"/>
      <c r="Q1106" s="1"/>
      <c r="R1106" s="1"/>
      <c r="S1106" s="1"/>
      <c r="T1106" s="1"/>
      <c r="U1106" s="1"/>
      <c r="V1106" s="1"/>
    </row>
    <row r="1107" ht="15.75" hidden="1" customHeight="1">
      <c r="A1107" s="206"/>
      <c r="B1107" s="258" t="s">
        <v>234</v>
      </c>
      <c r="C1107" s="258" t="s">
        <v>730</v>
      </c>
      <c r="D1107" s="198" t="s">
        <v>22</v>
      </c>
      <c r="E1107" s="258" t="s">
        <v>731</v>
      </c>
      <c r="F1107" s="158">
        <v>0.0</v>
      </c>
      <c r="G1107" s="159">
        <v>2430.0</v>
      </c>
      <c r="H1107" s="57">
        <f t="shared" si="28"/>
        <v>0</v>
      </c>
      <c r="I1107" s="58"/>
      <c r="J1107" s="58"/>
      <c r="K1107" s="54"/>
      <c r="L1107" s="54"/>
      <c r="M1107" s="54"/>
      <c r="N1107" s="54"/>
      <c r="O1107" s="54"/>
      <c r="P1107" s="54"/>
      <c r="Q1107" s="1"/>
      <c r="R1107" s="1"/>
      <c r="S1107" s="1"/>
      <c r="T1107" s="1"/>
      <c r="U1107" s="1"/>
      <c r="V1107" s="1"/>
    </row>
    <row r="1108" ht="15.75" customHeight="1">
      <c r="A1108" s="206"/>
      <c r="B1108" s="258" t="s">
        <v>18</v>
      </c>
      <c r="C1108" s="258" t="s">
        <v>979</v>
      </c>
      <c r="D1108" s="198" t="s">
        <v>22</v>
      </c>
      <c r="E1108" s="157" t="s">
        <v>980</v>
      </c>
      <c r="F1108" s="158">
        <v>1.0</v>
      </c>
      <c r="G1108" s="159">
        <v>250.0</v>
      </c>
      <c r="H1108" s="57">
        <f t="shared" si="28"/>
        <v>250</v>
      </c>
      <c r="I1108" s="58"/>
      <c r="J1108" s="58"/>
      <c r="K1108" s="54"/>
      <c r="L1108" s="54"/>
      <c r="M1108" s="54"/>
      <c r="N1108" s="54"/>
      <c r="O1108" s="54"/>
      <c r="P1108" s="54"/>
      <c r="Q1108" s="1"/>
      <c r="R1108" s="1"/>
      <c r="S1108" s="1"/>
      <c r="T1108" s="1"/>
      <c r="U1108" s="1"/>
      <c r="V1108" s="1"/>
    </row>
    <row r="1109" ht="15.75" customHeight="1">
      <c r="A1109" s="206"/>
      <c r="B1109" s="54" t="s">
        <v>876</v>
      </c>
      <c r="C1109" s="54" t="s">
        <v>877</v>
      </c>
      <c r="D1109" s="198" t="s">
        <v>22</v>
      </c>
      <c r="E1109" s="201" t="s">
        <v>878</v>
      </c>
      <c r="F1109" s="158">
        <v>2.0</v>
      </c>
      <c r="G1109" s="159">
        <v>67.2</v>
      </c>
      <c r="H1109" s="57">
        <f t="shared" si="28"/>
        <v>134.4</v>
      </c>
      <c r="I1109" s="57"/>
      <c r="J1109" s="58"/>
      <c r="K1109" s="54"/>
      <c r="L1109" s="54"/>
      <c r="M1109" s="54"/>
      <c r="N1109" s="54"/>
      <c r="O1109" s="54"/>
      <c r="P1109" s="54"/>
      <c r="Q1109" s="1"/>
      <c r="R1109" s="1"/>
      <c r="S1109" s="1"/>
      <c r="T1109" s="1"/>
      <c r="U1109" s="1"/>
      <c r="V1109" s="1"/>
    </row>
    <row r="1110" ht="15.75" hidden="1" customHeight="1">
      <c r="A1110" s="206"/>
      <c r="B1110" s="54" t="s">
        <v>18</v>
      </c>
      <c r="C1110" s="54" t="s">
        <v>736</v>
      </c>
      <c r="D1110" s="198" t="s">
        <v>22</v>
      </c>
      <c r="E1110" s="205" t="s">
        <v>737</v>
      </c>
      <c r="F1110" s="158">
        <v>0.0</v>
      </c>
      <c r="G1110" s="57">
        <v>70.0</v>
      </c>
      <c r="H1110" s="57">
        <f t="shared" si="28"/>
        <v>0</v>
      </c>
      <c r="I1110" s="57"/>
      <c r="J1110" s="58"/>
      <c r="K1110" s="54"/>
      <c r="L1110" s="54"/>
      <c r="M1110" s="54"/>
      <c r="N1110" s="54"/>
      <c r="O1110" s="54"/>
      <c r="P1110" s="54"/>
      <c r="Q1110" s="1"/>
      <c r="R1110" s="1"/>
      <c r="S1110" s="1"/>
      <c r="T1110" s="1"/>
      <c r="U1110" s="1"/>
      <c r="V1110" s="1"/>
    </row>
    <row r="1111" ht="15.75" hidden="1" customHeight="1">
      <c r="A1111" s="206"/>
      <c r="B1111" s="13" t="s">
        <v>18</v>
      </c>
      <c r="C1111" s="52" t="s">
        <v>738</v>
      </c>
      <c r="D1111" s="150" t="s">
        <v>22</v>
      </c>
      <c r="E1111" s="310" t="s">
        <v>739</v>
      </c>
      <c r="F1111" s="215">
        <v>0.0</v>
      </c>
      <c r="G1111" s="50">
        <v>130.0</v>
      </c>
      <c r="H1111" s="57">
        <f t="shared" si="28"/>
        <v>0</v>
      </c>
      <c r="I1111" s="57"/>
      <c r="J1111" s="58"/>
      <c r="K1111" s="54"/>
      <c r="L1111" s="54"/>
      <c r="M1111" s="54"/>
      <c r="N1111" s="54"/>
      <c r="O1111" s="54"/>
      <c r="P1111" s="54"/>
      <c r="Q1111" s="1"/>
      <c r="R1111" s="1"/>
      <c r="S1111" s="1"/>
      <c r="T1111" s="1"/>
      <c r="U1111" s="1"/>
      <c r="V1111" s="1"/>
    </row>
    <row r="1112" ht="15.75" customHeight="1">
      <c r="A1112" s="206"/>
      <c r="B1112" s="206" t="s">
        <v>18</v>
      </c>
      <c r="C1112" s="258" t="s">
        <v>740</v>
      </c>
      <c r="D1112" s="150" t="s">
        <v>22</v>
      </c>
      <c r="E1112" s="260" t="s">
        <v>741</v>
      </c>
      <c r="F1112" s="48">
        <v>1.0</v>
      </c>
      <c r="G1112" s="49">
        <v>156.0</v>
      </c>
      <c r="H1112" s="50">
        <f t="shared" si="28"/>
        <v>156</v>
      </c>
      <c r="I1112" s="57"/>
      <c r="J1112" s="58"/>
      <c r="K1112" s="54"/>
      <c r="L1112" s="54"/>
      <c r="M1112" s="54"/>
      <c r="N1112" s="54"/>
      <c r="O1112" s="54"/>
      <c r="P1112" s="54"/>
      <c r="Q1112" s="1"/>
      <c r="R1112" s="1"/>
      <c r="S1112" s="1"/>
      <c r="T1112" s="1"/>
      <c r="U1112" s="1"/>
      <c r="V1112" s="1"/>
    </row>
    <row r="1113" ht="15.75" customHeight="1">
      <c r="A1113" s="206"/>
      <c r="B1113" s="156" t="s">
        <v>88</v>
      </c>
      <c r="C1113" s="258" t="s">
        <v>546</v>
      </c>
      <c r="D1113" s="198" t="s">
        <v>22</v>
      </c>
      <c r="E1113" s="261" t="s">
        <v>547</v>
      </c>
      <c r="F1113" s="56">
        <v>1.0</v>
      </c>
      <c r="G1113" s="159">
        <v>258.0</v>
      </c>
      <c r="H1113" s="57">
        <f t="shared" si="28"/>
        <v>258</v>
      </c>
      <c r="I1113" s="57"/>
      <c r="J1113" s="58"/>
      <c r="K1113" s="54"/>
      <c r="L1113" s="54"/>
      <c r="M1113" s="54"/>
      <c r="N1113" s="54"/>
      <c r="O1113" s="54"/>
      <c r="P1113" s="54"/>
      <c r="Q1113" s="1"/>
      <c r="R1113" s="1"/>
      <c r="S1113" s="1"/>
      <c r="T1113" s="1"/>
      <c r="U1113" s="1"/>
      <c r="V1113" s="1"/>
    </row>
    <row r="1114" ht="15.75" customHeight="1">
      <c r="A1114" s="206"/>
      <c r="B1114" s="206" t="s">
        <v>18</v>
      </c>
      <c r="C1114" s="54" t="s">
        <v>742</v>
      </c>
      <c r="D1114" s="198" t="s">
        <v>22</v>
      </c>
      <c r="E1114" s="155" t="s">
        <v>636</v>
      </c>
      <c r="F1114" s="158">
        <v>1.0</v>
      </c>
      <c r="G1114" s="57">
        <v>16.0</v>
      </c>
      <c r="H1114" s="57">
        <f t="shared" si="28"/>
        <v>16</v>
      </c>
      <c r="I1114" s="57"/>
      <c r="J1114" s="58"/>
      <c r="K1114" s="54"/>
      <c r="L1114" s="54"/>
      <c r="M1114" s="54"/>
      <c r="N1114" s="54"/>
      <c r="O1114" s="54"/>
      <c r="P1114" s="54"/>
      <c r="Q1114" s="1"/>
      <c r="R1114" s="1"/>
      <c r="S1114" s="1"/>
      <c r="T1114" s="1"/>
      <c r="U1114" s="1"/>
      <c r="V1114" s="1"/>
    </row>
    <row r="1115" ht="15.75" customHeight="1">
      <c r="A1115" s="206"/>
      <c r="B1115" s="54" t="s">
        <v>18</v>
      </c>
      <c r="C1115" s="258" t="s">
        <v>743</v>
      </c>
      <c r="D1115" s="198" t="s">
        <v>22</v>
      </c>
      <c r="E1115" s="311" t="s">
        <v>981</v>
      </c>
      <c r="F1115" s="158">
        <v>2.0</v>
      </c>
      <c r="G1115" s="159">
        <v>173.0</v>
      </c>
      <c r="H1115" s="57">
        <f t="shared" si="28"/>
        <v>346</v>
      </c>
      <c r="I1115" s="57"/>
      <c r="J1115" s="58"/>
      <c r="K1115" s="54"/>
      <c r="L1115" s="54"/>
      <c r="M1115" s="54"/>
      <c r="N1115" s="54"/>
      <c r="O1115" s="54"/>
      <c r="P1115" s="54"/>
      <c r="Q1115" s="1"/>
      <c r="R1115" s="1"/>
      <c r="S1115" s="1"/>
      <c r="T1115" s="1"/>
      <c r="U1115" s="1"/>
      <c r="V1115" s="1"/>
    </row>
    <row r="1116" ht="15.75" customHeight="1">
      <c r="A1116" s="206"/>
      <c r="B1116" s="258" t="s">
        <v>18</v>
      </c>
      <c r="C1116" s="258" t="s">
        <v>982</v>
      </c>
      <c r="D1116" s="198" t="s">
        <v>22</v>
      </c>
      <c r="E1116" s="311" t="s">
        <v>983</v>
      </c>
      <c r="F1116" s="158">
        <v>1.0</v>
      </c>
      <c r="G1116" s="159">
        <v>120.0</v>
      </c>
      <c r="H1116" s="57">
        <f t="shared" si="28"/>
        <v>120</v>
      </c>
      <c r="I1116" s="57"/>
      <c r="J1116" s="58"/>
      <c r="K1116" s="54"/>
      <c r="L1116" s="54"/>
      <c r="M1116" s="54"/>
      <c r="N1116" s="54"/>
      <c r="O1116" s="54"/>
      <c r="P1116" s="54"/>
      <c r="Q1116" s="1"/>
      <c r="R1116" s="1"/>
      <c r="S1116" s="1"/>
      <c r="T1116" s="1"/>
      <c r="U1116" s="1"/>
      <c r="V1116" s="1"/>
    </row>
    <row r="1117" ht="15.75" customHeight="1">
      <c r="A1117" s="206"/>
      <c r="B1117" s="258"/>
      <c r="C1117" s="258" t="s">
        <v>747</v>
      </c>
      <c r="D1117" s="198" t="s">
        <v>22</v>
      </c>
      <c r="E1117" s="311" t="s">
        <v>984</v>
      </c>
      <c r="F1117" s="158">
        <v>1.0</v>
      </c>
      <c r="G1117" s="159">
        <v>168.0</v>
      </c>
      <c r="H1117" s="57">
        <f t="shared" si="28"/>
        <v>168</v>
      </c>
      <c r="I1117" s="57"/>
      <c r="J1117" s="58"/>
      <c r="K1117" s="54"/>
      <c r="L1117" s="54"/>
      <c r="M1117" s="54"/>
      <c r="N1117" s="54"/>
      <c r="O1117" s="54"/>
      <c r="P1117" s="54"/>
      <c r="Q1117" s="1"/>
      <c r="R1117" s="1"/>
      <c r="S1117" s="1"/>
      <c r="T1117" s="1"/>
      <c r="U1117" s="1"/>
      <c r="V1117" s="1"/>
    </row>
    <row r="1118" ht="15.75" customHeight="1">
      <c r="A1118" s="206"/>
      <c r="B1118" s="258" t="s">
        <v>18</v>
      </c>
      <c r="C1118" s="54" t="s">
        <v>749</v>
      </c>
      <c r="D1118" s="198" t="s">
        <v>22</v>
      </c>
      <c r="E1118" s="261" t="s">
        <v>985</v>
      </c>
      <c r="F1118" s="158">
        <v>3.0</v>
      </c>
      <c r="G1118" s="159">
        <v>60.0</v>
      </c>
      <c r="H1118" s="57">
        <f t="shared" si="28"/>
        <v>180</v>
      </c>
      <c r="I1118" s="57"/>
      <c r="J1118" s="58"/>
      <c r="K1118" s="54"/>
      <c r="L1118" s="54"/>
      <c r="M1118" s="54"/>
      <c r="N1118" s="54"/>
      <c r="O1118" s="54"/>
      <c r="P1118" s="54"/>
      <c r="Q1118" s="1"/>
      <c r="R1118" s="1"/>
      <c r="S1118" s="1"/>
      <c r="T1118" s="1"/>
      <c r="U1118" s="1"/>
      <c r="V1118" s="1"/>
    </row>
    <row r="1119" ht="15.75" hidden="1" customHeight="1">
      <c r="A1119" s="206"/>
      <c r="B1119" s="54" t="s">
        <v>751</v>
      </c>
      <c r="C1119" s="54" t="s">
        <v>752</v>
      </c>
      <c r="D1119" s="198" t="s">
        <v>22</v>
      </c>
      <c r="E1119" s="291" t="s">
        <v>753</v>
      </c>
      <c r="F1119" s="158">
        <v>0.0</v>
      </c>
      <c r="G1119" s="57">
        <v>750.0</v>
      </c>
      <c r="H1119" s="57">
        <f t="shared" si="28"/>
        <v>0</v>
      </c>
      <c r="I1119" s="57"/>
      <c r="J1119" s="58"/>
      <c r="K1119" s="54"/>
      <c r="L1119" s="54"/>
      <c r="M1119" s="54"/>
      <c r="N1119" s="54"/>
      <c r="O1119" s="54"/>
      <c r="P1119" s="54"/>
      <c r="Q1119" s="1"/>
      <c r="R1119" s="1"/>
      <c r="S1119" s="1"/>
      <c r="T1119" s="1"/>
      <c r="U1119" s="1"/>
      <c r="V1119" s="1"/>
    </row>
    <row r="1120" ht="15.75" customHeight="1">
      <c r="A1120" s="206"/>
      <c r="B1120" s="54"/>
      <c r="C1120" s="54" t="s">
        <v>258</v>
      </c>
      <c r="D1120" s="198" t="s">
        <v>22</v>
      </c>
      <c r="E1120" s="208"/>
      <c r="F1120" s="56">
        <v>1.0</v>
      </c>
      <c r="G1120" s="159">
        <v>500.0</v>
      </c>
      <c r="H1120" s="57">
        <f t="shared" si="28"/>
        <v>500</v>
      </c>
      <c r="I1120" s="57"/>
      <c r="J1120" s="58"/>
      <c r="K1120" s="54"/>
      <c r="L1120" s="54"/>
      <c r="M1120" s="54"/>
      <c r="N1120" s="54"/>
      <c r="O1120" s="54"/>
      <c r="P1120" s="54"/>
      <c r="Q1120" s="1"/>
      <c r="R1120" s="1"/>
      <c r="S1120" s="1"/>
      <c r="T1120" s="1"/>
      <c r="U1120" s="1"/>
      <c r="V1120" s="1"/>
    </row>
    <row r="1121" ht="15.75" hidden="1" customHeight="1">
      <c r="A1121" s="206"/>
      <c r="B1121" s="54" t="s">
        <v>754</v>
      </c>
      <c r="C1121" s="54" t="s">
        <v>542</v>
      </c>
      <c r="D1121" s="198" t="s">
        <v>22</v>
      </c>
      <c r="E1121" s="201" t="s">
        <v>755</v>
      </c>
      <c r="F1121" s="56">
        <v>0.0</v>
      </c>
      <c r="G1121" s="57">
        <v>700.0</v>
      </c>
      <c r="H1121" s="57">
        <f t="shared" si="28"/>
        <v>0</v>
      </c>
      <c r="I1121" s="57"/>
      <c r="J1121" s="58"/>
      <c r="K1121" s="54"/>
      <c r="L1121" s="54"/>
      <c r="M1121" s="54"/>
      <c r="N1121" s="54"/>
      <c r="O1121" s="54"/>
      <c r="P1121" s="54"/>
      <c r="Q1121" s="1"/>
      <c r="R1121" s="1"/>
      <c r="S1121" s="1"/>
      <c r="T1121" s="1"/>
      <c r="U1121" s="1"/>
      <c r="V1121" s="1"/>
    </row>
    <row r="1122" ht="15.75" hidden="1" customHeight="1">
      <c r="A1122" s="206"/>
      <c r="B1122" s="54" t="s">
        <v>18</v>
      </c>
      <c r="C1122" s="54" t="s">
        <v>756</v>
      </c>
      <c r="D1122" s="198" t="s">
        <v>22</v>
      </c>
      <c r="E1122" s="157" t="s">
        <v>757</v>
      </c>
      <c r="F1122" s="158">
        <v>0.0</v>
      </c>
      <c r="G1122" s="159">
        <v>1070.0</v>
      </c>
      <c r="H1122" s="57">
        <f t="shared" si="28"/>
        <v>0</v>
      </c>
      <c r="I1122" s="57"/>
      <c r="J1122" s="58"/>
      <c r="K1122" s="54"/>
      <c r="L1122" s="54"/>
      <c r="M1122" s="54"/>
      <c r="N1122" s="54"/>
      <c r="O1122" s="54"/>
      <c r="P1122" s="54"/>
      <c r="Q1122" s="1"/>
      <c r="R1122" s="1"/>
      <c r="S1122" s="1"/>
      <c r="T1122" s="1"/>
      <c r="U1122" s="1"/>
      <c r="V1122" s="1"/>
    </row>
    <row r="1123" ht="15.75" hidden="1" customHeight="1">
      <c r="A1123" s="206"/>
      <c r="B1123" s="258" t="s">
        <v>18</v>
      </c>
      <c r="C1123" s="258" t="s">
        <v>758</v>
      </c>
      <c r="D1123" s="198" t="s">
        <v>22</v>
      </c>
      <c r="E1123" s="157" t="s">
        <v>759</v>
      </c>
      <c r="F1123" s="158">
        <v>0.0</v>
      </c>
      <c r="G1123" s="159">
        <v>630.0</v>
      </c>
      <c r="H1123" s="57">
        <f t="shared" si="28"/>
        <v>0</v>
      </c>
      <c r="I1123" s="57"/>
      <c r="J1123" s="58"/>
      <c r="K1123" s="54"/>
      <c r="L1123" s="54"/>
      <c r="M1123" s="54"/>
      <c r="N1123" s="54"/>
      <c r="O1123" s="54"/>
      <c r="P1123" s="54"/>
      <c r="Q1123" s="1"/>
      <c r="R1123" s="1"/>
      <c r="S1123" s="1"/>
      <c r="T1123" s="1"/>
      <c r="U1123" s="1"/>
      <c r="V1123" s="1"/>
    </row>
    <row r="1124" ht="15.75" hidden="1" customHeight="1">
      <c r="A1124" s="206"/>
      <c r="B1124" s="258"/>
      <c r="C1124" s="258" t="s">
        <v>760</v>
      </c>
      <c r="D1124" s="198" t="s">
        <v>22</v>
      </c>
      <c r="E1124" s="160"/>
      <c r="F1124" s="158">
        <v>0.0</v>
      </c>
      <c r="G1124" s="159">
        <v>0.0</v>
      </c>
      <c r="H1124" s="57">
        <f t="shared" si="28"/>
        <v>0</v>
      </c>
      <c r="I1124" s="57"/>
      <c r="J1124" s="58"/>
      <c r="K1124" s="54"/>
      <c r="L1124" s="54"/>
      <c r="M1124" s="54"/>
      <c r="N1124" s="54"/>
      <c r="O1124" s="54"/>
      <c r="P1124" s="54"/>
      <c r="Q1124" s="1"/>
      <c r="R1124" s="1"/>
      <c r="S1124" s="1"/>
      <c r="T1124" s="1"/>
      <c r="U1124" s="1"/>
      <c r="V1124" s="1"/>
    </row>
    <row r="1125" ht="15.75" customHeight="1">
      <c r="A1125" s="206"/>
      <c r="B1125" s="258" t="s">
        <v>264</v>
      </c>
      <c r="C1125" s="258" t="s">
        <v>761</v>
      </c>
      <c r="D1125" s="198" t="s">
        <v>22</v>
      </c>
      <c r="E1125" s="160">
        <v>100951.0</v>
      </c>
      <c r="F1125" s="158">
        <v>1.0</v>
      </c>
      <c r="G1125" s="159">
        <v>630.0</v>
      </c>
      <c r="H1125" s="57">
        <f t="shared" si="28"/>
        <v>630</v>
      </c>
      <c r="I1125" s="57"/>
      <c r="J1125" s="58"/>
      <c r="K1125" s="54"/>
      <c r="L1125" s="54"/>
      <c r="M1125" s="54"/>
      <c r="N1125" s="54"/>
      <c r="O1125" s="54"/>
      <c r="P1125" s="54"/>
      <c r="Q1125" s="1"/>
      <c r="R1125" s="1"/>
      <c r="S1125" s="1"/>
      <c r="T1125" s="1"/>
      <c r="U1125" s="1"/>
      <c r="V1125" s="1"/>
    </row>
    <row r="1126" ht="15.75" customHeight="1">
      <c r="A1126" s="206"/>
      <c r="B1126" s="416" t="s">
        <v>234</v>
      </c>
      <c r="C1126" s="416" t="s">
        <v>762</v>
      </c>
      <c r="D1126" s="394" t="s">
        <v>22</v>
      </c>
      <c r="E1126" s="417" t="s">
        <v>763</v>
      </c>
      <c r="F1126" s="418">
        <v>1.0</v>
      </c>
      <c r="G1126" s="397">
        <v>115.9</v>
      </c>
      <c r="H1126" s="396">
        <f t="shared" si="28"/>
        <v>115.9</v>
      </c>
      <c r="I1126" s="57"/>
      <c r="J1126" s="58"/>
      <c r="K1126" s="54"/>
      <c r="L1126" s="54"/>
      <c r="M1126" s="54"/>
      <c r="N1126" s="54"/>
      <c r="O1126" s="54"/>
      <c r="P1126" s="54"/>
      <c r="Q1126" s="1"/>
      <c r="R1126" s="1"/>
      <c r="S1126" s="1"/>
      <c r="T1126" s="1"/>
      <c r="U1126" s="1"/>
      <c r="V1126" s="1"/>
    </row>
    <row r="1127" ht="15.75" hidden="1" customHeight="1">
      <c r="A1127" s="206"/>
      <c r="B1127" s="54" t="s">
        <v>18</v>
      </c>
      <c r="C1127" s="54" t="s">
        <v>765</v>
      </c>
      <c r="D1127" s="198" t="s">
        <v>22</v>
      </c>
      <c r="E1127" s="201" t="s">
        <v>766</v>
      </c>
      <c r="F1127" s="158">
        <v>0.0</v>
      </c>
      <c r="G1127" s="57">
        <v>635.0</v>
      </c>
      <c r="H1127" s="57">
        <f t="shared" si="28"/>
        <v>0</v>
      </c>
      <c r="I1127" s="57"/>
      <c r="J1127" s="58"/>
      <c r="K1127" s="54"/>
      <c r="L1127" s="54"/>
      <c r="M1127" s="54"/>
      <c r="N1127" s="54"/>
      <c r="O1127" s="54"/>
      <c r="P1127" s="54"/>
      <c r="Q1127" s="1"/>
      <c r="R1127" s="1"/>
      <c r="S1127" s="1"/>
      <c r="T1127" s="1"/>
      <c r="U1127" s="1"/>
      <c r="V1127" s="1"/>
    </row>
    <row r="1128" ht="15.75" customHeight="1">
      <c r="A1128" s="206"/>
      <c r="B1128" s="54" t="s">
        <v>18</v>
      </c>
      <c r="C1128" s="54" t="s">
        <v>767</v>
      </c>
      <c r="D1128" s="198" t="s">
        <v>22</v>
      </c>
      <c r="E1128" s="201" t="s">
        <v>768</v>
      </c>
      <c r="F1128" s="56">
        <v>1.0</v>
      </c>
      <c r="G1128" s="159">
        <v>564.0</v>
      </c>
      <c r="H1128" s="57">
        <f t="shared" si="28"/>
        <v>564</v>
      </c>
      <c r="I1128" s="57"/>
      <c r="J1128" s="58"/>
      <c r="K1128" s="54"/>
      <c r="L1128" s="54"/>
      <c r="M1128" s="54"/>
      <c r="N1128" s="54"/>
      <c r="O1128" s="54"/>
      <c r="P1128" s="54"/>
      <c r="Q1128" s="1"/>
      <c r="R1128" s="1"/>
      <c r="S1128" s="1"/>
      <c r="T1128" s="1"/>
      <c r="U1128" s="1"/>
      <c r="V1128" s="1"/>
    </row>
    <row r="1129" ht="15.75" hidden="1" customHeight="1">
      <c r="A1129" s="206"/>
      <c r="B1129" s="54"/>
      <c r="C1129" s="54" t="s">
        <v>769</v>
      </c>
      <c r="D1129" s="198" t="s">
        <v>22</v>
      </c>
      <c r="E1129" s="201"/>
      <c r="F1129" s="56">
        <v>0.0</v>
      </c>
      <c r="G1129" s="57">
        <v>687.5</v>
      </c>
      <c r="H1129" s="57">
        <f t="shared" si="28"/>
        <v>0</v>
      </c>
      <c r="I1129" s="57"/>
      <c r="J1129" s="58"/>
      <c r="K1129" s="54"/>
      <c r="L1129" s="54"/>
      <c r="M1129" s="54"/>
      <c r="N1129" s="54"/>
      <c r="O1129" s="54"/>
      <c r="P1129" s="54"/>
      <c r="Q1129" s="1"/>
      <c r="R1129" s="1"/>
      <c r="S1129" s="1"/>
      <c r="T1129" s="1"/>
      <c r="U1129" s="1"/>
      <c r="V1129" s="1"/>
    </row>
    <row r="1130" ht="15.75" hidden="1" customHeight="1">
      <c r="A1130" s="206"/>
      <c r="B1130" s="54" t="s">
        <v>264</v>
      </c>
      <c r="C1130" s="54" t="s">
        <v>770</v>
      </c>
      <c r="D1130" s="198" t="s">
        <v>22</v>
      </c>
      <c r="E1130" s="201">
        <v>603191.0</v>
      </c>
      <c r="F1130" s="158">
        <v>0.0</v>
      </c>
      <c r="G1130" s="57">
        <v>522.0</v>
      </c>
      <c r="H1130" s="57">
        <f t="shared" si="28"/>
        <v>0</v>
      </c>
      <c r="I1130" s="57"/>
      <c r="J1130" s="58"/>
      <c r="K1130" s="54"/>
      <c r="L1130" s="54"/>
      <c r="M1130" s="54"/>
      <c r="N1130" s="54"/>
      <c r="O1130" s="54"/>
      <c r="P1130" s="54"/>
      <c r="Q1130" s="1"/>
      <c r="R1130" s="1"/>
      <c r="S1130" s="1"/>
      <c r="T1130" s="1"/>
      <c r="U1130" s="1"/>
      <c r="V1130" s="1"/>
    </row>
    <row r="1131" ht="15.75" customHeight="1">
      <c r="A1131" s="206"/>
      <c r="B1131" s="54" t="s">
        <v>18</v>
      </c>
      <c r="C1131" s="54" t="s">
        <v>444</v>
      </c>
      <c r="D1131" s="198" t="s">
        <v>22</v>
      </c>
      <c r="E1131" s="205" t="s">
        <v>771</v>
      </c>
      <c r="F1131" s="56">
        <v>1.0</v>
      </c>
      <c r="G1131" s="159">
        <v>480.0</v>
      </c>
      <c r="H1131" s="57">
        <f t="shared" si="28"/>
        <v>480</v>
      </c>
      <c r="I1131" s="57"/>
      <c r="J1131" s="58"/>
      <c r="K1131" s="54"/>
      <c r="L1131" s="54"/>
      <c r="M1131" s="54"/>
      <c r="N1131" s="54"/>
      <c r="O1131" s="54"/>
      <c r="P1131" s="54"/>
      <c r="Q1131" s="1"/>
      <c r="R1131" s="1"/>
      <c r="S1131" s="1"/>
      <c r="T1131" s="1"/>
      <c r="U1131" s="1"/>
      <c r="V1131" s="1"/>
    </row>
    <row r="1132" ht="15.75" hidden="1" customHeight="1">
      <c r="A1132" s="206"/>
      <c r="B1132" s="54" t="s">
        <v>18</v>
      </c>
      <c r="C1132" s="54" t="s">
        <v>772</v>
      </c>
      <c r="D1132" s="198" t="s">
        <v>22</v>
      </c>
      <c r="E1132" s="205" t="s">
        <v>773</v>
      </c>
      <c r="F1132" s="158">
        <v>0.0</v>
      </c>
      <c r="G1132" s="57">
        <v>40.0</v>
      </c>
      <c r="H1132" s="57">
        <f t="shared" si="28"/>
        <v>0</v>
      </c>
      <c r="I1132" s="57"/>
      <c r="J1132" s="58"/>
      <c r="K1132" s="313"/>
      <c r="L1132" s="54"/>
      <c r="M1132" s="54"/>
      <c r="N1132" s="54"/>
      <c r="O1132" s="54"/>
      <c r="P1132" s="54"/>
      <c r="Q1132" s="1"/>
      <c r="R1132" s="1"/>
      <c r="S1132" s="1"/>
      <c r="T1132" s="1"/>
      <c r="U1132" s="1"/>
      <c r="V1132" s="1"/>
    </row>
    <row r="1133" ht="15.75" hidden="1" customHeight="1">
      <c r="A1133" s="206"/>
      <c r="B1133" s="54" t="s">
        <v>320</v>
      </c>
      <c r="C1133" s="54" t="s">
        <v>774</v>
      </c>
      <c r="D1133" s="198" t="s">
        <v>22</v>
      </c>
      <c r="E1133" s="54"/>
      <c r="F1133" s="56">
        <v>0.0</v>
      </c>
      <c r="G1133" s="57">
        <v>320.0</v>
      </c>
      <c r="H1133" s="57">
        <f t="shared" si="28"/>
        <v>0</v>
      </c>
      <c r="I1133" s="57"/>
      <c r="J1133" s="58"/>
      <c r="K1133" s="54"/>
      <c r="L1133" s="54"/>
      <c r="M1133" s="54"/>
      <c r="N1133" s="54"/>
      <c r="O1133" s="54"/>
      <c r="P1133" s="54"/>
      <c r="Q1133" s="1"/>
      <c r="R1133" s="1"/>
      <c r="S1133" s="1"/>
      <c r="T1133" s="1"/>
      <c r="U1133" s="1"/>
      <c r="V1133" s="1"/>
    </row>
    <row r="1134" ht="15.75" customHeight="1">
      <c r="A1134" s="206"/>
      <c r="B1134" s="54" t="s">
        <v>277</v>
      </c>
      <c r="C1134" s="54" t="s">
        <v>775</v>
      </c>
      <c r="D1134" s="198" t="s">
        <v>22</v>
      </c>
      <c r="E1134" s="54"/>
      <c r="F1134" s="56">
        <v>1.0</v>
      </c>
      <c r="G1134" s="57">
        <v>560.0</v>
      </c>
      <c r="H1134" s="57">
        <f t="shared" si="28"/>
        <v>560</v>
      </c>
      <c r="I1134" s="58"/>
      <c r="J1134" s="58"/>
      <c r="K1134" s="54"/>
      <c r="L1134" s="54"/>
      <c r="M1134" s="54"/>
      <c r="N1134" s="54"/>
      <c r="O1134" s="54"/>
      <c r="P1134" s="54"/>
      <c r="Q1134" s="1"/>
      <c r="R1134" s="1"/>
      <c r="S1134" s="1"/>
      <c r="T1134" s="1"/>
      <c r="U1134" s="1"/>
      <c r="V1134" s="1"/>
    </row>
    <row r="1135" ht="15.75" customHeight="1">
      <c r="A1135" s="206"/>
      <c r="B1135" s="43" t="s">
        <v>88</v>
      </c>
      <c r="C1135" s="54" t="s">
        <v>411</v>
      </c>
      <c r="D1135" s="55" t="s">
        <v>20</v>
      </c>
      <c r="E1135" s="171" t="s">
        <v>412</v>
      </c>
      <c r="F1135" s="56">
        <v>1.0</v>
      </c>
      <c r="G1135" s="34">
        <v>334.0</v>
      </c>
      <c r="H1135" s="57">
        <f t="shared" si="28"/>
        <v>334</v>
      </c>
      <c r="I1135" s="57"/>
      <c r="J1135" s="58"/>
      <c r="K1135" s="54"/>
      <c r="L1135" s="54"/>
      <c r="M1135" s="54"/>
      <c r="N1135" s="54"/>
      <c r="O1135" s="54"/>
      <c r="P1135" s="54"/>
      <c r="Q1135" s="1"/>
      <c r="R1135" s="1"/>
      <c r="S1135" s="1"/>
      <c r="T1135" s="1"/>
      <c r="U1135" s="1"/>
      <c r="V1135" s="1"/>
    </row>
    <row r="1136" ht="15.75" hidden="1" customHeight="1">
      <c r="A1136" s="206"/>
      <c r="B1136" s="54" t="s">
        <v>277</v>
      </c>
      <c r="C1136" s="54" t="s">
        <v>776</v>
      </c>
      <c r="D1136" s="55" t="s">
        <v>20</v>
      </c>
      <c r="E1136" s="54"/>
      <c r="F1136" s="158">
        <v>0.0</v>
      </c>
      <c r="G1136" s="57">
        <v>750.0</v>
      </c>
      <c r="H1136" s="57">
        <f t="shared" si="28"/>
        <v>0</v>
      </c>
      <c r="I1136" s="57"/>
      <c r="J1136" s="58"/>
      <c r="K1136" s="54"/>
      <c r="L1136" s="54"/>
      <c r="M1136" s="54"/>
      <c r="N1136" s="54"/>
      <c r="O1136" s="54"/>
      <c r="P1136" s="54"/>
      <c r="Q1136" s="1"/>
      <c r="R1136" s="1"/>
      <c r="S1136" s="1"/>
      <c r="T1136" s="1"/>
      <c r="U1136" s="1"/>
      <c r="V1136" s="1"/>
    </row>
    <row r="1137" ht="15.75" hidden="1" customHeight="1">
      <c r="A1137" s="206"/>
      <c r="B1137" s="54" t="s">
        <v>539</v>
      </c>
      <c r="C1137" s="54" t="s">
        <v>777</v>
      </c>
      <c r="D1137" s="55" t="s">
        <v>20</v>
      </c>
      <c r="E1137" s="54" t="s">
        <v>778</v>
      </c>
      <c r="F1137" s="158">
        <v>0.0</v>
      </c>
      <c r="G1137" s="57">
        <v>0.0</v>
      </c>
      <c r="H1137" s="57">
        <f t="shared" si="28"/>
        <v>0</v>
      </c>
      <c r="I1137" s="57"/>
      <c r="J1137" s="58"/>
      <c r="K1137" s="54"/>
      <c r="L1137" s="54"/>
      <c r="M1137" s="54"/>
      <c r="N1137" s="54"/>
      <c r="O1137" s="54"/>
      <c r="P1137" s="54"/>
      <c r="Q1137" s="1"/>
      <c r="R1137" s="1"/>
      <c r="S1137" s="1"/>
      <c r="T1137" s="1"/>
      <c r="U1137" s="1"/>
      <c r="V1137" s="1"/>
    </row>
    <row r="1138" ht="15.75" hidden="1" customHeight="1">
      <c r="A1138" s="206"/>
      <c r="B1138" s="54" t="s">
        <v>18</v>
      </c>
      <c r="C1138" s="54" t="s">
        <v>779</v>
      </c>
      <c r="D1138" s="55" t="s">
        <v>20</v>
      </c>
      <c r="E1138" s="205" t="s">
        <v>780</v>
      </c>
      <c r="F1138" s="158">
        <v>0.0</v>
      </c>
      <c r="G1138" s="57">
        <v>150.0</v>
      </c>
      <c r="H1138" s="57">
        <f t="shared" si="28"/>
        <v>0</v>
      </c>
      <c r="I1138" s="57"/>
      <c r="J1138" s="58"/>
      <c r="K1138" s="54"/>
      <c r="L1138" s="54"/>
      <c r="M1138" s="54"/>
      <c r="N1138" s="54"/>
      <c r="O1138" s="54"/>
      <c r="P1138" s="54"/>
      <c r="Q1138" s="1"/>
      <c r="R1138" s="1"/>
      <c r="S1138" s="1"/>
      <c r="T1138" s="1"/>
      <c r="U1138" s="1"/>
      <c r="V1138" s="1"/>
    </row>
    <row r="1139" ht="15.75" customHeight="1">
      <c r="A1139" s="206"/>
      <c r="B1139" s="54" t="s">
        <v>18</v>
      </c>
      <c r="C1139" s="54" t="s">
        <v>781</v>
      </c>
      <c r="D1139" s="55" t="s">
        <v>20</v>
      </c>
      <c r="E1139" s="230" t="s">
        <v>986</v>
      </c>
      <c r="F1139" s="56">
        <v>1.0</v>
      </c>
      <c r="G1139" s="159">
        <v>276.0</v>
      </c>
      <c r="H1139" s="57">
        <f t="shared" si="28"/>
        <v>276</v>
      </c>
      <c r="I1139" s="57"/>
      <c r="J1139" s="58"/>
      <c r="K1139" s="54"/>
      <c r="L1139" s="54"/>
      <c r="M1139" s="54"/>
      <c r="N1139" s="54"/>
      <c r="O1139" s="54"/>
      <c r="P1139" s="54"/>
      <c r="Q1139" s="1"/>
      <c r="R1139" s="1"/>
      <c r="S1139" s="1"/>
      <c r="T1139" s="1"/>
      <c r="U1139" s="1"/>
      <c r="V1139" s="1"/>
    </row>
    <row r="1140" ht="15.75" customHeight="1">
      <c r="A1140" s="206"/>
      <c r="B1140" s="54" t="s">
        <v>228</v>
      </c>
      <c r="C1140" s="54" t="s">
        <v>783</v>
      </c>
      <c r="D1140" s="55" t="s">
        <v>20</v>
      </c>
      <c r="E1140" s="54"/>
      <c r="F1140" s="56">
        <v>1.0</v>
      </c>
      <c r="G1140" s="57">
        <v>10.0</v>
      </c>
      <c r="H1140" s="57">
        <f t="shared" si="28"/>
        <v>10</v>
      </c>
      <c r="I1140" s="57"/>
      <c r="J1140" s="58"/>
      <c r="K1140" s="54"/>
      <c r="L1140" s="54"/>
      <c r="M1140" s="54"/>
      <c r="N1140" s="54"/>
      <c r="O1140" s="54"/>
      <c r="P1140" s="54"/>
      <c r="Q1140" s="1"/>
      <c r="R1140" s="1"/>
      <c r="S1140" s="1"/>
      <c r="T1140" s="1"/>
      <c r="U1140" s="1"/>
      <c r="V1140" s="1"/>
    </row>
    <row r="1141" ht="15.75" customHeight="1">
      <c r="A1141" s="206"/>
      <c r="B1141" s="54" t="s">
        <v>18</v>
      </c>
      <c r="C1141" s="54" t="s">
        <v>784</v>
      </c>
      <c r="D1141" s="55" t="s">
        <v>20</v>
      </c>
      <c r="E1141" s="201" t="s">
        <v>785</v>
      </c>
      <c r="F1141" s="56">
        <v>1.0</v>
      </c>
      <c r="G1141" s="57">
        <v>9.0</v>
      </c>
      <c r="H1141" s="57">
        <f t="shared" si="28"/>
        <v>9</v>
      </c>
      <c r="I1141" s="57"/>
      <c r="J1141" s="58"/>
      <c r="K1141" s="54"/>
      <c r="L1141" s="54"/>
      <c r="M1141" s="54"/>
      <c r="N1141" s="54"/>
      <c r="O1141" s="54"/>
      <c r="P1141" s="54"/>
      <c r="Q1141" s="1"/>
      <c r="R1141" s="1"/>
      <c r="S1141" s="1"/>
      <c r="T1141" s="1"/>
      <c r="U1141" s="1"/>
      <c r="V1141" s="1"/>
    </row>
    <row r="1142" ht="15.75" customHeight="1">
      <c r="A1142" s="206"/>
      <c r="B1142" s="54" t="s">
        <v>277</v>
      </c>
      <c r="C1142" s="54" t="s">
        <v>786</v>
      </c>
      <c r="D1142" s="198" t="s">
        <v>22</v>
      </c>
      <c r="E1142" s="54"/>
      <c r="F1142" s="56">
        <v>1.0</v>
      </c>
      <c r="G1142" s="57">
        <v>69.99</v>
      </c>
      <c r="H1142" s="57">
        <f t="shared" si="28"/>
        <v>69.99</v>
      </c>
      <c r="I1142" s="57"/>
      <c r="J1142" s="58"/>
      <c r="K1142" s="54"/>
      <c r="L1142" s="54"/>
      <c r="M1142" s="54"/>
      <c r="N1142" s="54"/>
      <c r="O1142" s="54"/>
      <c r="P1142" s="54"/>
      <c r="Q1142" s="1"/>
      <c r="R1142" s="1"/>
      <c r="S1142" s="1"/>
      <c r="T1142" s="1"/>
      <c r="U1142" s="1"/>
      <c r="V1142" s="1"/>
    </row>
    <row r="1143" ht="15.75" customHeight="1">
      <c r="A1143" s="206"/>
      <c r="B1143" s="54" t="s">
        <v>18</v>
      </c>
      <c r="C1143" s="54" t="s">
        <v>787</v>
      </c>
      <c r="D1143" s="198" t="s">
        <v>22</v>
      </c>
      <c r="E1143" s="157" t="s">
        <v>987</v>
      </c>
      <c r="F1143" s="158">
        <v>2.0</v>
      </c>
      <c r="G1143" s="159">
        <v>108.0</v>
      </c>
      <c r="H1143" s="57">
        <f t="shared" si="28"/>
        <v>216</v>
      </c>
      <c r="I1143" s="57"/>
      <c r="J1143" s="58"/>
      <c r="K1143" s="54"/>
      <c r="L1143" s="54"/>
      <c r="M1143" s="54"/>
      <c r="N1143" s="54"/>
      <c r="O1143" s="54"/>
      <c r="P1143" s="54"/>
      <c r="Q1143" s="1"/>
      <c r="R1143" s="1"/>
      <c r="S1143" s="1"/>
      <c r="T1143" s="1"/>
      <c r="U1143" s="1"/>
      <c r="V1143" s="1"/>
    </row>
    <row r="1144" ht="15.75" customHeight="1">
      <c r="A1144" s="206"/>
      <c r="B1144" s="54" t="s">
        <v>18</v>
      </c>
      <c r="C1144" s="54" t="s">
        <v>285</v>
      </c>
      <c r="D1144" s="55" t="s">
        <v>20</v>
      </c>
      <c r="E1144" s="54" t="s">
        <v>286</v>
      </c>
      <c r="F1144" s="56">
        <v>2.0</v>
      </c>
      <c r="G1144" s="57">
        <v>3.0</v>
      </c>
      <c r="H1144" s="57">
        <f t="shared" si="28"/>
        <v>6</v>
      </c>
      <c r="I1144" s="57"/>
      <c r="J1144" s="58"/>
      <c r="K1144" s="13"/>
      <c r="L1144" s="54"/>
      <c r="M1144" s="54"/>
      <c r="N1144" s="54"/>
      <c r="O1144" s="54"/>
      <c r="P1144" s="54"/>
      <c r="Q1144" s="1"/>
      <c r="R1144" s="1"/>
      <c r="S1144" s="1"/>
      <c r="T1144" s="1"/>
      <c r="U1144" s="1"/>
      <c r="V1144" s="1"/>
    </row>
    <row r="1145" ht="15.75" hidden="1" customHeight="1">
      <c r="A1145" s="206"/>
      <c r="B1145" s="54" t="s">
        <v>18</v>
      </c>
      <c r="C1145" s="54" t="s">
        <v>789</v>
      </c>
      <c r="D1145" s="55" t="s">
        <v>20</v>
      </c>
      <c r="E1145" s="54" t="s">
        <v>790</v>
      </c>
      <c r="F1145" s="56">
        <v>0.0</v>
      </c>
      <c r="G1145" s="57">
        <v>14.0</v>
      </c>
      <c r="H1145" s="57">
        <f t="shared" si="28"/>
        <v>0</v>
      </c>
      <c r="I1145" s="57"/>
      <c r="J1145" s="58"/>
      <c r="K1145" s="54"/>
      <c r="L1145" s="54"/>
      <c r="M1145" s="54"/>
      <c r="N1145" s="54"/>
      <c r="O1145" s="54"/>
      <c r="P1145" s="54"/>
      <c r="Q1145" s="1"/>
      <c r="R1145" s="1"/>
      <c r="S1145" s="1"/>
      <c r="T1145" s="1"/>
      <c r="U1145" s="1"/>
      <c r="V1145" s="1"/>
    </row>
    <row r="1146" ht="15.75" hidden="1" customHeight="1">
      <c r="A1146" s="206"/>
      <c r="B1146" s="54" t="s">
        <v>463</v>
      </c>
      <c r="C1146" s="54" t="s">
        <v>791</v>
      </c>
      <c r="D1146" s="198" t="s">
        <v>22</v>
      </c>
      <c r="E1146" s="201" t="s">
        <v>792</v>
      </c>
      <c r="F1146" s="158">
        <v>0.0</v>
      </c>
      <c r="G1146" s="57">
        <v>23.0</v>
      </c>
      <c r="H1146" s="57">
        <f t="shared" si="28"/>
        <v>0</v>
      </c>
      <c r="I1146" s="57"/>
      <c r="J1146" s="58"/>
      <c r="K1146" s="54"/>
      <c r="L1146" s="54"/>
      <c r="M1146" s="54"/>
      <c r="N1146" s="54"/>
      <c r="O1146" s="54"/>
      <c r="P1146" s="54"/>
      <c r="Q1146" s="1"/>
      <c r="R1146" s="1"/>
      <c r="S1146" s="1"/>
      <c r="T1146" s="1"/>
      <c r="U1146" s="1"/>
      <c r="V1146" s="1"/>
    </row>
    <row r="1147" ht="15.75" hidden="1" customHeight="1">
      <c r="A1147" s="206"/>
      <c r="B1147" s="54" t="s">
        <v>463</v>
      </c>
      <c r="C1147" s="54" t="s">
        <v>793</v>
      </c>
      <c r="D1147" s="198" t="s">
        <v>22</v>
      </c>
      <c r="E1147" s="201" t="s">
        <v>794</v>
      </c>
      <c r="F1147" s="158">
        <v>0.0</v>
      </c>
      <c r="G1147" s="57">
        <v>23.0</v>
      </c>
      <c r="H1147" s="57">
        <f t="shared" si="28"/>
        <v>0</v>
      </c>
      <c r="I1147" s="57"/>
      <c r="J1147" s="58"/>
      <c r="K1147" s="54"/>
      <c r="L1147" s="54"/>
      <c r="M1147" s="54"/>
      <c r="N1147" s="54"/>
      <c r="O1147" s="54"/>
      <c r="P1147" s="54"/>
      <c r="Q1147" s="1"/>
      <c r="R1147" s="1"/>
      <c r="S1147" s="1"/>
      <c r="T1147" s="1"/>
      <c r="U1147" s="1"/>
      <c r="V1147" s="1"/>
    </row>
    <row r="1148" ht="15.75" hidden="1" customHeight="1">
      <c r="A1148" s="206"/>
      <c r="B1148" s="54" t="s">
        <v>463</v>
      </c>
      <c r="C1148" s="54" t="s">
        <v>795</v>
      </c>
      <c r="D1148" s="198" t="s">
        <v>22</v>
      </c>
      <c r="E1148" s="205" t="s">
        <v>796</v>
      </c>
      <c r="F1148" s="158">
        <v>0.0</v>
      </c>
      <c r="G1148" s="57">
        <v>23.0</v>
      </c>
      <c r="H1148" s="57">
        <f t="shared" si="28"/>
        <v>0</v>
      </c>
      <c r="I1148" s="57"/>
      <c r="J1148" s="58"/>
      <c r="K1148" s="54"/>
      <c r="L1148" s="54"/>
      <c r="M1148" s="54"/>
      <c r="N1148" s="54"/>
      <c r="O1148" s="54"/>
      <c r="P1148" s="54"/>
      <c r="Q1148" s="1"/>
      <c r="R1148" s="1"/>
      <c r="S1148" s="1"/>
      <c r="T1148" s="1"/>
      <c r="U1148" s="1"/>
      <c r="V1148" s="1"/>
    </row>
    <row r="1149" ht="15.75" hidden="1" customHeight="1">
      <c r="A1149" s="206"/>
      <c r="B1149" s="54" t="s">
        <v>463</v>
      </c>
      <c r="C1149" s="54" t="s">
        <v>797</v>
      </c>
      <c r="D1149" s="198" t="s">
        <v>22</v>
      </c>
      <c r="E1149" s="205" t="s">
        <v>798</v>
      </c>
      <c r="F1149" s="158">
        <v>0.0</v>
      </c>
      <c r="G1149" s="57">
        <v>23.0</v>
      </c>
      <c r="H1149" s="57">
        <f t="shared" si="28"/>
        <v>0</v>
      </c>
      <c r="I1149" s="57"/>
      <c r="J1149" s="58"/>
      <c r="K1149" s="54"/>
      <c r="L1149" s="54"/>
      <c r="M1149" s="54"/>
      <c r="N1149" s="54"/>
      <c r="O1149" s="54"/>
      <c r="P1149" s="54"/>
      <c r="Q1149" s="1"/>
      <c r="R1149" s="1"/>
      <c r="S1149" s="1"/>
      <c r="T1149" s="1"/>
      <c r="U1149" s="1"/>
      <c r="V1149" s="1"/>
    </row>
    <row r="1150" ht="15.75" hidden="1" customHeight="1">
      <c r="A1150" s="206"/>
      <c r="B1150" s="54" t="s">
        <v>463</v>
      </c>
      <c r="C1150" s="54" t="s">
        <v>799</v>
      </c>
      <c r="D1150" s="198" t="s">
        <v>22</v>
      </c>
      <c r="E1150" s="205" t="s">
        <v>800</v>
      </c>
      <c r="F1150" s="158">
        <v>0.0</v>
      </c>
      <c r="G1150" s="57">
        <v>23.0</v>
      </c>
      <c r="H1150" s="57">
        <f t="shared" si="28"/>
        <v>0</v>
      </c>
      <c r="I1150" s="57"/>
      <c r="J1150" s="58"/>
      <c r="K1150" s="54"/>
      <c r="L1150" s="54"/>
      <c r="M1150" s="54"/>
      <c r="N1150" s="54"/>
      <c r="O1150" s="54"/>
      <c r="P1150" s="54"/>
      <c r="Q1150" s="1"/>
      <c r="R1150" s="1"/>
      <c r="S1150" s="1"/>
      <c r="T1150" s="1"/>
      <c r="U1150" s="1"/>
      <c r="V1150" s="1"/>
    </row>
    <row r="1151" ht="15.75" hidden="1" customHeight="1">
      <c r="A1151" s="206"/>
      <c r="B1151" s="54" t="s">
        <v>463</v>
      </c>
      <c r="C1151" s="54" t="s">
        <v>801</v>
      </c>
      <c r="D1151" s="198" t="s">
        <v>22</v>
      </c>
      <c r="E1151" s="205" t="s">
        <v>802</v>
      </c>
      <c r="F1151" s="158">
        <v>0.0</v>
      </c>
      <c r="G1151" s="57">
        <v>23.0</v>
      </c>
      <c r="H1151" s="57">
        <f t="shared" si="28"/>
        <v>0</v>
      </c>
      <c r="I1151" s="57"/>
      <c r="J1151" s="58"/>
      <c r="K1151" s="54"/>
      <c r="L1151" s="54"/>
      <c r="M1151" s="54"/>
      <c r="N1151" s="54"/>
      <c r="O1151" s="54"/>
      <c r="P1151" s="54"/>
      <c r="Q1151" s="1"/>
      <c r="R1151" s="1"/>
      <c r="S1151" s="1"/>
      <c r="T1151" s="1"/>
      <c r="U1151" s="1"/>
      <c r="V1151" s="1"/>
    </row>
    <row r="1152" ht="15.75" hidden="1" customHeight="1">
      <c r="A1152" s="206"/>
      <c r="B1152" s="54" t="s">
        <v>803</v>
      </c>
      <c r="C1152" s="54" t="s">
        <v>804</v>
      </c>
      <c r="D1152" s="198" t="s">
        <v>22</v>
      </c>
      <c r="E1152" s="205" t="s">
        <v>805</v>
      </c>
      <c r="F1152" s="158">
        <v>0.0</v>
      </c>
      <c r="G1152" s="57">
        <v>35.0</v>
      </c>
      <c r="H1152" s="57">
        <f t="shared" si="28"/>
        <v>0</v>
      </c>
      <c r="I1152" s="57"/>
      <c r="J1152" s="58"/>
      <c r="K1152" s="54"/>
      <c r="L1152" s="54"/>
      <c r="M1152" s="54"/>
      <c r="N1152" s="54"/>
      <c r="O1152" s="54"/>
      <c r="P1152" s="54"/>
      <c r="Q1152" s="1"/>
      <c r="R1152" s="1"/>
      <c r="S1152" s="1"/>
      <c r="T1152" s="1"/>
      <c r="U1152" s="1"/>
      <c r="V1152" s="1"/>
    </row>
    <row r="1153" ht="15.75" hidden="1" customHeight="1">
      <c r="A1153" s="206"/>
      <c r="B1153" s="54" t="s">
        <v>803</v>
      </c>
      <c r="C1153" s="54" t="s">
        <v>806</v>
      </c>
      <c r="D1153" s="198" t="s">
        <v>22</v>
      </c>
      <c r="E1153" s="201" t="s">
        <v>807</v>
      </c>
      <c r="F1153" s="158">
        <v>0.0</v>
      </c>
      <c r="G1153" s="57">
        <v>35.0</v>
      </c>
      <c r="H1153" s="57">
        <f t="shared" si="28"/>
        <v>0</v>
      </c>
      <c r="I1153" s="57"/>
      <c r="J1153" s="58"/>
      <c r="K1153" s="54"/>
      <c r="L1153" s="54"/>
      <c r="M1153" s="54"/>
      <c r="N1153" s="54"/>
      <c r="O1153" s="54"/>
      <c r="P1153" s="54"/>
      <c r="Q1153" s="1"/>
      <c r="R1153" s="1"/>
      <c r="S1153" s="1"/>
      <c r="T1153" s="1"/>
      <c r="U1153" s="1"/>
      <c r="V1153" s="1"/>
    </row>
    <row r="1154" ht="15.75" hidden="1" customHeight="1">
      <c r="A1154" s="206"/>
      <c r="B1154" s="54" t="s">
        <v>808</v>
      </c>
      <c r="C1154" s="54" t="s">
        <v>809</v>
      </c>
      <c r="D1154" s="198" t="s">
        <v>22</v>
      </c>
      <c r="E1154" s="201" t="s">
        <v>810</v>
      </c>
      <c r="F1154" s="158">
        <v>0.0</v>
      </c>
      <c r="G1154" s="57">
        <v>20.0</v>
      </c>
      <c r="H1154" s="57">
        <f t="shared" si="28"/>
        <v>0</v>
      </c>
      <c r="I1154" s="57"/>
      <c r="J1154" s="58"/>
      <c r="K1154" s="54"/>
      <c r="L1154" s="54"/>
      <c r="M1154" s="54"/>
      <c r="N1154" s="54"/>
      <c r="O1154" s="54"/>
      <c r="P1154" s="54"/>
      <c r="Q1154" s="1"/>
      <c r="R1154" s="1"/>
      <c r="S1154" s="1"/>
      <c r="T1154" s="1"/>
      <c r="U1154" s="1"/>
      <c r="V1154" s="1"/>
    </row>
    <row r="1155" ht="15.75" hidden="1" customHeight="1">
      <c r="A1155" s="206"/>
      <c r="B1155" s="54" t="s">
        <v>18</v>
      </c>
      <c r="C1155" s="54" t="s">
        <v>811</v>
      </c>
      <c r="D1155" s="198" t="s">
        <v>22</v>
      </c>
      <c r="E1155" s="205" t="s">
        <v>812</v>
      </c>
      <c r="F1155" s="158">
        <v>0.0</v>
      </c>
      <c r="G1155" s="57">
        <v>16.0</v>
      </c>
      <c r="H1155" s="57">
        <f t="shared" si="28"/>
        <v>0</v>
      </c>
      <c r="I1155" s="57"/>
      <c r="J1155" s="58"/>
      <c r="K1155" s="54"/>
      <c r="L1155" s="54"/>
      <c r="M1155" s="54"/>
      <c r="N1155" s="54"/>
      <c r="O1155" s="54"/>
      <c r="P1155" s="54"/>
      <c r="Q1155" s="1"/>
      <c r="R1155" s="1"/>
      <c r="S1155" s="1"/>
      <c r="T1155" s="1"/>
      <c r="U1155" s="1"/>
      <c r="V1155" s="1"/>
    </row>
    <row r="1156" ht="15.75" hidden="1" customHeight="1">
      <c r="A1156" s="206"/>
      <c r="B1156" s="54" t="s">
        <v>18</v>
      </c>
      <c r="C1156" s="54" t="s">
        <v>813</v>
      </c>
      <c r="D1156" s="198" t="s">
        <v>22</v>
      </c>
      <c r="E1156" s="201" t="s">
        <v>814</v>
      </c>
      <c r="F1156" s="158">
        <v>0.0</v>
      </c>
      <c r="G1156" s="57">
        <v>12.0</v>
      </c>
      <c r="H1156" s="57">
        <f t="shared" si="28"/>
        <v>0</v>
      </c>
      <c r="I1156" s="57"/>
      <c r="J1156" s="58"/>
      <c r="K1156" s="54"/>
      <c r="L1156" s="54"/>
      <c r="M1156" s="54"/>
      <c r="N1156" s="54"/>
      <c r="O1156" s="54"/>
      <c r="P1156" s="54"/>
      <c r="Q1156" s="1"/>
      <c r="R1156" s="1"/>
      <c r="S1156" s="1"/>
      <c r="T1156" s="1"/>
      <c r="U1156" s="1"/>
      <c r="V1156" s="1"/>
    </row>
    <row r="1157" ht="15.75" hidden="1" customHeight="1">
      <c r="A1157" s="206"/>
      <c r="B1157" s="54" t="s">
        <v>18</v>
      </c>
      <c r="C1157" s="54" t="s">
        <v>815</v>
      </c>
      <c r="D1157" s="198" t="s">
        <v>22</v>
      </c>
      <c r="E1157" s="205" t="s">
        <v>816</v>
      </c>
      <c r="F1157" s="158">
        <v>0.0</v>
      </c>
      <c r="G1157" s="57">
        <v>18.0</v>
      </c>
      <c r="H1157" s="57">
        <f t="shared" si="28"/>
        <v>0</v>
      </c>
      <c r="I1157" s="57"/>
      <c r="J1157" s="58"/>
      <c r="K1157" s="54"/>
      <c r="L1157" s="54"/>
      <c r="M1157" s="54"/>
      <c r="N1157" s="54"/>
      <c r="O1157" s="54"/>
      <c r="P1157" s="54"/>
      <c r="Q1157" s="1"/>
      <c r="R1157" s="1"/>
      <c r="S1157" s="1"/>
      <c r="T1157" s="1"/>
      <c r="U1157" s="1"/>
      <c r="V1157" s="1"/>
    </row>
    <row r="1158" ht="15.75" hidden="1" customHeight="1">
      <c r="A1158" s="206"/>
      <c r="B1158" s="54" t="s">
        <v>817</v>
      </c>
      <c r="C1158" s="54" t="s">
        <v>818</v>
      </c>
      <c r="D1158" s="55" t="s">
        <v>20</v>
      </c>
      <c r="E1158" s="54"/>
      <c r="F1158" s="158">
        <v>0.0</v>
      </c>
      <c r="G1158" s="57">
        <v>5000.0</v>
      </c>
      <c r="H1158" s="57">
        <f t="shared" si="28"/>
        <v>0</v>
      </c>
      <c r="I1158" s="58"/>
      <c r="J1158" s="58"/>
      <c r="K1158" s="54"/>
      <c r="L1158" s="271"/>
      <c r="M1158" s="271"/>
      <c r="N1158" s="271"/>
      <c r="O1158" s="271"/>
      <c r="P1158" s="271"/>
      <c r="Q1158" s="1"/>
      <c r="R1158" s="1"/>
      <c r="S1158" s="1"/>
      <c r="T1158" s="1"/>
      <c r="U1158" s="1"/>
      <c r="V1158" s="1"/>
    </row>
    <row r="1159" ht="15.75" hidden="1" customHeight="1">
      <c r="A1159" s="206"/>
      <c r="B1159" s="54"/>
      <c r="C1159" s="54" t="s">
        <v>819</v>
      </c>
      <c r="D1159" s="55" t="s">
        <v>20</v>
      </c>
      <c r="E1159" s="54"/>
      <c r="F1159" s="56">
        <v>0.0</v>
      </c>
      <c r="G1159" s="57">
        <v>300.0</v>
      </c>
      <c r="H1159" s="57">
        <f t="shared" si="28"/>
        <v>0</v>
      </c>
      <c r="I1159" s="58"/>
      <c r="J1159" s="58"/>
      <c r="K1159" s="54"/>
      <c r="L1159" s="271"/>
      <c r="M1159" s="271"/>
      <c r="N1159" s="271"/>
      <c r="O1159" s="271"/>
      <c r="P1159" s="271"/>
      <c r="Q1159" s="1"/>
      <c r="R1159" s="1"/>
      <c r="S1159" s="1"/>
      <c r="T1159" s="1"/>
      <c r="U1159" s="1"/>
      <c r="V1159" s="1"/>
    </row>
    <row r="1160" ht="15.75" hidden="1" customHeight="1">
      <c r="A1160" s="206"/>
      <c r="B1160" s="54" t="s">
        <v>18</v>
      </c>
      <c r="C1160" s="54" t="s">
        <v>283</v>
      </c>
      <c r="D1160" s="55" t="s">
        <v>20</v>
      </c>
      <c r="E1160" s="54" t="s">
        <v>284</v>
      </c>
      <c r="F1160" s="56">
        <v>0.0</v>
      </c>
      <c r="G1160" s="57">
        <v>12.0</v>
      </c>
      <c r="H1160" s="57">
        <f t="shared" si="28"/>
        <v>0</v>
      </c>
      <c r="I1160" s="58"/>
      <c r="J1160" s="57"/>
      <c r="K1160" s="54"/>
      <c r="L1160" s="271"/>
      <c r="M1160" s="271"/>
      <c r="N1160" s="271"/>
      <c r="O1160" s="271"/>
      <c r="P1160" s="271"/>
      <c r="Q1160" s="1"/>
      <c r="R1160" s="1"/>
      <c r="S1160" s="1"/>
      <c r="T1160" s="1"/>
      <c r="U1160" s="1"/>
      <c r="V1160" s="1"/>
    </row>
    <row r="1161" ht="15.75" hidden="1" customHeight="1">
      <c r="A1161" s="206"/>
      <c r="B1161" s="54" t="s">
        <v>18</v>
      </c>
      <c r="C1161" s="54" t="s">
        <v>820</v>
      </c>
      <c r="D1161" s="55" t="s">
        <v>20</v>
      </c>
      <c r="E1161" s="54"/>
      <c r="F1161" s="56">
        <v>0.0</v>
      </c>
      <c r="G1161" s="57">
        <v>956.0</v>
      </c>
      <c r="H1161" s="57">
        <f t="shared" si="28"/>
        <v>0</v>
      </c>
      <c r="I1161" s="58"/>
      <c r="J1161" s="57"/>
      <c r="K1161" s="54"/>
      <c r="L1161" s="271"/>
      <c r="M1161" s="271"/>
      <c r="N1161" s="271"/>
      <c r="O1161" s="271"/>
      <c r="P1161" s="271"/>
      <c r="Q1161" s="1"/>
      <c r="R1161" s="1"/>
      <c r="S1161" s="1"/>
      <c r="T1161" s="1"/>
      <c r="U1161" s="1"/>
      <c r="V1161" s="1"/>
    </row>
    <row r="1162" ht="15.75" hidden="1" customHeight="1">
      <c r="A1162" s="206"/>
      <c r="B1162" s="54"/>
      <c r="C1162" s="54" t="s">
        <v>821</v>
      </c>
      <c r="D1162" s="314" t="s">
        <v>26</v>
      </c>
      <c r="E1162" s="54"/>
      <c r="F1162" s="56">
        <v>0.0</v>
      </c>
      <c r="G1162" s="57">
        <v>900.0</v>
      </c>
      <c r="H1162" s="57">
        <f t="shared" si="28"/>
        <v>0</v>
      </c>
      <c r="I1162" s="58"/>
      <c r="J1162" s="57"/>
      <c r="K1162" s="54"/>
      <c r="L1162" s="271"/>
      <c r="M1162" s="271"/>
      <c r="N1162" s="271"/>
      <c r="O1162" s="271"/>
      <c r="P1162" s="271"/>
      <c r="Q1162" s="1"/>
      <c r="R1162" s="1"/>
      <c r="S1162" s="1"/>
      <c r="T1162" s="1"/>
      <c r="U1162" s="1"/>
      <c r="V1162" s="1"/>
    </row>
    <row r="1163" ht="15.75" hidden="1" customHeight="1">
      <c r="A1163" s="206"/>
      <c r="B1163" s="54" t="s">
        <v>18</v>
      </c>
      <c r="C1163" s="54" t="s">
        <v>822</v>
      </c>
      <c r="D1163" s="55" t="s">
        <v>20</v>
      </c>
      <c r="E1163" s="205" t="s">
        <v>823</v>
      </c>
      <c r="F1163" s="158">
        <v>0.0</v>
      </c>
      <c r="G1163" s="57">
        <v>150.0</v>
      </c>
      <c r="H1163" s="57">
        <f t="shared" si="28"/>
        <v>0</v>
      </c>
      <c r="I1163" s="58"/>
      <c r="J1163" s="57"/>
      <c r="K1163" s="315"/>
      <c r="L1163" s="271"/>
      <c r="M1163" s="271"/>
      <c r="N1163" s="271"/>
      <c r="O1163" s="271"/>
      <c r="P1163" s="271"/>
      <c r="Q1163" s="1"/>
      <c r="R1163" s="1"/>
      <c r="S1163" s="1"/>
      <c r="T1163" s="1"/>
      <c r="U1163" s="1"/>
      <c r="V1163" s="1"/>
    </row>
    <row r="1164" ht="15.75" hidden="1" customHeight="1">
      <c r="A1164" s="206"/>
      <c r="B1164" s="54" t="s">
        <v>18</v>
      </c>
      <c r="C1164" s="54" t="s">
        <v>824</v>
      </c>
      <c r="D1164" s="55" t="s">
        <v>20</v>
      </c>
      <c r="E1164" s="54"/>
      <c r="F1164" s="158">
        <v>0.0</v>
      </c>
      <c r="G1164" s="57">
        <v>150.0</v>
      </c>
      <c r="H1164" s="57">
        <f t="shared" si="28"/>
        <v>0</v>
      </c>
      <c r="I1164" s="58"/>
      <c r="J1164" s="57"/>
      <c r="K1164" s="54"/>
      <c r="L1164" s="271"/>
      <c r="M1164" s="271"/>
      <c r="N1164" s="271"/>
      <c r="O1164" s="271"/>
      <c r="P1164" s="271"/>
      <c r="Q1164" s="1"/>
      <c r="R1164" s="1"/>
      <c r="S1164" s="1"/>
      <c r="T1164" s="1"/>
      <c r="U1164" s="1"/>
      <c r="V1164" s="1"/>
    </row>
    <row r="1165" ht="15.75" hidden="1" customHeight="1">
      <c r="A1165" s="206"/>
      <c r="B1165" s="54" t="s">
        <v>18</v>
      </c>
      <c r="C1165" s="54" t="s">
        <v>825</v>
      </c>
      <c r="D1165" s="55" t="s">
        <v>20</v>
      </c>
      <c r="E1165" s="54"/>
      <c r="F1165" s="56">
        <v>0.0</v>
      </c>
      <c r="G1165" s="57">
        <v>27.99</v>
      </c>
      <c r="H1165" s="57">
        <f t="shared" si="28"/>
        <v>0</v>
      </c>
      <c r="I1165" s="58"/>
      <c r="J1165" s="58"/>
      <c r="K1165" s="54"/>
      <c r="L1165" s="252"/>
      <c r="M1165" s="252"/>
      <c r="N1165" s="252"/>
      <c r="O1165" s="252"/>
      <c r="P1165" s="252"/>
      <c r="Q1165" s="1"/>
      <c r="R1165" s="1"/>
      <c r="S1165" s="1"/>
      <c r="T1165" s="1"/>
      <c r="U1165" s="1"/>
      <c r="V1165" s="1"/>
    </row>
    <row r="1166" ht="15.75" hidden="1" customHeight="1">
      <c r="A1166" s="206"/>
      <c r="B1166" s="54" t="s">
        <v>18</v>
      </c>
      <c r="C1166" s="54" t="s">
        <v>309</v>
      </c>
      <c r="D1166" s="55" t="s">
        <v>20</v>
      </c>
      <c r="E1166" s="54"/>
      <c r="F1166" s="56">
        <v>0.0</v>
      </c>
      <c r="G1166" s="57">
        <v>20.0</v>
      </c>
      <c r="H1166" s="57">
        <f t="shared" si="28"/>
        <v>0</v>
      </c>
      <c r="I1166" s="58"/>
      <c r="J1166" s="58"/>
      <c r="K1166" s="54"/>
      <c r="L1166" s="54"/>
      <c r="M1166" s="54"/>
      <c r="N1166" s="54"/>
      <c r="O1166" s="54"/>
      <c r="P1166" s="54"/>
      <c r="Q1166" s="1"/>
      <c r="R1166" s="1"/>
      <c r="S1166" s="1"/>
      <c r="T1166" s="1"/>
      <c r="U1166" s="1"/>
      <c r="V1166" s="1"/>
    </row>
    <row r="1167" ht="15.75" hidden="1" customHeight="1">
      <c r="A1167" s="206"/>
      <c r="B1167" s="54" t="s">
        <v>18</v>
      </c>
      <c r="C1167" s="54" t="s">
        <v>826</v>
      </c>
      <c r="D1167" s="55" t="s">
        <v>20</v>
      </c>
      <c r="E1167" s="208" t="s">
        <v>827</v>
      </c>
      <c r="F1167" s="56">
        <v>0.0</v>
      </c>
      <c r="G1167" s="57">
        <v>71.5</v>
      </c>
      <c r="H1167" s="57">
        <f t="shared" si="28"/>
        <v>0</v>
      </c>
      <c r="I1167" s="58"/>
      <c r="J1167" s="58"/>
      <c r="K1167" s="54"/>
      <c r="L1167" s="54"/>
      <c r="M1167" s="54"/>
      <c r="N1167" s="54"/>
      <c r="O1167" s="54"/>
      <c r="P1167" s="54"/>
      <c r="Q1167" s="1"/>
      <c r="R1167" s="1"/>
      <c r="S1167" s="1"/>
      <c r="T1167" s="1"/>
      <c r="U1167" s="1"/>
      <c r="V1167" s="1"/>
    </row>
    <row r="1168" ht="15.75" hidden="1" customHeight="1">
      <c r="A1168" s="206"/>
      <c r="B1168" s="54" t="s">
        <v>18</v>
      </c>
      <c r="C1168" s="54" t="s">
        <v>828</v>
      </c>
      <c r="D1168" s="55" t="s">
        <v>20</v>
      </c>
      <c r="E1168" s="54" t="s">
        <v>475</v>
      </c>
      <c r="F1168" s="56">
        <v>0.0</v>
      </c>
      <c r="G1168" s="57">
        <v>25.0</v>
      </c>
      <c r="H1168" s="57">
        <f t="shared" si="28"/>
        <v>0</v>
      </c>
      <c r="I1168" s="58"/>
      <c r="J1168" s="58"/>
      <c r="K1168" s="54"/>
      <c r="L1168" s="54"/>
      <c r="M1168" s="54"/>
      <c r="N1168" s="54"/>
      <c r="O1168" s="54"/>
      <c r="P1168" s="54"/>
      <c r="Q1168" s="1"/>
      <c r="R1168" s="1"/>
      <c r="S1168" s="1"/>
      <c r="T1168" s="1"/>
      <c r="U1168" s="1"/>
      <c r="V1168" s="1"/>
    </row>
    <row r="1169" ht="15.75" hidden="1" customHeight="1">
      <c r="A1169" s="206"/>
      <c r="B1169" s="54" t="s">
        <v>18</v>
      </c>
      <c r="C1169" s="54" t="s">
        <v>500</v>
      </c>
      <c r="D1169" s="55" t="s">
        <v>20</v>
      </c>
      <c r="E1169" s="54" t="s">
        <v>829</v>
      </c>
      <c r="F1169" s="56">
        <v>0.0</v>
      </c>
      <c r="G1169" s="57">
        <v>6.0</v>
      </c>
      <c r="H1169" s="57">
        <f t="shared" si="28"/>
        <v>0</v>
      </c>
      <c r="I1169" s="58"/>
      <c r="J1169" s="58"/>
      <c r="K1169" s="54"/>
      <c r="L1169" s="252"/>
      <c r="M1169" s="252"/>
      <c r="N1169" s="252"/>
      <c r="O1169" s="252"/>
      <c r="P1169" s="252"/>
      <c r="Q1169" s="1"/>
      <c r="R1169" s="1"/>
      <c r="S1169" s="1"/>
      <c r="T1169" s="1"/>
      <c r="U1169" s="1"/>
      <c r="V1169" s="1"/>
    </row>
    <row r="1170" ht="15.75" customHeight="1">
      <c r="A1170" s="206"/>
      <c r="B1170" s="54" t="s">
        <v>18</v>
      </c>
      <c r="C1170" s="54" t="s">
        <v>280</v>
      </c>
      <c r="D1170" s="55" t="s">
        <v>20</v>
      </c>
      <c r="E1170" s="15" t="s">
        <v>830</v>
      </c>
      <c r="F1170" s="56">
        <v>1.0</v>
      </c>
      <c r="G1170" s="34">
        <v>20.0</v>
      </c>
      <c r="H1170" s="57">
        <f t="shared" si="28"/>
        <v>20</v>
      </c>
      <c r="I1170" s="58"/>
      <c r="J1170" s="54"/>
      <c r="K1170" s="54"/>
      <c r="L1170" s="271"/>
      <c r="M1170" s="271"/>
      <c r="N1170" s="271"/>
      <c r="O1170" s="271"/>
      <c r="P1170" s="271"/>
      <c r="Q1170" s="1"/>
      <c r="R1170" s="1"/>
      <c r="S1170" s="1"/>
      <c r="T1170" s="1"/>
      <c r="U1170" s="1"/>
      <c r="V1170" s="1"/>
    </row>
    <row r="1171" ht="15.75" customHeight="1">
      <c r="A1171" s="206"/>
      <c r="B1171" s="54" t="s">
        <v>637</v>
      </c>
      <c r="C1171" s="54" t="s">
        <v>988</v>
      </c>
      <c r="D1171" s="314" t="s">
        <v>26</v>
      </c>
      <c r="E1171" s="54"/>
      <c r="F1171" s="56">
        <v>1.0</v>
      </c>
      <c r="G1171" s="57">
        <v>12000.0</v>
      </c>
      <c r="H1171" s="57">
        <f t="shared" si="28"/>
        <v>12000</v>
      </c>
      <c r="I1171" s="58"/>
      <c r="J1171" s="58"/>
      <c r="K1171" s="13"/>
      <c r="L1171" s="271"/>
      <c r="M1171" s="271"/>
      <c r="N1171" s="271"/>
      <c r="O1171" s="271"/>
      <c r="P1171" s="271"/>
      <c r="Q1171" s="1"/>
      <c r="R1171" s="1"/>
      <c r="S1171" s="1"/>
      <c r="T1171" s="1"/>
      <c r="U1171" s="1"/>
      <c r="V1171" s="1"/>
    </row>
    <row r="1172" ht="15.75" customHeight="1">
      <c r="A1172" s="206"/>
      <c r="B1172" s="54" t="s">
        <v>18</v>
      </c>
      <c r="C1172" s="54" t="s">
        <v>847</v>
      </c>
      <c r="D1172" s="55" t="s">
        <v>20</v>
      </c>
      <c r="E1172" s="54"/>
      <c r="F1172" s="56">
        <v>1.0</v>
      </c>
      <c r="G1172" s="57">
        <v>5000.0</v>
      </c>
      <c r="H1172" s="57">
        <f t="shared" si="28"/>
        <v>5000</v>
      </c>
      <c r="I1172" s="58"/>
      <c r="J1172" s="58"/>
      <c r="K1172" s="54"/>
      <c r="L1172" s="271"/>
      <c r="M1172" s="271"/>
      <c r="N1172" s="271"/>
      <c r="O1172" s="271"/>
      <c r="P1172" s="271"/>
      <c r="Q1172" s="1"/>
      <c r="R1172" s="1"/>
      <c r="S1172" s="1"/>
      <c r="T1172" s="1"/>
      <c r="U1172" s="1"/>
      <c r="V1172" s="1"/>
    </row>
    <row r="1173" ht="15.75" hidden="1" customHeight="1">
      <c r="A1173" s="206"/>
      <c r="B1173" s="54"/>
      <c r="C1173" s="13" t="s">
        <v>848</v>
      </c>
      <c r="D1173" s="318" t="s">
        <v>26</v>
      </c>
      <c r="E1173" s="52"/>
      <c r="F1173" s="48">
        <v>0.0</v>
      </c>
      <c r="G1173" s="50">
        <v>11000.0</v>
      </c>
      <c r="H1173" s="50">
        <f t="shared" si="28"/>
        <v>0</v>
      </c>
      <c r="I1173" s="58"/>
      <c r="J1173" s="58"/>
      <c r="K1173" s="54"/>
      <c r="L1173" s="271"/>
      <c r="M1173" s="271"/>
      <c r="N1173" s="271"/>
      <c r="O1173" s="271"/>
      <c r="P1173" s="271"/>
      <c r="Q1173" s="1"/>
      <c r="R1173" s="1"/>
      <c r="S1173" s="1"/>
      <c r="T1173" s="1"/>
      <c r="U1173" s="1"/>
      <c r="V1173" s="1"/>
    </row>
    <row r="1174" ht="15.75" hidden="1" customHeight="1">
      <c r="A1174" s="206"/>
      <c r="B1174" s="54"/>
      <c r="C1174" s="206" t="s">
        <v>849</v>
      </c>
      <c r="D1174" s="55" t="s">
        <v>20</v>
      </c>
      <c r="E1174" s="54"/>
      <c r="F1174" s="56">
        <v>0.0</v>
      </c>
      <c r="G1174" s="57">
        <v>6000.0</v>
      </c>
      <c r="H1174" s="57">
        <f t="shared" si="28"/>
        <v>0</v>
      </c>
      <c r="I1174" s="58"/>
      <c r="J1174" s="58"/>
      <c r="K1174" s="54"/>
      <c r="L1174" s="271"/>
      <c r="M1174" s="271"/>
      <c r="N1174" s="271"/>
      <c r="O1174" s="271"/>
      <c r="P1174" s="271"/>
      <c r="Q1174" s="1"/>
      <c r="R1174" s="1"/>
      <c r="S1174" s="1"/>
      <c r="T1174" s="1"/>
      <c r="U1174" s="1"/>
      <c r="V1174" s="1"/>
    </row>
    <row r="1175" ht="15.75" hidden="1" customHeight="1">
      <c r="A1175" s="206"/>
      <c r="B1175" s="54" t="s">
        <v>18</v>
      </c>
      <c r="C1175" s="54" t="s">
        <v>850</v>
      </c>
      <c r="D1175" s="55" t="s">
        <v>20</v>
      </c>
      <c r="E1175" s="54" t="s">
        <v>851</v>
      </c>
      <c r="F1175" s="56">
        <v>0.0</v>
      </c>
      <c r="G1175" s="57">
        <v>36.49</v>
      </c>
      <c r="H1175" s="57">
        <f t="shared" si="28"/>
        <v>0</v>
      </c>
      <c r="I1175" s="58"/>
      <c r="J1175" s="58"/>
      <c r="K1175" s="54"/>
      <c r="L1175" s="54"/>
      <c r="M1175" s="54"/>
      <c r="N1175" s="54"/>
      <c r="O1175" s="54"/>
      <c r="P1175" s="54"/>
      <c r="Q1175" s="1"/>
      <c r="R1175" s="1"/>
      <c r="S1175" s="1"/>
      <c r="T1175" s="1"/>
      <c r="U1175" s="1"/>
      <c r="V1175" s="1"/>
    </row>
    <row r="1176" ht="15.75" hidden="1" customHeight="1">
      <c r="A1176" s="206"/>
      <c r="B1176" s="54" t="s">
        <v>18</v>
      </c>
      <c r="C1176" s="54" t="s">
        <v>852</v>
      </c>
      <c r="D1176" s="55" t="s">
        <v>20</v>
      </c>
      <c r="E1176" s="54" t="s">
        <v>853</v>
      </c>
      <c r="F1176" s="56">
        <v>0.0</v>
      </c>
      <c r="G1176" s="57">
        <v>55.99</v>
      </c>
      <c r="H1176" s="57">
        <f t="shared" si="28"/>
        <v>0</v>
      </c>
      <c r="I1176" s="58"/>
      <c r="J1176" s="58"/>
      <c r="K1176" s="54"/>
      <c r="L1176" s="252"/>
      <c r="M1176" s="252"/>
      <c r="N1176" s="252"/>
      <c r="O1176" s="252"/>
      <c r="P1176" s="252"/>
      <c r="Q1176" s="1"/>
      <c r="R1176" s="1"/>
      <c r="S1176" s="1"/>
      <c r="T1176" s="1"/>
      <c r="U1176" s="1"/>
      <c r="V1176" s="1"/>
    </row>
    <row r="1177" ht="15.75" hidden="1" customHeight="1">
      <c r="A1177" s="206"/>
      <c r="B1177" s="54" t="s">
        <v>18</v>
      </c>
      <c r="C1177" s="54" t="s">
        <v>854</v>
      </c>
      <c r="D1177" s="55" t="s">
        <v>20</v>
      </c>
      <c r="E1177" s="54" t="s">
        <v>855</v>
      </c>
      <c r="F1177" s="56">
        <v>0.0</v>
      </c>
      <c r="G1177" s="57">
        <v>98.16</v>
      </c>
      <c r="H1177" s="57">
        <f t="shared" si="28"/>
        <v>0</v>
      </c>
      <c r="I1177" s="58"/>
      <c r="J1177" s="58"/>
      <c r="K1177" s="54"/>
      <c r="L1177" s="252"/>
      <c r="M1177" s="252"/>
      <c r="N1177" s="252"/>
      <c r="O1177" s="252"/>
      <c r="P1177" s="252"/>
      <c r="Q1177" s="1"/>
      <c r="R1177" s="1"/>
      <c r="S1177" s="1"/>
      <c r="T1177" s="1"/>
      <c r="U1177" s="1"/>
      <c r="V1177" s="1"/>
    </row>
    <row r="1178" ht="15.75" hidden="1" customHeight="1">
      <c r="A1178" s="206"/>
      <c r="B1178" s="54" t="s">
        <v>18</v>
      </c>
      <c r="C1178" s="54" t="s">
        <v>856</v>
      </c>
      <c r="D1178" s="55" t="s">
        <v>20</v>
      </c>
      <c r="E1178" s="54" t="s">
        <v>857</v>
      </c>
      <c r="F1178" s="56">
        <v>0.0</v>
      </c>
      <c r="G1178" s="57">
        <v>36.99</v>
      </c>
      <c r="H1178" s="57">
        <f t="shared" si="28"/>
        <v>0</v>
      </c>
      <c r="I1178" s="58"/>
      <c r="J1178" s="58"/>
      <c r="K1178" s="54"/>
      <c r="L1178" s="252"/>
      <c r="M1178" s="252"/>
      <c r="N1178" s="252"/>
      <c r="O1178" s="252"/>
      <c r="P1178" s="252"/>
      <c r="Q1178" s="1"/>
      <c r="R1178" s="1"/>
      <c r="S1178" s="1"/>
      <c r="T1178" s="1"/>
      <c r="U1178" s="1"/>
      <c r="V1178" s="1"/>
    </row>
    <row r="1179" ht="15.75" hidden="1" customHeight="1">
      <c r="A1179" s="206"/>
      <c r="B1179" s="54" t="s">
        <v>574</v>
      </c>
      <c r="C1179" s="54" t="s">
        <v>736</v>
      </c>
      <c r="D1179" s="55" t="s">
        <v>20</v>
      </c>
      <c r="E1179" s="54"/>
      <c r="F1179" s="56">
        <v>0.0</v>
      </c>
      <c r="G1179" s="57">
        <v>0.0</v>
      </c>
      <c r="H1179" s="57">
        <f t="shared" si="28"/>
        <v>0</v>
      </c>
      <c r="I1179" s="58"/>
      <c r="J1179" s="58"/>
      <c r="K1179" s="54"/>
      <c r="L1179" s="252"/>
      <c r="M1179" s="252"/>
      <c r="N1179" s="252"/>
      <c r="O1179" s="252"/>
      <c r="P1179" s="252"/>
      <c r="Q1179" s="1"/>
      <c r="R1179" s="1"/>
      <c r="S1179" s="1"/>
      <c r="T1179" s="1"/>
      <c r="U1179" s="1"/>
      <c r="V1179" s="1"/>
    </row>
    <row r="1180" ht="15.75" hidden="1" customHeight="1">
      <c r="A1180" s="206"/>
      <c r="B1180" s="54"/>
      <c r="C1180" s="54" t="s">
        <v>858</v>
      </c>
      <c r="D1180" s="55" t="s">
        <v>20</v>
      </c>
      <c r="E1180" s="54"/>
      <c r="F1180" s="56">
        <v>0.0</v>
      </c>
      <c r="G1180" s="57">
        <v>1000.0</v>
      </c>
      <c r="H1180" s="57">
        <f t="shared" si="28"/>
        <v>0</v>
      </c>
      <c r="I1180" s="58"/>
      <c r="J1180" s="58"/>
      <c r="K1180" s="54"/>
      <c r="L1180" s="252"/>
      <c r="M1180" s="252"/>
      <c r="N1180" s="252"/>
      <c r="O1180" s="252"/>
      <c r="P1180" s="252"/>
      <c r="Q1180" s="1"/>
      <c r="R1180" s="1"/>
      <c r="S1180" s="1"/>
      <c r="T1180" s="1"/>
      <c r="U1180" s="1"/>
      <c r="V1180" s="1"/>
    </row>
    <row r="1181" ht="15.75" hidden="1" customHeight="1">
      <c r="A1181" s="206"/>
      <c r="B1181" s="54" t="s">
        <v>18</v>
      </c>
      <c r="C1181" s="54" t="s">
        <v>781</v>
      </c>
      <c r="D1181" s="55" t="s">
        <v>20</v>
      </c>
      <c r="E1181" s="54" t="s">
        <v>859</v>
      </c>
      <c r="F1181" s="56">
        <v>0.0</v>
      </c>
      <c r="G1181" s="57">
        <v>240.0</v>
      </c>
      <c r="H1181" s="57">
        <f t="shared" si="28"/>
        <v>0</v>
      </c>
      <c r="I1181" s="58"/>
      <c r="J1181" s="58"/>
      <c r="K1181" s="54"/>
      <c r="L1181" s="252"/>
      <c r="M1181" s="252"/>
      <c r="N1181" s="252"/>
      <c r="O1181" s="252"/>
      <c r="P1181" s="252"/>
      <c r="Q1181" s="1"/>
      <c r="R1181" s="1"/>
      <c r="S1181" s="1"/>
      <c r="T1181" s="1"/>
      <c r="U1181" s="1"/>
      <c r="V1181" s="1"/>
    </row>
    <row r="1182" ht="15.75" hidden="1" customHeight="1">
      <c r="A1182" s="206"/>
      <c r="B1182" s="54" t="s">
        <v>18</v>
      </c>
      <c r="C1182" s="54" t="s">
        <v>860</v>
      </c>
      <c r="D1182" s="55" t="s">
        <v>20</v>
      </c>
      <c r="E1182" s="54" t="s">
        <v>861</v>
      </c>
      <c r="F1182" s="56">
        <v>0.0</v>
      </c>
      <c r="G1182" s="57">
        <v>59.39</v>
      </c>
      <c r="H1182" s="57">
        <f t="shared" si="28"/>
        <v>0</v>
      </c>
      <c r="I1182" s="58"/>
      <c r="J1182" s="58"/>
      <c r="K1182" s="54"/>
      <c r="L1182" s="252"/>
      <c r="M1182" s="252"/>
      <c r="N1182" s="252"/>
      <c r="O1182" s="252"/>
      <c r="P1182" s="252"/>
      <c r="Q1182" s="1"/>
      <c r="R1182" s="1"/>
      <c r="S1182" s="1"/>
      <c r="T1182" s="1"/>
      <c r="U1182" s="1"/>
      <c r="V1182" s="1"/>
    </row>
    <row r="1183" ht="15.75" hidden="1" customHeight="1">
      <c r="A1183" s="206"/>
      <c r="B1183" s="54" t="s">
        <v>18</v>
      </c>
      <c r="C1183" s="54" t="s">
        <v>862</v>
      </c>
      <c r="D1183" s="55" t="s">
        <v>20</v>
      </c>
      <c r="E1183" s="54" t="s">
        <v>863</v>
      </c>
      <c r="F1183" s="56">
        <v>0.0</v>
      </c>
      <c r="G1183" s="57">
        <v>19.99</v>
      </c>
      <c r="H1183" s="57">
        <f t="shared" si="28"/>
        <v>0</v>
      </c>
      <c r="I1183" s="58"/>
      <c r="J1183" s="58"/>
      <c r="K1183" s="54"/>
      <c r="L1183" s="54"/>
      <c r="M1183" s="54"/>
      <c r="N1183" s="54"/>
      <c r="O1183" s="54"/>
      <c r="P1183" s="54"/>
      <c r="Q1183" s="1"/>
      <c r="R1183" s="1"/>
      <c r="S1183" s="1"/>
      <c r="T1183" s="1"/>
      <c r="U1183" s="1"/>
      <c r="V1183" s="1"/>
    </row>
    <row r="1184" ht="15.75" hidden="1" customHeight="1">
      <c r="A1184" s="206"/>
      <c r="B1184" s="54"/>
      <c r="C1184" s="54" t="s">
        <v>864</v>
      </c>
      <c r="D1184" s="216" t="s">
        <v>24</v>
      </c>
      <c r="E1184" s="54"/>
      <c r="F1184" s="56">
        <v>0.0</v>
      </c>
      <c r="G1184" s="57">
        <v>1500.0</v>
      </c>
      <c r="H1184" s="57">
        <f t="shared" si="28"/>
        <v>0</v>
      </c>
      <c r="I1184" s="58"/>
      <c r="J1184" s="58"/>
      <c r="K1184" s="54"/>
      <c r="L1184" s="54"/>
      <c r="M1184" s="54"/>
      <c r="N1184" s="54"/>
      <c r="O1184" s="54"/>
      <c r="P1184" s="54"/>
      <c r="Q1184" s="1"/>
      <c r="R1184" s="1"/>
      <c r="S1184" s="1"/>
      <c r="T1184" s="1"/>
      <c r="U1184" s="1"/>
      <c r="V1184" s="1"/>
    </row>
    <row r="1185" ht="15.75" hidden="1" customHeight="1">
      <c r="A1185" s="206"/>
      <c r="B1185" s="54"/>
      <c r="C1185" s="54" t="s">
        <v>865</v>
      </c>
      <c r="D1185" s="55" t="s">
        <v>20</v>
      </c>
      <c r="E1185" s="54"/>
      <c r="F1185" s="56">
        <v>0.0</v>
      </c>
      <c r="G1185" s="57">
        <v>0.0</v>
      </c>
      <c r="H1185" s="57">
        <v>0.0</v>
      </c>
      <c r="I1185" s="58"/>
      <c r="J1185" s="58"/>
      <c r="K1185" s="54"/>
      <c r="L1185" s="54"/>
      <c r="M1185" s="54"/>
      <c r="N1185" s="54"/>
      <c r="O1185" s="54"/>
      <c r="P1185" s="54"/>
      <c r="Q1185" s="1"/>
      <c r="R1185" s="1"/>
      <c r="S1185" s="1"/>
      <c r="T1185" s="1"/>
      <c r="U1185" s="1"/>
      <c r="V1185" s="1"/>
    </row>
    <row r="1186" ht="15.75" hidden="1" customHeight="1">
      <c r="A1186" s="206"/>
      <c r="B1186" s="54"/>
      <c r="C1186" s="54" t="s">
        <v>866</v>
      </c>
      <c r="D1186" s="216" t="s">
        <v>24</v>
      </c>
      <c r="E1186" s="54"/>
      <c r="F1186" s="56">
        <v>0.0</v>
      </c>
      <c r="G1186" s="57">
        <v>0.0</v>
      </c>
      <c r="H1186" s="57">
        <v>0.0</v>
      </c>
      <c r="I1186" s="58"/>
      <c r="J1186" s="58"/>
      <c r="K1186" s="54"/>
      <c r="L1186" s="54"/>
      <c r="M1186" s="54"/>
      <c r="N1186" s="54"/>
      <c r="O1186" s="54"/>
      <c r="P1186" s="54"/>
      <c r="Q1186" s="1"/>
      <c r="R1186" s="1"/>
      <c r="S1186" s="1"/>
      <c r="T1186" s="1"/>
      <c r="U1186" s="1"/>
      <c r="V1186" s="1"/>
    </row>
    <row r="1187" ht="15.75" hidden="1" customHeight="1">
      <c r="A1187" s="206"/>
      <c r="B1187" s="54"/>
      <c r="C1187" s="54" t="s">
        <v>867</v>
      </c>
      <c r="D1187" s="216" t="s">
        <v>24</v>
      </c>
      <c r="E1187" s="54"/>
      <c r="F1187" s="56">
        <v>0.0</v>
      </c>
      <c r="G1187" s="57">
        <v>0.0</v>
      </c>
      <c r="H1187" s="57">
        <v>0.0</v>
      </c>
      <c r="I1187" s="58"/>
      <c r="J1187" s="58"/>
      <c r="K1187" s="54"/>
      <c r="L1187" s="271"/>
      <c r="M1187" s="271"/>
      <c r="N1187" s="271"/>
      <c r="O1187" s="271"/>
      <c r="P1187" s="271"/>
      <c r="Q1187" s="1"/>
      <c r="R1187" s="1"/>
      <c r="S1187" s="1"/>
      <c r="T1187" s="1"/>
      <c r="U1187" s="1"/>
      <c r="V1187" s="1"/>
    </row>
    <row r="1188" ht="15.75" hidden="1" customHeight="1">
      <c r="A1188" s="206"/>
      <c r="B1188" s="54"/>
      <c r="C1188" s="54" t="s">
        <v>868</v>
      </c>
      <c r="D1188" s="55" t="s">
        <v>20</v>
      </c>
      <c r="E1188" s="54"/>
      <c r="F1188" s="56">
        <v>0.0</v>
      </c>
      <c r="G1188" s="57">
        <v>0.0</v>
      </c>
      <c r="H1188" s="57">
        <v>0.0</v>
      </c>
      <c r="I1188" s="58"/>
      <c r="J1188" s="58"/>
      <c r="K1188" s="54"/>
      <c r="L1188" s="252"/>
      <c r="M1188" s="252"/>
      <c r="N1188" s="252"/>
      <c r="O1188" s="252"/>
      <c r="P1188" s="252"/>
      <c r="Q1188" s="1"/>
      <c r="R1188" s="1"/>
      <c r="S1188" s="1"/>
      <c r="T1188" s="1"/>
      <c r="U1188" s="1"/>
      <c r="V1188" s="1"/>
    </row>
    <row r="1189" ht="15.75" hidden="1" customHeight="1">
      <c r="A1189" s="206"/>
      <c r="B1189" s="54" t="s">
        <v>18</v>
      </c>
      <c r="C1189" s="13" t="s">
        <v>869</v>
      </c>
      <c r="D1189" s="46" t="s">
        <v>20</v>
      </c>
      <c r="E1189" s="207" t="s">
        <v>870</v>
      </c>
      <c r="F1189" s="48">
        <v>0.0</v>
      </c>
      <c r="G1189" s="50">
        <v>51.0</v>
      </c>
      <c r="H1189" s="50">
        <f>SUM(F1189*G1189)</f>
        <v>0</v>
      </c>
      <c r="I1189" s="58"/>
      <c r="J1189" s="58"/>
      <c r="K1189" s="54"/>
      <c r="L1189" s="252"/>
      <c r="M1189" s="252"/>
      <c r="N1189" s="252"/>
      <c r="O1189" s="252"/>
      <c r="P1189" s="252"/>
      <c r="Q1189" s="1"/>
      <c r="R1189" s="1"/>
      <c r="S1189" s="1"/>
      <c r="T1189" s="1"/>
      <c r="U1189" s="1"/>
      <c r="V1189" s="1"/>
    </row>
    <row r="1190" ht="32.25" customHeight="1">
      <c r="A1190" s="83"/>
      <c r="B1190" s="309" t="s">
        <v>871</v>
      </c>
      <c r="C1190" s="255">
        <f>SUM(H1191:H1272)</f>
        <v>23548.5</v>
      </c>
      <c r="D1190" s="256"/>
      <c r="E1190" s="256"/>
      <c r="F1190" s="256"/>
      <c r="G1190" s="257"/>
      <c r="H1190" s="257"/>
      <c r="I1190" s="257"/>
      <c r="J1190" s="257"/>
      <c r="K1190" s="256"/>
      <c r="L1190" s="256"/>
      <c r="M1190" s="256"/>
      <c r="N1190" s="256"/>
      <c r="O1190" s="256"/>
      <c r="P1190" s="256"/>
      <c r="Q1190" s="1"/>
      <c r="R1190" s="1"/>
      <c r="S1190" s="1"/>
      <c r="T1190" s="1"/>
      <c r="U1190" s="1"/>
      <c r="V1190" s="1"/>
    </row>
    <row r="1191" ht="15.75" hidden="1" customHeight="1">
      <c r="A1191" s="206"/>
      <c r="B1191" s="54" t="s">
        <v>320</v>
      </c>
      <c r="C1191" s="54" t="s">
        <v>729</v>
      </c>
      <c r="D1191" s="198" t="s">
        <v>22</v>
      </c>
      <c r="E1191" s="54"/>
      <c r="F1191" s="56">
        <v>0.0</v>
      </c>
      <c r="G1191" s="57">
        <v>50.0</v>
      </c>
      <c r="H1191" s="57">
        <f t="shared" ref="H1191:H1268" si="29">SUM(F1191*G1191)</f>
        <v>0</v>
      </c>
      <c r="I1191" s="58"/>
      <c r="J1191" s="58"/>
      <c r="K1191" s="54"/>
      <c r="L1191" s="54"/>
      <c r="M1191" s="54"/>
      <c r="N1191" s="54"/>
      <c r="O1191" s="54"/>
      <c r="P1191" s="54"/>
      <c r="Q1191" s="1"/>
      <c r="R1191" s="1"/>
      <c r="S1191" s="1"/>
      <c r="T1191" s="1"/>
      <c r="U1191" s="1"/>
      <c r="V1191" s="1"/>
    </row>
    <row r="1192" ht="15.75" customHeight="1">
      <c r="A1192" s="206"/>
      <c r="B1192" s="258" t="s">
        <v>18</v>
      </c>
      <c r="C1192" s="258" t="s">
        <v>872</v>
      </c>
      <c r="D1192" s="198" t="s">
        <v>22</v>
      </c>
      <c r="E1192" s="157" t="s">
        <v>873</v>
      </c>
      <c r="F1192" s="158">
        <v>1.0</v>
      </c>
      <c r="G1192" s="159">
        <v>252.0</v>
      </c>
      <c r="H1192" s="57">
        <f t="shared" si="29"/>
        <v>252</v>
      </c>
      <c r="I1192" s="58"/>
      <c r="J1192" s="58"/>
      <c r="K1192" s="54"/>
      <c r="L1192" s="54"/>
      <c r="M1192" s="54"/>
      <c r="N1192" s="54"/>
      <c r="O1192" s="54"/>
      <c r="P1192" s="54"/>
      <c r="Q1192" s="1"/>
      <c r="R1192" s="1"/>
      <c r="S1192" s="1"/>
      <c r="T1192" s="1"/>
      <c r="U1192" s="1"/>
      <c r="V1192" s="1"/>
    </row>
    <row r="1193" ht="15.75" customHeight="1">
      <c r="A1193" s="206"/>
      <c r="B1193" s="258" t="s">
        <v>228</v>
      </c>
      <c r="C1193" s="258" t="s">
        <v>875</v>
      </c>
      <c r="D1193" s="198" t="s">
        <v>22</v>
      </c>
      <c r="E1193" s="160"/>
      <c r="F1193" s="158">
        <v>1.0</v>
      </c>
      <c r="G1193" s="159">
        <v>50.0</v>
      </c>
      <c r="H1193" s="57">
        <f t="shared" si="29"/>
        <v>50</v>
      </c>
      <c r="I1193" s="58"/>
      <c r="J1193" s="58"/>
      <c r="K1193" s="54"/>
      <c r="L1193" s="54"/>
      <c r="M1193" s="54"/>
      <c r="N1193" s="54"/>
      <c r="O1193" s="54"/>
      <c r="P1193" s="54"/>
      <c r="Q1193" s="1"/>
      <c r="R1193" s="1"/>
      <c r="S1193" s="1"/>
      <c r="T1193" s="1"/>
      <c r="U1193" s="1"/>
      <c r="V1193" s="1"/>
    </row>
    <row r="1194" ht="15.75" hidden="1" customHeight="1">
      <c r="A1194" s="206"/>
      <c r="B1194" s="54" t="s">
        <v>876</v>
      </c>
      <c r="C1194" s="54" t="s">
        <v>877</v>
      </c>
      <c r="D1194" s="198" t="s">
        <v>22</v>
      </c>
      <c r="E1194" s="201" t="s">
        <v>878</v>
      </c>
      <c r="F1194" s="56">
        <v>0.0</v>
      </c>
      <c r="G1194" s="57">
        <v>50.0</v>
      </c>
      <c r="H1194" s="57">
        <f t="shared" si="29"/>
        <v>0</v>
      </c>
      <c r="I1194" s="57"/>
      <c r="J1194" s="58"/>
      <c r="K1194" s="54"/>
      <c r="L1194" s="54"/>
      <c r="M1194" s="54"/>
      <c r="N1194" s="54"/>
      <c r="O1194" s="54"/>
      <c r="P1194" s="54"/>
      <c r="Q1194" s="1"/>
      <c r="R1194" s="1"/>
      <c r="S1194" s="1"/>
      <c r="T1194" s="1"/>
      <c r="U1194" s="1"/>
      <c r="V1194" s="1"/>
    </row>
    <row r="1195" ht="15.75" customHeight="1">
      <c r="A1195" s="206"/>
      <c r="B1195" s="416" t="s">
        <v>234</v>
      </c>
      <c r="C1195" s="416" t="s">
        <v>879</v>
      </c>
      <c r="D1195" s="394" t="s">
        <v>22</v>
      </c>
      <c r="E1195" s="416" t="s">
        <v>989</v>
      </c>
      <c r="F1195" s="418">
        <v>3.0</v>
      </c>
      <c r="G1195" s="397">
        <v>164.7</v>
      </c>
      <c r="H1195" s="396">
        <f t="shared" si="29"/>
        <v>494.1</v>
      </c>
      <c r="I1195" s="57"/>
      <c r="J1195" s="58"/>
      <c r="K1195" s="54"/>
      <c r="L1195" s="54"/>
      <c r="M1195" s="54"/>
      <c r="N1195" s="54"/>
      <c r="O1195" s="54"/>
      <c r="P1195" s="54"/>
      <c r="Q1195" s="1"/>
      <c r="R1195" s="1"/>
      <c r="S1195" s="1"/>
      <c r="T1195" s="1"/>
      <c r="U1195" s="1"/>
      <c r="V1195" s="1"/>
    </row>
    <row r="1196" ht="15.75" hidden="1" customHeight="1">
      <c r="A1196" s="206"/>
      <c r="B1196" s="54" t="s">
        <v>18</v>
      </c>
      <c r="C1196" s="54" t="s">
        <v>736</v>
      </c>
      <c r="D1196" s="198" t="s">
        <v>22</v>
      </c>
      <c r="E1196" s="205" t="s">
        <v>737</v>
      </c>
      <c r="F1196" s="158">
        <v>0.0</v>
      </c>
      <c r="G1196" s="57">
        <v>70.0</v>
      </c>
      <c r="H1196" s="57">
        <f t="shared" si="29"/>
        <v>0</v>
      </c>
      <c r="I1196" s="57"/>
      <c r="J1196" s="58"/>
      <c r="K1196" s="54"/>
      <c r="L1196" s="54"/>
      <c r="M1196" s="54"/>
      <c r="N1196" s="54"/>
      <c r="O1196" s="54"/>
      <c r="P1196" s="54"/>
      <c r="Q1196" s="1"/>
      <c r="R1196" s="1"/>
      <c r="S1196" s="1"/>
      <c r="T1196" s="1"/>
      <c r="U1196" s="1"/>
      <c r="V1196" s="1"/>
    </row>
    <row r="1197" ht="15.75" hidden="1" customHeight="1">
      <c r="A1197" s="206"/>
      <c r="B1197" s="13" t="s">
        <v>18</v>
      </c>
      <c r="C1197" s="52" t="s">
        <v>738</v>
      </c>
      <c r="D1197" s="150" t="s">
        <v>22</v>
      </c>
      <c r="E1197" s="310" t="s">
        <v>739</v>
      </c>
      <c r="F1197" s="215">
        <v>0.0</v>
      </c>
      <c r="G1197" s="50">
        <v>130.0</v>
      </c>
      <c r="H1197" s="57">
        <f t="shared" si="29"/>
        <v>0</v>
      </c>
      <c r="I1197" s="57"/>
      <c r="J1197" s="58"/>
      <c r="K1197" s="54"/>
      <c r="L1197" s="54"/>
      <c r="M1197" s="54"/>
      <c r="N1197" s="54"/>
      <c r="O1197" s="54"/>
      <c r="P1197" s="54"/>
      <c r="Q1197" s="1"/>
      <c r="R1197" s="1"/>
      <c r="S1197" s="1"/>
      <c r="T1197" s="1"/>
      <c r="U1197" s="1"/>
      <c r="V1197" s="1"/>
    </row>
    <row r="1198" ht="15.75" customHeight="1">
      <c r="A1198" s="206"/>
      <c r="B1198" s="206" t="s">
        <v>18</v>
      </c>
      <c r="C1198" s="258" t="s">
        <v>542</v>
      </c>
      <c r="D1198" s="150" t="s">
        <v>22</v>
      </c>
      <c r="E1198" s="260" t="s">
        <v>543</v>
      </c>
      <c r="F1198" s="48">
        <v>1.0</v>
      </c>
      <c r="G1198" s="49">
        <v>156.0</v>
      </c>
      <c r="H1198" s="50">
        <f t="shared" si="29"/>
        <v>156</v>
      </c>
      <c r="I1198" s="57"/>
      <c r="J1198" s="58"/>
      <c r="K1198" s="54"/>
      <c r="L1198" s="54"/>
      <c r="M1198" s="54"/>
      <c r="N1198" s="54"/>
      <c r="O1198" s="54"/>
      <c r="P1198" s="54"/>
      <c r="Q1198" s="1"/>
      <c r="R1198" s="1"/>
      <c r="S1198" s="1"/>
      <c r="T1198" s="1"/>
      <c r="U1198" s="1"/>
      <c r="V1198" s="1"/>
    </row>
    <row r="1199" ht="15.75" customHeight="1">
      <c r="A1199" s="206"/>
      <c r="B1199" s="156" t="s">
        <v>88</v>
      </c>
      <c r="C1199" s="258" t="s">
        <v>546</v>
      </c>
      <c r="D1199" s="198" t="s">
        <v>22</v>
      </c>
      <c r="E1199" s="261" t="s">
        <v>547</v>
      </c>
      <c r="F1199" s="56">
        <v>1.0</v>
      </c>
      <c r="G1199" s="159">
        <v>258.0</v>
      </c>
      <c r="H1199" s="57">
        <f t="shared" si="29"/>
        <v>258</v>
      </c>
      <c r="I1199" s="57"/>
      <c r="J1199" s="58"/>
      <c r="K1199" s="54"/>
      <c r="L1199" s="54"/>
      <c r="M1199" s="54"/>
      <c r="N1199" s="54"/>
      <c r="O1199" s="54"/>
      <c r="P1199" s="54"/>
      <c r="Q1199" s="1"/>
      <c r="R1199" s="1"/>
      <c r="S1199" s="1"/>
      <c r="T1199" s="1"/>
      <c r="U1199" s="1"/>
      <c r="V1199" s="1"/>
    </row>
    <row r="1200" ht="15.75" customHeight="1">
      <c r="A1200" s="206"/>
      <c r="B1200" s="206" t="s">
        <v>18</v>
      </c>
      <c r="C1200" s="54" t="s">
        <v>742</v>
      </c>
      <c r="D1200" s="198" t="s">
        <v>22</v>
      </c>
      <c r="E1200" s="155" t="s">
        <v>636</v>
      </c>
      <c r="F1200" s="158">
        <v>1.0</v>
      </c>
      <c r="G1200" s="57">
        <v>16.0</v>
      </c>
      <c r="H1200" s="57">
        <f t="shared" si="29"/>
        <v>16</v>
      </c>
      <c r="I1200" s="57"/>
      <c r="J1200" s="58"/>
      <c r="K1200" s="54"/>
      <c r="L1200" s="54"/>
      <c r="M1200" s="54"/>
      <c r="N1200" s="54"/>
      <c r="O1200" s="54"/>
      <c r="P1200" s="54"/>
      <c r="Q1200" s="1"/>
      <c r="R1200" s="1"/>
      <c r="S1200" s="1"/>
      <c r="T1200" s="1"/>
      <c r="U1200" s="1"/>
      <c r="V1200" s="1"/>
    </row>
    <row r="1201" ht="15.75" hidden="1" customHeight="1">
      <c r="A1201" s="206"/>
      <c r="B1201" s="54" t="s">
        <v>18</v>
      </c>
      <c r="C1201" s="54" t="s">
        <v>881</v>
      </c>
      <c r="D1201" s="198" t="s">
        <v>22</v>
      </c>
      <c r="E1201" s="291" t="s">
        <v>882</v>
      </c>
      <c r="F1201" s="158">
        <v>0.0</v>
      </c>
      <c r="G1201" s="57">
        <v>14.0</v>
      </c>
      <c r="H1201" s="57">
        <f t="shared" si="29"/>
        <v>0</v>
      </c>
      <c r="I1201" s="57"/>
      <c r="J1201" s="58"/>
      <c r="K1201" s="54"/>
      <c r="L1201" s="54"/>
      <c r="M1201" s="54"/>
      <c r="N1201" s="54"/>
      <c r="O1201" s="54"/>
      <c r="P1201" s="54"/>
      <c r="Q1201" s="1"/>
      <c r="R1201" s="1"/>
      <c r="S1201" s="1"/>
      <c r="T1201" s="1"/>
      <c r="U1201" s="1"/>
      <c r="V1201" s="1"/>
    </row>
    <row r="1202" ht="15.75" hidden="1" customHeight="1">
      <c r="A1202" s="206"/>
      <c r="B1202" s="54" t="s">
        <v>539</v>
      </c>
      <c r="C1202" s="54" t="s">
        <v>749</v>
      </c>
      <c r="D1202" s="198" t="s">
        <v>22</v>
      </c>
      <c r="E1202" s="208" t="s">
        <v>778</v>
      </c>
      <c r="F1202" s="158">
        <v>0.0</v>
      </c>
      <c r="G1202" s="57">
        <v>0.0</v>
      </c>
      <c r="H1202" s="57">
        <f t="shared" si="29"/>
        <v>0</v>
      </c>
      <c r="I1202" s="57"/>
      <c r="J1202" s="58"/>
      <c r="K1202" s="54"/>
      <c r="L1202" s="54"/>
      <c r="M1202" s="54"/>
      <c r="N1202" s="54"/>
      <c r="O1202" s="54"/>
      <c r="P1202" s="54"/>
      <c r="Q1202" s="1"/>
      <c r="R1202" s="1"/>
      <c r="S1202" s="1"/>
      <c r="T1202" s="1"/>
      <c r="U1202" s="1"/>
      <c r="V1202" s="1"/>
    </row>
    <row r="1203" ht="15.75" hidden="1" customHeight="1">
      <c r="A1203" s="206"/>
      <c r="B1203" s="54" t="s">
        <v>751</v>
      </c>
      <c r="C1203" s="54" t="s">
        <v>752</v>
      </c>
      <c r="D1203" s="198" t="s">
        <v>22</v>
      </c>
      <c r="E1203" s="291" t="s">
        <v>753</v>
      </c>
      <c r="F1203" s="158">
        <v>0.0</v>
      </c>
      <c r="G1203" s="57">
        <v>750.0</v>
      </c>
      <c r="H1203" s="57">
        <f t="shared" si="29"/>
        <v>0</v>
      </c>
      <c r="I1203" s="57"/>
      <c r="J1203" s="58"/>
      <c r="K1203" s="54"/>
      <c r="L1203" s="54"/>
      <c r="M1203" s="54"/>
      <c r="N1203" s="54"/>
      <c r="O1203" s="54"/>
      <c r="P1203" s="54"/>
      <c r="Q1203" s="1"/>
      <c r="R1203" s="1"/>
      <c r="S1203" s="1"/>
      <c r="T1203" s="1"/>
      <c r="U1203" s="1"/>
      <c r="V1203" s="1"/>
    </row>
    <row r="1204" ht="15.75" customHeight="1">
      <c r="A1204" s="206"/>
      <c r="B1204" s="54"/>
      <c r="C1204" s="54" t="s">
        <v>258</v>
      </c>
      <c r="D1204" s="198" t="s">
        <v>22</v>
      </c>
      <c r="E1204" s="208"/>
      <c r="F1204" s="56">
        <v>1.0</v>
      </c>
      <c r="G1204" s="159">
        <v>500.0</v>
      </c>
      <c r="H1204" s="57">
        <f t="shared" si="29"/>
        <v>500</v>
      </c>
      <c r="I1204" s="57"/>
      <c r="J1204" s="58"/>
      <c r="K1204" s="54"/>
      <c r="L1204" s="54"/>
      <c r="M1204" s="54"/>
      <c r="N1204" s="54"/>
      <c r="O1204" s="54"/>
      <c r="P1204" s="54"/>
      <c r="Q1204" s="1"/>
      <c r="R1204" s="1"/>
      <c r="S1204" s="1"/>
      <c r="T1204" s="1"/>
      <c r="U1204" s="1"/>
      <c r="V1204" s="1"/>
    </row>
    <row r="1205" ht="15.75" hidden="1" customHeight="1">
      <c r="A1205" s="206"/>
      <c r="B1205" s="54" t="s">
        <v>754</v>
      </c>
      <c r="C1205" s="54" t="s">
        <v>542</v>
      </c>
      <c r="D1205" s="198" t="s">
        <v>22</v>
      </c>
      <c r="E1205" s="201" t="s">
        <v>755</v>
      </c>
      <c r="F1205" s="56">
        <v>0.0</v>
      </c>
      <c r="G1205" s="57">
        <v>700.0</v>
      </c>
      <c r="H1205" s="57">
        <f t="shared" si="29"/>
        <v>0</v>
      </c>
      <c r="I1205" s="57"/>
      <c r="J1205" s="58"/>
      <c r="K1205" s="54"/>
      <c r="L1205" s="54"/>
      <c r="M1205" s="54"/>
      <c r="N1205" s="54"/>
      <c r="O1205" s="54"/>
      <c r="P1205" s="54"/>
      <c r="Q1205" s="1"/>
      <c r="R1205" s="1"/>
      <c r="S1205" s="1"/>
      <c r="T1205" s="1"/>
      <c r="U1205" s="1"/>
      <c r="V1205" s="1"/>
    </row>
    <row r="1206" ht="15.75" customHeight="1">
      <c r="A1206" s="206"/>
      <c r="B1206" s="54" t="s">
        <v>18</v>
      </c>
      <c r="C1206" s="258" t="s">
        <v>896</v>
      </c>
      <c r="D1206" s="198" t="s">
        <v>22</v>
      </c>
      <c r="E1206" s="157" t="s">
        <v>897</v>
      </c>
      <c r="F1206" s="158">
        <v>1.0</v>
      </c>
      <c r="G1206" s="159">
        <v>1228.8</v>
      </c>
      <c r="H1206" s="57">
        <f t="shared" si="29"/>
        <v>1228.8</v>
      </c>
      <c r="I1206" s="57"/>
      <c r="J1206" s="58"/>
      <c r="K1206" s="54"/>
      <c r="L1206" s="54"/>
      <c r="M1206" s="54"/>
      <c r="N1206" s="54"/>
      <c r="O1206" s="54"/>
      <c r="P1206" s="54"/>
      <c r="Q1206" s="1"/>
      <c r="R1206" s="1"/>
      <c r="S1206" s="1"/>
      <c r="T1206" s="1"/>
      <c r="U1206" s="1"/>
      <c r="V1206" s="1"/>
    </row>
    <row r="1207" ht="15.75" customHeight="1">
      <c r="A1207" s="206"/>
      <c r="B1207" s="416" t="s">
        <v>18</v>
      </c>
      <c r="C1207" s="416" t="s">
        <v>758</v>
      </c>
      <c r="D1207" s="394" t="s">
        <v>22</v>
      </c>
      <c r="E1207" s="419" t="s">
        <v>759</v>
      </c>
      <c r="F1207" s="418">
        <v>1.0</v>
      </c>
      <c r="G1207" s="397">
        <v>630.0</v>
      </c>
      <c r="H1207" s="396">
        <f t="shared" si="29"/>
        <v>630</v>
      </c>
      <c r="I1207" s="57"/>
      <c r="J1207" s="58"/>
      <c r="K1207" s="54"/>
      <c r="L1207" s="54"/>
      <c r="M1207" s="54"/>
      <c r="N1207" s="54"/>
      <c r="O1207" s="54"/>
      <c r="P1207" s="54"/>
      <c r="Q1207" s="1"/>
      <c r="R1207" s="1"/>
      <c r="S1207" s="1"/>
      <c r="T1207" s="1"/>
      <c r="U1207" s="1"/>
      <c r="V1207" s="1"/>
    </row>
    <row r="1208" ht="15.75" customHeight="1">
      <c r="A1208" s="206"/>
      <c r="B1208" s="416"/>
      <c r="C1208" s="416" t="s">
        <v>760</v>
      </c>
      <c r="D1208" s="394" t="s">
        <v>22</v>
      </c>
      <c r="E1208" s="417"/>
      <c r="F1208" s="418">
        <v>1.0</v>
      </c>
      <c r="G1208" s="397">
        <v>200.0</v>
      </c>
      <c r="H1208" s="396">
        <f t="shared" si="29"/>
        <v>200</v>
      </c>
      <c r="I1208" s="57"/>
      <c r="J1208" s="58"/>
      <c r="K1208" s="54"/>
      <c r="L1208" s="54"/>
      <c r="M1208" s="54"/>
      <c r="N1208" s="54"/>
      <c r="O1208" s="54"/>
      <c r="P1208" s="54"/>
      <c r="Q1208" s="1"/>
      <c r="R1208" s="1"/>
      <c r="S1208" s="1"/>
      <c r="T1208" s="1"/>
      <c r="U1208" s="1"/>
      <c r="V1208" s="1"/>
    </row>
    <row r="1209" ht="15.75" hidden="1" customHeight="1">
      <c r="A1209" s="206"/>
      <c r="B1209" s="54" t="s">
        <v>18</v>
      </c>
      <c r="C1209" s="54" t="s">
        <v>767</v>
      </c>
      <c r="D1209" s="198" t="s">
        <v>22</v>
      </c>
      <c r="E1209" s="54" t="s">
        <v>898</v>
      </c>
      <c r="F1209" s="56">
        <v>0.0</v>
      </c>
      <c r="G1209" s="57">
        <v>500.0</v>
      </c>
      <c r="H1209" s="57">
        <f t="shared" si="29"/>
        <v>0</v>
      </c>
      <c r="I1209" s="57"/>
      <c r="J1209" s="58"/>
      <c r="K1209" s="324">
        <v>44928.0</v>
      </c>
      <c r="L1209" s="54"/>
      <c r="M1209" s="54"/>
      <c r="N1209" s="54"/>
      <c r="O1209" s="54"/>
      <c r="P1209" s="54"/>
      <c r="Q1209" s="1"/>
      <c r="R1209" s="1"/>
      <c r="S1209" s="1"/>
      <c r="T1209" s="1"/>
      <c r="U1209" s="1"/>
      <c r="V1209" s="1"/>
    </row>
    <row r="1210" ht="15.75" hidden="1" customHeight="1">
      <c r="A1210" s="206"/>
      <c r="B1210" s="54" t="s">
        <v>18</v>
      </c>
      <c r="C1210" s="54" t="s">
        <v>765</v>
      </c>
      <c r="D1210" s="198" t="s">
        <v>22</v>
      </c>
      <c r="E1210" s="201" t="s">
        <v>766</v>
      </c>
      <c r="F1210" s="158">
        <v>0.0</v>
      </c>
      <c r="G1210" s="57">
        <v>635.0</v>
      </c>
      <c r="H1210" s="57">
        <f t="shared" si="29"/>
        <v>0</v>
      </c>
      <c r="I1210" s="57"/>
      <c r="J1210" s="58"/>
      <c r="K1210" s="54"/>
      <c r="L1210" s="54"/>
      <c r="M1210" s="54"/>
      <c r="N1210" s="54"/>
      <c r="O1210" s="54"/>
      <c r="P1210" s="54"/>
      <c r="Q1210" s="1"/>
      <c r="R1210" s="1"/>
      <c r="S1210" s="1"/>
      <c r="T1210" s="1"/>
      <c r="U1210" s="1"/>
      <c r="V1210" s="1"/>
    </row>
    <row r="1211" ht="15.75" hidden="1" customHeight="1">
      <c r="A1211" s="206"/>
      <c r="B1211" s="54" t="s">
        <v>18</v>
      </c>
      <c r="C1211" s="54" t="s">
        <v>767</v>
      </c>
      <c r="D1211" s="198" t="s">
        <v>22</v>
      </c>
      <c r="E1211" s="201" t="s">
        <v>768</v>
      </c>
      <c r="F1211" s="158">
        <v>0.0</v>
      </c>
      <c r="G1211" s="57">
        <v>410.0</v>
      </c>
      <c r="H1211" s="57">
        <f t="shared" si="29"/>
        <v>0</v>
      </c>
      <c r="I1211" s="57"/>
      <c r="J1211" s="58"/>
      <c r="K1211" s="54"/>
      <c r="L1211" s="54"/>
      <c r="M1211" s="54"/>
      <c r="N1211" s="54"/>
      <c r="O1211" s="54"/>
      <c r="P1211" s="54"/>
      <c r="Q1211" s="1"/>
      <c r="R1211" s="1"/>
      <c r="S1211" s="1"/>
      <c r="T1211" s="1"/>
      <c r="U1211" s="1"/>
      <c r="V1211" s="1"/>
    </row>
    <row r="1212" ht="15.75" hidden="1" customHeight="1">
      <c r="A1212" s="206"/>
      <c r="B1212" s="54"/>
      <c r="C1212" s="54" t="s">
        <v>769</v>
      </c>
      <c r="D1212" s="198" t="s">
        <v>22</v>
      </c>
      <c r="E1212" s="201"/>
      <c r="F1212" s="56">
        <v>0.0</v>
      </c>
      <c r="G1212" s="57">
        <v>687.5</v>
      </c>
      <c r="H1212" s="57">
        <f t="shared" si="29"/>
        <v>0</v>
      </c>
      <c r="I1212" s="57"/>
      <c r="J1212" s="58"/>
      <c r="K1212" s="54"/>
      <c r="L1212" s="54"/>
      <c r="M1212" s="54"/>
      <c r="N1212" s="54"/>
      <c r="O1212" s="54"/>
      <c r="P1212" s="54"/>
      <c r="Q1212" s="1"/>
      <c r="R1212" s="1"/>
      <c r="S1212" s="1"/>
      <c r="T1212" s="1"/>
      <c r="U1212" s="1"/>
      <c r="V1212" s="1"/>
    </row>
    <row r="1213" ht="15.75" hidden="1" customHeight="1">
      <c r="A1213" s="206"/>
      <c r="B1213" s="54" t="s">
        <v>264</v>
      </c>
      <c r="C1213" s="54" t="s">
        <v>770</v>
      </c>
      <c r="D1213" s="198" t="s">
        <v>22</v>
      </c>
      <c r="E1213" s="201">
        <v>603191.0</v>
      </c>
      <c r="F1213" s="158">
        <v>0.0</v>
      </c>
      <c r="G1213" s="57">
        <v>522.0</v>
      </c>
      <c r="H1213" s="57">
        <f t="shared" si="29"/>
        <v>0</v>
      </c>
      <c r="I1213" s="57"/>
      <c r="J1213" s="58"/>
      <c r="K1213" s="54"/>
      <c r="L1213" s="54"/>
      <c r="M1213" s="54"/>
      <c r="N1213" s="54"/>
      <c r="O1213" s="54"/>
      <c r="P1213" s="54"/>
      <c r="Q1213" s="1"/>
      <c r="R1213" s="1"/>
      <c r="S1213" s="1"/>
      <c r="T1213" s="1"/>
      <c r="U1213" s="1"/>
      <c r="V1213" s="1"/>
    </row>
    <row r="1214" ht="15.75" hidden="1" customHeight="1">
      <c r="A1214" s="206"/>
      <c r="B1214" s="54" t="s">
        <v>18</v>
      </c>
      <c r="C1214" s="54" t="s">
        <v>444</v>
      </c>
      <c r="D1214" s="198" t="s">
        <v>22</v>
      </c>
      <c r="E1214" s="205" t="s">
        <v>771</v>
      </c>
      <c r="F1214" s="158">
        <v>0.0</v>
      </c>
      <c r="G1214" s="57">
        <v>500.0</v>
      </c>
      <c r="H1214" s="57">
        <f t="shared" si="29"/>
        <v>0</v>
      </c>
      <c r="I1214" s="57"/>
      <c r="J1214" s="58"/>
      <c r="K1214" s="54"/>
      <c r="L1214" s="54"/>
      <c r="M1214" s="54"/>
      <c r="N1214" s="54"/>
      <c r="O1214" s="54"/>
      <c r="P1214" s="54"/>
      <c r="Q1214" s="1"/>
      <c r="R1214" s="1"/>
      <c r="S1214" s="1"/>
      <c r="T1214" s="1"/>
      <c r="U1214" s="1"/>
      <c r="V1214" s="1"/>
    </row>
    <row r="1215" ht="15.75" hidden="1" customHeight="1">
      <c r="A1215" s="206"/>
      <c r="B1215" s="54" t="s">
        <v>18</v>
      </c>
      <c r="C1215" s="54" t="s">
        <v>772</v>
      </c>
      <c r="D1215" s="198" t="s">
        <v>22</v>
      </c>
      <c r="E1215" s="205" t="s">
        <v>773</v>
      </c>
      <c r="F1215" s="158">
        <v>0.0</v>
      </c>
      <c r="G1215" s="57">
        <v>40.0</v>
      </c>
      <c r="H1215" s="57">
        <f t="shared" si="29"/>
        <v>0</v>
      </c>
      <c r="I1215" s="57"/>
      <c r="J1215" s="58"/>
      <c r="K1215" s="313"/>
      <c r="L1215" s="54"/>
      <c r="M1215" s="54"/>
      <c r="N1215" s="54"/>
      <c r="O1215" s="54"/>
      <c r="P1215" s="54"/>
      <c r="Q1215" s="1"/>
      <c r="R1215" s="1"/>
      <c r="S1215" s="1"/>
      <c r="T1215" s="1"/>
      <c r="U1215" s="1"/>
      <c r="V1215" s="1"/>
    </row>
    <row r="1216" ht="15.75" hidden="1" customHeight="1">
      <c r="A1216" s="206"/>
      <c r="B1216" s="54" t="s">
        <v>320</v>
      </c>
      <c r="C1216" s="54" t="s">
        <v>774</v>
      </c>
      <c r="D1216" s="198" t="s">
        <v>22</v>
      </c>
      <c r="E1216" s="54"/>
      <c r="F1216" s="56">
        <v>0.0</v>
      </c>
      <c r="G1216" s="57">
        <v>320.0</v>
      </c>
      <c r="H1216" s="57">
        <f t="shared" si="29"/>
        <v>0</v>
      </c>
      <c r="I1216" s="57"/>
      <c r="J1216" s="58"/>
      <c r="K1216" s="54"/>
      <c r="L1216" s="54"/>
      <c r="M1216" s="54"/>
      <c r="N1216" s="54"/>
      <c r="O1216" s="54"/>
      <c r="P1216" s="54"/>
      <c r="Q1216" s="1"/>
      <c r="R1216" s="1"/>
      <c r="S1216" s="1"/>
      <c r="T1216" s="1"/>
      <c r="U1216" s="1"/>
      <c r="V1216" s="1"/>
    </row>
    <row r="1217" ht="15.75" hidden="1" customHeight="1">
      <c r="A1217" s="206"/>
      <c r="B1217" s="54" t="s">
        <v>277</v>
      </c>
      <c r="C1217" s="54" t="s">
        <v>775</v>
      </c>
      <c r="D1217" s="198" t="s">
        <v>22</v>
      </c>
      <c r="E1217" s="54"/>
      <c r="F1217" s="158">
        <v>0.0</v>
      </c>
      <c r="G1217" s="57">
        <v>560.0</v>
      </c>
      <c r="H1217" s="57">
        <f t="shared" si="29"/>
        <v>0</v>
      </c>
      <c r="I1217" s="58"/>
      <c r="J1217" s="58"/>
      <c r="K1217" s="54"/>
      <c r="L1217" s="54"/>
      <c r="M1217" s="54"/>
      <c r="N1217" s="54"/>
      <c r="O1217" s="54"/>
      <c r="P1217" s="54"/>
      <c r="Q1217" s="1"/>
      <c r="R1217" s="1"/>
      <c r="S1217" s="1"/>
      <c r="T1217" s="1"/>
      <c r="U1217" s="1"/>
      <c r="V1217" s="1"/>
    </row>
    <row r="1218" ht="15.75" hidden="1" customHeight="1">
      <c r="A1218" s="206"/>
      <c r="B1218" s="43" t="s">
        <v>88</v>
      </c>
      <c r="C1218" s="54" t="s">
        <v>411</v>
      </c>
      <c r="D1218" s="55" t="s">
        <v>20</v>
      </c>
      <c r="E1218" s="171" t="s">
        <v>412</v>
      </c>
      <c r="F1218" s="158">
        <v>0.0</v>
      </c>
      <c r="G1218" s="34">
        <v>334.0</v>
      </c>
      <c r="H1218" s="57">
        <f t="shared" si="29"/>
        <v>0</v>
      </c>
      <c r="I1218" s="57"/>
      <c r="J1218" s="58"/>
      <c r="K1218" s="54"/>
      <c r="L1218" s="54"/>
      <c r="M1218" s="54"/>
      <c r="N1218" s="54"/>
      <c r="O1218" s="54"/>
      <c r="P1218" s="54"/>
      <c r="Q1218" s="1"/>
      <c r="R1218" s="1"/>
      <c r="S1218" s="1"/>
      <c r="T1218" s="1"/>
      <c r="U1218" s="1"/>
      <c r="V1218" s="1"/>
    </row>
    <row r="1219" ht="15.75" customHeight="1">
      <c r="A1219" s="206"/>
      <c r="B1219" s="54" t="s">
        <v>277</v>
      </c>
      <c r="C1219" s="258" t="s">
        <v>899</v>
      </c>
      <c r="D1219" s="55" t="s">
        <v>20</v>
      </c>
      <c r="E1219" s="54"/>
      <c r="F1219" s="158">
        <v>1.0</v>
      </c>
      <c r="G1219" s="159">
        <v>1000.0</v>
      </c>
      <c r="H1219" s="57">
        <f t="shared" si="29"/>
        <v>1000</v>
      </c>
      <c r="I1219" s="57"/>
      <c r="J1219" s="58"/>
      <c r="K1219" s="54"/>
      <c r="L1219" s="54"/>
      <c r="M1219" s="54"/>
      <c r="N1219" s="54"/>
      <c r="O1219" s="54"/>
      <c r="P1219" s="54"/>
      <c r="Q1219" s="1"/>
      <c r="R1219" s="1"/>
      <c r="S1219" s="1"/>
      <c r="T1219" s="1"/>
      <c r="U1219" s="1"/>
      <c r="V1219" s="1"/>
    </row>
    <row r="1220" ht="15.75" hidden="1" customHeight="1">
      <c r="A1220" s="206"/>
      <c r="B1220" s="54" t="s">
        <v>539</v>
      </c>
      <c r="C1220" s="54" t="s">
        <v>777</v>
      </c>
      <c r="D1220" s="55" t="s">
        <v>20</v>
      </c>
      <c r="E1220" s="54" t="s">
        <v>778</v>
      </c>
      <c r="F1220" s="158">
        <v>0.0</v>
      </c>
      <c r="G1220" s="57">
        <v>0.0</v>
      </c>
      <c r="H1220" s="57">
        <f t="shared" si="29"/>
        <v>0</v>
      </c>
      <c r="I1220" s="57"/>
      <c r="J1220" s="58"/>
      <c r="K1220" s="54"/>
      <c r="L1220" s="54"/>
      <c r="M1220" s="54"/>
      <c r="N1220" s="54"/>
      <c r="O1220" s="54"/>
      <c r="P1220" s="54"/>
      <c r="Q1220" s="1"/>
      <c r="R1220" s="1"/>
      <c r="S1220" s="1"/>
      <c r="T1220" s="1"/>
      <c r="U1220" s="1"/>
      <c r="V1220" s="1"/>
    </row>
    <row r="1221" ht="15.75" hidden="1" customHeight="1">
      <c r="A1221" s="206"/>
      <c r="B1221" s="54" t="s">
        <v>18</v>
      </c>
      <c r="C1221" s="54" t="s">
        <v>779</v>
      </c>
      <c r="D1221" s="55" t="s">
        <v>20</v>
      </c>
      <c r="E1221" s="205" t="s">
        <v>780</v>
      </c>
      <c r="F1221" s="158">
        <v>0.0</v>
      </c>
      <c r="G1221" s="57">
        <v>150.0</v>
      </c>
      <c r="H1221" s="57">
        <f t="shared" si="29"/>
        <v>0</v>
      </c>
      <c r="I1221" s="57"/>
      <c r="J1221" s="58"/>
      <c r="K1221" s="54"/>
      <c r="L1221" s="54"/>
      <c r="M1221" s="54"/>
      <c r="N1221" s="54"/>
      <c r="O1221" s="54"/>
      <c r="P1221" s="54"/>
      <c r="Q1221" s="1"/>
      <c r="R1221" s="1"/>
      <c r="S1221" s="1"/>
      <c r="T1221" s="1"/>
      <c r="U1221" s="1"/>
      <c r="V1221" s="1"/>
    </row>
    <row r="1222" ht="15.75" hidden="1" customHeight="1">
      <c r="A1222" s="206"/>
      <c r="B1222" s="54" t="s">
        <v>18</v>
      </c>
      <c r="C1222" s="54" t="s">
        <v>781</v>
      </c>
      <c r="D1222" s="55" t="s">
        <v>20</v>
      </c>
      <c r="E1222" s="205" t="s">
        <v>901</v>
      </c>
      <c r="F1222" s="158">
        <v>0.0</v>
      </c>
      <c r="G1222" s="57">
        <v>230.0</v>
      </c>
      <c r="H1222" s="57">
        <f t="shared" si="29"/>
        <v>0</v>
      </c>
      <c r="I1222" s="57"/>
      <c r="J1222" s="58"/>
      <c r="K1222" s="54"/>
      <c r="L1222" s="54"/>
      <c r="M1222" s="54"/>
      <c r="N1222" s="54"/>
      <c r="O1222" s="54"/>
      <c r="P1222" s="54"/>
      <c r="Q1222" s="1"/>
      <c r="R1222" s="1"/>
      <c r="S1222" s="1"/>
      <c r="T1222" s="1"/>
      <c r="U1222" s="1"/>
      <c r="V1222" s="1"/>
    </row>
    <row r="1223" ht="15.75" hidden="1" customHeight="1">
      <c r="A1223" s="206"/>
      <c r="B1223" s="54" t="s">
        <v>228</v>
      </c>
      <c r="C1223" s="54" t="s">
        <v>783</v>
      </c>
      <c r="D1223" s="55" t="s">
        <v>20</v>
      </c>
      <c r="E1223" s="54"/>
      <c r="F1223" s="158">
        <v>0.0</v>
      </c>
      <c r="G1223" s="57">
        <v>10.0</v>
      </c>
      <c r="H1223" s="57">
        <f t="shared" si="29"/>
        <v>0</v>
      </c>
      <c r="I1223" s="57"/>
      <c r="J1223" s="58"/>
      <c r="K1223" s="54"/>
      <c r="L1223" s="54"/>
      <c r="M1223" s="54"/>
      <c r="N1223" s="54"/>
      <c r="O1223" s="54"/>
      <c r="P1223" s="54"/>
      <c r="Q1223" s="1"/>
      <c r="R1223" s="1"/>
      <c r="S1223" s="1"/>
      <c r="T1223" s="1"/>
      <c r="U1223" s="1"/>
      <c r="V1223" s="1"/>
    </row>
    <row r="1224" ht="15.75" hidden="1" customHeight="1">
      <c r="A1224" s="206"/>
      <c r="B1224" s="54" t="s">
        <v>18</v>
      </c>
      <c r="C1224" s="54" t="s">
        <v>784</v>
      </c>
      <c r="D1224" s="55" t="s">
        <v>20</v>
      </c>
      <c r="E1224" s="201" t="s">
        <v>785</v>
      </c>
      <c r="F1224" s="158">
        <v>0.0</v>
      </c>
      <c r="G1224" s="57">
        <v>9.0</v>
      </c>
      <c r="H1224" s="57">
        <f t="shared" si="29"/>
        <v>0</v>
      </c>
      <c r="I1224" s="57"/>
      <c r="J1224" s="58"/>
      <c r="K1224" s="54"/>
      <c r="L1224" s="54"/>
      <c r="M1224" s="54"/>
      <c r="N1224" s="54"/>
      <c r="O1224" s="54"/>
      <c r="P1224" s="54"/>
      <c r="Q1224" s="1"/>
      <c r="R1224" s="1"/>
      <c r="S1224" s="1"/>
      <c r="T1224" s="1"/>
      <c r="U1224" s="1"/>
      <c r="V1224" s="1"/>
    </row>
    <row r="1225" ht="15.75" hidden="1" customHeight="1">
      <c r="A1225" s="206"/>
      <c r="B1225" s="54" t="s">
        <v>277</v>
      </c>
      <c r="C1225" s="54" t="s">
        <v>786</v>
      </c>
      <c r="D1225" s="198" t="s">
        <v>22</v>
      </c>
      <c r="E1225" s="54"/>
      <c r="F1225" s="158">
        <v>0.0</v>
      </c>
      <c r="G1225" s="57">
        <v>69.99</v>
      </c>
      <c r="H1225" s="57">
        <f t="shared" si="29"/>
        <v>0</v>
      </c>
      <c r="I1225" s="57"/>
      <c r="J1225" s="58"/>
      <c r="K1225" s="54"/>
      <c r="L1225" s="54"/>
      <c r="M1225" s="54"/>
      <c r="N1225" s="54"/>
      <c r="O1225" s="54"/>
      <c r="P1225" s="54"/>
      <c r="Q1225" s="1"/>
      <c r="R1225" s="1"/>
      <c r="S1225" s="1"/>
      <c r="T1225" s="1"/>
      <c r="U1225" s="1"/>
      <c r="V1225" s="1"/>
    </row>
    <row r="1226" ht="15.75" hidden="1" customHeight="1">
      <c r="A1226" s="206"/>
      <c r="B1226" s="54" t="s">
        <v>18</v>
      </c>
      <c r="C1226" s="54" t="s">
        <v>787</v>
      </c>
      <c r="D1226" s="198" t="s">
        <v>22</v>
      </c>
      <c r="E1226" s="205" t="s">
        <v>902</v>
      </c>
      <c r="F1226" s="56">
        <v>0.0</v>
      </c>
      <c r="G1226" s="57">
        <v>255.0</v>
      </c>
      <c r="H1226" s="57">
        <f t="shared" si="29"/>
        <v>0</v>
      </c>
      <c r="I1226" s="57"/>
      <c r="J1226" s="58"/>
      <c r="K1226" s="54"/>
      <c r="L1226" s="54"/>
      <c r="M1226" s="54"/>
      <c r="N1226" s="54"/>
      <c r="O1226" s="54"/>
      <c r="P1226" s="54"/>
      <c r="Q1226" s="1"/>
      <c r="R1226" s="1"/>
      <c r="S1226" s="1"/>
      <c r="T1226" s="1"/>
      <c r="U1226" s="1"/>
      <c r="V1226" s="1"/>
    </row>
    <row r="1227" ht="15.75" hidden="1" customHeight="1">
      <c r="A1227" s="206"/>
      <c r="B1227" s="54" t="s">
        <v>18</v>
      </c>
      <c r="C1227" s="54" t="s">
        <v>285</v>
      </c>
      <c r="D1227" s="55" t="s">
        <v>20</v>
      </c>
      <c r="E1227" s="54" t="s">
        <v>286</v>
      </c>
      <c r="F1227" s="158">
        <v>0.0</v>
      </c>
      <c r="G1227" s="57">
        <v>3.0</v>
      </c>
      <c r="H1227" s="57">
        <f t="shared" si="29"/>
        <v>0</v>
      </c>
      <c r="I1227" s="57"/>
      <c r="J1227" s="58"/>
      <c r="K1227" s="13"/>
      <c r="L1227" s="54"/>
      <c r="M1227" s="54"/>
      <c r="N1227" s="54"/>
      <c r="O1227" s="54"/>
      <c r="P1227" s="54"/>
      <c r="Q1227" s="1"/>
      <c r="R1227" s="1"/>
      <c r="S1227" s="1"/>
      <c r="T1227" s="1"/>
      <c r="U1227" s="1"/>
      <c r="V1227" s="1"/>
    </row>
    <row r="1228" ht="15.75" hidden="1" customHeight="1">
      <c r="A1228" s="206"/>
      <c r="B1228" s="54" t="s">
        <v>18</v>
      </c>
      <c r="C1228" s="54" t="s">
        <v>789</v>
      </c>
      <c r="D1228" s="55" t="s">
        <v>20</v>
      </c>
      <c r="E1228" s="54" t="s">
        <v>790</v>
      </c>
      <c r="F1228" s="56">
        <v>0.0</v>
      </c>
      <c r="G1228" s="57">
        <v>14.0</v>
      </c>
      <c r="H1228" s="57">
        <f t="shared" si="29"/>
        <v>0</v>
      </c>
      <c r="I1228" s="57"/>
      <c r="J1228" s="58"/>
      <c r="K1228" s="54"/>
      <c r="L1228" s="54"/>
      <c r="M1228" s="54"/>
      <c r="N1228" s="54"/>
      <c r="O1228" s="54"/>
      <c r="P1228" s="54"/>
      <c r="Q1228" s="1"/>
      <c r="R1228" s="1"/>
      <c r="S1228" s="1"/>
      <c r="T1228" s="1"/>
      <c r="U1228" s="1"/>
      <c r="V1228" s="1"/>
    </row>
    <row r="1229" ht="15.75" hidden="1" customHeight="1">
      <c r="A1229" s="206"/>
      <c r="B1229" s="54" t="s">
        <v>463</v>
      </c>
      <c r="C1229" s="54" t="s">
        <v>791</v>
      </c>
      <c r="D1229" s="198" t="s">
        <v>22</v>
      </c>
      <c r="E1229" s="201" t="s">
        <v>792</v>
      </c>
      <c r="F1229" s="158">
        <v>0.0</v>
      </c>
      <c r="G1229" s="57">
        <v>23.0</v>
      </c>
      <c r="H1229" s="57">
        <f t="shared" si="29"/>
        <v>0</v>
      </c>
      <c r="I1229" s="57"/>
      <c r="J1229" s="58"/>
      <c r="K1229" s="54"/>
      <c r="L1229" s="54"/>
      <c r="M1229" s="54"/>
      <c r="N1229" s="54"/>
      <c r="O1229" s="54"/>
      <c r="P1229" s="54"/>
      <c r="Q1229" s="1"/>
      <c r="R1229" s="1"/>
      <c r="S1229" s="1"/>
      <c r="T1229" s="1"/>
      <c r="U1229" s="1"/>
      <c r="V1229" s="1"/>
    </row>
    <row r="1230" ht="15.75" hidden="1" customHeight="1">
      <c r="A1230" s="206"/>
      <c r="B1230" s="54" t="s">
        <v>463</v>
      </c>
      <c r="C1230" s="54" t="s">
        <v>793</v>
      </c>
      <c r="D1230" s="198" t="s">
        <v>22</v>
      </c>
      <c r="E1230" s="201" t="s">
        <v>794</v>
      </c>
      <c r="F1230" s="158">
        <v>0.0</v>
      </c>
      <c r="G1230" s="57">
        <v>23.0</v>
      </c>
      <c r="H1230" s="57">
        <f t="shared" si="29"/>
        <v>0</v>
      </c>
      <c r="I1230" s="57"/>
      <c r="J1230" s="58"/>
      <c r="K1230" s="54"/>
      <c r="L1230" s="54"/>
      <c r="M1230" s="54"/>
      <c r="N1230" s="54"/>
      <c r="O1230" s="54"/>
      <c r="P1230" s="54"/>
      <c r="Q1230" s="1"/>
      <c r="R1230" s="1"/>
      <c r="S1230" s="1"/>
      <c r="T1230" s="1"/>
      <c r="U1230" s="1"/>
      <c r="V1230" s="1"/>
    </row>
    <row r="1231" ht="15.75" hidden="1" customHeight="1">
      <c r="A1231" s="206"/>
      <c r="B1231" s="54" t="s">
        <v>463</v>
      </c>
      <c r="C1231" s="54" t="s">
        <v>795</v>
      </c>
      <c r="D1231" s="198" t="s">
        <v>22</v>
      </c>
      <c r="E1231" s="205" t="s">
        <v>796</v>
      </c>
      <c r="F1231" s="158">
        <v>0.0</v>
      </c>
      <c r="G1231" s="57">
        <v>23.0</v>
      </c>
      <c r="H1231" s="57">
        <f t="shared" si="29"/>
        <v>0</v>
      </c>
      <c r="I1231" s="57"/>
      <c r="J1231" s="58"/>
      <c r="K1231" s="54"/>
      <c r="L1231" s="54"/>
      <c r="M1231" s="54"/>
      <c r="N1231" s="54"/>
      <c r="O1231" s="54"/>
      <c r="P1231" s="54"/>
      <c r="Q1231" s="1"/>
      <c r="R1231" s="1"/>
      <c r="S1231" s="1"/>
      <c r="T1231" s="1"/>
      <c r="U1231" s="1"/>
      <c r="V1231" s="1"/>
    </row>
    <row r="1232" ht="15.75" hidden="1" customHeight="1">
      <c r="A1232" s="206"/>
      <c r="B1232" s="54" t="s">
        <v>463</v>
      </c>
      <c r="C1232" s="54" t="s">
        <v>797</v>
      </c>
      <c r="D1232" s="198" t="s">
        <v>22</v>
      </c>
      <c r="E1232" s="205" t="s">
        <v>798</v>
      </c>
      <c r="F1232" s="158">
        <v>0.0</v>
      </c>
      <c r="G1232" s="57">
        <v>23.0</v>
      </c>
      <c r="H1232" s="57">
        <f t="shared" si="29"/>
        <v>0</v>
      </c>
      <c r="I1232" s="57"/>
      <c r="J1232" s="58"/>
      <c r="K1232" s="54"/>
      <c r="L1232" s="54"/>
      <c r="M1232" s="54"/>
      <c r="N1232" s="54"/>
      <c r="O1232" s="54"/>
      <c r="P1232" s="54"/>
      <c r="Q1232" s="1"/>
      <c r="R1232" s="1"/>
      <c r="S1232" s="1"/>
      <c r="T1232" s="1"/>
      <c r="U1232" s="1"/>
      <c r="V1232" s="1"/>
    </row>
    <row r="1233" ht="15.75" hidden="1" customHeight="1">
      <c r="A1233" s="206"/>
      <c r="B1233" s="54" t="s">
        <v>463</v>
      </c>
      <c r="C1233" s="54" t="s">
        <v>799</v>
      </c>
      <c r="D1233" s="198" t="s">
        <v>22</v>
      </c>
      <c r="E1233" s="205" t="s">
        <v>800</v>
      </c>
      <c r="F1233" s="158">
        <v>0.0</v>
      </c>
      <c r="G1233" s="57">
        <v>23.0</v>
      </c>
      <c r="H1233" s="57">
        <f t="shared" si="29"/>
        <v>0</v>
      </c>
      <c r="I1233" s="57"/>
      <c r="J1233" s="58"/>
      <c r="K1233" s="54"/>
      <c r="L1233" s="54"/>
      <c r="M1233" s="54"/>
      <c r="N1233" s="54"/>
      <c r="O1233" s="54"/>
      <c r="P1233" s="54"/>
      <c r="Q1233" s="1"/>
      <c r="R1233" s="1"/>
      <c r="S1233" s="1"/>
      <c r="T1233" s="1"/>
      <c r="U1233" s="1"/>
      <c r="V1233" s="1"/>
    </row>
    <row r="1234" ht="15.75" hidden="1" customHeight="1">
      <c r="A1234" s="206"/>
      <c r="B1234" s="54" t="s">
        <v>463</v>
      </c>
      <c r="C1234" s="54" t="s">
        <v>801</v>
      </c>
      <c r="D1234" s="198" t="s">
        <v>22</v>
      </c>
      <c r="E1234" s="205" t="s">
        <v>802</v>
      </c>
      <c r="F1234" s="158">
        <v>0.0</v>
      </c>
      <c r="G1234" s="57">
        <v>23.0</v>
      </c>
      <c r="H1234" s="57">
        <f t="shared" si="29"/>
        <v>0</v>
      </c>
      <c r="I1234" s="57"/>
      <c r="J1234" s="58"/>
      <c r="K1234" s="54"/>
      <c r="L1234" s="54"/>
      <c r="M1234" s="54"/>
      <c r="N1234" s="54"/>
      <c r="O1234" s="54"/>
      <c r="P1234" s="54"/>
      <c r="Q1234" s="1"/>
      <c r="R1234" s="1"/>
      <c r="S1234" s="1"/>
      <c r="T1234" s="1"/>
      <c r="U1234" s="1"/>
      <c r="V1234" s="1"/>
    </row>
    <row r="1235" ht="15.75" hidden="1" customHeight="1">
      <c r="A1235" s="206"/>
      <c r="B1235" s="54" t="s">
        <v>803</v>
      </c>
      <c r="C1235" s="54" t="s">
        <v>804</v>
      </c>
      <c r="D1235" s="198" t="s">
        <v>22</v>
      </c>
      <c r="E1235" s="205" t="s">
        <v>805</v>
      </c>
      <c r="F1235" s="158">
        <v>0.0</v>
      </c>
      <c r="G1235" s="57">
        <v>35.0</v>
      </c>
      <c r="H1235" s="57">
        <f t="shared" si="29"/>
        <v>0</v>
      </c>
      <c r="I1235" s="57"/>
      <c r="J1235" s="58"/>
      <c r="K1235" s="54"/>
      <c r="L1235" s="54"/>
      <c r="M1235" s="54"/>
      <c r="N1235" s="54"/>
      <c r="O1235" s="54"/>
      <c r="P1235" s="54"/>
      <c r="Q1235" s="1"/>
      <c r="R1235" s="1"/>
      <c r="S1235" s="1"/>
      <c r="T1235" s="1"/>
      <c r="U1235" s="1"/>
      <c r="V1235" s="1"/>
    </row>
    <row r="1236" ht="15.75" hidden="1" customHeight="1">
      <c r="A1236" s="206"/>
      <c r="B1236" s="54" t="s">
        <v>803</v>
      </c>
      <c r="C1236" s="54" t="s">
        <v>806</v>
      </c>
      <c r="D1236" s="198" t="s">
        <v>22</v>
      </c>
      <c r="E1236" s="201" t="s">
        <v>807</v>
      </c>
      <c r="F1236" s="158">
        <v>0.0</v>
      </c>
      <c r="G1236" s="57">
        <v>35.0</v>
      </c>
      <c r="H1236" s="57">
        <f t="shared" si="29"/>
        <v>0</v>
      </c>
      <c r="I1236" s="57"/>
      <c r="J1236" s="58"/>
      <c r="K1236" s="54"/>
      <c r="L1236" s="54"/>
      <c r="M1236" s="54"/>
      <c r="N1236" s="54"/>
      <c r="O1236" s="54"/>
      <c r="P1236" s="54"/>
      <c r="Q1236" s="1"/>
      <c r="R1236" s="1"/>
      <c r="S1236" s="1"/>
      <c r="T1236" s="1"/>
      <c r="U1236" s="1"/>
      <c r="V1236" s="1"/>
    </row>
    <row r="1237" ht="15.75" hidden="1" customHeight="1">
      <c r="A1237" s="206"/>
      <c r="B1237" s="54" t="s">
        <v>808</v>
      </c>
      <c r="C1237" s="54" t="s">
        <v>809</v>
      </c>
      <c r="D1237" s="198" t="s">
        <v>22</v>
      </c>
      <c r="E1237" s="201" t="s">
        <v>810</v>
      </c>
      <c r="F1237" s="158">
        <v>0.0</v>
      </c>
      <c r="G1237" s="57">
        <v>20.0</v>
      </c>
      <c r="H1237" s="57">
        <f t="shared" si="29"/>
        <v>0</v>
      </c>
      <c r="I1237" s="57"/>
      <c r="J1237" s="58"/>
      <c r="K1237" s="54"/>
      <c r="L1237" s="54"/>
      <c r="M1237" s="54"/>
      <c r="N1237" s="54"/>
      <c r="O1237" s="54"/>
      <c r="P1237" s="54"/>
      <c r="Q1237" s="1"/>
      <c r="R1237" s="1"/>
      <c r="S1237" s="1"/>
      <c r="T1237" s="1"/>
      <c r="U1237" s="1"/>
      <c r="V1237" s="1"/>
    </row>
    <row r="1238" ht="15.75" hidden="1" customHeight="1">
      <c r="A1238" s="206"/>
      <c r="B1238" s="54" t="s">
        <v>18</v>
      </c>
      <c r="C1238" s="54" t="s">
        <v>811</v>
      </c>
      <c r="D1238" s="198" t="s">
        <v>22</v>
      </c>
      <c r="E1238" s="205" t="s">
        <v>812</v>
      </c>
      <c r="F1238" s="158">
        <v>0.0</v>
      </c>
      <c r="G1238" s="57">
        <v>16.0</v>
      </c>
      <c r="H1238" s="57">
        <f t="shared" si="29"/>
        <v>0</v>
      </c>
      <c r="I1238" s="57"/>
      <c r="J1238" s="58"/>
      <c r="K1238" s="54"/>
      <c r="L1238" s="54"/>
      <c r="M1238" s="54"/>
      <c r="N1238" s="54"/>
      <c r="O1238" s="54"/>
      <c r="P1238" s="54"/>
      <c r="Q1238" s="1"/>
      <c r="R1238" s="1"/>
      <c r="S1238" s="1"/>
      <c r="T1238" s="1"/>
      <c r="U1238" s="1"/>
      <c r="V1238" s="1"/>
    </row>
    <row r="1239" ht="15.75" hidden="1" customHeight="1">
      <c r="A1239" s="206"/>
      <c r="B1239" s="54" t="s">
        <v>18</v>
      </c>
      <c r="C1239" s="54" t="s">
        <v>813</v>
      </c>
      <c r="D1239" s="198" t="s">
        <v>22</v>
      </c>
      <c r="E1239" s="201" t="s">
        <v>814</v>
      </c>
      <c r="F1239" s="158">
        <v>0.0</v>
      </c>
      <c r="G1239" s="57">
        <v>12.0</v>
      </c>
      <c r="H1239" s="57">
        <f t="shared" si="29"/>
        <v>0</v>
      </c>
      <c r="I1239" s="57"/>
      <c r="J1239" s="58"/>
      <c r="K1239" s="54"/>
      <c r="L1239" s="54"/>
      <c r="M1239" s="54"/>
      <c r="N1239" s="54"/>
      <c r="O1239" s="54"/>
      <c r="P1239" s="54"/>
      <c r="Q1239" s="1"/>
      <c r="R1239" s="1"/>
      <c r="S1239" s="1"/>
      <c r="T1239" s="1"/>
      <c r="U1239" s="1"/>
      <c r="V1239" s="1"/>
    </row>
    <row r="1240" ht="15.75" hidden="1" customHeight="1">
      <c r="A1240" s="206"/>
      <c r="B1240" s="54" t="s">
        <v>18</v>
      </c>
      <c r="C1240" s="54" t="s">
        <v>815</v>
      </c>
      <c r="D1240" s="198" t="s">
        <v>22</v>
      </c>
      <c r="E1240" s="205" t="s">
        <v>816</v>
      </c>
      <c r="F1240" s="158">
        <v>0.0</v>
      </c>
      <c r="G1240" s="57">
        <v>18.0</v>
      </c>
      <c r="H1240" s="57">
        <f t="shared" si="29"/>
        <v>0</v>
      </c>
      <c r="I1240" s="57"/>
      <c r="J1240" s="58"/>
      <c r="K1240" s="54"/>
      <c r="L1240" s="54"/>
      <c r="M1240" s="54"/>
      <c r="N1240" s="54"/>
      <c r="O1240" s="54"/>
      <c r="P1240" s="54"/>
      <c r="Q1240" s="1"/>
      <c r="R1240" s="1"/>
      <c r="S1240" s="1"/>
      <c r="T1240" s="1"/>
      <c r="U1240" s="1"/>
      <c r="V1240" s="1"/>
    </row>
    <row r="1241" ht="15.75" hidden="1" customHeight="1">
      <c r="A1241" s="206"/>
      <c r="B1241" s="54" t="s">
        <v>817</v>
      </c>
      <c r="C1241" s="54" t="s">
        <v>818</v>
      </c>
      <c r="D1241" s="55" t="s">
        <v>20</v>
      </c>
      <c r="E1241" s="54"/>
      <c r="F1241" s="158">
        <v>0.0</v>
      </c>
      <c r="G1241" s="57">
        <v>5000.0</v>
      </c>
      <c r="H1241" s="57">
        <f t="shared" si="29"/>
        <v>0</v>
      </c>
      <c r="I1241" s="58"/>
      <c r="J1241" s="58"/>
      <c r="K1241" s="54"/>
      <c r="L1241" s="271"/>
      <c r="M1241" s="271"/>
      <c r="N1241" s="271"/>
      <c r="O1241" s="271"/>
      <c r="P1241" s="271"/>
      <c r="Q1241" s="1"/>
      <c r="R1241" s="1"/>
      <c r="S1241" s="1"/>
      <c r="T1241" s="1"/>
      <c r="U1241" s="1"/>
      <c r="V1241" s="1"/>
    </row>
    <row r="1242" ht="15.75" customHeight="1">
      <c r="A1242" s="206"/>
      <c r="B1242" s="54"/>
      <c r="C1242" s="54" t="s">
        <v>819</v>
      </c>
      <c r="D1242" s="55" t="s">
        <v>20</v>
      </c>
      <c r="E1242" s="54"/>
      <c r="F1242" s="158">
        <v>1.0</v>
      </c>
      <c r="G1242" s="57">
        <v>300.0</v>
      </c>
      <c r="H1242" s="57">
        <f t="shared" si="29"/>
        <v>300</v>
      </c>
      <c r="I1242" s="58"/>
      <c r="J1242" s="58"/>
      <c r="K1242" s="54"/>
      <c r="L1242" s="271"/>
      <c r="M1242" s="271"/>
      <c r="N1242" s="271"/>
      <c r="O1242" s="271"/>
      <c r="P1242" s="271"/>
      <c r="Q1242" s="1"/>
      <c r="R1242" s="1"/>
      <c r="S1242" s="1"/>
      <c r="T1242" s="1"/>
      <c r="U1242" s="1"/>
      <c r="V1242" s="1"/>
    </row>
    <row r="1243" ht="15.75" customHeight="1">
      <c r="A1243" s="206"/>
      <c r="B1243" s="54" t="s">
        <v>18</v>
      </c>
      <c r="C1243" s="54" t="s">
        <v>283</v>
      </c>
      <c r="D1243" s="55" t="s">
        <v>20</v>
      </c>
      <c r="E1243" s="54" t="s">
        <v>284</v>
      </c>
      <c r="F1243" s="158">
        <v>1.0</v>
      </c>
      <c r="G1243" s="159">
        <v>20.0</v>
      </c>
      <c r="H1243" s="57">
        <f t="shared" si="29"/>
        <v>20</v>
      </c>
      <c r="I1243" s="58"/>
      <c r="J1243" s="57"/>
      <c r="K1243" s="54"/>
      <c r="L1243" s="271"/>
      <c r="M1243" s="271"/>
      <c r="N1243" s="271"/>
      <c r="O1243" s="271"/>
      <c r="P1243" s="271"/>
      <c r="Q1243" s="1"/>
      <c r="R1243" s="1"/>
      <c r="S1243" s="1"/>
      <c r="T1243" s="1"/>
      <c r="U1243" s="1"/>
      <c r="V1243" s="1"/>
    </row>
    <row r="1244" ht="15.75" customHeight="1">
      <c r="A1244" s="206"/>
      <c r="B1244" s="54" t="s">
        <v>18</v>
      </c>
      <c r="C1244" s="54" t="s">
        <v>820</v>
      </c>
      <c r="D1244" s="55" t="s">
        <v>20</v>
      </c>
      <c r="E1244" s="54"/>
      <c r="F1244" s="158">
        <v>1.0</v>
      </c>
      <c r="G1244" s="57">
        <v>956.0</v>
      </c>
      <c r="H1244" s="57">
        <f t="shared" si="29"/>
        <v>956</v>
      </c>
      <c r="I1244" s="58"/>
      <c r="J1244" s="57"/>
      <c r="K1244" s="54"/>
      <c r="L1244" s="271"/>
      <c r="M1244" s="271"/>
      <c r="N1244" s="271"/>
      <c r="O1244" s="271"/>
      <c r="P1244" s="271"/>
      <c r="Q1244" s="1"/>
      <c r="R1244" s="1"/>
      <c r="S1244" s="1"/>
      <c r="T1244" s="1"/>
      <c r="U1244" s="1"/>
      <c r="V1244" s="1"/>
    </row>
    <row r="1245" ht="15.75" customHeight="1">
      <c r="A1245" s="206"/>
      <c r="B1245" s="54"/>
      <c r="C1245" s="54" t="s">
        <v>821</v>
      </c>
      <c r="D1245" s="314" t="s">
        <v>26</v>
      </c>
      <c r="E1245" s="54"/>
      <c r="F1245" s="158">
        <v>1.0</v>
      </c>
      <c r="G1245" s="57">
        <v>900.0</v>
      </c>
      <c r="H1245" s="57">
        <f t="shared" si="29"/>
        <v>900</v>
      </c>
      <c r="I1245" s="58"/>
      <c r="J1245" s="57"/>
      <c r="K1245" s="54"/>
      <c r="L1245" s="271"/>
      <c r="M1245" s="271"/>
      <c r="N1245" s="271"/>
      <c r="O1245" s="271"/>
      <c r="P1245" s="271"/>
      <c r="Q1245" s="1"/>
      <c r="R1245" s="1"/>
      <c r="S1245" s="1"/>
      <c r="T1245" s="1"/>
      <c r="U1245" s="1"/>
      <c r="V1245" s="1"/>
    </row>
    <row r="1246" ht="15.75" customHeight="1">
      <c r="A1246" s="206"/>
      <c r="B1246" s="54" t="s">
        <v>18</v>
      </c>
      <c r="C1246" s="258" t="s">
        <v>903</v>
      </c>
      <c r="D1246" s="55" t="s">
        <v>20</v>
      </c>
      <c r="E1246" s="54"/>
      <c r="F1246" s="158">
        <v>1.0</v>
      </c>
      <c r="G1246" s="159">
        <v>200.0</v>
      </c>
      <c r="H1246" s="57">
        <f t="shared" si="29"/>
        <v>200</v>
      </c>
      <c r="I1246" s="58"/>
      <c r="J1246" s="57"/>
      <c r="K1246" s="315"/>
      <c r="L1246" s="271"/>
      <c r="M1246" s="271"/>
      <c r="N1246" s="271"/>
      <c r="O1246" s="271"/>
      <c r="P1246" s="271"/>
      <c r="Q1246" s="1"/>
      <c r="R1246" s="1"/>
      <c r="S1246" s="1"/>
      <c r="T1246" s="1"/>
      <c r="U1246" s="1"/>
      <c r="V1246" s="1"/>
    </row>
    <row r="1247" ht="15.75" hidden="1" customHeight="1">
      <c r="A1247" s="206"/>
      <c r="B1247" s="54" t="s">
        <v>18</v>
      </c>
      <c r="C1247" s="54" t="s">
        <v>824</v>
      </c>
      <c r="D1247" s="55" t="s">
        <v>20</v>
      </c>
      <c r="E1247" s="54"/>
      <c r="F1247" s="158">
        <v>0.0</v>
      </c>
      <c r="G1247" s="57">
        <v>150.0</v>
      </c>
      <c r="H1247" s="57">
        <f t="shared" si="29"/>
        <v>0</v>
      </c>
      <c r="I1247" s="58"/>
      <c r="J1247" s="57"/>
      <c r="K1247" s="54"/>
      <c r="L1247" s="271"/>
      <c r="M1247" s="271"/>
      <c r="N1247" s="271"/>
      <c r="O1247" s="271"/>
      <c r="P1247" s="271"/>
      <c r="Q1247" s="1"/>
      <c r="R1247" s="1"/>
      <c r="S1247" s="1"/>
      <c r="T1247" s="1"/>
      <c r="U1247" s="1"/>
      <c r="V1247" s="1"/>
    </row>
    <row r="1248" ht="15.75" hidden="1" customHeight="1">
      <c r="A1248" s="206"/>
      <c r="B1248" s="54" t="s">
        <v>18</v>
      </c>
      <c r="C1248" s="54" t="s">
        <v>825</v>
      </c>
      <c r="D1248" s="55" t="s">
        <v>20</v>
      </c>
      <c r="E1248" s="54"/>
      <c r="F1248" s="56">
        <v>0.0</v>
      </c>
      <c r="G1248" s="57">
        <v>27.99</v>
      </c>
      <c r="H1248" s="57">
        <f t="shared" si="29"/>
        <v>0</v>
      </c>
      <c r="I1248" s="58"/>
      <c r="J1248" s="58"/>
      <c r="K1248" s="54"/>
      <c r="L1248" s="252"/>
      <c r="M1248" s="252"/>
      <c r="N1248" s="252"/>
      <c r="O1248" s="252"/>
      <c r="P1248" s="252"/>
      <c r="Q1248" s="1"/>
      <c r="R1248" s="1"/>
      <c r="S1248" s="1"/>
      <c r="T1248" s="1"/>
      <c r="U1248" s="1"/>
      <c r="V1248" s="1"/>
    </row>
    <row r="1249" ht="15.75" hidden="1" customHeight="1">
      <c r="A1249" s="206"/>
      <c r="B1249" s="54" t="s">
        <v>18</v>
      </c>
      <c r="C1249" s="54" t="s">
        <v>309</v>
      </c>
      <c r="D1249" s="55" t="s">
        <v>20</v>
      </c>
      <c r="E1249" s="54"/>
      <c r="F1249" s="56">
        <v>0.0</v>
      </c>
      <c r="G1249" s="57">
        <v>20.0</v>
      </c>
      <c r="H1249" s="57">
        <f t="shared" si="29"/>
        <v>0</v>
      </c>
      <c r="I1249" s="58"/>
      <c r="J1249" s="58"/>
      <c r="K1249" s="54"/>
      <c r="L1249" s="54"/>
      <c r="M1249" s="54"/>
      <c r="N1249" s="54"/>
      <c r="O1249" s="54"/>
      <c r="P1249" s="54"/>
      <c r="Q1249" s="1"/>
      <c r="R1249" s="1"/>
      <c r="S1249" s="1"/>
      <c r="T1249" s="1"/>
      <c r="U1249" s="1"/>
      <c r="V1249" s="1"/>
    </row>
    <row r="1250" ht="15.75" hidden="1" customHeight="1">
      <c r="A1250" s="206"/>
      <c r="B1250" s="54" t="s">
        <v>18</v>
      </c>
      <c r="C1250" s="54" t="s">
        <v>826</v>
      </c>
      <c r="D1250" s="55" t="s">
        <v>20</v>
      </c>
      <c r="E1250" s="208" t="s">
        <v>827</v>
      </c>
      <c r="F1250" s="56">
        <v>0.0</v>
      </c>
      <c r="G1250" s="57">
        <v>71.5</v>
      </c>
      <c r="H1250" s="57">
        <f t="shared" si="29"/>
        <v>0</v>
      </c>
      <c r="I1250" s="58"/>
      <c r="J1250" s="58"/>
      <c r="K1250" s="54"/>
      <c r="L1250" s="54"/>
      <c r="M1250" s="54"/>
      <c r="N1250" s="54"/>
      <c r="O1250" s="54"/>
      <c r="P1250" s="54"/>
      <c r="Q1250" s="1"/>
      <c r="R1250" s="1"/>
      <c r="S1250" s="1"/>
      <c r="T1250" s="1"/>
      <c r="U1250" s="1"/>
      <c r="V1250" s="1"/>
    </row>
    <row r="1251" ht="15.75" hidden="1" customHeight="1">
      <c r="A1251" s="206"/>
      <c r="B1251" s="54" t="s">
        <v>18</v>
      </c>
      <c r="C1251" s="54" t="s">
        <v>828</v>
      </c>
      <c r="D1251" s="55" t="s">
        <v>20</v>
      </c>
      <c r="E1251" s="54" t="s">
        <v>475</v>
      </c>
      <c r="F1251" s="56">
        <v>0.0</v>
      </c>
      <c r="G1251" s="57">
        <v>25.0</v>
      </c>
      <c r="H1251" s="57">
        <f t="shared" si="29"/>
        <v>0</v>
      </c>
      <c r="I1251" s="58"/>
      <c r="J1251" s="58"/>
      <c r="K1251" s="54"/>
      <c r="L1251" s="54"/>
      <c r="M1251" s="54"/>
      <c r="N1251" s="54"/>
      <c r="O1251" s="54"/>
      <c r="P1251" s="54"/>
      <c r="Q1251" s="1"/>
      <c r="R1251" s="1"/>
      <c r="S1251" s="1"/>
      <c r="T1251" s="1"/>
      <c r="U1251" s="1"/>
      <c r="V1251" s="1"/>
    </row>
    <row r="1252" ht="15.75" hidden="1" customHeight="1">
      <c r="A1252" s="206"/>
      <c r="B1252" s="54" t="s">
        <v>18</v>
      </c>
      <c r="C1252" s="54" t="s">
        <v>500</v>
      </c>
      <c r="D1252" s="55" t="s">
        <v>20</v>
      </c>
      <c r="E1252" s="54" t="s">
        <v>829</v>
      </c>
      <c r="F1252" s="56">
        <v>0.0</v>
      </c>
      <c r="G1252" s="57">
        <v>6.0</v>
      </c>
      <c r="H1252" s="57">
        <f t="shared" si="29"/>
        <v>0</v>
      </c>
      <c r="I1252" s="58"/>
      <c r="J1252" s="58"/>
      <c r="K1252" s="54"/>
      <c r="L1252" s="252"/>
      <c r="M1252" s="252"/>
      <c r="N1252" s="252"/>
      <c r="O1252" s="252"/>
      <c r="P1252" s="252"/>
      <c r="Q1252" s="1"/>
      <c r="R1252" s="1"/>
      <c r="S1252" s="1"/>
      <c r="T1252" s="1"/>
      <c r="U1252" s="1"/>
      <c r="V1252" s="1"/>
    </row>
    <row r="1253" ht="15.75" hidden="1" customHeight="1">
      <c r="A1253" s="206"/>
      <c r="B1253" s="54" t="s">
        <v>18</v>
      </c>
      <c r="C1253" s="54" t="s">
        <v>280</v>
      </c>
      <c r="D1253" s="55" t="s">
        <v>20</v>
      </c>
      <c r="E1253" s="15" t="s">
        <v>830</v>
      </c>
      <c r="F1253" s="158">
        <v>0.0</v>
      </c>
      <c r="G1253" s="34">
        <v>20.0</v>
      </c>
      <c r="H1253" s="57">
        <f t="shared" si="29"/>
        <v>0</v>
      </c>
      <c r="I1253" s="58"/>
      <c r="J1253" s="54"/>
      <c r="K1253" s="54"/>
      <c r="L1253" s="271"/>
      <c r="M1253" s="271"/>
      <c r="N1253" s="271"/>
      <c r="O1253" s="271"/>
      <c r="P1253" s="271"/>
      <c r="Q1253" s="1"/>
      <c r="R1253" s="1"/>
      <c r="S1253" s="1"/>
      <c r="T1253" s="1"/>
      <c r="U1253" s="1"/>
      <c r="V1253" s="1"/>
    </row>
    <row r="1254" ht="15.75" customHeight="1">
      <c r="A1254" s="206"/>
      <c r="B1254" s="54" t="s">
        <v>637</v>
      </c>
      <c r="C1254" s="54" t="s">
        <v>988</v>
      </c>
      <c r="D1254" s="314" t="s">
        <v>26</v>
      </c>
      <c r="E1254" s="54"/>
      <c r="F1254" s="56">
        <v>1.0</v>
      </c>
      <c r="G1254" s="159">
        <v>12000.0</v>
      </c>
      <c r="H1254" s="57">
        <f t="shared" si="29"/>
        <v>12000</v>
      </c>
      <c r="I1254" s="58"/>
      <c r="J1254" s="58"/>
      <c r="K1254" s="13"/>
      <c r="L1254" s="271"/>
      <c r="M1254" s="271"/>
      <c r="N1254" s="271"/>
      <c r="O1254" s="271"/>
      <c r="P1254" s="271"/>
      <c r="Q1254" s="1"/>
      <c r="R1254" s="1"/>
      <c r="S1254" s="1"/>
      <c r="T1254" s="1"/>
      <c r="U1254" s="1"/>
      <c r="V1254" s="1"/>
    </row>
    <row r="1255" ht="15.75" customHeight="1">
      <c r="A1255" s="206"/>
      <c r="B1255" s="54" t="s">
        <v>18</v>
      </c>
      <c r="C1255" s="258" t="s">
        <v>905</v>
      </c>
      <c r="D1255" s="55" t="s">
        <v>20</v>
      </c>
      <c r="E1255" s="54"/>
      <c r="F1255" s="56">
        <v>1.0</v>
      </c>
      <c r="G1255" s="159">
        <v>4000.0</v>
      </c>
      <c r="H1255" s="57">
        <f t="shared" si="29"/>
        <v>4000</v>
      </c>
      <c r="I1255" s="58"/>
      <c r="J1255" s="58"/>
      <c r="K1255" s="54"/>
      <c r="L1255" s="271"/>
      <c r="M1255" s="271"/>
      <c r="N1255" s="271"/>
      <c r="O1255" s="271"/>
      <c r="P1255" s="271"/>
      <c r="Q1255" s="1"/>
      <c r="R1255" s="1"/>
      <c r="S1255" s="1"/>
      <c r="T1255" s="1"/>
      <c r="U1255" s="1"/>
      <c r="V1255" s="1"/>
    </row>
    <row r="1256" ht="15.75" hidden="1" customHeight="1">
      <c r="A1256" s="206"/>
      <c r="B1256" s="54"/>
      <c r="C1256" s="13" t="s">
        <v>848</v>
      </c>
      <c r="D1256" s="318" t="s">
        <v>26</v>
      </c>
      <c r="E1256" s="52"/>
      <c r="F1256" s="48">
        <v>0.0</v>
      </c>
      <c r="G1256" s="50">
        <v>11000.0</v>
      </c>
      <c r="H1256" s="50">
        <f t="shared" si="29"/>
        <v>0</v>
      </c>
      <c r="I1256" s="58"/>
      <c r="J1256" s="58"/>
      <c r="K1256" s="54"/>
      <c r="L1256" s="271"/>
      <c r="M1256" s="271"/>
      <c r="N1256" s="271"/>
      <c r="O1256" s="271"/>
      <c r="P1256" s="271"/>
      <c r="Q1256" s="1"/>
      <c r="R1256" s="1"/>
      <c r="S1256" s="1"/>
      <c r="T1256" s="1"/>
      <c r="U1256" s="1"/>
      <c r="V1256" s="1"/>
    </row>
    <row r="1257" ht="15.75" hidden="1" customHeight="1">
      <c r="A1257" s="206"/>
      <c r="B1257" s="54"/>
      <c r="C1257" s="206" t="s">
        <v>849</v>
      </c>
      <c r="D1257" s="55" t="s">
        <v>20</v>
      </c>
      <c r="E1257" s="54"/>
      <c r="F1257" s="56">
        <v>0.0</v>
      </c>
      <c r="G1257" s="57">
        <v>6000.0</v>
      </c>
      <c r="H1257" s="57">
        <f t="shared" si="29"/>
        <v>0</v>
      </c>
      <c r="I1257" s="58"/>
      <c r="J1257" s="58"/>
      <c r="K1257" s="54"/>
      <c r="L1257" s="271"/>
      <c r="M1257" s="271"/>
      <c r="N1257" s="271"/>
      <c r="O1257" s="271"/>
      <c r="P1257" s="271"/>
      <c r="Q1257" s="1"/>
      <c r="R1257" s="1"/>
      <c r="S1257" s="1"/>
      <c r="T1257" s="1"/>
      <c r="U1257" s="1"/>
      <c r="V1257" s="1"/>
    </row>
    <row r="1258" ht="15.75" hidden="1" customHeight="1">
      <c r="A1258" s="206"/>
      <c r="B1258" s="54" t="s">
        <v>18</v>
      </c>
      <c r="C1258" s="54" t="s">
        <v>850</v>
      </c>
      <c r="D1258" s="55" t="s">
        <v>20</v>
      </c>
      <c r="E1258" s="54" t="s">
        <v>851</v>
      </c>
      <c r="F1258" s="56">
        <v>0.0</v>
      </c>
      <c r="G1258" s="57">
        <v>36.49</v>
      </c>
      <c r="H1258" s="57">
        <f t="shared" si="29"/>
        <v>0</v>
      </c>
      <c r="I1258" s="58"/>
      <c r="J1258" s="58"/>
      <c r="K1258" s="54"/>
      <c r="L1258" s="54"/>
      <c r="M1258" s="54"/>
      <c r="N1258" s="54"/>
      <c r="O1258" s="54"/>
      <c r="P1258" s="54"/>
      <c r="Q1258" s="1"/>
      <c r="R1258" s="1"/>
      <c r="S1258" s="1"/>
      <c r="T1258" s="1"/>
      <c r="U1258" s="1"/>
      <c r="V1258" s="1"/>
    </row>
    <row r="1259" ht="15.75" customHeight="1">
      <c r="A1259" s="206"/>
      <c r="B1259" s="54" t="s">
        <v>18</v>
      </c>
      <c r="C1259" s="54" t="s">
        <v>852</v>
      </c>
      <c r="D1259" s="55" t="s">
        <v>20</v>
      </c>
      <c r="E1259" s="230" t="s">
        <v>990</v>
      </c>
      <c r="F1259" s="158">
        <v>1.0</v>
      </c>
      <c r="G1259" s="159">
        <v>240.0</v>
      </c>
      <c r="H1259" s="57">
        <f t="shared" si="29"/>
        <v>240</v>
      </c>
      <c r="I1259" s="58"/>
      <c r="J1259" s="58"/>
      <c r="K1259" s="54"/>
      <c r="L1259" s="252"/>
      <c r="M1259" s="252"/>
      <c r="N1259" s="252"/>
      <c r="O1259" s="252"/>
      <c r="P1259" s="252"/>
      <c r="Q1259" s="1"/>
      <c r="R1259" s="1"/>
      <c r="S1259" s="1"/>
      <c r="T1259" s="1"/>
      <c r="U1259" s="1"/>
      <c r="V1259" s="1"/>
    </row>
    <row r="1260" ht="15.75" hidden="1" customHeight="1">
      <c r="A1260" s="206"/>
      <c r="B1260" s="54" t="s">
        <v>18</v>
      </c>
      <c r="C1260" s="54" t="s">
        <v>854</v>
      </c>
      <c r="D1260" s="55" t="s">
        <v>20</v>
      </c>
      <c r="E1260" s="54" t="s">
        <v>855</v>
      </c>
      <c r="F1260" s="56">
        <v>0.0</v>
      </c>
      <c r="G1260" s="57">
        <v>98.16</v>
      </c>
      <c r="H1260" s="57">
        <f t="shared" si="29"/>
        <v>0</v>
      </c>
      <c r="I1260" s="58"/>
      <c r="J1260" s="58"/>
      <c r="K1260" s="54"/>
      <c r="L1260" s="252"/>
      <c r="M1260" s="252"/>
      <c r="N1260" s="252"/>
      <c r="O1260" s="252"/>
      <c r="P1260" s="252"/>
      <c r="Q1260" s="1"/>
      <c r="R1260" s="1"/>
      <c r="S1260" s="1"/>
      <c r="T1260" s="1"/>
      <c r="U1260" s="1"/>
      <c r="V1260" s="1"/>
    </row>
    <row r="1261" ht="15.75" hidden="1" customHeight="1">
      <c r="A1261" s="206"/>
      <c r="B1261" s="54" t="s">
        <v>18</v>
      </c>
      <c r="C1261" s="54" t="s">
        <v>856</v>
      </c>
      <c r="D1261" s="55" t="s">
        <v>20</v>
      </c>
      <c r="E1261" s="54" t="s">
        <v>857</v>
      </c>
      <c r="F1261" s="56">
        <v>0.0</v>
      </c>
      <c r="G1261" s="57">
        <v>36.99</v>
      </c>
      <c r="H1261" s="57">
        <f t="shared" si="29"/>
        <v>0</v>
      </c>
      <c r="I1261" s="58"/>
      <c r="J1261" s="58"/>
      <c r="K1261" s="54"/>
      <c r="L1261" s="252"/>
      <c r="M1261" s="252"/>
      <c r="N1261" s="252"/>
      <c r="O1261" s="252"/>
      <c r="P1261" s="252"/>
      <c r="Q1261" s="1"/>
      <c r="R1261" s="1"/>
      <c r="S1261" s="1"/>
      <c r="T1261" s="1"/>
      <c r="U1261" s="1"/>
      <c r="V1261" s="1"/>
    </row>
    <row r="1262" ht="15.75" hidden="1" customHeight="1">
      <c r="A1262" s="206"/>
      <c r="B1262" s="54" t="s">
        <v>574</v>
      </c>
      <c r="C1262" s="54" t="s">
        <v>736</v>
      </c>
      <c r="D1262" s="55" t="s">
        <v>20</v>
      </c>
      <c r="E1262" s="54"/>
      <c r="F1262" s="56">
        <v>0.0</v>
      </c>
      <c r="G1262" s="57">
        <v>0.0</v>
      </c>
      <c r="H1262" s="57">
        <f t="shared" si="29"/>
        <v>0</v>
      </c>
      <c r="I1262" s="58"/>
      <c r="J1262" s="58"/>
      <c r="K1262" s="54"/>
      <c r="L1262" s="252"/>
      <c r="M1262" s="252"/>
      <c r="N1262" s="252"/>
      <c r="O1262" s="252"/>
      <c r="P1262" s="252"/>
      <c r="Q1262" s="1"/>
      <c r="R1262" s="1"/>
      <c r="S1262" s="1"/>
      <c r="T1262" s="1"/>
      <c r="U1262" s="1"/>
      <c r="V1262" s="1"/>
    </row>
    <row r="1263" ht="15.75" hidden="1" customHeight="1">
      <c r="A1263" s="206"/>
      <c r="B1263" s="54"/>
      <c r="C1263" s="54" t="s">
        <v>858</v>
      </c>
      <c r="D1263" s="55" t="s">
        <v>20</v>
      </c>
      <c r="E1263" s="54"/>
      <c r="F1263" s="56">
        <v>0.0</v>
      </c>
      <c r="G1263" s="57">
        <v>1000.0</v>
      </c>
      <c r="H1263" s="57">
        <f t="shared" si="29"/>
        <v>0</v>
      </c>
      <c r="I1263" s="58"/>
      <c r="J1263" s="58"/>
      <c r="K1263" s="54"/>
      <c r="L1263" s="252"/>
      <c r="M1263" s="252"/>
      <c r="N1263" s="252"/>
      <c r="O1263" s="252"/>
      <c r="P1263" s="252"/>
      <c r="Q1263" s="1"/>
      <c r="R1263" s="1"/>
      <c r="S1263" s="1"/>
      <c r="T1263" s="1"/>
      <c r="U1263" s="1"/>
      <c r="V1263" s="1"/>
    </row>
    <row r="1264" ht="15.75" hidden="1" customHeight="1">
      <c r="A1264" s="206"/>
      <c r="B1264" s="54" t="s">
        <v>18</v>
      </c>
      <c r="C1264" s="54" t="s">
        <v>781</v>
      </c>
      <c r="D1264" s="55" t="s">
        <v>20</v>
      </c>
      <c r="E1264" s="54" t="s">
        <v>859</v>
      </c>
      <c r="F1264" s="56">
        <v>0.0</v>
      </c>
      <c r="G1264" s="57">
        <v>240.0</v>
      </c>
      <c r="H1264" s="57">
        <f t="shared" si="29"/>
        <v>0</v>
      </c>
      <c r="I1264" s="58"/>
      <c r="J1264" s="58"/>
      <c r="K1264" s="54"/>
      <c r="L1264" s="252"/>
      <c r="M1264" s="252"/>
      <c r="N1264" s="252"/>
      <c r="O1264" s="252"/>
      <c r="P1264" s="252"/>
      <c r="Q1264" s="1"/>
      <c r="R1264" s="1"/>
      <c r="S1264" s="1"/>
      <c r="T1264" s="1"/>
      <c r="U1264" s="1"/>
      <c r="V1264" s="1"/>
    </row>
    <row r="1265" ht="15.75" customHeight="1">
      <c r="A1265" s="206"/>
      <c r="B1265" s="54" t="s">
        <v>18</v>
      </c>
      <c r="C1265" s="54" t="s">
        <v>860</v>
      </c>
      <c r="D1265" s="55" t="s">
        <v>20</v>
      </c>
      <c r="E1265" s="157" t="s">
        <v>907</v>
      </c>
      <c r="F1265" s="158">
        <v>1.0</v>
      </c>
      <c r="G1265" s="159">
        <v>63.6</v>
      </c>
      <c r="H1265" s="57">
        <f t="shared" si="29"/>
        <v>63.6</v>
      </c>
      <c r="I1265" s="58"/>
      <c r="J1265" s="58"/>
      <c r="K1265" s="54"/>
      <c r="L1265" s="252"/>
      <c r="M1265" s="252"/>
      <c r="N1265" s="252"/>
      <c r="O1265" s="252"/>
      <c r="P1265" s="252"/>
      <c r="Q1265" s="1"/>
      <c r="R1265" s="1"/>
      <c r="S1265" s="1"/>
      <c r="T1265" s="1"/>
      <c r="U1265" s="1"/>
      <c r="V1265" s="1"/>
    </row>
    <row r="1266" ht="15.75" customHeight="1">
      <c r="A1266" s="206"/>
      <c r="B1266" s="54"/>
      <c r="C1266" s="258" t="s">
        <v>908</v>
      </c>
      <c r="D1266" s="55" t="s">
        <v>20</v>
      </c>
      <c r="E1266" s="157" t="s">
        <v>909</v>
      </c>
      <c r="F1266" s="158">
        <v>1.0</v>
      </c>
      <c r="G1266" s="159">
        <v>84.0</v>
      </c>
      <c r="H1266" s="57">
        <f t="shared" si="29"/>
        <v>84</v>
      </c>
      <c r="I1266" s="58"/>
      <c r="J1266" s="58"/>
      <c r="K1266" s="54"/>
      <c r="L1266" s="326"/>
      <c r="M1266" s="326"/>
      <c r="N1266" s="326"/>
      <c r="O1266" s="326"/>
      <c r="P1266" s="326"/>
      <c r="Q1266" s="1"/>
      <c r="R1266" s="1"/>
      <c r="S1266" s="1"/>
      <c r="T1266" s="1"/>
      <c r="U1266" s="1"/>
      <c r="V1266" s="1"/>
    </row>
    <row r="1267" ht="15.75" hidden="1" customHeight="1">
      <c r="A1267" s="206"/>
      <c r="B1267" s="54" t="s">
        <v>18</v>
      </c>
      <c r="C1267" s="54" t="s">
        <v>862</v>
      </c>
      <c r="D1267" s="55" t="s">
        <v>20</v>
      </c>
      <c r="E1267" s="54" t="s">
        <v>863</v>
      </c>
      <c r="F1267" s="56">
        <v>0.0</v>
      </c>
      <c r="G1267" s="57">
        <v>19.99</v>
      </c>
      <c r="H1267" s="57">
        <f t="shared" si="29"/>
        <v>0</v>
      </c>
      <c r="I1267" s="58"/>
      <c r="J1267" s="58"/>
      <c r="K1267" s="54"/>
      <c r="L1267" s="54"/>
      <c r="M1267" s="54"/>
      <c r="N1267" s="54"/>
      <c r="O1267" s="54"/>
      <c r="P1267" s="54"/>
      <c r="Q1267" s="1"/>
      <c r="R1267" s="1"/>
      <c r="S1267" s="1"/>
      <c r="T1267" s="1"/>
      <c r="U1267" s="1"/>
      <c r="V1267" s="1"/>
    </row>
    <row r="1268" ht="15.75" hidden="1" customHeight="1">
      <c r="A1268" s="206"/>
      <c r="B1268" s="54"/>
      <c r="C1268" s="54" t="s">
        <v>864</v>
      </c>
      <c r="D1268" s="216" t="s">
        <v>24</v>
      </c>
      <c r="E1268" s="54"/>
      <c r="F1268" s="56">
        <v>0.0</v>
      </c>
      <c r="G1268" s="57">
        <v>1500.0</v>
      </c>
      <c r="H1268" s="57">
        <f t="shared" si="29"/>
        <v>0</v>
      </c>
      <c r="I1268" s="58"/>
      <c r="J1268" s="58"/>
      <c r="K1268" s="54"/>
      <c r="L1268" s="54"/>
      <c r="M1268" s="54"/>
      <c r="N1268" s="54"/>
      <c r="O1268" s="54"/>
      <c r="P1268" s="54"/>
      <c r="Q1268" s="1"/>
      <c r="R1268" s="1"/>
      <c r="S1268" s="1"/>
      <c r="T1268" s="1"/>
      <c r="U1268" s="1"/>
      <c r="V1268" s="1"/>
    </row>
    <row r="1269" ht="15.75" hidden="1" customHeight="1">
      <c r="A1269" s="206"/>
      <c r="B1269" s="54"/>
      <c r="C1269" s="54" t="s">
        <v>865</v>
      </c>
      <c r="D1269" s="55" t="s">
        <v>20</v>
      </c>
      <c r="E1269" s="54"/>
      <c r="F1269" s="56">
        <v>0.0</v>
      </c>
      <c r="G1269" s="57">
        <v>0.0</v>
      </c>
      <c r="H1269" s="57">
        <v>0.0</v>
      </c>
      <c r="I1269" s="58"/>
      <c r="J1269" s="58"/>
      <c r="K1269" s="54"/>
      <c r="L1269" s="54"/>
      <c r="M1269" s="54"/>
      <c r="N1269" s="54"/>
      <c r="O1269" s="54"/>
      <c r="P1269" s="54"/>
      <c r="Q1269" s="1"/>
      <c r="R1269" s="1"/>
      <c r="S1269" s="1"/>
      <c r="T1269" s="1"/>
      <c r="U1269" s="1"/>
      <c r="V1269" s="1"/>
    </row>
    <row r="1270" ht="15.75" hidden="1" customHeight="1">
      <c r="A1270" s="206"/>
      <c r="B1270" s="54"/>
      <c r="C1270" s="54" t="s">
        <v>866</v>
      </c>
      <c r="D1270" s="216" t="s">
        <v>24</v>
      </c>
      <c r="E1270" s="54"/>
      <c r="F1270" s="56">
        <v>0.0</v>
      </c>
      <c r="G1270" s="57">
        <v>0.0</v>
      </c>
      <c r="H1270" s="57">
        <v>0.0</v>
      </c>
      <c r="I1270" s="58"/>
      <c r="J1270" s="58"/>
      <c r="K1270" s="54"/>
      <c r="L1270" s="54"/>
      <c r="M1270" s="54"/>
      <c r="N1270" s="54"/>
      <c r="O1270" s="54"/>
      <c r="P1270" s="54"/>
      <c r="Q1270" s="1"/>
      <c r="R1270" s="1"/>
      <c r="S1270" s="1"/>
      <c r="T1270" s="1"/>
      <c r="U1270" s="1"/>
      <c r="V1270" s="1"/>
    </row>
    <row r="1271" ht="15.75" hidden="1" customHeight="1">
      <c r="A1271" s="206"/>
      <c r="B1271" s="54"/>
      <c r="C1271" s="54" t="s">
        <v>867</v>
      </c>
      <c r="D1271" s="216" t="s">
        <v>24</v>
      </c>
      <c r="E1271" s="54"/>
      <c r="F1271" s="56">
        <v>0.0</v>
      </c>
      <c r="G1271" s="57">
        <v>0.0</v>
      </c>
      <c r="H1271" s="57">
        <v>0.0</v>
      </c>
      <c r="I1271" s="58"/>
      <c r="J1271" s="58"/>
      <c r="K1271" s="54"/>
      <c r="L1271" s="271"/>
      <c r="M1271" s="271"/>
      <c r="N1271" s="271"/>
      <c r="O1271" s="271"/>
      <c r="P1271" s="271"/>
      <c r="Q1271" s="1"/>
      <c r="R1271" s="1"/>
      <c r="S1271" s="1"/>
      <c r="T1271" s="1"/>
      <c r="U1271" s="1"/>
      <c r="V1271" s="1"/>
    </row>
    <row r="1272" ht="15.75" hidden="1" customHeight="1">
      <c r="A1272" s="206"/>
      <c r="B1272" s="54"/>
      <c r="C1272" s="54" t="s">
        <v>868</v>
      </c>
      <c r="D1272" s="55" t="s">
        <v>20</v>
      </c>
      <c r="E1272" s="54"/>
      <c r="F1272" s="56">
        <v>0.0</v>
      </c>
      <c r="G1272" s="57">
        <v>0.0</v>
      </c>
      <c r="H1272" s="57">
        <v>0.0</v>
      </c>
      <c r="I1272" s="58"/>
      <c r="J1272" s="58"/>
      <c r="K1272" s="54"/>
      <c r="L1272" s="252"/>
      <c r="M1272" s="252"/>
      <c r="N1272" s="252"/>
      <c r="O1272" s="252"/>
      <c r="P1272" s="252"/>
      <c r="Q1272" s="1"/>
      <c r="R1272" s="1"/>
      <c r="S1272" s="1"/>
      <c r="T1272" s="1"/>
      <c r="U1272" s="1"/>
      <c r="V1272" s="1"/>
    </row>
    <row r="1273" ht="15.75" hidden="1" customHeight="1">
      <c r="A1273" s="206"/>
      <c r="B1273" s="54" t="s">
        <v>18</v>
      </c>
      <c r="C1273" s="13" t="s">
        <v>869</v>
      </c>
      <c r="D1273" s="46" t="s">
        <v>20</v>
      </c>
      <c r="E1273" s="207" t="s">
        <v>870</v>
      </c>
      <c r="F1273" s="48">
        <v>0.0</v>
      </c>
      <c r="G1273" s="50">
        <v>51.0</v>
      </c>
      <c r="H1273" s="50">
        <f>SUM(F1273*G1273)</f>
        <v>0</v>
      </c>
      <c r="I1273" s="58"/>
      <c r="J1273" s="58"/>
      <c r="K1273" s="54"/>
      <c r="L1273" s="252"/>
      <c r="M1273" s="252"/>
      <c r="N1273" s="252"/>
      <c r="O1273" s="252"/>
      <c r="P1273" s="252"/>
      <c r="Q1273" s="1"/>
      <c r="R1273" s="1"/>
      <c r="S1273" s="1"/>
      <c r="T1273" s="1"/>
      <c r="U1273" s="1"/>
      <c r="V1273" s="1"/>
    </row>
    <row r="1274" ht="26.25" customHeight="1">
      <c r="A1274" s="6"/>
      <c r="B1274" s="6" t="s">
        <v>30</v>
      </c>
      <c r="C1274" s="7">
        <f>SUM(H1275:H1301)</f>
        <v>66310.64</v>
      </c>
      <c r="D1274" s="148"/>
      <c r="E1274" s="148"/>
      <c r="F1274" s="81"/>
      <c r="G1274" s="82"/>
      <c r="H1274" s="328"/>
      <c r="I1274" s="329"/>
      <c r="J1274" s="82"/>
      <c r="K1274" s="81"/>
      <c r="L1274" s="83"/>
      <c r="M1274" s="83"/>
      <c r="N1274" s="83"/>
      <c r="O1274" s="83"/>
      <c r="P1274" s="83"/>
      <c r="Q1274" s="35"/>
      <c r="R1274" s="35"/>
      <c r="S1274" s="35"/>
      <c r="T1274" s="1"/>
      <c r="U1274" s="1"/>
      <c r="V1274" s="1"/>
    </row>
    <row r="1275" ht="15.75" customHeight="1">
      <c r="A1275" s="15"/>
      <c r="B1275" s="52" t="s">
        <v>18</v>
      </c>
      <c r="C1275" s="196" t="s">
        <v>920</v>
      </c>
      <c r="D1275" s="46" t="s">
        <v>20</v>
      </c>
      <c r="E1275" s="52" t="s">
        <v>921</v>
      </c>
      <c r="F1275" s="48">
        <v>1.0</v>
      </c>
      <c r="G1275" s="49">
        <v>45.6</v>
      </c>
      <c r="H1275" s="50">
        <f t="shared" ref="H1275:H1301" si="30">SUM(F1275*G1275)</f>
        <v>45.6</v>
      </c>
      <c r="I1275" s="51"/>
      <c r="J1275" s="51"/>
      <c r="K1275" s="52"/>
      <c r="L1275" s="52"/>
      <c r="M1275" s="52"/>
      <c r="N1275" s="52"/>
      <c r="O1275" s="52"/>
      <c r="P1275" s="52"/>
      <c r="Q1275" s="1"/>
      <c r="R1275" s="1"/>
      <c r="S1275" s="1"/>
      <c r="T1275" s="1"/>
      <c r="U1275" s="1"/>
      <c r="V1275" s="1"/>
    </row>
    <row r="1276" ht="15.75" hidden="1" customHeight="1">
      <c r="A1276" s="15"/>
      <c r="B1276" s="52"/>
      <c r="C1276" s="196" t="s">
        <v>922</v>
      </c>
      <c r="D1276" s="46" t="s">
        <v>20</v>
      </c>
      <c r="E1276" s="52"/>
      <c r="F1276" s="48">
        <v>0.0</v>
      </c>
      <c r="G1276" s="50">
        <v>5000.0</v>
      </c>
      <c r="H1276" s="50">
        <f t="shared" si="30"/>
        <v>0</v>
      </c>
      <c r="I1276" s="51"/>
      <c r="J1276" s="51"/>
      <c r="K1276" s="52"/>
      <c r="L1276" s="52"/>
      <c r="M1276" s="52"/>
      <c r="N1276" s="52"/>
      <c r="O1276" s="52"/>
      <c r="P1276" s="52"/>
      <c r="Q1276" s="1"/>
      <c r="R1276" s="1"/>
      <c r="S1276" s="1"/>
      <c r="T1276" s="1"/>
      <c r="U1276" s="1"/>
      <c r="V1276" s="1"/>
    </row>
    <row r="1277" ht="15.75" customHeight="1">
      <c r="A1277" s="183"/>
      <c r="B1277" s="330" t="s">
        <v>58</v>
      </c>
      <c r="C1277" s="43" t="s">
        <v>59</v>
      </c>
      <c r="D1277" s="327" t="s">
        <v>24</v>
      </c>
      <c r="E1277" s="331"/>
      <c r="F1277" s="332">
        <v>1.0</v>
      </c>
      <c r="G1277" s="333">
        <v>18848.54</v>
      </c>
      <c r="H1277" s="50">
        <f t="shared" si="30"/>
        <v>18848.54</v>
      </c>
      <c r="I1277" s="334"/>
      <c r="J1277" s="334"/>
      <c r="K1277" s="331"/>
      <c r="L1277" s="331"/>
      <c r="M1277" s="331"/>
      <c r="N1277" s="331"/>
      <c r="O1277" s="331"/>
      <c r="P1277" s="331"/>
      <c r="Q1277" s="182"/>
      <c r="R1277" s="182"/>
      <c r="S1277" s="182"/>
      <c r="T1277" s="182"/>
      <c r="U1277" s="182"/>
      <c r="V1277" s="182"/>
    </row>
    <row r="1278" ht="15.75" customHeight="1">
      <c r="A1278" s="183"/>
      <c r="B1278" s="330" t="s">
        <v>923</v>
      </c>
      <c r="C1278" s="231" t="s">
        <v>924</v>
      </c>
      <c r="D1278" s="327" t="s">
        <v>24</v>
      </c>
      <c r="E1278" s="331"/>
      <c r="F1278" s="335">
        <v>1.0</v>
      </c>
      <c r="G1278" s="333">
        <v>6986.5</v>
      </c>
      <c r="H1278" s="50">
        <f t="shared" si="30"/>
        <v>6986.5</v>
      </c>
      <c r="I1278" s="334"/>
      <c r="J1278" s="334"/>
      <c r="K1278" s="331"/>
      <c r="L1278" s="331"/>
      <c r="M1278" s="331"/>
      <c r="N1278" s="331"/>
      <c r="O1278" s="331"/>
      <c r="P1278" s="331"/>
      <c r="Q1278" s="182"/>
      <c r="R1278" s="182"/>
      <c r="S1278" s="182"/>
      <c r="T1278" s="182"/>
      <c r="U1278" s="182"/>
      <c r="V1278" s="182"/>
    </row>
    <row r="1279" ht="15.75" customHeight="1">
      <c r="A1279" s="183"/>
      <c r="B1279" s="130"/>
      <c r="C1279" s="231" t="s">
        <v>925</v>
      </c>
      <c r="D1279" s="185" t="s">
        <v>24</v>
      </c>
      <c r="E1279" s="130"/>
      <c r="F1279" s="184">
        <v>4.0</v>
      </c>
      <c r="G1279" s="179">
        <v>600.0</v>
      </c>
      <c r="H1279" s="50">
        <f t="shared" si="30"/>
        <v>2400</v>
      </c>
      <c r="I1279" s="175"/>
      <c r="J1279" s="175"/>
      <c r="K1279" s="130"/>
      <c r="L1279" s="130"/>
      <c r="M1279" s="130"/>
      <c r="N1279" s="130"/>
      <c r="O1279" s="130"/>
      <c r="P1279" s="130"/>
      <c r="Q1279" s="182"/>
      <c r="R1279" s="182"/>
      <c r="S1279" s="182"/>
      <c r="T1279" s="182"/>
      <c r="U1279" s="182"/>
      <c r="V1279" s="182"/>
    </row>
    <row r="1280" ht="15.75" customHeight="1">
      <c r="A1280" s="183"/>
      <c r="B1280" s="231" t="s">
        <v>239</v>
      </c>
      <c r="C1280" s="231" t="s">
        <v>926</v>
      </c>
      <c r="D1280" s="185" t="s">
        <v>24</v>
      </c>
      <c r="E1280" s="130"/>
      <c r="F1280" s="184">
        <v>1.0</v>
      </c>
      <c r="G1280" s="336">
        <v>400.0</v>
      </c>
      <c r="H1280" s="50">
        <f t="shared" si="30"/>
        <v>400</v>
      </c>
      <c r="I1280" s="175"/>
      <c r="J1280" s="175"/>
      <c r="K1280" s="130"/>
      <c r="L1280" s="130"/>
      <c r="M1280" s="130"/>
      <c r="N1280" s="130"/>
      <c r="O1280" s="130"/>
      <c r="P1280" s="130"/>
      <c r="Q1280" s="182"/>
      <c r="R1280" s="182"/>
      <c r="S1280" s="182"/>
      <c r="T1280" s="182"/>
      <c r="U1280" s="182"/>
      <c r="V1280" s="182"/>
    </row>
    <row r="1281" ht="15.75" hidden="1" customHeight="1">
      <c r="A1281" s="13"/>
      <c r="B1281" s="13"/>
      <c r="C1281" s="169" t="s">
        <v>927</v>
      </c>
      <c r="D1281" s="14" t="s">
        <v>20</v>
      </c>
      <c r="E1281" s="15"/>
      <c r="F1281" s="16">
        <v>0.0</v>
      </c>
      <c r="G1281" s="17">
        <v>6000.0</v>
      </c>
      <c r="H1281" s="50">
        <f t="shared" si="30"/>
        <v>0</v>
      </c>
      <c r="I1281" s="18"/>
      <c r="J1281" s="18"/>
      <c r="K1281" s="13"/>
      <c r="L1281" s="13"/>
      <c r="M1281" s="13"/>
      <c r="N1281" s="13"/>
      <c r="O1281" s="13"/>
      <c r="P1281" s="13"/>
      <c r="Q1281" s="35"/>
      <c r="R1281" s="35"/>
      <c r="S1281" s="35"/>
      <c r="T1281" s="1"/>
      <c r="U1281" s="1"/>
      <c r="V1281" s="1"/>
    </row>
    <row r="1282" ht="15.75" hidden="1" customHeight="1">
      <c r="A1282" s="13"/>
      <c r="B1282" s="13"/>
      <c r="C1282" s="169" t="s">
        <v>928</v>
      </c>
      <c r="D1282" s="14" t="s">
        <v>20</v>
      </c>
      <c r="E1282" s="15"/>
      <c r="F1282" s="16">
        <v>0.0</v>
      </c>
      <c r="G1282" s="17">
        <v>400.0</v>
      </c>
      <c r="H1282" s="50">
        <f t="shared" si="30"/>
        <v>0</v>
      </c>
      <c r="I1282" s="18"/>
      <c r="J1282" s="18"/>
      <c r="K1282" s="13"/>
      <c r="L1282" s="13"/>
      <c r="M1282" s="13"/>
      <c r="N1282" s="13"/>
      <c r="O1282" s="13"/>
      <c r="P1282" s="13"/>
      <c r="Q1282" s="35"/>
      <c r="R1282" s="35"/>
      <c r="S1282" s="35"/>
      <c r="T1282" s="1"/>
      <c r="U1282" s="1"/>
      <c r="V1282" s="1"/>
    </row>
    <row r="1283" ht="15.75" hidden="1" customHeight="1">
      <c r="A1283" s="13"/>
      <c r="B1283" s="13" t="s">
        <v>320</v>
      </c>
      <c r="C1283" s="169" t="s">
        <v>929</v>
      </c>
      <c r="D1283" s="337" t="s">
        <v>30</v>
      </c>
      <c r="E1283" s="15"/>
      <c r="F1283" s="16">
        <v>0.0</v>
      </c>
      <c r="G1283" s="17">
        <v>50.0</v>
      </c>
      <c r="H1283" s="50">
        <f t="shared" si="30"/>
        <v>0</v>
      </c>
      <c r="I1283" s="18"/>
      <c r="J1283" s="18"/>
      <c r="K1283" s="13"/>
      <c r="L1283" s="13"/>
      <c r="M1283" s="13"/>
      <c r="N1283" s="13"/>
      <c r="O1283" s="13"/>
      <c r="P1283" s="13"/>
      <c r="Q1283" s="35"/>
      <c r="R1283" s="35"/>
      <c r="S1283" s="35"/>
      <c r="T1283" s="1"/>
      <c r="U1283" s="1"/>
      <c r="V1283" s="1"/>
    </row>
    <row r="1284" ht="15.75" customHeight="1">
      <c r="A1284" s="13"/>
      <c r="B1284" s="258" t="s">
        <v>930</v>
      </c>
      <c r="C1284" s="13" t="s">
        <v>931</v>
      </c>
      <c r="D1284" s="337" t="s">
        <v>30</v>
      </c>
      <c r="E1284" s="15"/>
      <c r="F1284" s="16">
        <v>1.0</v>
      </c>
      <c r="G1284" s="34">
        <v>100.0</v>
      </c>
      <c r="H1284" s="50">
        <f t="shared" si="30"/>
        <v>100</v>
      </c>
      <c r="I1284" s="18"/>
      <c r="J1284" s="18"/>
      <c r="K1284" s="13"/>
      <c r="L1284" s="13"/>
      <c r="M1284" s="13"/>
      <c r="N1284" s="13"/>
      <c r="O1284" s="13"/>
      <c r="P1284" s="13"/>
      <c r="Q1284" s="35"/>
      <c r="R1284" s="35"/>
      <c r="S1284" s="35"/>
      <c r="T1284" s="1"/>
      <c r="U1284" s="1"/>
      <c r="V1284" s="1"/>
    </row>
    <row r="1285" ht="15.75" customHeight="1">
      <c r="A1285" s="13"/>
      <c r="B1285" s="258" t="s">
        <v>932</v>
      </c>
      <c r="C1285" s="43" t="s">
        <v>931</v>
      </c>
      <c r="D1285" s="337" t="s">
        <v>30</v>
      </c>
      <c r="E1285" s="15"/>
      <c r="F1285" s="40">
        <v>1.0</v>
      </c>
      <c r="G1285" s="34">
        <v>150.0</v>
      </c>
      <c r="H1285" s="50">
        <f t="shared" si="30"/>
        <v>150</v>
      </c>
      <c r="I1285" s="18"/>
      <c r="J1285" s="18"/>
      <c r="K1285" s="13"/>
      <c r="L1285" s="13"/>
      <c r="M1285" s="13"/>
      <c r="N1285" s="13"/>
      <c r="O1285" s="13"/>
      <c r="P1285" s="13"/>
      <c r="Q1285" s="35"/>
      <c r="R1285" s="35"/>
      <c r="S1285" s="35"/>
      <c r="T1285" s="1"/>
      <c r="U1285" s="1"/>
      <c r="V1285" s="1"/>
    </row>
    <row r="1286" ht="15.75" hidden="1" customHeight="1">
      <c r="A1286" s="13"/>
      <c r="B1286" s="54"/>
      <c r="C1286" s="13" t="s">
        <v>933</v>
      </c>
      <c r="D1286" s="14" t="s">
        <v>20</v>
      </c>
      <c r="E1286" s="15"/>
      <c r="F1286" s="40">
        <v>0.0</v>
      </c>
      <c r="G1286" s="17">
        <v>80.0</v>
      </c>
      <c r="H1286" s="50">
        <f t="shared" si="30"/>
        <v>0</v>
      </c>
      <c r="I1286" s="18"/>
      <c r="J1286" s="18"/>
      <c r="K1286" s="13"/>
      <c r="L1286" s="13"/>
      <c r="M1286" s="13"/>
      <c r="N1286" s="13"/>
      <c r="O1286" s="13"/>
      <c r="P1286" s="13"/>
      <c r="Q1286" s="35"/>
      <c r="R1286" s="35"/>
      <c r="S1286" s="35"/>
      <c r="T1286" s="1"/>
      <c r="U1286" s="1"/>
      <c r="V1286" s="1"/>
    </row>
    <row r="1287" ht="15.75" customHeight="1">
      <c r="A1287" s="13"/>
      <c r="B1287" s="54"/>
      <c r="C1287" s="13" t="s">
        <v>934</v>
      </c>
      <c r="D1287" s="14" t="s">
        <v>20</v>
      </c>
      <c r="E1287" s="15"/>
      <c r="F1287" s="16">
        <v>1.0</v>
      </c>
      <c r="G1287" s="17">
        <v>4000.0</v>
      </c>
      <c r="H1287" s="50">
        <f t="shared" si="30"/>
        <v>4000</v>
      </c>
      <c r="I1287" s="18"/>
      <c r="J1287" s="18"/>
      <c r="K1287" s="13"/>
      <c r="L1287" s="13"/>
      <c r="M1287" s="13"/>
      <c r="N1287" s="13"/>
      <c r="O1287" s="13"/>
      <c r="P1287" s="13"/>
      <c r="Q1287" s="35"/>
      <c r="R1287" s="35"/>
      <c r="S1287" s="35"/>
      <c r="T1287" s="1"/>
      <c r="U1287" s="1"/>
      <c r="V1287" s="1"/>
    </row>
    <row r="1288" ht="15.75" hidden="1" customHeight="1">
      <c r="A1288" s="13"/>
      <c r="B1288" s="54"/>
      <c r="C1288" s="13" t="s">
        <v>935</v>
      </c>
      <c r="D1288" s="14" t="s">
        <v>20</v>
      </c>
      <c r="E1288" s="15"/>
      <c r="F1288" s="40">
        <v>0.0</v>
      </c>
      <c r="G1288" s="17">
        <v>50.0</v>
      </c>
      <c r="H1288" s="50">
        <f t="shared" si="30"/>
        <v>0</v>
      </c>
      <c r="I1288" s="18"/>
      <c r="J1288" s="18"/>
      <c r="K1288" s="13"/>
      <c r="L1288" s="13"/>
      <c r="M1288" s="13"/>
      <c r="N1288" s="13"/>
      <c r="O1288" s="13"/>
      <c r="P1288" s="13"/>
      <c r="Q1288" s="35"/>
      <c r="R1288" s="35"/>
      <c r="S1288" s="35"/>
      <c r="T1288" s="1"/>
      <c r="U1288" s="1"/>
      <c r="V1288" s="1"/>
    </row>
    <row r="1289" ht="15.75" customHeight="1">
      <c r="A1289" s="13"/>
      <c r="B1289" s="54"/>
      <c r="C1289" s="13" t="s">
        <v>936</v>
      </c>
      <c r="D1289" s="70" t="s">
        <v>24</v>
      </c>
      <c r="E1289" s="15"/>
      <c r="F1289" s="16">
        <v>1.0</v>
      </c>
      <c r="G1289" s="17">
        <v>250.0</v>
      </c>
      <c r="H1289" s="50">
        <f t="shared" si="30"/>
        <v>250</v>
      </c>
      <c r="I1289" s="18"/>
      <c r="J1289" s="18"/>
      <c r="K1289" s="13"/>
      <c r="L1289" s="13"/>
      <c r="M1289" s="13"/>
      <c r="N1289" s="13"/>
      <c r="O1289" s="13"/>
      <c r="P1289" s="13"/>
      <c r="Q1289" s="35"/>
      <c r="R1289" s="35"/>
      <c r="S1289" s="35"/>
      <c r="T1289" s="1"/>
      <c r="U1289" s="1"/>
      <c r="V1289" s="1"/>
    </row>
    <row r="1290" ht="15.75" hidden="1" customHeight="1">
      <c r="A1290" s="13"/>
      <c r="B1290" s="13"/>
      <c r="C1290" s="13" t="s">
        <v>937</v>
      </c>
      <c r="D1290" s="70" t="s">
        <v>24</v>
      </c>
      <c r="E1290" s="15"/>
      <c r="F1290" s="16">
        <v>0.0</v>
      </c>
      <c r="G1290" s="17">
        <v>600.0</v>
      </c>
      <c r="H1290" s="50">
        <f t="shared" si="30"/>
        <v>0</v>
      </c>
      <c r="I1290" s="18"/>
      <c r="J1290" s="18"/>
      <c r="K1290" s="13"/>
      <c r="L1290" s="13"/>
      <c r="M1290" s="13"/>
      <c r="N1290" s="13"/>
      <c r="O1290" s="13"/>
      <c r="P1290" s="13"/>
      <c r="Q1290" s="35"/>
      <c r="R1290" s="35"/>
      <c r="S1290" s="35"/>
      <c r="T1290" s="1"/>
      <c r="U1290" s="1"/>
      <c r="V1290" s="1"/>
    </row>
    <row r="1291" ht="15.75" customHeight="1">
      <c r="A1291" s="13"/>
      <c r="B1291" s="13" t="s">
        <v>938</v>
      </c>
      <c r="C1291" s="13" t="s">
        <v>939</v>
      </c>
      <c r="D1291" s="337" t="s">
        <v>30</v>
      </c>
      <c r="E1291" s="15"/>
      <c r="F1291" s="16">
        <v>1.0</v>
      </c>
      <c r="G1291" s="34">
        <v>350.0</v>
      </c>
      <c r="H1291" s="17">
        <f t="shared" si="30"/>
        <v>350</v>
      </c>
      <c r="I1291" s="18"/>
      <c r="J1291" s="18"/>
      <c r="K1291" s="13"/>
      <c r="L1291" s="13"/>
      <c r="M1291" s="13"/>
      <c r="N1291" s="13"/>
      <c r="O1291" s="13"/>
      <c r="P1291" s="13"/>
      <c r="Q1291" s="35"/>
      <c r="R1291" s="35"/>
      <c r="S1291" s="35"/>
      <c r="T1291" s="1"/>
      <c r="U1291" s="1"/>
      <c r="V1291" s="1"/>
    </row>
    <row r="1292" ht="15.75" hidden="1" customHeight="1">
      <c r="A1292" s="15"/>
      <c r="B1292" s="13" t="s">
        <v>940</v>
      </c>
      <c r="C1292" s="52" t="s">
        <v>941</v>
      </c>
      <c r="D1292" s="338" t="s">
        <v>30</v>
      </c>
      <c r="E1292" s="52"/>
      <c r="F1292" s="48">
        <v>0.0</v>
      </c>
      <c r="G1292" s="50">
        <v>390.0</v>
      </c>
      <c r="H1292" s="50">
        <f t="shared" si="30"/>
        <v>0</v>
      </c>
      <c r="I1292" s="51"/>
      <c r="J1292" s="51"/>
      <c r="K1292" s="52"/>
      <c r="L1292" s="52"/>
      <c r="M1292" s="52"/>
      <c r="N1292" s="52"/>
      <c r="O1292" s="52"/>
      <c r="P1292" s="52"/>
      <c r="Q1292" s="1"/>
      <c r="R1292" s="1"/>
      <c r="S1292" s="1"/>
      <c r="T1292" s="1"/>
      <c r="U1292" s="1"/>
      <c r="V1292" s="1"/>
    </row>
    <row r="1293" ht="15.75" customHeight="1">
      <c r="A1293" s="13"/>
      <c r="B1293" s="13" t="s">
        <v>940</v>
      </c>
      <c r="C1293" s="166" t="s">
        <v>942</v>
      </c>
      <c r="D1293" s="339" t="s">
        <v>30</v>
      </c>
      <c r="E1293" s="219"/>
      <c r="F1293" s="190">
        <v>2.0</v>
      </c>
      <c r="G1293" s="192">
        <v>500.0</v>
      </c>
      <c r="H1293" s="17">
        <f t="shared" si="30"/>
        <v>1000</v>
      </c>
      <c r="I1293" s="193"/>
      <c r="J1293" s="18"/>
      <c r="K1293" s="13"/>
      <c r="L1293" s="13"/>
      <c r="M1293" s="13"/>
      <c r="N1293" s="13"/>
      <c r="O1293" s="13"/>
      <c r="P1293" s="13"/>
      <c r="Q1293" s="35"/>
      <c r="R1293" s="35"/>
      <c r="S1293" s="35"/>
      <c r="T1293" s="1"/>
      <c r="U1293" s="1"/>
      <c r="V1293" s="1"/>
    </row>
    <row r="1294" ht="15.75" hidden="1" customHeight="1">
      <c r="A1294" s="13"/>
      <c r="B1294" s="13" t="s">
        <v>940</v>
      </c>
      <c r="C1294" s="166" t="s">
        <v>943</v>
      </c>
      <c r="D1294" s="339" t="s">
        <v>30</v>
      </c>
      <c r="E1294" s="219"/>
      <c r="F1294" s="190">
        <v>0.0</v>
      </c>
      <c r="G1294" s="192">
        <v>550.0</v>
      </c>
      <c r="H1294" s="17">
        <f t="shared" si="30"/>
        <v>0</v>
      </c>
      <c r="I1294" s="193"/>
      <c r="J1294" s="18"/>
      <c r="K1294" s="13"/>
      <c r="L1294" s="13"/>
      <c r="M1294" s="13"/>
      <c r="N1294" s="13"/>
      <c r="O1294" s="13"/>
      <c r="P1294" s="13"/>
      <c r="Q1294" s="35"/>
      <c r="R1294" s="35"/>
      <c r="S1294" s="35"/>
      <c r="T1294" s="1"/>
      <c r="U1294" s="1"/>
      <c r="V1294" s="1"/>
    </row>
    <row r="1295" ht="15.75" hidden="1" customHeight="1">
      <c r="A1295" s="13"/>
      <c r="B1295" s="13" t="s">
        <v>940</v>
      </c>
      <c r="C1295" s="166" t="s">
        <v>944</v>
      </c>
      <c r="D1295" s="339" t="s">
        <v>30</v>
      </c>
      <c r="E1295" s="219"/>
      <c r="F1295" s="190">
        <v>0.0</v>
      </c>
      <c r="G1295" s="192">
        <v>610.0</v>
      </c>
      <c r="H1295" s="17">
        <f t="shared" si="30"/>
        <v>0</v>
      </c>
      <c r="I1295" s="193"/>
      <c r="J1295" s="18"/>
      <c r="K1295" s="13"/>
      <c r="L1295" s="13"/>
      <c r="M1295" s="13"/>
      <c r="N1295" s="13"/>
      <c r="O1295" s="13"/>
      <c r="P1295" s="13"/>
      <c r="Q1295" s="35"/>
      <c r="R1295" s="35"/>
      <c r="S1295" s="35"/>
      <c r="T1295" s="1"/>
      <c r="U1295" s="1"/>
      <c r="V1295" s="1"/>
    </row>
    <row r="1296" ht="15.75" hidden="1" customHeight="1">
      <c r="A1296" s="15"/>
      <c r="B1296" s="52"/>
      <c r="C1296" s="52" t="s">
        <v>945</v>
      </c>
      <c r="D1296" s="338" t="s">
        <v>30</v>
      </c>
      <c r="E1296" s="52"/>
      <c r="F1296" s="48">
        <v>0.0</v>
      </c>
      <c r="G1296" s="50">
        <v>1440.0</v>
      </c>
      <c r="H1296" s="50">
        <f t="shared" si="30"/>
        <v>0</v>
      </c>
      <c r="I1296" s="51"/>
      <c r="J1296" s="51"/>
      <c r="K1296" s="52"/>
      <c r="L1296" s="52"/>
      <c r="M1296" s="52"/>
      <c r="N1296" s="52"/>
      <c r="O1296" s="52"/>
      <c r="P1296" s="52"/>
      <c r="Q1296" s="1"/>
      <c r="R1296" s="1"/>
      <c r="S1296" s="1"/>
      <c r="T1296" s="1"/>
      <c r="U1296" s="1"/>
      <c r="V1296" s="1"/>
    </row>
    <row r="1297" ht="15.75" customHeight="1">
      <c r="A1297" s="13"/>
      <c r="B1297" s="13"/>
      <c r="C1297" s="166" t="s">
        <v>946</v>
      </c>
      <c r="D1297" s="339" t="s">
        <v>30</v>
      </c>
      <c r="E1297" s="219"/>
      <c r="F1297" s="190">
        <v>1.0</v>
      </c>
      <c r="G1297" s="192">
        <v>1380.0</v>
      </c>
      <c r="H1297" s="17">
        <f t="shared" si="30"/>
        <v>1380</v>
      </c>
      <c r="I1297" s="193"/>
      <c r="J1297" s="18"/>
      <c r="K1297" s="13"/>
      <c r="L1297" s="13"/>
      <c r="M1297" s="13"/>
      <c r="N1297" s="13"/>
      <c r="O1297" s="13"/>
      <c r="P1297" s="13"/>
      <c r="Q1297" s="35"/>
      <c r="R1297" s="35"/>
      <c r="S1297" s="35"/>
      <c r="T1297" s="1"/>
      <c r="U1297" s="1"/>
      <c r="V1297" s="1"/>
    </row>
    <row r="1298" ht="15.75" hidden="1" customHeight="1">
      <c r="A1298" s="13"/>
      <c r="B1298" s="13"/>
      <c r="C1298" s="166" t="s">
        <v>947</v>
      </c>
      <c r="D1298" s="339" t="s">
        <v>30</v>
      </c>
      <c r="E1298" s="219"/>
      <c r="F1298" s="190">
        <v>0.0</v>
      </c>
      <c r="G1298" s="192">
        <v>1740.0</v>
      </c>
      <c r="H1298" s="17">
        <f t="shared" si="30"/>
        <v>0</v>
      </c>
      <c r="I1298" s="193"/>
      <c r="J1298" s="18"/>
      <c r="K1298" s="13"/>
      <c r="L1298" s="13"/>
      <c r="M1298" s="13"/>
      <c r="N1298" s="13"/>
      <c r="O1298" s="13"/>
      <c r="P1298" s="13"/>
      <c r="Q1298" s="35"/>
      <c r="R1298" s="35"/>
      <c r="S1298" s="35"/>
      <c r="T1298" s="1"/>
      <c r="U1298" s="1"/>
      <c r="V1298" s="1"/>
    </row>
    <row r="1299" ht="15.75" hidden="1" customHeight="1">
      <c r="A1299" s="13"/>
      <c r="B1299" s="13"/>
      <c r="C1299" s="166" t="s">
        <v>948</v>
      </c>
      <c r="D1299" s="339" t="s">
        <v>30</v>
      </c>
      <c r="E1299" s="219"/>
      <c r="F1299" s="190">
        <v>0.0</v>
      </c>
      <c r="G1299" s="192">
        <v>2100.0</v>
      </c>
      <c r="H1299" s="17">
        <f t="shared" si="30"/>
        <v>0</v>
      </c>
      <c r="I1299" s="193"/>
      <c r="J1299" s="18"/>
      <c r="K1299" s="13"/>
      <c r="L1299" s="13"/>
      <c r="M1299" s="13"/>
      <c r="N1299" s="13"/>
      <c r="O1299" s="13"/>
      <c r="P1299" s="13"/>
      <c r="Q1299" s="35"/>
      <c r="R1299" s="35"/>
      <c r="S1299" s="35"/>
      <c r="T1299" s="1"/>
      <c r="U1299" s="1"/>
      <c r="V1299" s="1"/>
    </row>
    <row r="1300" ht="15.75" customHeight="1">
      <c r="A1300" s="13"/>
      <c r="B1300" s="13"/>
      <c r="C1300" s="166" t="s">
        <v>949</v>
      </c>
      <c r="D1300" s="339" t="s">
        <v>30</v>
      </c>
      <c r="E1300" s="219"/>
      <c r="F1300" s="222">
        <v>2.0</v>
      </c>
      <c r="G1300" s="191">
        <v>200.0</v>
      </c>
      <c r="H1300" s="17">
        <f t="shared" si="30"/>
        <v>400</v>
      </c>
      <c r="I1300" s="193"/>
      <c r="J1300" s="18"/>
      <c r="K1300" s="13"/>
      <c r="L1300" s="340"/>
      <c r="M1300" s="340"/>
      <c r="N1300" s="340"/>
      <c r="O1300" s="340"/>
      <c r="P1300" s="340"/>
      <c r="Q1300" s="35"/>
      <c r="R1300" s="35"/>
      <c r="S1300" s="35"/>
      <c r="T1300" s="1"/>
      <c r="U1300" s="1"/>
      <c r="V1300" s="1"/>
    </row>
    <row r="1301" ht="15.75" customHeight="1">
      <c r="A1301" s="13"/>
      <c r="B1301" s="13"/>
      <c r="C1301" s="166" t="s">
        <v>950</v>
      </c>
      <c r="D1301" s="338" t="s">
        <v>30</v>
      </c>
      <c r="E1301" s="219" t="s">
        <v>951</v>
      </c>
      <c r="F1301" s="166">
        <v>1.0</v>
      </c>
      <c r="G1301" s="191">
        <v>30000.0</v>
      </c>
      <c r="H1301" s="192">
        <f t="shared" si="30"/>
        <v>30000</v>
      </c>
      <c r="I1301" s="193"/>
      <c r="J1301" s="18"/>
      <c r="K1301" s="13"/>
      <c r="L1301" s="340"/>
      <c r="M1301" s="340"/>
      <c r="N1301" s="340"/>
      <c r="O1301" s="340"/>
      <c r="P1301" s="340"/>
      <c r="Q1301" s="35"/>
      <c r="R1301" s="35"/>
      <c r="S1301" s="35"/>
      <c r="T1301" s="1"/>
      <c r="U1301" s="1"/>
      <c r="V1301" s="1"/>
    </row>
    <row r="1302" ht="15.75" customHeight="1">
      <c r="A1302" s="340"/>
      <c r="B1302" s="340"/>
      <c r="C1302" s="340"/>
      <c r="D1302" s="344"/>
      <c r="E1302" s="344"/>
      <c r="F1302" s="340"/>
      <c r="G1302" s="340"/>
      <c r="H1302" s="340"/>
      <c r="I1302" s="340"/>
      <c r="J1302" s="340"/>
      <c r="K1302" s="340"/>
      <c r="L1302" s="340"/>
      <c r="M1302" s="340"/>
      <c r="N1302" s="340"/>
      <c r="O1302" s="340"/>
      <c r="P1302" s="340"/>
      <c r="Q1302" s="35"/>
      <c r="R1302" s="35"/>
      <c r="S1302" s="35"/>
      <c r="T1302" s="1"/>
      <c r="U1302" s="1"/>
      <c r="V1302" s="1"/>
    </row>
    <row r="1303" ht="15.75" customHeight="1">
      <c r="A1303" s="340"/>
      <c r="B1303" s="340"/>
      <c r="C1303" s="340"/>
      <c r="D1303" s="344"/>
      <c r="E1303" s="344"/>
      <c r="F1303" s="340"/>
      <c r="G1303" s="340"/>
      <c r="H1303" s="340"/>
      <c r="I1303" s="340"/>
      <c r="J1303" s="340"/>
      <c r="K1303" s="340"/>
      <c r="L1303" s="340"/>
      <c r="M1303" s="340"/>
      <c r="N1303" s="340"/>
      <c r="O1303" s="340"/>
      <c r="P1303" s="340"/>
      <c r="Q1303" s="35"/>
      <c r="R1303" s="35"/>
      <c r="S1303" s="35"/>
      <c r="T1303" s="1"/>
      <c r="U1303" s="1"/>
      <c r="V1303" s="1"/>
    </row>
    <row r="1304" ht="15.75" customHeight="1">
      <c r="A1304" s="340"/>
      <c r="B1304" s="340"/>
      <c r="C1304" s="340"/>
      <c r="D1304" s="344"/>
      <c r="E1304" s="344"/>
      <c r="F1304" s="340"/>
      <c r="G1304" s="340"/>
      <c r="H1304" s="340"/>
      <c r="I1304" s="340"/>
      <c r="J1304" s="340"/>
      <c r="K1304" s="340"/>
      <c r="L1304" s="340"/>
      <c r="M1304" s="340"/>
      <c r="N1304" s="340"/>
      <c r="O1304" s="340"/>
      <c r="P1304" s="340"/>
      <c r="Q1304" s="35"/>
      <c r="R1304" s="35"/>
      <c r="S1304" s="35"/>
      <c r="T1304" s="1"/>
      <c r="U1304" s="1"/>
      <c r="V1304" s="1"/>
    </row>
    <row r="1305" ht="15.75" customHeight="1">
      <c r="A1305" s="340"/>
      <c r="B1305" s="340"/>
      <c r="C1305" s="340"/>
      <c r="D1305" s="344"/>
      <c r="E1305" s="344"/>
      <c r="F1305" s="340"/>
      <c r="G1305" s="340"/>
      <c r="H1305" s="340"/>
      <c r="I1305" s="340"/>
      <c r="J1305" s="340"/>
      <c r="K1305" s="340"/>
      <c r="L1305" s="340"/>
      <c r="M1305" s="340"/>
      <c r="N1305" s="340"/>
      <c r="O1305" s="340"/>
      <c r="P1305" s="340"/>
      <c r="Q1305" s="35"/>
      <c r="R1305" s="35"/>
      <c r="S1305" s="35"/>
      <c r="T1305" s="1"/>
      <c r="U1305" s="1"/>
      <c r="V1305" s="1"/>
    </row>
    <row r="1306" ht="15.75" customHeight="1">
      <c r="A1306" s="340"/>
      <c r="B1306" s="340"/>
      <c r="C1306" s="340"/>
      <c r="D1306" s="344"/>
      <c r="E1306" s="344"/>
      <c r="F1306" s="340"/>
      <c r="G1306" s="340"/>
      <c r="H1306" s="340"/>
      <c r="I1306" s="340"/>
      <c r="J1306" s="340"/>
      <c r="K1306" s="340"/>
      <c r="L1306" s="340"/>
      <c r="M1306" s="340"/>
      <c r="N1306" s="340"/>
      <c r="O1306" s="340"/>
      <c r="P1306" s="340"/>
      <c r="Q1306" s="35"/>
      <c r="R1306" s="35"/>
      <c r="S1306" s="35"/>
      <c r="T1306" s="1"/>
      <c r="U1306" s="1"/>
      <c r="V1306" s="1"/>
    </row>
    <row r="1307" ht="15.75" customHeight="1">
      <c r="A1307" s="340"/>
      <c r="B1307" s="340"/>
      <c r="C1307" s="340"/>
      <c r="D1307" s="344"/>
      <c r="E1307" s="344"/>
      <c r="F1307" s="340"/>
      <c r="G1307" s="340"/>
      <c r="H1307" s="340"/>
      <c r="I1307" s="340"/>
      <c r="J1307" s="340"/>
      <c r="K1307" s="340"/>
      <c r="L1307" s="340"/>
      <c r="M1307" s="340"/>
      <c r="N1307" s="340"/>
      <c r="O1307" s="340"/>
      <c r="P1307" s="340"/>
      <c r="Q1307" s="35"/>
      <c r="R1307" s="35"/>
      <c r="S1307" s="35"/>
      <c r="T1307" s="1"/>
      <c r="U1307" s="1"/>
      <c r="V1307" s="1"/>
    </row>
    <row r="1308" ht="15.75" customHeight="1">
      <c r="A1308" s="340"/>
      <c r="B1308" s="340"/>
      <c r="C1308" s="340"/>
      <c r="D1308" s="344"/>
      <c r="E1308" s="344"/>
      <c r="F1308" s="340"/>
      <c r="G1308" s="340"/>
      <c r="H1308" s="340"/>
      <c r="I1308" s="340"/>
      <c r="J1308" s="340"/>
      <c r="K1308" s="340"/>
      <c r="L1308" s="340"/>
      <c r="M1308" s="340"/>
      <c r="N1308" s="340"/>
      <c r="O1308" s="340"/>
      <c r="P1308" s="340"/>
      <c r="Q1308" s="35"/>
      <c r="R1308" s="35"/>
      <c r="S1308" s="35"/>
      <c r="T1308" s="1"/>
      <c r="U1308" s="1"/>
      <c r="V1308" s="1"/>
    </row>
    <row r="1309" ht="15.75" customHeight="1">
      <c r="A1309" s="340"/>
      <c r="B1309" s="340"/>
      <c r="C1309" s="340"/>
      <c r="D1309" s="344"/>
      <c r="E1309" s="344"/>
      <c r="F1309" s="340"/>
      <c r="G1309" s="340"/>
      <c r="H1309" s="340"/>
      <c r="I1309" s="340"/>
      <c r="J1309" s="340"/>
      <c r="K1309" s="340"/>
      <c r="L1309" s="340"/>
      <c r="M1309" s="340"/>
      <c r="N1309" s="340"/>
      <c r="O1309" s="340"/>
      <c r="P1309" s="340"/>
      <c r="Q1309" s="35"/>
      <c r="R1309" s="35"/>
      <c r="S1309" s="35"/>
      <c r="T1309" s="1"/>
      <c r="U1309" s="1"/>
      <c r="V1309" s="1"/>
    </row>
    <row r="1310" ht="15.75" customHeight="1">
      <c r="A1310" s="340"/>
      <c r="B1310" s="340"/>
      <c r="C1310" s="340"/>
      <c r="D1310" s="344"/>
      <c r="E1310" s="344"/>
      <c r="F1310" s="340"/>
      <c r="G1310" s="340"/>
      <c r="H1310" s="340"/>
      <c r="I1310" s="340"/>
      <c r="J1310" s="340"/>
      <c r="K1310" s="340"/>
      <c r="L1310" s="340"/>
      <c r="M1310" s="340"/>
      <c r="N1310" s="340"/>
      <c r="O1310" s="340"/>
      <c r="P1310" s="340"/>
      <c r="Q1310" s="35"/>
      <c r="R1310" s="35"/>
      <c r="S1310" s="35"/>
      <c r="T1310" s="1"/>
      <c r="U1310" s="1"/>
      <c r="V1310" s="1"/>
    </row>
    <row r="1311" ht="15.75" customHeight="1">
      <c r="A1311" s="340"/>
      <c r="B1311" s="340"/>
      <c r="C1311" s="340"/>
      <c r="D1311" s="344"/>
      <c r="E1311" s="344"/>
      <c r="F1311" s="340"/>
      <c r="G1311" s="340"/>
      <c r="H1311" s="340"/>
      <c r="I1311" s="340"/>
      <c r="J1311" s="340"/>
      <c r="K1311" s="340"/>
      <c r="L1311" s="340"/>
      <c r="M1311" s="340"/>
      <c r="N1311" s="340"/>
      <c r="O1311" s="340"/>
      <c r="P1311" s="340"/>
      <c r="Q1311" s="35"/>
      <c r="R1311" s="35"/>
      <c r="S1311" s="35"/>
      <c r="T1311" s="1"/>
      <c r="U1311" s="1"/>
      <c r="V1311" s="1"/>
    </row>
    <row r="1312" ht="15.75" customHeight="1">
      <c r="A1312" s="340"/>
      <c r="B1312" s="340"/>
      <c r="C1312" s="340"/>
      <c r="D1312" s="344"/>
      <c r="E1312" s="344"/>
      <c r="F1312" s="340"/>
      <c r="G1312" s="340"/>
      <c r="H1312" s="340"/>
      <c r="I1312" s="340"/>
      <c r="J1312" s="340"/>
      <c r="K1312" s="340"/>
      <c r="L1312" s="340"/>
      <c r="M1312" s="340"/>
      <c r="N1312" s="340"/>
      <c r="O1312" s="340"/>
      <c r="P1312" s="340"/>
      <c r="Q1312" s="35"/>
      <c r="R1312" s="35"/>
      <c r="S1312" s="35"/>
      <c r="T1312" s="1"/>
      <c r="U1312" s="1"/>
      <c r="V1312" s="1"/>
    </row>
    <row r="1313" ht="15.75" customHeight="1">
      <c r="A1313" s="340"/>
      <c r="B1313" s="340"/>
      <c r="C1313" s="340"/>
      <c r="D1313" s="344"/>
      <c r="E1313" s="344"/>
      <c r="F1313" s="340"/>
      <c r="G1313" s="340"/>
      <c r="H1313" s="340"/>
      <c r="I1313" s="340"/>
      <c r="J1313" s="340"/>
      <c r="K1313" s="340"/>
      <c r="L1313" s="340"/>
      <c r="M1313" s="340"/>
      <c r="N1313" s="340"/>
      <c r="O1313" s="340"/>
      <c r="P1313" s="340"/>
      <c r="Q1313" s="35"/>
      <c r="R1313" s="35"/>
      <c r="S1313" s="35"/>
      <c r="T1313" s="1"/>
      <c r="U1313" s="1"/>
      <c r="V1313" s="1"/>
    </row>
    <row r="1314" ht="15.75" customHeight="1">
      <c r="A1314" s="340"/>
      <c r="B1314" s="340"/>
      <c r="C1314" s="340"/>
      <c r="D1314" s="344"/>
      <c r="E1314" s="344"/>
      <c r="F1314" s="340"/>
      <c r="G1314" s="340"/>
      <c r="H1314" s="340"/>
      <c r="I1314" s="340"/>
      <c r="J1314" s="340"/>
      <c r="K1314" s="340"/>
      <c r="L1314" s="340"/>
      <c r="M1314" s="340"/>
      <c r="N1314" s="340"/>
      <c r="O1314" s="340"/>
      <c r="P1314" s="340"/>
      <c r="Q1314" s="35"/>
      <c r="R1314" s="35"/>
      <c r="S1314" s="35"/>
      <c r="T1314" s="1"/>
      <c r="U1314" s="1"/>
      <c r="V1314" s="1"/>
    </row>
    <row r="1315" ht="15.75" customHeight="1">
      <c r="A1315" s="340"/>
      <c r="B1315" s="340"/>
      <c r="C1315" s="340"/>
      <c r="D1315" s="344"/>
      <c r="E1315" s="344"/>
      <c r="F1315" s="340"/>
      <c r="G1315" s="340"/>
      <c r="H1315" s="340"/>
      <c r="I1315" s="340"/>
      <c r="J1315" s="340"/>
      <c r="K1315" s="340"/>
      <c r="L1315" s="340"/>
      <c r="M1315" s="340"/>
      <c r="N1315" s="340"/>
      <c r="O1315" s="340"/>
      <c r="P1315" s="340"/>
      <c r="Q1315" s="35"/>
      <c r="R1315" s="35"/>
      <c r="S1315" s="35"/>
      <c r="T1315" s="1"/>
      <c r="U1315" s="1"/>
      <c r="V1315" s="1"/>
    </row>
    <row r="1316" ht="15.75" customHeight="1">
      <c r="A1316" s="340"/>
      <c r="B1316" s="340"/>
      <c r="C1316" s="340"/>
      <c r="D1316" s="344"/>
      <c r="E1316" s="344"/>
      <c r="F1316" s="340"/>
      <c r="G1316" s="340"/>
      <c r="H1316" s="340"/>
      <c r="I1316" s="340"/>
      <c r="J1316" s="340"/>
      <c r="K1316" s="340"/>
      <c r="L1316" s="340"/>
      <c r="M1316" s="340"/>
      <c r="N1316" s="340"/>
      <c r="O1316" s="340"/>
      <c r="P1316" s="340"/>
      <c r="Q1316" s="35"/>
      <c r="R1316" s="35"/>
      <c r="S1316" s="35"/>
      <c r="T1316" s="1"/>
      <c r="U1316" s="1"/>
      <c r="V1316" s="1"/>
    </row>
    <row r="1317" ht="15.75" customHeight="1">
      <c r="A1317" s="340"/>
      <c r="B1317" s="340"/>
      <c r="C1317" s="340"/>
      <c r="D1317" s="344"/>
      <c r="E1317" s="344"/>
      <c r="F1317" s="340"/>
      <c r="G1317" s="340"/>
      <c r="H1317" s="340"/>
      <c r="I1317" s="340"/>
      <c r="J1317" s="340"/>
      <c r="K1317" s="340"/>
      <c r="L1317" s="340"/>
      <c r="M1317" s="340"/>
      <c r="N1317" s="340"/>
      <c r="O1317" s="340"/>
      <c r="P1317" s="340"/>
      <c r="Q1317" s="35"/>
      <c r="R1317" s="35"/>
      <c r="S1317" s="35"/>
      <c r="T1317" s="1"/>
      <c r="U1317" s="1"/>
      <c r="V1317" s="1"/>
    </row>
    <row r="1318" ht="15.75" customHeight="1">
      <c r="A1318" s="340"/>
      <c r="B1318" s="340"/>
      <c r="C1318" s="340"/>
      <c r="D1318" s="344"/>
      <c r="E1318" s="344"/>
      <c r="F1318" s="340"/>
      <c r="G1318" s="340"/>
      <c r="H1318" s="340"/>
      <c r="I1318" s="340"/>
      <c r="J1318" s="340"/>
      <c r="K1318" s="340"/>
      <c r="L1318" s="340"/>
      <c r="M1318" s="340"/>
      <c r="N1318" s="340"/>
      <c r="O1318" s="340"/>
      <c r="P1318" s="340"/>
      <c r="Q1318" s="35"/>
      <c r="R1318" s="35"/>
      <c r="S1318" s="35"/>
      <c r="T1318" s="1"/>
      <c r="U1318" s="1"/>
      <c r="V1318" s="1"/>
    </row>
    <row r="1319" ht="15.75" customHeight="1">
      <c r="A1319" s="340"/>
      <c r="B1319" s="340"/>
      <c r="C1319" s="340"/>
      <c r="D1319" s="344"/>
      <c r="E1319" s="344"/>
      <c r="F1319" s="340"/>
      <c r="G1319" s="340"/>
      <c r="H1319" s="340"/>
      <c r="I1319" s="340"/>
      <c r="J1319" s="340"/>
      <c r="K1319" s="340"/>
      <c r="L1319" s="340"/>
      <c r="M1319" s="340"/>
      <c r="N1319" s="340"/>
      <c r="O1319" s="340"/>
      <c r="P1319" s="340"/>
      <c r="Q1319" s="35"/>
      <c r="R1319" s="35"/>
      <c r="S1319" s="35"/>
      <c r="T1319" s="1"/>
      <c r="U1319" s="1"/>
      <c r="V1319" s="1"/>
    </row>
    <row r="1320" ht="15.75" customHeight="1">
      <c r="A1320" s="340"/>
      <c r="B1320" s="340"/>
      <c r="C1320" s="340"/>
      <c r="D1320" s="344"/>
      <c r="E1320" s="344"/>
      <c r="F1320" s="340"/>
      <c r="G1320" s="340"/>
      <c r="H1320" s="340"/>
      <c r="I1320" s="340"/>
      <c r="J1320" s="340"/>
      <c r="K1320" s="340"/>
      <c r="L1320" s="340"/>
      <c r="M1320" s="340"/>
      <c r="N1320" s="340"/>
      <c r="O1320" s="340"/>
      <c r="P1320" s="340"/>
      <c r="Q1320" s="35"/>
      <c r="R1320" s="35"/>
      <c r="S1320" s="35"/>
      <c r="T1320" s="1"/>
      <c r="U1320" s="1"/>
      <c r="V1320" s="1"/>
    </row>
    <row r="1321" ht="15.75" customHeight="1">
      <c r="A1321" s="340"/>
      <c r="B1321" s="340"/>
      <c r="C1321" s="340"/>
      <c r="D1321" s="344"/>
      <c r="E1321" s="344"/>
      <c r="F1321" s="340"/>
      <c r="G1321" s="340"/>
      <c r="H1321" s="340"/>
      <c r="I1321" s="340"/>
      <c r="J1321" s="340"/>
      <c r="K1321" s="340"/>
      <c r="L1321" s="340"/>
      <c r="M1321" s="340"/>
      <c r="N1321" s="340"/>
      <c r="O1321" s="340"/>
      <c r="P1321" s="340"/>
      <c r="Q1321" s="35"/>
      <c r="R1321" s="35"/>
      <c r="S1321" s="35"/>
      <c r="T1321" s="1"/>
      <c r="U1321" s="1"/>
      <c r="V1321" s="1"/>
    </row>
    <row r="1322" ht="15.75" customHeight="1">
      <c r="A1322" s="340"/>
      <c r="B1322" s="340"/>
      <c r="C1322" s="340"/>
      <c r="D1322" s="344"/>
      <c r="E1322" s="344"/>
      <c r="F1322" s="340"/>
      <c r="G1322" s="340"/>
      <c r="H1322" s="340"/>
      <c r="I1322" s="340"/>
      <c r="J1322" s="340"/>
      <c r="K1322" s="340"/>
      <c r="L1322" s="340"/>
      <c r="M1322" s="340"/>
      <c r="N1322" s="340"/>
      <c r="O1322" s="340"/>
      <c r="P1322" s="340"/>
      <c r="Q1322" s="35"/>
      <c r="R1322" s="35"/>
      <c r="S1322" s="35"/>
      <c r="T1322" s="1"/>
      <c r="U1322" s="1"/>
      <c r="V1322" s="1"/>
    </row>
    <row r="1323" ht="15.75" customHeight="1">
      <c r="A1323" s="340"/>
      <c r="B1323" s="340"/>
      <c r="C1323" s="340"/>
      <c r="D1323" s="344"/>
      <c r="E1323" s="344"/>
      <c r="F1323" s="340"/>
      <c r="G1323" s="340"/>
      <c r="H1323" s="340"/>
      <c r="I1323" s="340"/>
      <c r="J1323" s="340"/>
      <c r="K1323" s="340"/>
      <c r="L1323" s="340"/>
      <c r="M1323" s="340"/>
      <c r="N1323" s="340"/>
      <c r="O1323" s="340"/>
      <c r="P1323" s="340"/>
      <c r="Q1323" s="35"/>
      <c r="R1323" s="35"/>
      <c r="S1323" s="35"/>
      <c r="T1323" s="1"/>
      <c r="U1323" s="1"/>
      <c r="V1323" s="1"/>
    </row>
    <row r="1324" ht="15.75" customHeight="1">
      <c r="A1324" s="340"/>
      <c r="B1324" s="340"/>
      <c r="C1324" s="340"/>
      <c r="D1324" s="344"/>
      <c r="E1324" s="344"/>
      <c r="F1324" s="340"/>
      <c r="G1324" s="340"/>
      <c r="H1324" s="340"/>
      <c r="I1324" s="340"/>
      <c r="J1324" s="340"/>
      <c r="K1324" s="340"/>
      <c r="L1324" s="340"/>
      <c r="M1324" s="340"/>
      <c r="N1324" s="340"/>
      <c r="O1324" s="340"/>
      <c r="P1324" s="340"/>
      <c r="Q1324" s="35"/>
      <c r="R1324" s="35"/>
      <c r="S1324" s="35"/>
      <c r="T1324" s="1"/>
      <c r="U1324" s="1"/>
      <c r="V1324" s="1"/>
    </row>
    <row r="1325" ht="15.75" customHeight="1">
      <c r="A1325" s="340"/>
      <c r="B1325" s="340"/>
      <c r="C1325" s="340"/>
      <c r="D1325" s="344"/>
      <c r="E1325" s="344"/>
      <c r="F1325" s="340"/>
      <c r="G1325" s="340"/>
      <c r="H1325" s="340"/>
      <c r="I1325" s="340"/>
      <c r="J1325" s="340"/>
      <c r="K1325" s="340"/>
      <c r="L1325" s="340"/>
      <c r="M1325" s="340"/>
      <c r="N1325" s="340"/>
      <c r="O1325" s="340"/>
      <c r="P1325" s="340"/>
      <c r="Q1325" s="35"/>
      <c r="R1325" s="35"/>
      <c r="S1325" s="35"/>
      <c r="T1325" s="1"/>
      <c r="U1325" s="1"/>
      <c r="V1325" s="1"/>
    </row>
    <row r="1326" ht="15.75" customHeight="1">
      <c r="A1326" s="340"/>
      <c r="B1326" s="340"/>
      <c r="C1326" s="340"/>
      <c r="D1326" s="344"/>
      <c r="E1326" s="344"/>
      <c r="F1326" s="340"/>
      <c r="G1326" s="340"/>
      <c r="H1326" s="340"/>
      <c r="I1326" s="340"/>
      <c r="J1326" s="340"/>
      <c r="K1326" s="340"/>
      <c r="L1326" s="340"/>
      <c r="M1326" s="340"/>
      <c r="N1326" s="340"/>
      <c r="O1326" s="340"/>
      <c r="P1326" s="340"/>
      <c r="Q1326" s="35"/>
      <c r="R1326" s="35"/>
      <c r="S1326" s="35"/>
      <c r="T1326" s="1"/>
      <c r="U1326" s="1"/>
      <c r="V1326" s="1"/>
    </row>
    <row r="1327" ht="15.75" customHeight="1">
      <c r="A1327" s="340"/>
      <c r="B1327" s="340"/>
      <c r="C1327" s="340"/>
      <c r="D1327" s="344"/>
      <c r="E1327" s="344"/>
      <c r="F1327" s="340"/>
      <c r="G1327" s="340"/>
      <c r="H1327" s="340"/>
      <c r="I1327" s="340"/>
      <c r="J1327" s="340"/>
      <c r="K1327" s="340"/>
      <c r="L1327" s="340"/>
      <c r="M1327" s="340"/>
      <c r="N1327" s="340"/>
      <c r="O1327" s="340"/>
      <c r="P1327" s="340"/>
      <c r="Q1327" s="35"/>
      <c r="R1327" s="35"/>
      <c r="S1327" s="35"/>
      <c r="T1327" s="1"/>
      <c r="U1327" s="1"/>
      <c r="V1327" s="1"/>
    </row>
    <row r="1328" ht="15.75" customHeight="1">
      <c r="A1328" s="340"/>
      <c r="B1328" s="340"/>
      <c r="C1328" s="340"/>
      <c r="D1328" s="344"/>
      <c r="E1328" s="344"/>
      <c r="F1328" s="340"/>
      <c r="G1328" s="340"/>
      <c r="H1328" s="340"/>
      <c r="I1328" s="340"/>
      <c r="J1328" s="340"/>
      <c r="K1328" s="340"/>
      <c r="L1328" s="340"/>
      <c r="M1328" s="340"/>
      <c r="N1328" s="340"/>
      <c r="O1328" s="340"/>
      <c r="P1328" s="340"/>
      <c r="Q1328" s="35"/>
      <c r="R1328" s="35"/>
      <c r="S1328" s="35"/>
      <c r="T1328" s="1"/>
      <c r="U1328" s="1"/>
      <c r="V1328" s="1"/>
    </row>
    <row r="1329" ht="15.75" customHeight="1">
      <c r="A1329" s="340"/>
      <c r="B1329" s="340"/>
      <c r="C1329" s="340"/>
      <c r="D1329" s="344"/>
      <c r="E1329" s="344"/>
      <c r="F1329" s="340"/>
      <c r="G1329" s="340"/>
      <c r="H1329" s="340"/>
      <c r="I1329" s="340"/>
      <c r="J1329" s="340"/>
      <c r="K1329" s="340"/>
      <c r="L1329" s="340"/>
      <c r="M1329" s="340"/>
      <c r="N1329" s="340"/>
      <c r="O1329" s="340"/>
      <c r="P1329" s="340"/>
      <c r="Q1329" s="35"/>
      <c r="R1329" s="35"/>
      <c r="S1329" s="35"/>
      <c r="T1329" s="1"/>
      <c r="U1329" s="1"/>
      <c r="V1329" s="1"/>
    </row>
    <row r="1330" ht="15.75" customHeight="1">
      <c r="A1330" s="340"/>
      <c r="B1330" s="340"/>
      <c r="C1330" s="340"/>
      <c r="D1330" s="344"/>
      <c r="E1330" s="344"/>
      <c r="F1330" s="340"/>
      <c r="G1330" s="340"/>
      <c r="H1330" s="340"/>
      <c r="I1330" s="340"/>
      <c r="J1330" s="340"/>
      <c r="K1330" s="340"/>
      <c r="L1330" s="340"/>
      <c r="M1330" s="340"/>
      <c r="N1330" s="340"/>
      <c r="O1330" s="340"/>
      <c r="P1330" s="340"/>
      <c r="Q1330" s="35"/>
      <c r="R1330" s="35"/>
      <c r="S1330" s="35"/>
      <c r="T1330" s="1"/>
      <c r="U1330" s="1"/>
      <c r="V1330" s="1"/>
    </row>
    <row r="1331" ht="15.75" customHeight="1">
      <c r="A1331" s="340"/>
      <c r="B1331" s="340"/>
      <c r="C1331" s="340"/>
      <c r="D1331" s="344"/>
      <c r="E1331" s="344"/>
      <c r="F1331" s="340"/>
      <c r="G1331" s="340"/>
      <c r="H1331" s="340"/>
      <c r="I1331" s="340"/>
      <c r="J1331" s="340"/>
      <c r="K1331" s="340"/>
      <c r="L1331" s="340"/>
      <c r="M1331" s="340"/>
      <c r="N1331" s="340"/>
      <c r="O1331" s="340"/>
      <c r="P1331" s="340"/>
      <c r="Q1331" s="35"/>
      <c r="R1331" s="35"/>
      <c r="S1331" s="35"/>
      <c r="T1331" s="1"/>
      <c r="U1331" s="1"/>
      <c r="V1331" s="1"/>
    </row>
    <row r="1332" ht="15.75" customHeight="1">
      <c r="A1332" s="340"/>
      <c r="B1332" s="340"/>
      <c r="C1332" s="340"/>
      <c r="D1332" s="344"/>
      <c r="E1332" s="344"/>
      <c r="F1332" s="340"/>
      <c r="G1332" s="340"/>
      <c r="H1332" s="340"/>
      <c r="I1332" s="340"/>
      <c r="J1332" s="340"/>
      <c r="K1332" s="340"/>
      <c r="L1332" s="340"/>
      <c r="M1332" s="340"/>
      <c r="N1332" s="340"/>
      <c r="O1332" s="340"/>
      <c r="P1332" s="340"/>
      <c r="Q1332" s="35"/>
      <c r="R1332" s="35"/>
      <c r="S1332" s="35"/>
      <c r="T1332" s="1"/>
      <c r="U1332" s="1"/>
      <c r="V1332" s="1"/>
    </row>
    <row r="1333" ht="15.75" customHeight="1">
      <c r="A1333" s="340"/>
      <c r="B1333" s="340"/>
      <c r="C1333" s="340"/>
      <c r="D1333" s="344"/>
      <c r="E1333" s="344"/>
      <c r="F1333" s="340"/>
      <c r="G1333" s="340"/>
      <c r="H1333" s="340"/>
      <c r="I1333" s="340"/>
      <c r="J1333" s="340"/>
      <c r="K1333" s="340"/>
      <c r="L1333" s="340"/>
      <c r="M1333" s="340"/>
      <c r="N1333" s="340"/>
      <c r="O1333" s="340"/>
      <c r="P1333" s="340"/>
      <c r="Q1333" s="35"/>
      <c r="R1333" s="35"/>
      <c r="S1333" s="35"/>
      <c r="T1333" s="1"/>
      <c r="U1333" s="1"/>
      <c r="V1333" s="1"/>
    </row>
    <row r="1334" ht="15.75" customHeight="1">
      <c r="A1334" s="340"/>
      <c r="B1334" s="340"/>
      <c r="C1334" s="340"/>
      <c r="D1334" s="344"/>
      <c r="E1334" s="344"/>
      <c r="F1334" s="340"/>
      <c r="G1334" s="340"/>
      <c r="H1334" s="340"/>
      <c r="I1334" s="340"/>
      <c r="J1334" s="340"/>
      <c r="K1334" s="340"/>
      <c r="L1334" s="340"/>
      <c r="M1334" s="340"/>
      <c r="N1334" s="340"/>
      <c r="O1334" s="340"/>
      <c r="P1334" s="340"/>
      <c r="Q1334" s="35"/>
      <c r="R1334" s="35"/>
      <c r="S1334" s="35"/>
      <c r="T1334" s="1"/>
      <c r="U1334" s="1"/>
      <c r="V1334" s="1"/>
    </row>
    <row r="1335" ht="15.75" customHeight="1">
      <c r="A1335" s="340"/>
      <c r="B1335" s="340"/>
      <c r="C1335" s="340"/>
      <c r="D1335" s="344"/>
      <c r="E1335" s="344"/>
      <c r="F1335" s="340"/>
      <c r="G1335" s="340"/>
      <c r="H1335" s="340"/>
      <c r="I1335" s="340"/>
      <c r="J1335" s="340"/>
      <c r="K1335" s="340"/>
      <c r="L1335" s="340"/>
      <c r="M1335" s="340"/>
      <c r="N1335" s="340"/>
      <c r="O1335" s="340"/>
      <c r="P1335" s="340"/>
      <c r="Q1335" s="35"/>
      <c r="R1335" s="35"/>
      <c r="S1335" s="35"/>
      <c r="T1335" s="1"/>
      <c r="U1335" s="1"/>
      <c r="V1335" s="1"/>
    </row>
    <row r="1336" ht="15.75" customHeight="1">
      <c r="A1336" s="340"/>
      <c r="B1336" s="340"/>
      <c r="C1336" s="340"/>
      <c r="D1336" s="344"/>
      <c r="E1336" s="344"/>
      <c r="F1336" s="340"/>
      <c r="G1336" s="340"/>
      <c r="H1336" s="340"/>
      <c r="I1336" s="340"/>
      <c r="J1336" s="340"/>
      <c r="K1336" s="340"/>
      <c r="L1336" s="340"/>
      <c r="M1336" s="340"/>
      <c r="N1336" s="340"/>
      <c r="O1336" s="340"/>
      <c r="P1336" s="340"/>
      <c r="Q1336" s="35"/>
      <c r="R1336" s="35"/>
      <c r="S1336" s="35"/>
      <c r="T1336" s="1"/>
      <c r="U1336" s="1"/>
      <c r="V1336" s="1"/>
    </row>
    <row r="1337" ht="15.75" customHeight="1">
      <c r="A1337" s="340"/>
      <c r="B1337" s="340"/>
      <c r="C1337" s="340"/>
      <c r="D1337" s="344"/>
      <c r="E1337" s="344"/>
      <c r="F1337" s="340"/>
      <c r="G1337" s="340"/>
      <c r="H1337" s="340"/>
      <c r="I1337" s="340"/>
      <c r="J1337" s="340"/>
      <c r="K1337" s="340"/>
      <c r="L1337" s="340"/>
      <c r="M1337" s="340"/>
      <c r="N1337" s="340"/>
      <c r="O1337" s="340"/>
      <c r="P1337" s="340"/>
      <c r="Q1337" s="35"/>
      <c r="R1337" s="35"/>
      <c r="S1337" s="35"/>
      <c r="T1337" s="1"/>
      <c r="U1337" s="1"/>
      <c r="V1337" s="1"/>
    </row>
    <row r="1338" ht="15.75" customHeight="1">
      <c r="A1338" s="340"/>
      <c r="B1338" s="340"/>
      <c r="C1338" s="340"/>
      <c r="D1338" s="344"/>
      <c r="E1338" s="344"/>
      <c r="F1338" s="340"/>
      <c r="G1338" s="340"/>
      <c r="H1338" s="340"/>
      <c r="I1338" s="340"/>
      <c r="J1338" s="340"/>
      <c r="K1338" s="340"/>
      <c r="L1338" s="340"/>
      <c r="M1338" s="340"/>
      <c r="N1338" s="340"/>
      <c r="O1338" s="340"/>
      <c r="P1338" s="340"/>
      <c r="Q1338" s="35"/>
      <c r="R1338" s="35"/>
      <c r="S1338" s="35"/>
      <c r="T1338" s="1"/>
      <c r="U1338" s="1"/>
      <c r="V1338" s="1"/>
    </row>
    <row r="1339" ht="15.75" customHeight="1">
      <c r="A1339" s="340"/>
      <c r="B1339" s="340"/>
      <c r="C1339" s="340"/>
      <c r="D1339" s="344"/>
      <c r="E1339" s="344"/>
      <c r="F1339" s="340"/>
      <c r="G1339" s="340"/>
      <c r="H1339" s="340"/>
      <c r="I1339" s="340"/>
      <c r="J1339" s="340"/>
      <c r="K1339" s="340"/>
      <c r="L1339" s="340"/>
      <c r="M1339" s="340"/>
      <c r="N1339" s="340"/>
      <c r="O1339" s="340"/>
      <c r="P1339" s="340"/>
      <c r="Q1339" s="35"/>
      <c r="R1339" s="35"/>
      <c r="S1339" s="35"/>
      <c r="T1339" s="1"/>
      <c r="U1339" s="1"/>
      <c r="V1339" s="1"/>
    </row>
    <row r="1340" ht="15.75" customHeight="1">
      <c r="A1340" s="340"/>
      <c r="B1340" s="340"/>
      <c r="C1340" s="340"/>
      <c r="D1340" s="344"/>
      <c r="E1340" s="344"/>
      <c r="F1340" s="340"/>
      <c r="G1340" s="340"/>
      <c r="H1340" s="340"/>
      <c r="I1340" s="340"/>
      <c r="J1340" s="340"/>
      <c r="K1340" s="340"/>
      <c r="L1340" s="340"/>
      <c r="M1340" s="340"/>
      <c r="N1340" s="340"/>
      <c r="O1340" s="340"/>
      <c r="P1340" s="340"/>
      <c r="Q1340" s="35"/>
      <c r="R1340" s="35"/>
      <c r="S1340" s="35"/>
      <c r="T1340" s="1"/>
      <c r="U1340" s="1"/>
      <c r="V1340" s="1"/>
    </row>
    <row r="1341" ht="15.75" customHeight="1">
      <c r="A1341" s="340"/>
      <c r="B1341" s="340"/>
      <c r="C1341" s="340"/>
      <c r="D1341" s="344"/>
      <c r="E1341" s="344"/>
      <c r="F1341" s="340"/>
      <c r="G1341" s="340"/>
      <c r="H1341" s="340"/>
      <c r="I1341" s="340"/>
      <c r="J1341" s="340"/>
      <c r="K1341" s="340"/>
      <c r="L1341" s="340"/>
      <c r="M1341" s="340"/>
      <c r="N1341" s="340"/>
      <c r="O1341" s="340"/>
      <c r="P1341" s="340"/>
      <c r="Q1341" s="35"/>
      <c r="R1341" s="35"/>
      <c r="S1341" s="35"/>
      <c r="T1341" s="1"/>
      <c r="U1341" s="1"/>
      <c r="V1341" s="1"/>
    </row>
    <row r="1342" ht="15.75" customHeight="1">
      <c r="A1342" s="340"/>
      <c r="B1342" s="340"/>
      <c r="C1342" s="340"/>
      <c r="D1342" s="344"/>
      <c r="E1342" s="344"/>
      <c r="F1342" s="340"/>
      <c r="G1342" s="340"/>
      <c r="H1342" s="340"/>
      <c r="I1342" s="340"/>
      <c r="J1342" s="340"/>
      <c r="K1342" s="340"/>
      <c r="L1342" s="340"/>
      <c r="M1342" s="340"/>
      <c r="N1342" s="340"/>
      <c r="O1342" s="340"/>
      <c r="P1342" s="340"/>
      <c r="Q1342" s="35"/>
      <c r="R1342" s="35"/>
      <c r="S1342" s="35"/>
      <c r="T1342" s="1"/>
      <c r="U1342" s="1"/>
      <c r="V1342" s="1"/>
    </row>
    <row r="1343" ht="15.75" customHeight="1">
      <c r="A1343" s="340"/>
      <c r="B1343" s="340"/>
      <c r="C1343" s="340"/>
      <c r="D1343" s="344"/>
      <c r="E1343" s="344"/>
      <c r="F1343" s="340"/>
      <c r="G1343" s="340"/>
      <c r="H1343" s="340"/>
      <c r="I1343" s="340"/>
      <c r="J1343" s="340"/>
      <c r="K1343" s="340"/>
      <c r="L1343" s="340"/>
      <c r="M1343" s="340"/>
      <c r="N1343" s="340"/>
      <c r="O1343" s="340"/>
      <c r="P1343" s="340"/>
      <c r="Q1343" s="35"/>
      <c r="R1343" s="35"/>
      <c r="S1343" s="35"/>
      <c r="T1343" s="1"/>
      <c r="U1343" s="1"/>
      <c r="V1343" s="1"/>
    </row>
    <row r="1344" ht="15.75" customHeight="1">
      <c r="A1344" s="340"/>
      <c r="B1344" s="340"/>
      <c r="C1344" s="340"/>
      <c r="D1344" s="344"/>
      <c r="E1344" s="344"/>
      <c r="F1344" s="340"/>
      <c r="G1344" s="340"/>
      <c r="H1344" s="340"/>
      <c r="I1344" s="340"/>
      <c r="J1344" s="340"/>
      <c r="K1344" s="340"/>
      <c r="L1344" s="340"/>
      <c r="M1344" s="340"/>
      <c r="N1344" s="340"/>
      <c r="O1344" s="340"/>
      <c r="P1344" s="340"/>
      <c r="Q1344" s="35"/>
      <c r="R1344" s="35"/>
      <c r="S1344" s="35"/>
      <c r="T1344" s="1"/>
      <c r="U1344" s="1"/>
      <c r="V1344" s="1"/>
    </row>
    <row r="1345" ht="15.75" customHeight="1">
      <c r="A1345" s="340"/>
      <c r="B1345" s="340"/>
      <c r="C1345" s="340"/>
      <c r="D1345" s="344"/>
      <c r="E1345" s="344"/>
      <c r="F1345" s="340"/>
      <c r="G1345" s="340"/>
      <c r="H1345" s="340"/>
      <c r="I1345" s="340"/>
      <c r="J1345" s="340"/>
      <c r="K1345" s="340"/>
      <c r="L1345" s="340"/>
      <c r="M1345" s="340"/>
      <c r="N1345" s="340"/>
      <c r="O1345" s="340"/>
      <c r="P1345" s="340"/>
      <c r="Q1345" s="35"/>
      <c r="R1345" s="35"/>
      <c r="S1345" s="35"/>
      <c r="T1345" s="1"/>
      <c r="U1345" s="1"/>
      <c r="V1345" s="1"/>
    </row>
    <row r="1346" ht="15.75" customHeight="1">
      <c r="A1346" s="340"/>
      <c r="B1346" s="340"/>
      <c r="C1346" s="340"/>
      <c r="D1346" s="344"/>
      <c r="E1346" s="344"/>
      <c r="F1346" s="340"/>
      <c r="G1346" s="340"/>
      <c r="H1346" s="340"/>
      <c r="I1346" s="340"/>
      <c r="J1346" s="340"/>
      <c r="K1346" s="340"/>
      <c r="L1346" s="340"/>
      <c r="M1346" s="340"/>
      <c r="N1346" s="340"/>
      <c r="O1346" s="340"/>
      <c r="P1346" s="340"/>
      <c r="Q1346" s="35"/>
      <c r="R1346" s="35"/>
      <c r="S1346" s="35"/>
      <c r="T1346" s="1"/>
      <c r="U1346" s="1"/>
      <c r="V1346" s="1"/>
    </row>
    <row r="1347" ht="15.75" customHeight="1">
      <c r="A1347" s="340"/>
      <c r="B1347" s="340"/>
      <c r="C1347" s="340"/>
      <c r="D1347" s="344"/>
      <c r="E1347" s="344"/>
      <c r="F1347" s="340"/>
      <c r="G1347" s="340"/>
      <c r="H1347" s="340"/>
      <c r="I1347" s="340"/>
      <c r="J1347" s="340"/>
      <c r="K1347" s="340"/>
      <c r="L1347" s="340"/>
      <c r="M1347" s="340"/>
      <c r="N1347" s="340"/>
      <c r="O1347" s="340"/>
      <c r="P1347" s="340"/>
      <c r="Q1347" s="35"/>
      <c r="R1347" s="35"/>
      <c r="S1347" s="35"/>
      <c r="T1347" s="1"/>
      <c r="U1347" s="1"/>
      <c r="V1347" s="1"/>
    </row>
    <row r="1348" ht="15.75" customHeight="1">
      <c r="A1348" s="340"/>
      <c r="B1348" s="340"/>
      <c r="C1348" s="340"/>
      <c r="D1348" s="344"/>
      <c r="E1348" s="344"/>
      <c r="F1348" s="340"/>
      <c r="G1348" s="340"/>
      <c r="H1348" s="340"/>
      <c r="I1348" s="340"/>
      <c r="J1348" s="340"/>
      <c r="K1348" s="340"/>
      <c r="L1348" s="340"/>
      <c r="M1348" s="340"/>
      <c r="N1348" s="340"/>
      <c r="O1348" s="340"/>
      <c r="P1348" s="340"/>
      <c r="Q1348" s="35"/>
      <c r="R1348" s="35"/>
      <c r="S1348" s="35"/>
      <c r="T1348" s="1"/>
      <c r="U1348" s="1"/>
      <c r="V1348" s="1"/>
    </row>
    <row r="1349" ht="15.75" customHeight="1">
      <c r="A1349" s="340"/>
      <c r="B1349" s="340"/>
      <c r="C1349" s="340"/>
      <c r="D1349" s="344"/>
      <c r="E1349" s="344"/>
      <c r="F1349" s="340"/>
      <c r="G1349" s="340"/>
      <c r="H1349" s="340"/>
      <c r="I1349" s="340"/>
      <c r="J1349" s="340"/>
      <c r="K1349" s="340"/>
      <c r="L1349" s="340"/>
      <c r="M1349" s="340"/>
      <c r="N1349" s="340"/>
      <c r="O1349" s="340"/>
      <c r="P1349" s="340"/>
      <c r="Q1349" s="35"/>
      <c r="R1349" s="35"/>
      <c r="S1349" s="35"/>
      <c r="T1349" s="1"/>
      <c r="U1349" s="1"/>
      <c r="V1349" s="1"/>
    </row>
    <row r="1350" ht="15.75" customHeight="1">
      <c r="A1350" s="340"/>
      <c r="B1350" s="340"/>
      <c r="C1350" s="340"/>
      <c r="D1350" s="344"/>
      <c r="E1350" s="344"/>
      <c r="F1350" s="340"/>
      <c r="G1350" s="340"/>
      <c r="H1350" s="340"/>
      <c r="I1350" s="340"/>
      <c r="J1350" s="340"/>
      <c r="K1350" s="340"/>
      <c r="L1350" s="340"/>
      <c r="M1350" s="340"/>
      <c r="N1350" s="340"/>
      <c r="O1350" s="340"/>
      <c r="P1350" s="340"/>
      <c r="Q1350" s="35"/>
      <c r="R1350" s="35"/>
      <c r="S1350" s="35"/>
      <c r="T1350" s="1"/>
      <c r="U1350" s="1"/>
      <c r="V1350" s="1"/>
    </row>
    <row r="1351" ht="15.75" customHeight="1">
      <c r="A1351" s="340"/>
      <c r="B1351" s="340"/>
      <c r="C1351" s="340"/>
      <c r="D1351" s="344"/>
      <c r="E1351" s="344"/>
      <c r="F1351" s="340"/>
      <c r="G1351" s="340"/>
      <c r="H1351" s="340"/>
      <c r="I1351" s="340"/>
      <c r="J1351" s="340"/>
      <c r="K1351" s="340"/>
      <c r="L1351" s="340"/>
      <c r="M1351" s="340"/>
      <c r="N1351" s="340"/>
      <c r="O1351" s="340"/>
      <c r="P1351" s="340"/>
      <c r="Q1351" s="35"/>
      <c r="R1351" s="35"/>
      <c r="S1351" s="35"/>
      <c r="T1351" s="1"/>
      <c r="U1351" s="1"/>
      <c r="V1351" s="1"/>
    </row>
    <row r="1352" ht="15.75" customHeight="1">
      <c r="A1352" s="340"/>
      <c r="B1352" s="340"/>
      <c r="C1352" s="340"/>
      <c r="D1352" s="344"/>
      <c r="E1352" s="344"/>
      <c r="F1352" s="340"/>
      <c r="G1352" s="340"/>
      <c r="H1352" s="340"/>
      <c r="I1352" s="340"/>
      <c r="J1352" s="340"/>
      <c r="K1352" s="340"/>
      <c r="L1352" s="340"/>
      <c r="M1352" s="340"/>
      <c r="N1352" s="340"/>
      <c r="O1352" s="340"/>
      <c r="P1352" s="340"/>
      <c r="Q1352" s="35"/>
      <c r="R1352" s="35"/>
      <c r="S1352" s="35"/>
      <c r="T1352" s="1"/>
      <c r="U1352" s="1"/>
      <c r="V1352" s="1"/>
    </row>
    <row r="1353" ht="15.75" customHeight="1">
      <c r="A1353" s="340"/>
      <c r="B1353" s="340"/>
      <c r="C1353" s="340"/>
      <c r="D1353" s="344"/>
      <c r="E1353" s="344"/>
      <c r="F1353" s="340"/>
      <c r="G1353" s="340"/>
      <c r="H1353" s="340"/>
      <c r="I1353" s="340"/>
      <c r="J1353" s="340"/>
      <c r="K1353" s="340"/>
      <c r="L1353" s="340"/>
      <c r="M1353" s="340"/>
      <c r="N1353" s="340"/>
      <c r="O1353" s="340"/>
      <c r="P1353" s="340"/>
      <c r="Q1353" s="35"/>
      <c r="R1353" s="35"/>
      <c r="S1353" s="35"/>
      <c r="T1353" s="1"/>
      <c r="U1353" s="1"/>
      <c r="V1353" s="1"/>
    </row>
    <row r="1354" ht="15.75" customHeight="1">
      <c r="A1354" s="340"/>
      <c r="B1354" s="340"/>
      <c r="C1354" s="340"/>
      <c r="D1354" s="344"/>
      <c r="E1354" s="344"/>
      <c r="F1354" s="340"/>
      <c r="G1354" s="340"/>
      <c r="H1354" s="340"/>
      <c r="I1354" s="340"/>
      <c r="J1354" s="340"/>
      <c r="K1354" s="340"/>
      <c r="L1354" s="340"/>
      <c r="M1354" s="340"/>
      <c r="N1354" s="340"/>
      <c r="O1354" s="340"/>
      <c r="P1354" s="340"/>
      <c r="Q1354" s="35"/>
      <c r="R1354" s="35"/>
      <c r="S1354" s="35"/>
      <c r="T1354" s="1"/>
      <c r="U1354" s="1"/>
      <c r="V1354" s="1"/>
    </row>
    <row r="1355" ht="15.75" customHeight="1">
      <c r="A1355" s="340"/>
      <c r="B1355" s="340"/>
      <c r="C1355" s="340"/>
      <c r="D1355" s="344"/>
      <c r="E1355" s="344"/>
      <c r="F1355" s="340"/>
      <c r="G1355" s="340"/>
      <c r="H1355" s="340"/>
      <c r="I1355" s="340"/>
      <c r="J1355" s="340"/>
      <c r="K1355" s="340"/>
      <c r="L1355" s="340"/>
      <c r="M1355" s="340"/>
      <c r="N1355" s="340"/>
      <c r="O1355" s="340"/>
      <c r="P1355" s="340"/>
      <c r="Q1355" s="35"/>
      <c r="R1355" s="35"/>
      <c r="S1355" s="35"/>
      <c r="T1355" s="1"/>
      <c r="U1355" s="1"/>
      <c r="V1355" s="1"/>
    </row>
    <row r="1356" ht="15.75" customHeight="1">
      <c r="A1356" s="340"/>
      <c r="B1356" s="340"/>
      <c r="C1356" s="340"/>
      <c r="D1356" s="344"/>
      <c r="E1356" s="344"/>
      <c r="F1356" s="340"/>
      <c r="G1356" s="340"/>
      <c r="H1356" s="340"/>
      <c r="I1356" s="340"/>
      <c r="J1356" s="340"/>
      <c r="K1356" s="340"/>
      <c r="L1356" s="340"/>
      <c r="M1356" s="340"/>
      <c r="N1356" s="340"/>
      <c r="O1356" s="340"/>
      <c r="P1356" s="340"/>
      <c r="Q1356" s="35"/>
      <c r="R1356" s="35"/>
      <c r="S1356" s="35"/>
      <c r="T1356" s="1"/>
      <c r="U1356" s="1"/>
      <c r="V1356" s="1"/>
    </row>
    <row r="1357" ht="15.75" customHeight="1">
      <c r="A1357" s="340"/>
      <c r="B1357" s="340"/>
      <c r="C1357" s="340"/>
      <c r="D1357" s="344"/>
      <c r="E1357" s="344"/>
      <c r="F1357" s="340"/>
      <c r="G1357" s="340"/>
      <c r="H1357" s="340"/>
      <c r="I1357" s="340"/>
      <c r="J1357" s="340"/>
      <c r="K1357" s="340"/>
      <c r="L1357" s="340"/>
      <c r="M1357" s="340"/>
      <c r="N1357" s="340"/>
      <c r="O1357" s="340"/>
      <c r="P1357" s="340"/>
      <c r="Q1357" s="35"/>
      <c r="R1357" s="35"/>
      <c r="S1357" s="35"/>
      <c r="T1357" s="1"/>
      <c r="U1357" s="1"/>
      <c r="V1357" s="1"/>
    </row>
    <row r="1358" ht="15.75" customHeight="1">
      <c r="A1358" s="340"/>
      <c r="B1358" s="340"/>
      <c r="C1358" s="340"/>
      <c r="D1358" s="344"/>
      <c r="E1358" s="344"/>
      <c r="F1358" s="340"/>
      <c r="G1358" s="340"/>
      <c r="H1358" s="340"/>
      <c r="I1358" s="340"/>
      <c r="J1358" s="340"/>
      <c r="K1358" s="340"/>
      <c r="L1358" s="340"/>
      <c r="M1358" s="340"/>
      <c r="N1358" s="340"/>
      <c r="O1358" s="340"/>
      <c r="P1358" s="340"/>
      <c r="Q1358" s="35"/>
      <c r="R1358" s="35"/>
      <c r="S1358" s="35"/>
      <c r="T1358" s="1"/>
      <c r="U1358" s="1"/>
      <c r="V1358" s="1"/>
    </row>
    <row r="1359" ht="15.75" customHeight="1">
      <c r="A1359" s="340"/>
      <c r="B1359" s="340"/>
      <c r="C1359" s="340"/>
      <c r="D1359" s="344"/>
      <c r="E1359" s="344"/>
      <c r="F1359" s="340"/>
      <c r="G1359" s="340"/>
      <c r="H1359" s="340"/>
      <c r="I1359" s="340"/>
      <c r="J1359" s="340"/>
      <c r="K1359" s="340"/>
      <c r="L1359" s="340"/>
      <c r="M1359" s="340"/>
      <c r="N1359" s="340"/>
      <c r="O1359" s="340"/>
      <c r="P1359" s="340"/>
      <c r="Q1359" s="35"/>
      <c r="R1359" s="35"/>
      <c r="S1359" s="35"/>
      <c r="T1359" s="1"/>
      <c r="U1359" s="1"/>
      <c r="V1359" s="1"/>
    </row>
    <row r="1360" ht="15.75" customHeight="1">
      <c r="A1360" s="340"/>
      <c r="B1360" s="340"/>
      <c r="C1360" s="340"/>
      <c r="D1360" s="344"/>
      <c r="E1360" s="344"/>
      <c r="F1360" s="340"/>
      <c r="G1360" s="340"/>
      <c r="H1360" s="340"/>
      <c r="I1360" s="340"/>
      <c r="J1360" s="340"/>
      <c r="K1360" s="340"/>
      <c r="L1360" s="340"/>
      <c r="M1360" s="340"/>
      <c r="N1360" s="340"/>
      <c r="O1360" s="340"/>
      <c r="P1360" s="340"/>
      <c r="Q1360" s="35"/>
      <c r="R1360" s="35"/>
      <c r="S1360" s="35"/>
      <c r="T1360" s="1"/>
      <c r="U1360" s="1"/>
      <c r="V1360" s="1"/>
    </row>
    <row r="1361" ht="15.75" customHeight="1">
      <c r="A1361" s="340"/>
      <c r="B1361" s="340"/>
      <c r="C1361" s="340"/>
      <c r="D1361" s="344"/>
      <c r="E1361" s="344"/>
      <c r="F1361" s="340"/>
      <c r="G1361" s="340"/>
      <c r="H1361" s="340"/>
      <c r="I1361" s="340"/>
      <c r="J1361" s="340"/>
      <c r="K1361" s="340"/>
      <c r="L1361" s="340"/>
      <c r="M1361" s="340"/>
      <c r="N1361" s="340"/>
      <c r="O1361" s="340"/>
      <c r="P1361" s="340"/>
      <c r="Q1361" s="35"/>
      <c r="R1361" s="35"/>
      <c r="S1361" s="35"/>
      <c r="T1361" s="1"/>
      <c r="U1361" s="1"/>
      <c r="V1361" s="1"/>
    </row>
    <row r="1362" ht="15.75" customHeight="1">
      <c r="A1362" s="340"/>
      <c r="B1362" s="340"/>
      <c r="C1362" s="340"/>
      <c r="D1362" s="344"/>
      <c r="E1362" s="344"/>
      <c r="F1362" s="340"/>
      <c r="G1362" s="340"/>
      <c r="H1362" s="340"/>
      <c r="I1362" s="340"/>
      <c r="J1362" s="340"/>
      <c r="K1362" s="340"/>
      <c r="L1362" s="340"/>
      <c r="M1362" s="340"/>
      <c r="N1362" s="340"/>
      <c r="O1362" s="340"/>
      <c r="P1362" s="340"/>
      <c r="Q1362" s="35"/>
      <c r="R1362" s="35"/>
      <c r="S1362" s="35"/>
      <c r="T1362" s="1"/>
      <c r="U1362" s="1"/>
      <c r="V1362" s="1"/>
    </row>
    <row r="1363" ht="15.75" customHeight="1">
      <c r="A1363" s="340"/>
      <c r="B1363" s="340"/>
      <c r="C1363" s="340"/>
      <c r="D1363" s="344"/>
      <c r="E1363" s="344"/>
      <c r="F1363" s="340"/>
      <c r="G1363" s="340"/>
      <c r="H1363" s="340"/>
      <c r="I1363" s="340"/>
      <c r="J1363" s="340"/>
      <c r="K1363" s="340"/>
      <c r="L1363" s="340"/>
      <c r="M1363" s="340"/>
      <c r="N1363" s="340"/>
      <c r="O1363" s="340"/>
      <c r="P1363" s="340"/>
      <c r="Q1363" s="35"/>
      <c r="R1363" s="35"/>
      <c r="S1363" s="35"/>
      <c r="T1363" s="1"/>
      <c r="U1363" s="1"/>
      <c r="V1363" s="1"/>
    </row>
    <row r="1364" ht="15.75" customHeight="1">
      <c r="A1364" s="340"/>
      <c r="B1364" s="340"/>
      <c r="C1364" s="340"/>
      <c r="D1364" s="344"/>
      <c r="E1364" s="344"/>
      <c r="F1364" s="340"/>
      <c r="G1364" s="340"/>
      <c r="H1364" s="340"/>
      <c r="I1364" s="340"/>
      <c r="J1364" s="340"/>
      <c r="K1364" s="340"/>
      <c r="L1364" s="340"/>
      <c r="M1364" s="340"/>
      <c r="N1364" s="340"/>
      <c r="O1364" s="340"/>
      <c r="P1364" s="340"/>
      <c r="Q1364" s="35"/>
      <c r="R1364" s="35"/>
      <c r="S1364" s="35"/>
      <c r="T1364" s="1"/>
      <c r="U1364" s="1"/>
      <c r="V1364" s="1"/>
    </row>
    <row r="1365" ht="15.75" customHeight="1">
      <c r="A1365" s="340"/>
      <c r="B1365" s="340"/>
      <c r="C1365" s="340"/>
      <c r="D1365" s="344"/>
      <c r="E1365" s="344"/>
      <c r="F1365" s="340"/>
      <c r="G1365" s="340"/>
      <c r="H1365" s="340"/>
      <c r="I1365" s="340"/>
      <c r="J1365" s="340"/>
      <c r="K1365" s="340"/>
      <c r="L1365" s="340"/>
      <c r="M1365" s="340"/>
      <c r="N1365" s="340"/>
      <c r="O1365" s="340"/>
      <c r="P1365" s="340"/>
      <c r="Q1365" s="35"/>
      <c r="R1365" s="35"/>
      <c r="S1365" s="35"/>
      <c r="T1365" s="1"/>
      <c r="U1365" s="1"/>
      <c r="V1365" s="1"/>
    </row>
    <row r="1366" ht="15.75" customHeight="1">
      <c r="A1366" s="340"/>
      <c r="B1366" s="340"/>
      <c r="C1366" s="340"/>
      <c r="D1366" s="344"/>
      <c r="E1366" s="344"/>
      <c r="F1366" s="340"/>
      <c r="G1366" s="340"/>
      <c r="H1366" s="340"/>
      <c r="I1366" s="340"/>
      <c r="J1366" s="340"/>
      <c r="K1366" s="340"/>
      <c r="L1366" s="340"/>
      <c r="M1366" s="340"/>
      <c r="N1366" s="340"/>
      <c r="O1366" s="340"/>
      <c r="P1366" s="340"/>
      <c r="Q1366" s="35"/>
      <c r="R1366" s="35"/>
      <c r="S1366" s="35"/>
      <c r="T1366" s="1"/>
      <c r="U1366" s="1"/>
      <c r="V1366" s="1"/>
    </row>
    <row r="1367" ht="15.75" customHeight="1">
      <c r="A1367" s="340"/>
      <c r="B1367" s="340"/>
      <c r="C1367" s="340"/>
      <c r="D1367" s="344"/>
      <c r="E1367" s="344"/>
      <c r="F1367" s="340"/>
      <c r="G1367" s="340"/>
      <c r="H1367" s="340"/>
      <c r="I1367" s="340"/>
      <c r="J1367" s="340"/>
      <c r="K1367" s="340"/>
      <c r="L1367" s="340"/>
      <c r="M1367" s="340"/>
      <c r="N1367" s="340"/>
      <c r="O1367" s="340"/>
      <c r="P1367" s="340"/>
      <c r="Q1367" s="35"/>
      <c r="R1367" s="35"/>
      <c r="S1367" s="35"/>
      <c r="T1367" s="1"/>
      <c r="U1367" s="1"/>
      <c r="V1367" s="1"/>
    </row>
    <row r="1368" ht="15.75" customHeight="1">
      <c r="A1368" s="340"/>
      <c r="B1368" s="340"/>
      <c r="C1368" s="340"/>
      <c r="D1368" s="344"/>
      <c r="E1368" s="344"/>
      <c r="F1368" s="340"/>
      <c r="G1368" s="340"/>
      <c r="H1368" s="340"/>
      <c r="I1368" s="340"/>
      <c r="J1368" s="340"/>
      <c r="K1368" s="340"/>
      <c r="L1368" s="340"/>
      <c r="M1368" s="340"/>
      <c r="N1368" s="340"/>
      <c r="O1368" s="340"/>
      <c r="P1368" s="340"/>
      <c r="Q1368" s="35"/>
      <c r="R1368" s="35"/>
      <c r="S1368" s="35"/>
      <c r="T1368" s="1"/>
      <c r="U1368" s="1"/>
      <c r="V1368" s="1"/>
    </row>
    <row r="1369" ht="15.75" customHeight="1">
      <c r="A1369" s="340"/>
      <c r="B1369" s="340"/>
      <c r="C1369" s="340"/>
      <c r="D1369" s="344"/>
      <c r="E1369" s="344"/>
      <c r="F1369" s="340"/>
      <c r="G1369" s="340"/>
      <c r="H1369" s="340"/>
      <c r="I1369" s="340"/>
      <c r="J1369" s="340"/>
      <c r="K1369" s="340"/>
      <c r="L1369" s="340"/>
      <c r="M1369" s="340"/>
      <c r="N1369" s="340"/>
      <c r="O1369" s="340"/>
      <c r="P1369" s="340"/>
      <c r="Q1369" s="35"/>
      <c r="R1369" s="35"/>
      <c r="S1369" s="35"/>
      <c r="T1369" s="1"/>
      <c r="U1369" s="1"/>
      <c r="V1369" s="1"/>
    </row>
    <row r="1370" ht="15.75" customHeight="1">
      <c r="A1370" s="340"/>
      <c r="B1370" s="340"/>
      <c r="C1370" s="340"/>
      <c r="D1370" s="344"/>
      <c r="E1370" s="344"/>
      <c r="F1370" s="340"/>
      <c r="G1370" s="340"/>
      <c r="H1370" s="340"/>
      <c r="I1370" s="340"/>
      <c r="J1370" s="340"/>
      <c r="K1370" s="340"/>
      <c r="L1370" s="340"/>
      <c r="M1370" s="340"/>
      <c r="N1370" s="340"/>
      <c r="O1370" s="340"/>
      <c r="P1370" s="340"/>
      <c r="Q1370" s="35"/>
      <c r="R1370" s="35"/>
      <c r="S1370" s="35"/>
      <c r="T1370" s="1"/>
      <c r="U1370" s="1"/>
      <c r="V1370" s="1"/>
    </row>
    <row r="1371" ht="15.75" customHeight="1">
      <c r="A1371" s="340"/>
      <c r="B1371" s="340"/>
      <c r="C1371" s="340"/>
      <c r="D1371" s="344"/>
      <c r="E1371" s="344"/>
      <c r="F1371" s="340"/>
      <c r="G1371" s="340"/>
      <c r="H1371" s="340"/>
      <c r="I1371" s="340"/>
      <c r="J1371" s="340"/>
      <c r="K1371" s="340"/>
      <c r="L1371" s="340"/>
      <c r="M1371" s="340"/>
      <c r="N1371" s="340"/>
      <c r="O1371" s="340"/>
      <c r="P1371" s="340"/>
      <c r="Q1371" s="35"/>
      <c r="R1371" s="35"/>
      <c r="S1371" s="35"/>
      <c r="T1371" s="1"/>
      <c r="U1371" s="1"/>
      <c r="V1371" s="1"/>
    </row>
    <row r="1372" ht="15.75" customHeight="1">
      <c r="A1372" s="340"/>
      <c r="B1372" s="340"/>
      <c r="C1372" s="340"/>
      <c r="D1372" s="344"/>
      <c r="E1372" s="344"/>
      <c r="F1372" s="340"/>
      <c r="G1372" s="340"/>
      <c r="H1372" s="340"/>
      <c r="I1372" s="340"/>
      <c r="J1372" s="340"/>
      <c r="K1372" s="340"/>
      <c r="L1372" s="340"/>
      <c r="M1372" s="340"/>
      <c r="N1372" s="340"/>
      <c r="O1372" s="340"/>
      <c r="P1372" s="340"/>
      <c r="Q1372" s="35"/>
      <c r="R1372" s="35"/>
      <c r="S1372" s="35"/>
      <c r="T1372" s="1"/>
      <c r="U1372" s="1"/>
      <c r="V1372" s="1"/>
    </row>
    <row r="1373" ht="15.75" customHeight="1">
      <c r="A1373" s="340"/>
      <c r="B1373" s="340"/>
      <c r="C1373" s="340"/>
      <c r="D1373" s="344"/>
      <c r="E1373" s="344"/>
      <c r="F1373" s="340"/>
      <c r="G1373" s="340"/>
      <c r="H1373" s="340"/>
      <c r="I1373" s="340"/>
      <c r="J1373" s="340"/>
      <c r="K1373" s="340"/>
      <c r="L1373" s="340"/>
      <c r="M1373" s="340"/>
      <c r="N1373" s="340"/>
      <c r="O1373" s="340"/>
      <c r="P1373" s="340"/>
      <c r="Q1373" s="35"/>
      <c r="R1373" s="35"/>
      <c r="S1373" s="35"/>
      <c r="T1373" s="1"/>
      <c r="U1373" s="1"/>
      <c r="V1373" s="1"/>
    </row>
    <row r="1374" ht="15.75" customHeight="1">
      <c r="A1374" s="340"/>
      <c r="B1374" s="340"/>
      <c r="C1374" s="340"/>
      <c r="D1374" s="344"/>
      <c r="E1374" s="344"/>
      <c r="F1374" s="340"/>
      <c r="G1374" s="340"/>
      <c r="H1374" s="340"/>
      <c r="I1374" s="340"/>
      <c r="J1374" s="340"/>
      <c r="K1374" s="340"/>
      <c r="L1374" s="340"/>
      <c r="M1374" s="340"/>
      <c r="N1374" s="340"/>
      <c r="O1374" s="340"/>
      <c r="P1374" s="340"/>
      <c r="Q1374" s="35"/>
      <c r="R1374" s="35"/>
      <c r="S1374" s="35"/>
      <c r="T1374" s="1"/>
      <c r="U1374" s="1"/>
      <c r="V1374" s="1"/>
    </row>
    <row r="1375" ht="15.75" customHeight="1">
      <c r="A1375" s="340"/>
      <c r="B1375" s="340"/>
      <c r="C1375" s="340"/>
      <c r="D1375" s="344"/>
      <c r="E1375" s="344"/>
      <c r="F1375" s="340"/>
      <c r="G1375" s="340"/>
      <c r="H1375" s="340"/>
      <c r="I1375" s="340"/>
      <c r="J1375" s="340"/>
      <c r="K1375" s="340"/>
      <c r="L1375" s="340"/>
      <c r="M1375" s="340"/>
      <c r="N1375" s="340"/>
      <c r="O1375" s="340"/>
      <c r="P1375" s="340"/>
      <c r="Q1375" s="35"/>
      <c r="R1375" s="35"/>
      <c r="S1375" s="35"/>
      <c r="T1375" s="1"/>
      <c r="U1375" s="1"/>
      <c r="V1375" s="1"/>
    </row>
    <row r="1376" ht="15.75" customHeight="1">
      <c r="A1376" s="340"/>
      <c r="B1376" s="340"/>
      <c r="C1376" s="340"/>
      <c r="D1376" s="344"/>
      <c r="E1376" s="344"/>
      <c r="F1376" s="340"/>
      <c r="G1376" s="340"/>
      <c r="H1376" s="340"/>
      <c r="I1376" s="340"/>
      <c r="J1376" s="340"/>
      <c r="K1376" s="340"/>
      <c r="L1376" s="340"/>
      <c r="M1376" s="340"/>
      <c r="N1376" s="340"/>
      <c r="O1376" s="340"/>
      <c r="P1376" s="340"/>
      <c r="Q1376" s="35"/>
      <c r="R1376" s="35"/>
      <c r="S1376" s="35"/>
      <c r="T1376" s="1"/>
      <c r="U1376" s="1"/>
      <c r="V1376" s="1"/>
    </row>
    <row r="1377" ht="15.75" customHeight="1">
      <c r="A1377" s="340"/>
      <c r="B1377" s="340"/>
      <c r="C1377" s="340"/>
      <c r="D1377" s="344"/>
      <c r="E1377" s="344"/>
      <c r="F1377" s="340"/>
      <c r="G1377" s="340"/>
      <c r="H1377" s="340"/>
      <c r="I1377" s="340"/>
      <c r="J1377" s="340"/>
      <c r="K1377" s="340"/>
      <c r="L1377" s="340"/>
      <c r="M1377" s="340"/>
      <c r="N1377" s="340"/>
      <c r="O1377" s="340"/>
      <c r="P1377" s="340"/>
      <c r="Q1377" s="35"/>
      <c r="R1377" s="35"/>
      <c r="S1377" s="35"/>
      <c r="T1377" s="1"/>
      <c r="U1377" s="1"/>
      <c r="V1377" s="1"/>
    </row>
    <row r="1378" ht="15.75" customHeight="1">
      <c r="A1378" s="340"/>
      <c r="B1378" s="340"/>
      <c r="C1378" s="340"/>
      <c r="D1378" s="344"/>
      <c r="E1378" s="344"/>
      <c r="F1378" s="340"/>
      <c r="G1378" s="340"/>
      <c r="H1378" s="340"/>
      <c r="I1378" s="340"/>
      <c r="J1378" s="340"/>
      <c r="K1378" s="340"/>
      <c r="L1378" s="340"/>
      <c r="M1378" s="340"/>
      <c r="N1378" s="340"/>
      <c r="O1378" s="340"/>
      <c r="P1378" s="340"/>
      <c r="Q1378" s="35"/>
      <c r="R1378" s="35"/>
      <c r="S1378" s="35"/>
      <c r="T1378" s="1"/>
      <c r="U1378" s="1"/>
      <c r="V1378" s="1"/>
    </row>
    <row r="1379" ht="15.75" customHeight="1">
      <c r="A1379" s="340"/>
      <c r="B1379" s="340"/>
      <c r="C1379" s="340"/>
      <c r="D1379" s="344"/>
      <c r="E1379" s="344"/>
      <c r="F1379" s="340"/>
      <c r="G1379" s="340"/>
      <c r="H1379" s="340"/>
      <c r="I1379" s="340"/>
      <c r="J1379" s="340"/>
      <c r="K1379" s="340"/>
      <c r="L1379" s="340"/>
      <c r="M1379" s="340"/>
      <c r="N1379" s="340"/>
      <c r="O1379" s="340"/>
      <c r="P1379" s="340"/>
      <c r="Q1379" s="35"/>
      <c r="R1379" s="35"/>
      <c r="S1379" s="35"/>
      <c r="T1379" s="1"/>
      <c r="U1379" s="1"/>
      <c r="V1379" s="1"/>
    </row>
    <row r="1380" ht="15.75" customHeight="1">
      <c r="A1380" s="340"/>
      <c r="B1380" s="340"/>
      <c r="C1380" s="340"/>
      <c r="D1380" s="344"/>
      <c r="E1380" s="344"/>
      <c r="F1380" s="340"/>
      <c r="G1380" s="340"/>
      <c r="H1380" s="340"/>
      <c r="I1380" s="340"/>
      <c r="J1380" s="340"/>
      <c r="K1380" s="340"/>
      <c r="L1380" s="340"/>
      <c r="M1380" s="340"/>
      <c r="N1380" s="340"/>
      <c r="O1380" s="340"/>
      <c r="P1380" s="340"/>
      <c r="Q1380" s="35"/>
      <c r="R1380" s="35"/>
      <c r="S1380" s="35"/>
      <c r="T1380" s="1"/>
      <c r="U1380" s="1"/>
      <c r="V1380" s="1"/>
    </row>
    <row r="1381" ht="15.75" customHeight="1">
      <c r="A1381" s="340"/>
      <c r="B1381" s="340"/>
      <c r="C1381" s="340"/>
      <c r="D1381" s="344"/>
      <c r="E1381" s="344"/>
      <c r="F1381" s="340"/>
      <c r="G1381" s="340"/>
      <c r="H1381" s="340"/>
      <c r="I1381" s="340"/>
      <c r="J1381" s="340"/>
      <c r="K1381" s="340"/>
      <c r="L1381" s="340"/>
      <c r="M1381" s="340"/>
      <c r="N1381" s="340"/>
      <c r="O1381" s="340"/>
      <c r="P1381" s="340"/>
      <c r="Q1381" s="35"/>
      <c r="R1381" s="35"/>
      <c r="S1381" s="35"/>
      <c r="T1381" s="1"/>
      <c r="U1381" s="1"/>
      <c r="V1381" s="1"/>
    </row>
    <row r="1382" ht="15.75" customHeight="1">
      <c r="A1382" s="340"/>
      <c r="B1382" s="340"/>
      <c r="C1382" s="340"/>
      <c r="D1382" s="344"/>
      <c r="E1382" s="344"/>
      <c r="F1382" s="340"/>
      <c r="G1382" s="340"/>
      <c r="H1382" s="340"/>
      <c r="I1382" s="340"/>
      <c r="J1382" s="340"/>
      <c r="K1382" s="340"/>
      <c r="L1382" s="340"/>
      <c r="M1382" s="340"/>
      <c r="N1382" s="340"/>
      <c r="O1382" s="340"/>
      <c r="P1382" s="340"/>
      <c r="Q1382" s="35"/>
      <c r="R1382" s="35"/>
      <c r="S1382" s="35"/>
      <c r="T1382" s="1"/>
      <c r="U1382" s="1"/>
      <c r="V1382" s="1"/>
    </row>
    <row r="1383" ht="15.75" customHeight="1">
      <c r="A1383" s="340"/>
      <c r="B1383" s="340"/>
      <c r="C1383" s="340"/>
      <c r="D1383" s="344"/>
      <c r="E1383" s="344"/>
      <c r="F1383" s="340"/>
      <c r="G1383" s="340"/>
      <c r="H1383" s="340"/>
      <c r="I1383" s="340"/>
      <c r="J1383" s="340"/>
      <c r="K1383" s="340"/>
      <c r="L1383" s="340"/>
      <c r="M1383" s="340"/>
      <c r="N1383" s="340"/>
      <c r="O1383" s="340"/>
      <c r="P1383" s="340"/>
      <c r="Q1383" s="35"/>
      <c r="R1383" s="35"/>
      <c r="S1383" s="35"/>
      <c r="T1383" s="1"/>
      <c r="U1383" s="1"/>
      <c r="V1383" s="1"/>
    </row>
    <row r="1384" ht="15.75" customHeight="1">
      <c r="A1384" s="340"/>
      <c r="B1384" s="340"/>
      <c r="C1384" s="340"/>
      <c r="D1384" s="344"/>
      <c r="E1384" s="344"/>
      <c r="F1384" s="340"/>
      <c r="G1384" s="340"/>
      <c r="H1384" s="340"/>
      <c r="I1384" s="340"/>
      <c r="J1384" s="340"/>
      <c r="K1384" s="340"/>
      <c r="L1384" s="340"/>
      <c r="M1384" s="340"/>
      <c r="N1384" s="340"/>
      <c r="O1384" s="340"/>
      <c r="P1384" s="340"/>
      <c r="Q1384" s="35"/>
      <c r="R1384" s="35"/>
      <c r="S1384" s="35"/>
      <c r="T1384" s="1"/>
      <c r="U1384" s="1"/>
      <c r="V1384" s="1"/>
    </row>
    <row r="1385" ht="15.75" customHeight="1">
      <c r="A1385" s="340"/>
      <c r="B1385" s="340"/>
      <c r="C1385" s="340"/>
      <c r="D1385" s="344"/>
      <c r="E1385" s="344"/>
      <c r="F1385" s="340"/>
      <c r="G1385" s="340"/>
      <c r="H1385" s="340"/>
      <c r="I1385" s="340"/>
      <c r="J1385" s="340"/>
      <c r="K1385" s="340"/>
      <c r="L1385" s="340"/>
      <c r="M1385" s="340"/>
      <c r="N1385" s="340"/>
      <c r="O1385" s="340"/>
      <c r="P1385" s="340"/>
      <c r="Q1385" s="35"/>
      <c r="R1385" s="35"/>
      <c r="S1385" s="35"/>
      <c r="T1385" s="1"/>
      <c r="U1385" s="1"/>
      <c r="V1385" s="1"/>
    </row>
    <row r="1386" ht="15.75" customHeight="1">
      <c r="A1386" s="340"/>
      <c r="B1386" s="340"/>
      <c r="C1386" s="340"/>
      <c r="D1386" s="344"/>
      <c r="E1386" s="344"/>
      <c r="F1386" s="340"/>
      <c r="G1386" s="340"/>
      <c r="H1386" s="340"/>
      <c r="I1386" s="340"/>
      <c r="J1386" s="340"/>
      <c r="K1386" s="340"/>
      <c r="L1386" s="340"/>
      <c r="M1386" s="340"/>
      <c r="N1386" s="340"/>
      <c r="O1386" s="340"/>
      <c r="P1386" s="340"/>
      <c r="Q1386" s="35"/>
      <c r="R1386" s="35"/>
      <c r="S1386" s="35"/>
      <c r="T1386" s="1"/>
      <c r="U1386" s="1"/>
      <c r="V1386" s="1"/>
    </row>
    <row r="1387" ht="15.75" customHeight="1">
      <c r="A1387" s="340"/>
      <c r="B1387" s="340"/>
      <c r="C1387" s="340"/>
      <c r="D1387" s="344"/>
      <c r="E1387" s="344"/>
      <c r="F1387" s="340"/>
      <c r="G1387" s="340"/>
      <c r="H1387" s="340"/>
      <c r="I1387" s="340"/>
      <c r="J1387" s="340"/>
      <c r="K1387" s="340"/>
      <c r="L1387" s="340"/>
      <c r="M1387" s="340"/>
      <c r="N1387" s="340"/>
      <c r="O1387" s="340"/>
      <c r="P1387" s="340"/>
      <c r="Q1387" s="35"/>
      <c r="R1387" s="35"/>
      <c r="S1387" s="35"/>
      <c r="T1387" s="1"/>
      <c r="U1387" s="1"/>
      <c r="V1387" s="1"/>
    </row>
    <row r="1388" ht="15.75" customHeight="1">
      <c r="A1388" s="340"/>
      <c r="B1388" s="340"/>
      <c r="C1388" s="340"/>
      <c r="D1388" s="344"/>
      <c r="E1388" s="344"/>
      <c r="F1388" s="340"/>
      <c r="G1388" s="340"/>
      <c r="H1388" s="340"/>
      <c r="I1388" s="340"/>
      <c r="J1388" s="340"/>
      <c r="K1388" s="340"/>
      <c r="L1388" s="340"/>
      <c r="M1388" s="340"/>
      <c r="N1388" s="340"/>
      <c r="O1388" s="340"/>
      <c r="P1388" s="340"/>
      <c r="Q1388" s="35"/>
      <c r="R1388" s="35"/>
      <c r="S1388" s="35"/>
      <c r="T1388" s="1"/>
      <c r="U1388" s="1"/>
      <c r="V1388" s="1"/>
    </row>
    <row r="1389" ht="15.75" customHeight="1">
      <c r="A1389" s="340"/>
      <c r="B1389" s="340"/>
      <c r="C1389" s="340"/>
      <c r="D1389" s="344"/>
      <c r="E1389" s="344"/>
      <c r="F1389" s="340"/>
      <c r="G1389" s="340"/>
      <c r="H1389" s="340"/>
      <c r="I1389" s="340"/>
      <c r="J1389" s="340"/>
      <c r="K1389" s="340"/>
      <c r="L1389" s="340"/>
      <c r="M1389" s="340"/>
      <c r="N1389" s="340"/>
      <c r="O1389" s="340"/>
      <c r="P1389" s="340"/>
      <c r="Q1389" s="35"/>
      <c r="R1389" s="35"/>
      <c r="S1389" s="35"/>
      <c r="T1389" s="1"/>
      <c r="U1389" s="1"/>
      <c r="V1389" s="1"/>
    </row>
    <row r="1390" ht="15.75" customHeight="1">
      <c r="A1390" s="340"/>
      <c r="B1390" s="340"/>
      <c r="C1390" s="340"/>
      <c r="D1390" s="344"/>
      <c r="E1390" s="344"/>
      <c r="F1390" s="340"/>
      <c r="G1390" s="340"/>
      <c r="H1390" s="340"/>
      <c r="I1390" s="340"/>
      <c r="J1390" s="340"/>
      <c r="K1390" s="340"/>
      <c r="L1390" s="340"/>
      <c r="M1390" s="340"/>
      <c r="N1390" s="340"/>
      <c r="O1390" s="340"/>
      <c r="P1390" s="340"/>
      <c r="Q1390" s="35"/>
      <c r="R1390" s="35"/>
      <c r="S1390" s="35"/>
      <c r="T1390" s="1"/>
      <c r="U1390" s="1"/>
      <c r="V1390" s="1"/>
    </row>
    <row r="1391" ht="15.75" customHeight="1">
      <c r="A1391" s="340"/>
      <c r="B1391" s="340"/>
      <c r="C1391" s="340"/>
      <c r="D1391" s="344"/>
      <c r="E1391" s="344"/>
      <c r="F1391" s="340"/>
      <c r="G1391" s="340"/>
      <c r="H1391" s="340"/>
      <c r="I1391" s="340"/>
      <c r="J1391" s="340"/>
      <c r="K1391" s="340"/>
      <c r="L1391" s="340"/>
      <c r="M1391" s="340"/>
      <c r="N1391" s="340"/>
      <c r="O1391" s="340"/>
      <c r="P1391" s="340"/>
      <c r="Q1391" s="35"/>
      <c r="R1391" s="35"/>
      <c r="S1391" s="35"/>
      <c r="T1391" s="1"/>
      <c r="U1391" s="1"/>
      <c r="V1391" s="1"/>
    </row>
    <row r="1392" ht="15.75" customHeight="1">
      <c r="A1392" s="340"/>
      <c r="B1392" s="340"/>
      <c r="C1392" s="340"/>
      <c r="D1392" s="344"/>
      <c r="E1392" s="344"/>
      <c r="F1392" s="340"/>
      <c r="G1392" s="340"/>
      <c r="H1392" s="340"/>
      <c r="I1392" s="340"/>
      <c r="J1392" s="340"/>
      <c r="K1392" s="340"/>
      <c r="L1392" s="340"/>
      <c r="M1392" s="340"/>
      <c r="N1392" s="340"/>
      <c r="O1392" s="340"/>
      <c r="P1392" s="340"/>
      <c r="Q1392" s="35"/>
      <c r="R1392" s="35"/>
      <c r="S1392" s="35"/>
      <c r="T1392" s="1"/>
      <c r="U1392" s="1"/>
      <c r="V1392" s="1"/>
    </row>
    <row r="1393" ht="15.75" customHeight="1">
      <c r="A1393" s="340"/>
      <c r="B1393" s="340"/>
      <c r="C1393" s="340"/>
      <c r="D1393" s="344"/>
      <c r="E1393" s="344"/>
      <c r="F1393" s="340"/>
      <c r="G1393" s="340"/>
      <c r="H1393" s="340"/>
      <c r="I1393" s="340"/>
      <c r="J1393" s="340"/>
      <c r="K1393" s="340"/>
      <c r="L1393" s="340"/>
      <c r="M1393" s="340"/>
      <c r="N1393" s="340"/>
      <c r="O1393" s="340"/>
      <c r="P1393" s="340"/>
      <c r="Q1393" s="35"/>
      <c r="R1393" s="35"/>
      <c r="S1393" s="35"/>
      <c r="T1393" s="1"/>
      <c r="U1393" s="1"/>
      <c r="V1393" s="1"/>
    </row>
    <row r="1394" ht="15.75" customHeight="1">
      <c r="A1394" s="340"/>
      <c r="B1394" s="340"/>
      <c r="C1394" s="340"/>
      <c r="D1394" s="344"/>
      <c r="E1394" s="344"/>
      <c r="F1394" s="340"/>
      <c r="G1394" s="340"/>
      <c r="H1394" s="340"/>
      <c r="I1394" s="340"/>
      <c r="J1394" s="340"/>
      <c r="K1394" s="340"/>
      <c r="L1394" s="340"/>
      <c r="M1394" s="340"/>
      <c r="N1394" s="340"/>
      <c r="O1394" s="340"/>
      <c r="P1394" s="340"/>
      <c r="Q1394" s="35"/>
      <c r="R1394" s="35"/>
      <c r="S1394" s="35"/>
      <c r="T1394" s="1"/>
      <c r="U1394" s="1"/>
      <c r="V1394" s="1"/>
    </row>
    <row r="1395" ht="15.75" customHeight="1">
      <c r="A1395" s="340"/>
      <c r="B1395" s="340"/>
      <c r="C1395" s="340"/>
      <c r="D1395" s="344"/>
      <c r="E1395" s="344"/>
      <c r="F1395" s="340"/>
      <c r="G1395" s="340"/>
      <c r="H1395" s="340"/>
      <c r="I1395" s="340"/>
      <c r="J1395" s="340"/>
      <c r="K1395" s="340"/>
      <c r="L1395" s="340"/>
      <c r="M1395" s="340"/>
      <c r="N1395" s="340"/>
      <c r="O1395" s="340"/>
      <c r="P1395" s="340"/>
      <c r="Q1395" s="35"/>
      <c r="R1395" s="35"/>
      <c r="S1395" s="35"/>
      <c r="T1395" s="1"/>
      <c r="U1395" s="1"/>
      <c r="V1395" s="1"/>
    </row>
    <row r="1396" ht="15.75" customHeight="1">
      <c r="A1396" s="340"/>
      <c r="B1396" s="340"/>
      <c r="C1396" s="340"/>
      <c r="D1396" s="344"/>
      <c r="E1396" s="344"/>
      <c r="F1396" s="340"/>
      <c r="G1396" s="340"/>
      <c r="H1396" s="340"/>
      <c r="I1396" s="340"/>
      <c r="J1396" s="340"/>
      <c r="K1396" s="340"/>
      <c r="L1396" s="340"/>
      <c r="M1396" s="340"/>
      <c r="N1396" s="340"/>
      <c r="O1396" s="340"/>
      <c r="P1396" s="340"/>
      <c r="Q1396" s="35"/>
      <c r="R1396" s="35"/>
      <c r="S1396" s="35"/>
      <c r="T1396" s="1"/>
      <c r="U1396" s="1"/>
      <c r="V1396" s="1"/>
    </row>
    <row r="1397" ht="15.75" customHeight="1">
      <c r="A1397" s="340"/>
      <c r="B1397" s="340"/>
      <c r="C1397" s="340"/>
      <c r="D1397" s="344"/>
      <c r="E1397" s="344"/>
      <c r="F1397" s="340"/>
      <c r="G1397" s="340"/>
      <c r="H1397" s="340"/>
      <c r="I1397" s="340"/>
      <c r="J1397" s="340"/>
      <c r="K1397" s="340"/>
      <c r="L1397" s="340"/>
      <c r="M1397" s="340"/>
      <c r="N1397" s="340"/>
      <c r="O1397" s="340"/>
      <c r="P1397" s="340"/>
      <c r="Q1397" s="35"/>
      <c r="R1397" s="35"/>
      <c r="S1397" s="35"/>
      <c r="T1397" s="1"/>
      <c r="U1397" s="1"/>
      <c r="V1397" s="1"/>
    </row>
    <row r="1398" ht="15.75" customHeight="1">
      <c r="A1398" s="340"/>
      <c r="B1398" s="340"/>
      <c r="C1398" s="340"/>
      <c r="D1398" s="344"/>
      <c r="E1398" s="344"/>
      <c r="F1398" s="340"/>
      <c r="G1398" s="340"/>
      <c r="H1398" s="340"/>
      <c r="I1398" s="340"/>
      <c r="J1398" s="340"/>
      <c r="K1398" s="340"/>
      <c r="L1398" s="340"/>
      <c r="M1398" s="340"/>
      <c r="N1398" s="340"/>
      <c r="O1398" s="340"/>
      <c r="P1398" s="340"/>
      <c r="Q1398" s="35"/>
      <c r="R1398" s="35"/>
      <c r="S1398" s="35"/>
      <c r="T1398" s="1"/>
      <c r="U1398" s="1"/>
      <c r="V1398" s="1"/>
    </row>
    <row r="1399" ht="15.75" customHeight="1">
      <c r="A1399" s="340"/>
      <c r="B1399" s="340"/>
      <c r="C1399" s="340"/>
      <c r="D1399" s="344"/>
      <c r="E1399" s="344"/>
      <c r="F1399" s="340"/>
      <c r="G1399" s="340"/>
      <c r="H1399" s="340"/>
      <c r="I1399" s="340"/>
      <c r="J1399" s="340"/>
      <c r="K1399" s="340"/>
      <c r="L1399" s="340"/>
      <c r="M1399" s="340"/>
      <c r="N1399" s="340"/>
      <c r="O1399" s="340"/>
      <c r="P1399" s="340"/>
      <c r="Q1399" s="35"/>
      <c r="R1399" s="35"/>
      <c r="S1399" s="35"/>
      <c r="T1399" s="1"/>
      <c r="U1399" s="1"/>
      <c r="V1399" s="1"/>
    </row>
    <row r="1400" ht="15.75" customHeight="1">
      <c r="A1400" s="340"/>
      <c r="B1400" s="340"/>
      <c r="C1400" s="340"/>
      <c r="D1400" s="344"/>
      <c r="E1400" s="344"/>
      <c r="F1400" s="340"/>
      <c r="G1400" s="340"/>
      <c r="H1400" s="340"/>
      <c r="I1400" s="340"/>
      <c r="J1400" s="340"/>
      <c r="K1400" s="340"/>
      <c r="L1400" s="340"/>
      <c r="M1400" s="340"/>
      <c r="N1400" s="340"/>
      <c r="O1400" s="340"/>
      <c r="P1400" s="340"/>
      <c r="Q1400" s="35"/>
      <c r="R1400" s="35"/>
      <c r="S1400" s="35"/>
      <c r="T1400" s="1"/>
      <c r="U1400" s="1"/>
      <c r="V1400" s="1"/>
    </row>
    <row r="1401" ht="15.75" customHeight="1">
      <c r="A1401" s="340"/>
      <c r="B1401" s="340"/>
      <c r="C1401" s="340"/>
      <c r="D1401" s="344"/>
      <c r="E1401" s="344"/>
      <c r="F1401" s="340"/>
      <c r="G1401" s="340"/>
      <c r="H1401" s="340"/>
      <c r="I1401" s="340"/>
      <c r="J1401" s="340"/>
      <c r="K1401" s="340"/>
      <c r="L1401" s="340"/>
      <c r="M1401" s="340"/>
      <c r="N1401" s="340"/>
      <c r="O1401" s="340"/>
      <c r="P1401" s="340"/>
      <c r="Q1401" s="35"/>
      <c r="R1401" s="35"/>
      <c r="S1401" s="35"/>
      <c r="T1401" s="1"/>
      <c r="U1401" s="1"/>
      <c r="V1401" s="1"/>
    </row>
    <row r="1402" ht="15.75" customHeight="1">
      <c r="A1402" s="340"/>
      <c r="B1402" s="340"/>
      <c r="C1402" s="340"/>
      <c r="D1402" s="344"/>
      <c r="E1402" s="344"/>
      <c r="F1402" s="340"/>
      <c r="G1402" s="340"/>
      <c r="H1402" s="340"/>
      <c r="I1402" s="340"/>
      <c r="J1402" s="340"/>
      <c r="K1402" s="340"/>
      <c r="L1402" s="340"/>
      <c r="M1402" s="340"/>
      <c r="N1402" s="340"/>
      <c r="O1402" s="340"/>
      <c r="P1402" s="340"/>
      <c r="Q1402" s="35"/>
      <c r="R1402" s="35"/>
      <c r="S1402" s="35"/>
      <c r="T1402" s="1"/>
      <c r="U1402" s="1"/>
      <c r="V1402" s="1"/>
    </row>
    <row r="1403" ht="15.75" customHeight="1">
      <c r="A1403" s="340"/>
      <c r="B1403" s="340"/>
      <c r="C1403" s="340"/>
      <c r="D1403" s="344"/>
      <c r="E1403" s="344"/>
      <c r="F1403" s="340"/>
      <c r="G1403" s="340"/>
      <c r="H1403" s="340"/>
      <c r="I1403" s="340"/>
      <c r="J1403" s="340"/>
      <c r="K1403" s="340"/>
      <c r="L1403" s="340"/>
      <c r="M1403" s="340"/>
      <c r="N1403" s="340"/>
      <c r="O1403" s="340"/>
      <c r="P1403" s="340"/>
      <c r="Q1403" s="35"/>
      <c r="R1403" s="35"/>
      <c r="S1403" s="35"/>
      <c r="T1403" s="1"/>
      <c r="U1403" s="1"/>
      <c r="V1403" s="1"/>
    </row>
    <row r="1404" ht="15.75" customHeight="1">
      <c r="A1404" s="340"/>
      <c r="B1404" s="340"/>
      <c r="C1404" s="340"/>
      <c r="D1404" s="344"/>
      <c r="E1404" s="344"/>
      <c r="F1404" s="340"/>
      <c r="G1404" s="340"/>
      <c r="H1404" s="340"/>
      <c r="I1404" s="340"/>
      <c r="J1404" s="340"/>
      <c r="K1404" s="340"/>
      <c r="L1404" s="340"/>
      <c r="M1404" s="340"/>
      <c r="N1404" s="340"/>
      <c r="O1404" s="340"/>
      <c r="P1404" s="340"/>
      <c r="Q1404" s="35"/>
      <c r="R1404" s="35"/>
      <c r="S1404" s="35"/>
      <c r="T1404" s="1"/>
      <c r="U1404" s="1"/>
      <c r="V1404" s="1"/>
    </row>
    <row r="1405" ht="15.75" customHeight="1">
      <c r="A1405" s="340"/>
      <c r="B1405" s="340"/>
      <c r="C1405" s="340"/>
      <c r="D1405" s="344"/>
      <c r="E1405" s="344"/>
      <c r="F1405" s="340"/>
      <c r="G1405" s="340"/>
      <c r="H1405" s="340"/>
      <c r="I1405" s="340"/>
      <c r="J1405" s="340"/>
      <c r="K1405" s="340"/>
      <c r="L1405" s="340"/>
      <c r="M1405" s="340"/>
      <c r="N1405" s="340"/>
      <c r="O1405" s="340"/>
      <c r="P1405" s="340"/>
      <c r="Q1405" s="35"/>
      <c r="R1405" s="35"/>
      <c r="S1405" s="35"/>
      <c r="T1405" s="1"/>
      <c r="U1405" s="1"/>
      <c r="V1405" s="1"/>
    </row>
    <row r="1406" ht="15.75" customHeight="1">
      <c r="A1406" s="340"/>
      <c r="B1406" s="340"/>
      <c r="C1406" s="340"/>
      <c r="D1406" s="344"/>
      <c r="E1406" s="344"/>
      <c r="F1406" s="340"/>
      <c r="G1406" s="340"/>
      <c r="H1406" s="340"/>
      <c r="I1406" s="340"/>
      <c r="J1406" s="340"/>
      <c r="K1406" s="340"/>
      <c r="L1406" s="340"/>
      <c r="M1406" s="340"/>
      <c r="N1406" s="340"/>
      <c r="O1406" s="340"/>
      <c r="P1406" s="340"/>
      <c r="Q1406" s="35"/>
      <c r="R1406" s="35"/>
      <c r="S1406" s="35"/>
      <c r="T1406" s="1"/>
      <c r="U1406" s="1"/>
      <c r="V1406" s="1"/>
    </row>
    <row r="1407" ht="15.75" customHeight="1">
      <c r="A1407" s="340"/>
      <c r="B1407" s="340"/>
      <c r="C1407" s="340"/>
      <c r="D1407" s="344"/>
      <c r="E1407" s="344"/>
      <c r="F1407" s="340"/>
      <c r="G1407" s="340"/>
      <c r="H1407" s="340"/>
      <c r="I1407" s="340"/>
      <c r="J1407" s="340"/>
      <c r="K1407" s="340"/>
      <c r="L1407" s="340"/>
      <c r="M1407" s="340"/>
      <c r="N1407" s="340"/>
      <c r="O1407" s="340"/>
      <c r="P1407" s="340"/>
      <c r="Q1407" s="35"/>
      <c r="R1407" s="35"/>
      <c r="S1407" s="35"/>
      <c r="T1407" s="1"/>
      <c r="U1407" s="1"/>
      <c r="V1407" s="1"/>
    </row>
    <row r="1408" ht="15.75" customHeight="1">
      <c r="A1408" s="340"/>
      <c r="B1408" s="340"/>
      <c r="C1408" s="340"/>
      <c r="D1408" s="344"/>
      <c r="E1408" s="344"/>
      <c r="F1408" s="340"/>
      <c r="G1408" s="340"/>
      <c r="H1408" s="340"/>
      <c r="I1408" s="340"/>
      <c r="J1408" s="340"/>
      <c r="K1408" s="340"/>
      <c r="L1408" s="340"/>
      <c r="M1408" s="340"/>
      <c r="N1408" s="340"/>
      <c r="O1408" s="340"/>
      <c r="P1408" s="340"/>
      <c r="Q1408" s="35"/>
      <c r="R1408" s="35"/>
      <c r="S1408" s="35"/>
      <c r="T1408" s="1"/>
      <c r="U1408" s="1"/>
      <c r="V1408" s="1"/>
    </row>
    <row r="1409" ht="15.75" customHeight="1">
      <c r="A1409" s="340"/>
      <c r="B1409" s="340"/>
      <c r="C1409" s="340"/>
      <c r="D1409" s="344"/>
      <c r="E1409" s="344"/>
      <c r="F1409" s="340"/>
      <c r="G1409" s="340"/>
      <c r="H1409" s="340"/>
      <c r="I1409" s="340"/>
      <c r="J1409" s="340"/>
      <c r="K1409" s="340"/>
      <c r="L1409" s="340"/>
      <c r="M1409" s="340"/>
      <c r="N1409" s="340"/>
      <c r="O1409" s="340"/>
      <c r="P1409" s="340"/>
      <c r="Q1409" s="35"/>
      <c r="R1409" s="35"/>
      <c r="S1409" s="35"/>
      <c r="T1409" s="1"/>
      <c r="U1409" s="1"/>
      <c r="V1409" s="1"/>
    </row>
    <row r="1410" ht="15.75" customHeight="1">
      <c r="A1410" s="340"/>
      <c r="B1410" s="340"/>
      <c r="C1410" s="340"/>
      <c r="D1410" s="344"/>
      <c r="E1410" s="344"/>
      <c r="F1410" s="340"/>
      <c r="G1410" s="340"/>
      <c r="H1410" s="340"/>
      <c r="I1410" s="340"/>
      <c r="J1410" s="340"/>
      <c r="K1410" s="340"/>
      <c r="L1410" s="340"/>
      <c r="M1410" s="340"/>
      <c r="N1410" s="340"/>
      <c r="O1410" s="340"/>
      <c r="P1410" s="340"/>
      <c r="Q1410" s="35"/>
      <c r="R1410" s="35"/>
      <c r="S1410" s="35"/>
      <c r="T1410" s="1"/>
      <c r="U1410" s="1"/>
      <c r="V1410" s="1"/>
    </row>
    <row r="1411" ht="15.75" customHeight="1">
      <c r="A1411" s="340"/>
      <c r="B1411" s="340"/>
      <c r="C1411" s="340"/>
      <c r="D1411" s="344"/>
      <c r="E1411" s="344"/>
      <c r="F1411" s="340"/>
      <c r="G1411" s="340"/>
      <c r="H1411" s="340"/>
      <c r="I1411" s="340"/>
      <c r="J1411" s="340"/>
      <c r="K1411" s="340"/>
      <c r="L1411" s="340"/>
      <c r="M1411" s="340"/>
      <c r="N1411" s="340"/>
      <c r="O1411" s="340"/>
      <c r="P1411" s="340"/>
      <c r="Q1411" s="35"/>
      <c r="R1411" s="35"/>
      <c r="S1411" s="35"/>
      <c r="T1411" s="1"/>
      <c r="U1411" s="1"/>
      <c r="V1411" s="1"/>
    </row>
    <row r="1412" ht="15.75" customHeight="1">
      <c r="A1412" s="340"/>
      <c r="B1412" s="340"/>
      <c r="C1412" s="340"/>
      <c r="D1412" s="344"/>
      <c r="E1412" s="344"/>
      <c r="F1412" s="340"/>
      <c r="G1412" s="340"/>
      <c r="H1412" s="340"/>
      <c r="I1412" s="340"/>
      <c r="J1412" s="340"/>
      <c r="K1412" s="340"/>
      <c r="L1412" s="340"/>
      <c r="M1412" s="340"/>
      <c r="N1412" s="340"/>
      <c r="O1412" s="340"/>
      <c r="P1412" s="340"/>
      <c r="Q1412" s="35"/>
      <c r="R1412" s="35"/>
      <c r="S1412" s="35"/>
      <c r="T1412" s="1"/>
      <c r="U1412" s="1"/>
      <c r="V1412" s="1"/>
    </row>
    <row r="1413" ht="15.75" customHeight="1">
      <c r="A1413" s="340"/>
      <c r="B1413" s="340"/>
      <c r="C1413" s="340"/>
      <c r="D1413" s="344"/>
      <c r="E1413" s="344"/>
      <c r="F1413" s="340"/>
      <c r="G1413" s="340"/>
      <c r="H1413" s="340"/>
      <c r="I1413" s="340"/>
      <c r="J1413" s="340"/>
      <c r="K1413" s="340"/>
      <c r="L1413" s="340"/>
      <c r="M1413" s="340"/>
      <c r="N1413" s="340"/>
      <c r="O1413" s="340"/>
      <c r="P1413" s="340"/>
      <c r="Q1413" s="35"/>
      <c r="R1413" s="35"/>
      <c r="S1413" s="35"/>
      <c r="T1413" s="1"/>
      <c r="U1413" s="1"/>
      <c r="V1413" s="1"/>
    </row>
    <row r="1414" ht="15.75" customHeight="1">
      <c r="A1414" s="340"/>
      <c r="B1414" s="340"/>
      <c r="C1414" s="340"/>
      <c r="D1414" s="344"/>
      <c r="E1414" s="344"/>
      <c r="F1414" s="340"/>
      <c r="G1414" s="340"/>
      <c r="H1414" s="340"/>
      <c r="I1414" s="340"/>
      <c r="J1414" s="340"/>
      <c r="K1414" s="340"/>
      <c r="L1414" s="340"/>
      <c r="M1414" s="340"/>
      <c r="N1414" s="340"/>
      <c r="O1414" s="340"/>
      <c r="P1414" s="340"/>
      <c r="Q1414" s="35"/>
      <c r="R1414" s="35"/>
      <c r="S1414" s="35"/>
      <c r="T1414" s="1"/>
      <c r="U1414" s="1"/>
      <c r="V1414" s="1"/>
    </row>
    <row r="1415" ht="15.75" customHeight="1">
      <c r="A1415" s="340"/>
      <c r="B1415" s="340"/>
      <c r="C1415" s="340"/>
      <c r="D1415" s="344"/>
      <c r="E1415" s="344"/>
      <c r="F1415" s="340"/>
      <c r="G1415" s="340"/>
      <c r="H1415" s="340"/>
      <c r="I1415" s="340"/>
      <c r="J1415" s="340"/>
      <c r="K1415" s="340"/>
      <c r="L1415" s="340"/>
      <c r="M1415" s="340"/>
      <c r="N1415" s="340"/>
      <c r="O1415" s="340"/>
      <c r="P1415" s="340"/>
      <c r="Q1415" s="35"/>
      <c r="R1415" s="35"/>
      <c r="S1415" s="35"/>
      <c r="T1415" s="1"/>
      <c r="U1415" s="1"/>
      <c r="V1415" s="1"/>
    </row>
    <row r="1416" ht="15.75" customHeight="1">
      <c r="A1416" s="340"/>
      <c r="B1416" s="340"/>
      <c r="C1416" s="340"/>
      <c r="D1416" s="344"/>
      <c r="E1416" s="344"/>
      <c r="F1416" s="340"/>
      <c r="G1416" s="340"/>
      <c r="H1416" s="340"/>
      <c r="I1416" s="340"/>
      <c r="J1416" s="340"/>
      <c r="K1416" s="340"/>
      <c r="L1416" s="340"/>
      <c r="M1416" s="340"/>
      <c r="N1416" s="340"/>
      <c r="O1416" s="340"/>
      <c r="P1416" s="340"/>
      <c r="Q1416" s="35"/>
      <c r="R1416" s="35"/>
      <c r="S1416" s="35"/>
      <c r="T1416" s="1"/>
      <c r="U1416" s="1"/>
      <c r="V1416" s="1"/>
    </row>
    <row r="1417" ht="15.75" customHeight="1">
      <c r="A1417" s="340"/>
      <c r="B1417" s="340"/>
      <c r="C1417" s="340"/>
      <c r="D1417" s="344"/>
      <c r="E1417" s="344"/>
      <c r="F1417" s="340"/>
      <c r="G1417" s="340"/>
      <c r="H1417" s="340"/>
      <c r="I1417" s="340"/>
      <c r="J1417" s="340"/>
      <c r="K1417" s="340"/>
      <c r="L1417" s="340"/>
      <c r="M1417" s="340"/>
      <c r="N1417" s="340"/>
      <c r="O1417" s="340"/>
      <c r="P1417" s="340"/>
      <c r="Q1417" s="35"/>
      <c r="R1417" s="35"/>
      <c r="S1417" s="35"/>
      <c r="T1417" s="1"/>
      <c r="U1417" s="1"/>
      <c r="V1417" s="1"/>
    </row>
    <row r="1418" ht="15.75" customHeight="1">
      <c r="A1418" s="340"/>
      <c r="B1418" s="340"/>
      <c r="C1418" s="340"/>
      <c r="D1418" s="344"/>
      <c r="E1418" s="344"/>
      <c r="F1418" s="340"/>
      <c r="G1418" s="340"/>
      <c r="H1418" s="340"/>
      <c r="I1418" s="340"/>
      <c r="J1418" s="340"/>
      <c r="K1418" s="340"/>
      <c r="L1418" s="340"/>
      <c r="M1418" s="340"/>
      <c r="N1418" s="340"/>
      <c r="O1418" s="340"/>
      <c r="P1418" s="340"/>
      <c r="Q1418" s="35"/>
      <c r="R1418" s="35"/>
      <c r="S1418" s="35"/>
      <c r="T1418" s="1"/>
      <c r="U1418" s="1"/>
      <c r="V1418" s="1"/>
    </row>
    <row r="1419" ht="15.75" customHeight="1">
      <c r="A1419" s="340"/>
      <c r="B1419" s="340"/>
      <c r="C1419" s="340"/>
      <c r="D1419" s="344"/>
      <c r="E1419" s="344"/>
      <c r="F1419" s="340"/>
      <c r="G1419" s="340"/>
      <c r="H1419" s="340"/>
      <c r="I1419" s="340"/>
      <c r="J1419" s="340"/>
      <c r="K1419" s="340"/>
      <c r="L1419" s="340"/>
      <c r="M1419" s="340"/>
      <c r="N1419" s="340"/>
      <c r="O1419" s="340"/>
      <c r="P1419" s="340"/>
      <c r="Q1419" s="35"/>
      <c r="R1419" s="35"/>
      <c r="S1419" s="35"/>
      <c r="T1419" s="1"/>
      <c r="U1419" s="1"/>
      <c r="V1419" s="1"/>
    </row>
    <row r="1420" ht="15.75" customHeight="1">
      <c r="A1420" s="340"/>
      <c r="B1420" s="340"/>
      <c r="C1420" s="340"/>
      <c r="D1420" s="344"/>
      <c r="E1420" s="344"/>
      <c r="F1420" s="340"/>
      <c r="G1420" s="340"/>
      <c r="H1420" s="340"/>
      <c r="I1420" s="340"/>
      <c r="J1420" s="340"/>
      <c r="K1420" s="340"/>
      <c r="L1420" s="340"/>
      <c r="M1420" s="340"/>
      <c r="N1420" s="340"/>
      <c r="O1420" s="340"/>
      <c r="P1420" s="340"/>
      <c r="Q1420" s="35"/>
      <c r="R1420" s="35"/>
      <c r="S1420" s="35"/>
      <c r="T1420" s="1"/>
      <c r="U1420" s="1"/>
      <c r="V1420" s="1"/>
    </row>
    <row r="1421" ht="15.75" customHeight="1">
      <c r="A1421" s="340"/>
      <c r="B1421" s="340"/>
      <c r="C1421" s="340"/>
      <c r="D1421" s="344"/>
      <c r="E1421" s="344"/>
      <c r="F1421" s="340"/>
      <c r="G1421" s="340"/>
      <c r="H1421" s="340"/>
      <c r="I1421" s="340"/>
      <c r="J1421" s="340"/>
      <c r="K1421" s="340"/>
      <c r="L1421" s="340"/>
      <c r="M1421" s="340"/>
      <c r="N1421" s="340"/>
      <c r="O1421" s="340"/>
      <c r="P1421" s="340"/>
      <c r="Q1421" s="35"/>
      <c r="R1421" s="35"/>
      <c r="S1421" s="35"/>
      <c r="T1421" s="1"/>
      <c r="U1421" s="1"/>
      <c r="V1421" s="1"/>
    </row>
    <row r="1422" ht="15.75" customHeight="1">
      <c r="A1422" s="340"/>
      <c r="B1422" s="340"/>
      <c r="C1422" s="340"/>
      <c r="D1422" s="344"/>
      <c r="E1422" s="344"/>
      <c r="F1422" s="340"/>
      <c r="G1422" s="340"/>
      <c r="H1422" s="340"/>
      <c r="I1422" s="340"/>
      <c r="J1422" s="340"/>
      <c r="K1422" s="340"/>
      <c r="L1422" s="340"/>
      <c r="M1422" s="340"/>
      <c r="N1422" s="340"/>
      <c r="O1422" s="340"/>
      <c r="P1422" s="340"/>
      <c r="Q1422" s="35"/>
      <c r="R1422" s="35"/>
      <c r="S1422" s="35"/>
      <c r="T1422" s="1"/>
      <c r="U1422" s="1"/>
      <c r="V1422" s="1"/>
    </row>
    <row r="1423" ht="15.75" customHeight="1">
      <c r="A1423" s="340"/>
      <c r="B1423" s="340"/>
      <c r="C1423" s="340"/>
      <c r="D1423" s="344"/>
      <c r="E1423" s="344"/>
      <c r="F1423" s="340"/>
      <c r="G1423" s="340"/>
      <c r="H1423" s="340"/>
      <c r="I1423" s="340"/>
      <c r="J1423" s="340"/>
      <c r="K1423" s="340"/>
      <c r="L1423" s="340"/>
      <c r="M1423" s="340"/>
      <c r="N1423" s="340"/>
      <c r="O1423" s="340"/>
      <c r="P1423" s="340"/>
      <c r="Q1423" s="35"/>
      <c r="R1423" s="35"/>
      <c r="S1423" s="35"/>
      <c r="T1423" s="1"/>
      <c r="U1423" s="1"/>
      <c r="V1423" s="1"/>
    </row>
    <row r="1424" ht="15.75" customHeight="1">
      <c r="A1424" s="340"/>
      <c r="B1424" s="340"/>
      <c r="C1424" s="340"/>
      <c r="D1424" s="344"/>
      <c r="E1424" s="344"/>
      <c r="F1424" s="340"/>
      <c r="G1424" s="340"/>
      <c r="H1424" s="340"/>
      <c r="I1424" s="340"/>
      <c r="J1424" s="340"/>
      <c r="K1424" s="340"/>
      <c r="L1424" s="340"/>
      <c r="M1424" s="340"/>
      <c r="N1424" s="340"/>
      <c r="O1424" s="340"/>
      <c r="P1424" s="340"/>
      <c r="Q1424" s="35"/>
      <c r="R1424" s="35"/>
      <c r="S1424" s="35"/>
      <c r="T1424" s="1"/>
      <c r="U1424" s="1"/>
      <c r="V1424" s="1"/>
    </row>
    <row r="1425" ht="15.75" customHeight="1">
      <c r="A1425" s="340"/>
      <c r="B1425" s="340"/>
      <c r="C1425" s="340"/>
      <c r="D1425" s="344"/>
      <c r="E1425" s="344"/>
      <c r="F1425" s="340"/>
      <c r="G1425" s="340"/>
      <c r="H1425" s="340"/>
      <c r="I1425" s="340"/>
      <c r="J1425" s="340"/>
      <c r="K1425" s="340"/>
      <c r="L1425" s="340"/>
      <c r="M1425" s="340"/>
      <c r="N1425" s="340"/>
      <c r="O1425" s="340"/>
      <c r="P1425" s="340"/>
      <c r="Q1425" s="35"/>
      <c r="R1425" s="35"/>
      <c r="S1425" s="35"/>
      <c r="T1425" s="1"/>
      <c r="U1425" s="1"/>
      <c r="V1425" s="1"/>
    </row>
    <row r="1426" ht="15.75" customHeight="1">
      <c r="A1426" s="340"/>
      <c r="B1426" s="340"/>
      <c r="C1426" s="340"/>
      <c r="D1426" s="344"/>
      <c r="E1426" s="344"/>
      <c r="F1426" s="340"/>
      <c r="G1426" s="340"/>
      <c r="H1426" s="340"/>
      <c r="I1426" s="340"/>
      <c r="J1426" s="340"/>
      <c r="K1426" s="340"/>
      <c r="L1426" s="340"/>
      <c r="M1426" s="340"/>
      <c r="N1426" s="340"/>
      <c r="O1426" s="340"/>
      <c r="P1426" s="340"/>
      <c r="Q1426" s="35"/>
      <c r="R1426" s="35"/>
      <c r="S1426" s="35"/>
      <c r="T1426" s="1"/>
      <c r="U1426" s="1"/>
      <c r="V1426" s="1"/>
    </row>
    <row r="1427" ht="15.75" customHeight="1">
      <c r="A1427" s="340"/>
      <c r="B1427" s="340"/>
      <c r="C1427" s="340"/>
      <c r="D1427" s="344"/>
      <c r="E1427" s="344"/>
      <c r="F1427" s="340"/>
      <c r="G1427" s="340"/>
      <c r="H1427" s="340"/>
      <c r="I1427" s="340"/>
      <c r="J1427" s="340"/>
      <c r="K1427" s="340"/>
      <c r="L1427" s="340"/>
      <c r="M1427" s="340"/>
      <c r="N1427" s="340"/>
      <c r="O1427" s="340"/>
      <c r="P1427" s="340"/>
      <c r="Q1427" s="35"/>
      <c r="R1427" s="35"/>
      <c r="S1427" s="35"/>
      <c r="T1427" s="1"/>
      <c r="U1427" s="1"/>
      <c r="V1427" s="1"/>
    </row>
    <row r="1428" ht="15.75" customHeight="1">
      <c r="A1428" s="340"/>
      <c r="B1428" s="340"/>
      <c r="C1428" s="340"/>
      <c r="D1428" s="344"/>
      <c r="E1428" s="344"/>
      <c r="F1428" s="340"/>
      <c r="G1428" s="340"/>
      <c r="H1428" s="340"/>
      <c r="I1428" s="340"/>
      <c r="J1428" s="340"/>
      <c r="K1428" s="340"/>
      <c r="L1428" s="340"/>
      <c r="M1428" s="340"/>
      <c r="N1428" s="340"/>
      <c r="O1428" s="340"/>
      <c r="P1428" s="340"/>
      <c r="Q1428" s="35"/>
      <c r="R1428" s="35"/>
      <c r="S1428" s="35"/>
      <c r="T1428" s="1"/>
      <c r="U1428" s="1"/>
      <c r="V1428" s="1"/>
    </row>
    <row r="1429" ht="15.75" customHeight="1">
      <c r="A1429" s="340"/>
      <c r="B1429" s="340"/>
      <c r="C1429" s="340"/>
      <c r="D1429" s="344"/>
      <c r="E1429" s="344"/>
      <c r="F1429" s="340"/>
      <c r="G1429" s="340"/>
      <c r="H1429" s="340"/>
      <c r="I1429" s="340"/>
      <c r="J1429" s="340"/>
      <c r="K1429" s="340"/>
      <c r="L1429" s="340"/>
      <c r="M1429" s="340"/>
      <c r="N1429" s="340"/>
      <c r="O1429" s="340"/>
      <c r="P1429" s="340"/>
      <c r="Q1429" s="35"/>
      <c r="R1429" s="35"/>
      <c r="S1429" s="35"/>
      <c r="T1429" s="1"/>
      <c r="U1429" s="1"/>
      <c r="V1429" s="1"/>
    </row>
    <row r="1430" ht="15.75" customHeight="1">
      <c r="A1430" s="340"/>
      <c r="B1430" s="340"/>
      <c r="C1430" s="340"/>
      <c r="D1430" s="344"/>
      <c r="E1430" s="344"/>
      <c r="F1430" s="340"/>
      <c r="G1430" s="340"/>
      <c r="H1430" s="340"/>
      <c r="I1430" s="340"/>
      <c r="J1430" s="340"/>
      <c r="K1430" s="340"/>
      <c r="L1430" s="340"/>
      <c r="M1430" s="340"/>
      <c r="N1430" s="340"/>
      <c r="O1430" s="340"/>
      <c r="P1430" s="340"/>
      <c r="Q1430" s="35"/>
      <c r="R1430" s="35"/>
      <c r="S1430" s="35"/>
      <c r="T1430" s="1"/>
      <c r="U1430" s="1"/>
      <c r="V1430" s="1"/>
    </row>
    <row r="1431" ht="15.75" customHeight="1">
      <c r="A1431" s="340"/>
      <c r="B1431" s="340"/>
      <c r="C1431" s="340"/>
      <c r="D1431" s="344"/>
      <c r="E1431" s="344"/>
      <c r="F1431" s="340"/>
      <c r="G1431" s="340"/>
      <c r="H1431" s="340"/>
      <c r="I1431" s="340"/>
      <c r="J1431" s="340"/>
      <c r="K1431" s="340"/>
      <c r="L1431" s="340"/>
      <c r="M1431" s="340"/>
      <c r="N1431" s="340"/>
      <c r="O1431" s="340"/>
      <c r="P1431" s="340"/>
      <c r="Q1431" s="35"/>
      <c r="R1431" s="35"/>
      <c r="S1431" s="35"/>
      <c r="T1431" s="1"/>
      <c r="U1431" s="1"/>
      <c r="V1431" s="1"/>
    </row>
    <row r="1432" ht="15.75" customHeight="1">
      <c r="A1432" s="340"/>
      <c r="B1432" s="340"/>
      <c r="C1432" s="340"/>
      <c r="D1432" s="344"/>
      <c r="E1432" s="344"/>
      <c r="F1432" s="340"/>
      <c r="G1432" s="340"/>
      <c r="H1432" s="340"/>
      <c r="I1432" s="340"/>
      <c r="J1432" s="340"/>
      <c r="K1432" s="340"/>
      <c r="L1432" s="340"/>
      <c r="M1432" s="340"/>
      <c r="N1432" s="340"/>
      <c r="O1432" s="340"/>
      <c r="P1432" s="340"/>
      <c r="Q1432" s="35"/>
      <c r="R1432" s="35"/>
      <c r="S1432" s="35"/>
      <c r="T1432" s="1"/>
      <c r="U1432" s="1"/>
      <c r="V1432" s="1"/>
    </row>
    <row r="1433" ht="15.75" customHeight="1">
      <c r="A1433" s="340"/>
      <c r="B1433" s="340"/>
      <c r="C1433" s="340"/>
      <c r="D1433" s="344"/>
      <c r="E1433" s="344"/>
      <c r="F1433" s="340"/>
      <c r="G1433" s="340"/>
      <c r="H1433" s="340"/>
      <c r="I1433" s="340"/>
      <c r="J1433" s="340"/>
      <c r="K1433" s="340"/>
      <c r="L1433" s="340"/>
      <c r="M1433" s="340"/>
      <c r="N1433" s="340"/>
      <c r="O1433" s="340"/>
      <c r="P1433" s="340"/>
      <c r="Q1433" s="35"/>
      <c r="R1433" s="35"/>
      <c r="S1433" s="35"/>
      <c r="T1433" s="1"/>
      <c r="U1433" s="1"/>
      <c r="V1433" s="1"/>
    </row>
    <row r="1434" ht="15.75" customHeight="1">
      <c r="A1434" s="340"/>
      <c r="B1434" s="340"/>
      <c r="C1434" s="340"/>
      <c r="D1434" s="344"/>
      <c r="E1434" s="344"/>
      <c r="F1434" s="340"/>
      <c r="G1434" s="340"/>
      <c r="H1434" s="340"/>
      <c r="I1434" s="340"/>
      <c r="J1434" s="340"/>
      <c r="K1434" s="340"/>
      <c r="L1434" s="340"/>
      <c r="M1434" s="340"/>
      <c r="N1434" s="340"/>
      <c r="O1434" s="340"/>
      <c r="P1434" s="340"/>
      <c r="Q1434" s="35"/>
      <c r="R1434" s="35"/>
      <c r="S1434" s="35"/>
      <c r="T1434" s="1"/>
      <c r="U1434" s="1"/>
      <c r="V1434" s="1"/>
    </row>
    <row r="1435" ht="15.75" customHeight="1">
      <c r="A1435" s="340"/>
      <c r="B1435" s="340"/>
      <c r="C1435" s="340"/>
      <c r="D1435" s="344"/>
      <c r="E1435" s="344"/>
      <c r="F1435" s="340"/>
      <c r="G1435" s="340"/>
      <c r="H1435" s="340"/>
      <c r="I1435" s="340"/>
      <c r="J1435" s="340"/>
      <c r="K1435" s="340"/>
      <c r="L1435" s="340"/>
      <c r="M1435" s="340"/>
      <c r="N1435" s="340"/>
      <c r="O1435" s="340"/>
      <c r="P1435" s="340"/>
      <c r="Q1435" s="35"/>
      <c r="R1435" s="35"/>
      <c r="S1435" s="35"/>
      <c r="T1435" s="1"/>
      <c r="U1435" s="1"/>
      <c r="V1435" s="1"/>
    </row>
    <row r="1436" ht="15.75" customHeight="1">
      <c r="A1436" s="340"/>
      <c r="B1436" s="340"/>
      <c r="C1436" s="340"/>
      <c r="D1436" s="344"/>
      <c r="E1436" s="344"/>
      <c r="F1436" s="340"/>
      <c r="G1436" s="340"/>
      <c r="H1436" s="340"/>
      <c r="I1436" s="340"/>
      <c r="J1436" s="340"/>
      <c r="K1436" s="340"/>
      <c r="L1436" s="340"/>
      <c r="M1436" s="340"/>
      <c r="N1436" s="340"/>
      <c r="O1436" s="340"/>
      <c r="P1436" s="340"/>
      <c r="Q1436" s="35"/>
      <c r="R1436" s="35"/>
      <c r="S1436" s="35"/>
      <c r="T1436" s="1"/>
      <c r="U1436" s="1"/>
      <c r="V1436" s="1"/>
    </row>
    <row r="1437" ht="15.75" customHeight="1">
      <c r="A1437" s="340"/>
      <c r="B1437" s="340"/>
      <c r="C1437" s="340"/>
      <c r="D1437" s="344"/>
      <c r="E1437" s="344"/>
      <c r="F1437" s="340"/>
      <c r="G1437" s="340"/>
      <c r="H1437" s="340"/>
      <c r="I1437" s="340"/>
      <c r="J1437" s="340"/>
      <c r="K1437" s="340"/>
      <c r="L1437" s="340"/>
      <c r="M1437" s="340"/>
      <c r="N1437" s="340"/>
      <c r="O1437" s="340"/>
      <c r="P1437" s="340"/>
      <c r="Q1437" s="35"/>
      <c r="R1437" s="35"/>
      <c r="S1437" s="35"/>
      <c r="T1437" s="1"/>
      <c r="U1437" s="1"/>
      <c r="V1437" s="1"/>
    </row>
    <row r="1438" ht="15.75" customHeight="1">
      <c r="A1438" s="340"/>
      <c r="B1438" s="340"/>
      <c r="C1438" s="340"/>
      <c r="D1438" s="344"/>
      <c r="E1438" s="344"/>
      <c r="F1438" s="340"/>
      <c r="G1438" s="340"/>
      <c r="H1438" s="340"/>
      <c r="I1438" s="340"/>
      <c r="J1438" s="340"/>
      <c r="K1438" s="340"/>
      <c r="L1438" s="340"/>
      <c r="M1438" s="340"/>
      <c r="N1438" s="340"/>
      <c r="O1438" s="340"/>
      <c r="P1438" s="340"/>
      <c r="Q1438" s="35"/>
      <c r="R1438" s="35"/>
      <c r="S1438" s="35"/>
      <c r="T1438" s="1"/>
      <c r="U1438" s="1"/>
      <c r="V1438" s="1"/>
    </row>
    <row r="1439" ht="15.75" customHeight="1">
      <c r="A1439" s="340"/>
      <c r="B1439" s="340"/>
      <c r="C1439" s="340"/>
      <c r="D1439" s="344"/>
      <c r="E1439" s="344"/>
      <c r="F1439" s="340"/>
      <c r="G1439" s="340"/>
      <c r="H1439" s="340"/>
      <c r="I1439" s="340"/>
      <c r="J1439" s="340"/>
      <c r="K1439" s="340"/>
      <c r="L1439" s="340"/>
      <c r="M1439" s="340"/>
      <c r="N1439" s="340"/>
      <c r="O1439" s="340"/>
      <c r="P1439" s="340"/>
      <c r="Q1439" s="35"/>
      <c r="R1439" s="35"/>
      <c r="S1439" s="35"/>
      <c r="T1439" s="1"/>
      <c r="U1439" s="1"/>
      <c r="V1439" s="1"/>
    </row>
    <row r="1440" ht="15.75" customHeight="1">
      <c r="A1440" s="340"/>
      <c r="B1440" s="340"/>
      <c r="C1440" s="340"/>
      <c r="D1440" s="344"/>
      <c r="E1440" s="344"/>
      <c r="F1440" s="340"/>
      <c r="G1440" s="340"/>
      <c r="H1440" s="340"/>
      <c r="I1440" s="340"/>
      <c r="J1440" s="340"/>
      <c r="K1440" s="340"/>
      <c r="L1440" s="340"/>
      <c r="M1440" s="340"/>
      <c r="N1440" s="340"/>
      <c r="O1440" s="340"/>
      <c r="P1440" s="340"/>
      <c r="Q1440" s="35"/>
      <c r="R1440" s="35"/>
      <c r="S1440" s="35"/>
      <c r="T1440" s="1"/>
      <c r="U1440" s="1"/>
      <c r="V1440" s="1"/>
    </row>
    <row r="1441" ht="15.75" customHeight="1">
      <c r="A1441" s="340"/>
      <c r="B1441" s="340"/>
      <c r="C1441" s="340"/>
      <c r="D1441" s="344"/>
      <c r="E1441" s="344"/>
      <c r="F1441" s="340"/>
      <c r="G1441" s="340"/>
      <c r="H1441" s="340"/>
      <c r="I1441" s="340"/>
      <c r="J1441" s="340"/>
      <c r="K1441" s="340"/>
      <c r="L1441" s="340"/>
      <c r="M1441" s="340"/>
      <c r="N1441" s="340"/>
      <c r="O1441" s="340"/>
      <c r="P1441" s="340"/>
      <c r="Q1441" s="35"/>
      <c r="R1441" s="35"/>
      <c r="S1441" s="35"/>
      <c r="T1441" s="1"/>
      <c r="U1441" s="1"/>
      <c r="V1441" s="1"/>
    </row>
    <row r="1442" ht="15.75" customHeight="1">
      <c r="A1442" s="340"/>
      <c r="B1442" s="340"/>
      <c r="C1442" s="340"/>
      <c r="D1442" s="344"/>
      <c r="E1442" s="344"/>
      <c r="F1442" s="340"/>
      <c r="G1442" s="340"/>
      <c r="H1442" s="340"/>
      <c r="I1442" s="340"/>
      <c r="J1442" s="340"/>
      <c r="K1442" s="340"/>
      <c r="L1442" s="340"/>
      <c r="M1442" s="340"/>
      <c r="N1442" s="340"/>
      <c r="O1442" s="340"/>
      <c r="P1442" s="340"/>
      <c r="Q1442" s="35"/>
      <c r="R1442" s="35"/>
      <c r="S1442" s="35"/>
      <c r="T1442" s="1"/>
      <c r="U1442" s="1"/>
      <c r="V1442" s="1"/>
    </row>
    <row r="1443" ht="15.75" customHeight="1">
      <c r="A1443" s="340"/>
      <c r="B1443" s="340"/>
      <c r="C1443" s="340"/>
      <c r="D1443" s="344"/>
      <c r="E1443" s="344"/>
      <c r="F1443" s="340"/>
      <c r="G1443" s="340"/>
      <c r="H1443" s="340"/>
      <c r="I1443" s="340"/>
      <c r="J1443" s="340"/>
      <c r="K1443" s="340"/>
      <c r="L1443" s="340"/>
      <c r="M1443" s="340"/>
      <c r="N1443" s="340"/>
      <c r="O1443" s="340"/>
      <c r="P1443" s="340"/>
      <c r="Q1443" s="35"/>
      <c r="R1443" s="35"/>
      <c r="S1443" s="35"/>
      <c r="T1443" s="1"/>
      <c r="U1443" s="1"/>
      <c r="V1443" s="1"/>
    </row>
    <row r="1444" ht="15.75" customHeight="1">
      <c r="A1444" s="340"/>
      <c r="B1444" s="340"/>
      <c r="C1444" s="340"/>
      <c r="D1444" s="344"/>
      <c r="E1444" s="344"/>
      <c r="F1444" s="340"/>
      <c r="G1444" s="340"/>
      <c r="H1444" s="340"/>
      <c r="I1444" s="340"/>
      <c r="J1444" s="340"/>
      <c r="K1444" s="340"/>
      <c r="L1444" s="340"/>
      <c r="M1444" s="340"/>
      <c r="N1444" s="340"/>
      <c r="O1444" s="340"/>
      <c r="P1444" s="340"/>
      <c r="Q1444" s="35"/>
      <c r="R1444" s="35"/>
      <c r="S1444" s="35"/>
      <c r="T1444" s="1"/>
      <c r="U1444" s="1"/>
      <c r="V1444" s="1"/>
    </row>
    <row r="1445" ht="15.75" customHeight="1">
      <c r="A1445" s="340"/>
      <c r="B1445" s="340"/>
      <c r="C1445" s="340"/>
      <c r="D1445" s="344"/>
      <c r="E1445" s="344"/>
      <c r="F1445" s="340"/>
      <c r="G1445" s="340"/>
      <c r="H1445" s="340"/>
      <c r="I1445" s="340"/>
      <c r="J1445" s="340"/>
      <c r="K1445" s="340"/>
      <c r="L1445" s="340"/>
      <c r="M1445" s="340"/>
      <c r="N1445" s="340"/>
      <c r="O1445" s="340"/>
      <c r="P1445" s="340"/>
      <c r="Q1445" s="35"/>
      <c r="R1445" s="35"/>
      <c r="S1445" s="35"/>
      <c r="T1445" s="1"/>
      <c r="U1445" s="1"/>
      <c r="V1445" s="1"/>
    </row>
    <row r="1446" ht="15.75" customHeight="1">
      <c r="A1446" s="340"/>
      <c r="B1446" s="340"/>
      <c r="C1446" s="340"/>
      <c r="D1446" s="344"/>
      <c r="E1446" s="344"/>
      <c r="F1446" s="340"/>
      <c r="G1446" s="340"/>
      <c r="H1446" s="340"/>
      <c r="I1446" s="340"/>
      <c r="J1446" s="340"/>
      <c r="K1446" s="340"/>
      <c r="L1446" s="340"/>
      <c r="M1446" s="340"/>
      <c r="N1446" s="340"/>
      <c r="O1446" s="340"/>
      <c r="P1446" s="340"/>
      <c r="Q1446" s="35"/>
      <c r="R1446" s="35"/>
      <c r="S1446" s="35"/>
      <c r="T1446" s="1"/>
      <c r="U1446" s="1"/>
      <c r="V1446" s="1"/>
    </row>
    <row r="1447" ht="15.75" customHeight="1">
      <c r="A1447" s="340"/>
      <c r="B1447" s="340"/>
      <c r="C1447" s="340"/>
      <c r="D1447" s="344"/>
      <c r="E1447" s="344"/>
      <c r="F1447" s="340"/>
      <c r="G1447" s="340"/>
      <c r="H1447" s="340"/>
      <c r="I1447" s="340"/>
      <c r="J1447" s="340"/>
      <c r="K1447" s="340"/>
      <c r="L1447" s="340"/>
      <c r="M1447" s="340"/>
      <c r="N1447" s="340"/>
      <c r="O1447" s="340"/>
      <c r="P1447" s="340"/>
      <c r="Q1447" s="35"/>
      <c r="R1447" s="35"/>
      <c r="S1447" s="35"/>
      <c r="T1447" s="1"/>
      <c r="U1447" s="1"/>
      <c r="V1447" s="1"/>
    </row>
    <row r="1448" ht="15.75" customHeight="1">
      <c r="A1448" s="340"/>
      <c r="B1448" s="340"/>
      <c r="C1448" s="340"/>
      <c r="D1448" s="344"/>
      <c r="E1448" s="344"/>
      <c r="F1448" s="340"/>
      <c r="G1448" s="340"/>
      <c r="H1448" s="340"/>
      <c r="I1448" s="340"/>
      <c r="J1448" s="340"/>
      <c r="K1448" s="340"/>
      <c r="L1448" s="340"/>
      <c r="M1448" s="340"/>
      <c r="N1448" s="340"/>
      <c r="O1448" s="340"/>
      <c r="P1448" s="340"/>
      <c r="Q1448" s="35"/>
      <c r="R1448" s="35"/>
      <c r="S1448" s="35"/>
      <c r="T1448" s="1"/>
      <c r="U1448" s="1"/>
      <c r="V1448" s="1"/>
    </row>
    <row r="1449" ht="15.75" customHeight="1">
      <c r="A1449" s="340"/>
      <c r="B1449" s="340"/>
      <c r="C1449" s="340"/>
      <c r="D1449" s="344"/>
      <c r="E1449" s="344"/>
      <c r="F1449" s="340"/>
      <c r="G1449" s="340"/>
      <c r="H1449" s="340"/>
      <c r="I1449" s="340"/>
      <c r="J1449" s="340"/>
      <c r="K1449" s="340"/>
      <c r="L1449" s="340"/>
      <c r="M1449" s="340"/>
      <c r="N1449" s="340"/>
      <c r="O1449" s="340"/>
      <c r="P1449" s="340"/>
      <c r="Q1449" s="35"/>
      <c r="R1449" s="35"/>
      <c r="S1449" s="35"/>
      <c r="T1449" s="1"/>
      <c r="U1449" s="1"/>
      <c r="V1449" s="1"/>
    </row>
    <row r="1450" ht="15.75" customHeight="1">
      <c r="A1450" s="340"/>
      <c r="B1450" s="340"/>
      <c r="C1450" s="340"/>
      <c r="D1450" s="344"/>
      <c r="E1450" s="344"/>
      <c r="F1450" s="340"/>
      <c r="G1450" s="340"/>
      <c r="H1450" s="340"/>
      <c r="I1450" s="340"/>
      <c r="J1450" s="340"/>
      <c r="K1450" s="340"/>
      <c r="L1450" s="340"/>
      <c r="M1450" s="340"/>
      <c r="N1450" s="340"/>
      <c r="O1450" s="340"/>
      <c r="P1450" s="340"/>
      <c r="Q1450" s="35"/>
      <c r="R1450" s="35"/>
      <c r="S1450" s="35"/>
      <c r="T1450" s="1"/>
      <c r="U1450" s="1"/>
      <c r="V1450" s="1"/>
    </row>
    <row r="1451" ht="15.75" customHeight="1">
      <c r="A1451" s="340"/>
      <c r="B1451" s="340"/>
      <c r="C1451" s="340"/>
      <c r="D1451" s="344"/>
      <c r="E1451" s="344"/>
      <c r="F1451" s="340"/>
      <c r="G1451" s="340"/>
      <c r="H1451" s="340"/>
      <c r="I1451" s="340"/>
      <c r="J1451" s="340"/>
      <c r="K1451" s="340"/>
      <c r="L1451" s="340"/>
      <c r="M1451" s="340"/>
      <c r="N1451" s="340"/>
      <c r="O1451" s="340"/>
      <c r="P1451" s="340"/>
      <c r="Q1451" s="35"/>
      <c r="R1451" s="35"/>
      <c r="S1451" s="35"/>
      <c r="T1451" s="1"/>
      <c r="U1451" s="1"/>
      <c r="V1451" s="1"/>
    </row>
    <row r="1452" ht="15.75" customHeight="1">
      <c r="A1452" s="340"/>
      <c r="B1452" s="340"/>
      <c r="C1452" s="340"/>
      <c r="D1452" s="344"/>
      <c r="E1452" s="344"/>
      <c r="F1452" s="340"/>
      <c r="G1452" s="340"/>
      <c r="H1452" s="340"/>
      <c r="I1452" s="340"/>
      <c r="J1452" s="340"/>
      <c r="K1452" s="340"/>
      <c r="L1452" s="340"/>
      <c r="M1452" s="340"/>
      <c r="N1452" s="340"/>
      <c r="O1452" s="340"/>
      <c r="P1452" s="340"/>
      <c r="Q1452" s="35"/>
      <c r="R1452" s="35"/>
      <c r="S1452" s="35"/>
      <c r="T1452" s="1"/>
      <c r="U1452" s="1"/>
      <c r="V1452" s="1"/>
    </row>
    <row r="1453" ht="15.75" customHeight="1">
      <c r="A1453" s="340"/>
      <c r="B1453" s="340"/>
      <c r="C1453" s="340"/>
      <c r="D1453" s="344"/>
      <c r="E1453" s="344"/>
      <c r="F1453" s="340"/>
      <c r="G1453" s="340"/>
      <c r="H1453" s="340"/>
      <c r="I1453" s="340"/>
      <c r="J1453" s="340"/>
      <c r="K1453" s="340"/>
      <c r="L1453" s="340"/>
      <c r="M1453" s="340"/>
      <c r="N1453" s="340"/>
      <c r="O1453" s="340"/>
      <c r="P1453" s="340"/>
      <c r="Q1453" s="35"/>
      <c r="R1453" s="35"/>
      <c r="S1453" s="35"/>
      <c r="T1453" s="1"/>
      <c r="U1453" s="1"/>
      <c r="V1453" s="1"/>
    </row>
    <row r="1454" ht="15.75" customHeight="1">
      <c r="A1454" s="340"/>
      <c r="B1454" s="340"/>
      <c r="C1454" s="340"/>
      <c r="D1454" s="344"/>
      <c r="E1454" s="344"/>
      <c r="F1454" s="340"/>
      <c r="G1454" s="340"/>
      <c r="H1454" s="340"/>
      <c r="I1454" s="340"/>
      <c r="J1454" s="340"/>
      <c r="K1454" s="340"/>
      <c r="L1454" s="340"/>
      <c r="M1454" s="340"/>
      <c r="N1454" s="340"/>
      <c r="O1454" s="340"/>
      <c r="P1454" s="340"/>
      <c r="Q1454" s="35"/>
      <c r="R1454" s="35"/>
      <c r="S1454" s="35"/>
      <c r="T1454" s="1"/>
      <c r="U1454" s="1"/>
      <c r="V1454" s="1"/>
    </row>
    <row r="1455" ht="15.75" customHeight="1">
      <c r="A1455" s="340"/>
      <c r="B1455" s="340"/>
      <c r="C1455" s="340"/>
      <c r="D1455" s="344"/>
      <c r="E1455" s="344"/>
      <c r="F1455" s="340"/>
      <c r="G1455" s="340"/>
      <c r="H1455" s="340"/>
      <c r="I1455" s="340"/>
      <c r="J1455" s="340"/>
      <c r="K1455" s="340"/>
      <c r="L1455" s="340"/>
      <c r="M1455" s="340"/>
      <c r="N1455" s="340"/>
      <c r="O1455" s="340"/>
      <c r="P1455" s="340"/>
      <c r="Q1455" s="35"/>
      <c r="R1455" s="35"/>
      <c r="S1455" s="35"/>
      <c r="T1455" s="1"/>
      <c r="U1455" s="1"/>
      <c r="V1455" s="1"/>
    </row>
    <row r="1456" ht="15.75" customHeight="1">
      <c r="A1456" s="340"/>
      <c r="B1456" s="340"/>
      <c r="C1456" s="340"/>
      <c r="D1456" s="344"/>
      <c r="E1456" s="344"/>
      <c r="F1456" s="340"/>
      <c r="G1456" s="340"/>
      <c r="H1456" s="340"/>
      <c r="I1456" s="340"/>
      <c r="J1456" s="340"/>
      <c r="K1456" s="340"/>
      <c r="L1456" s="340"/>
      <c r="M1456" s="340"/>
      <c r="N1456" s="340"/>
      <c r="O1456" s="340"/>
      <c r="P1456" s="340"/>
      <c r="Q1456" s="35"/>
      <c r="R1456" s="35"/>
      <c r="S1456" s="35"/>
      <c r="T1456" s="1"/>
      <c r="U1456" s="1"/>
      <c r="V1456" s="1"/>
    </row>
    <row r="1457" ht="15.75" customHeight="1">
      <c r="A1457" s="340"/>
      <c r="B1457" s="340"/>
      <c r="C1457" s="340"/>
      <c r="D1457" s="344"/>
      <c r="E1457" s="344"/>
      <c r="F1457" s="340"/>
      <c r="G1457" s="340"/>
      <c r="H1457" s="340"/>
      <c r="I1457" s="340"/>
      <c r="J1457" s="340"/>
      <c r="K1457" s="340"/>
      <c r="L1457" s="340"/>
      <c r="M1457" s="340"/>
      <c r="N1457" s="340"/>
      <c r="O1457" s="340"/>
      <c r="P1457" s="340"/>
      <c r="Q1457" s="35"/>
      <c r="R1457" s="35"/>
      <c r="S1457" s="35"/>
      <c r="T1457" s="1"/>
      <c r="U1457" s="1"/>
      <c r="V1457" s="1"/>
    </row>
    <row r="1458" ht="15.75" customHeight="1">
      <c r="A1458" s="340"/>
      <c r="B1458" s="340"/>
      <c r="C1458" s="340"/>
      <c r="D1458" s="344"/>
      <c r="E1458" s="344"/>
      <c r="F1458" s="340"/>
      <c r="G1458" s="340"/>
      <c r="H1458" s="340"/>
      <c r="I1458" s="340"/>
      <c r="J1458" s="340"/>
      <c r="K1458" s="340"/>
      <c r="L1458" s="340"/>
      <c r="M1458" s="340"/>
      <c r="N1458" s="340"/>
      <c r="O1458" s="340"/>
      <c r="P1458" s="340"/>
      <c r="Q1458" s="35"/>
      <c r="R1458" s="35"/>
      <c r="S1458" s="35"/>
      <c r="T1458" s="1"/>
      <c r="U1458" s="1"/>
      <c r="V1458" s="1"/>
    </row>
    <row r="1459" ht="15.75" customHeight="1">
      <c r="A1459" s="340"/>
      <c r="B1459" s="340"/>
      <c r="C1459" s="340"/>
      <c r="D1459" s="344"/>
      <c r="E1459" s="344"/>
      <c r="F1459" s="340"/>
      <c r="G1459" s="340"/>
      <c r="H1459" s="340"/>
      <c r="I1459" s="340"/>
      <c r="J1459" s="340"/>
      <c r="K1459" s="340"/>
      <c r="L1459" s="340"/>
      <c r="M1459" s="340"/>
      <c r="N1459" s="340"/>
      <c r="O1459" s="340"/>
      <c r="P1459" s="340"/>
      <c r="Q1459" s="35"/>
      <c r="R1459" s="35"/>
      <c r="S1459" s="35"/>
      <c r="T1459" s="1"/>
      <c r="U1459" s="1"/>
      <c r="V1459" s="1"/>
    </row>
    <row r="1460" ht="15.75" customHeight="1">
      <c r="A1460" s="340"/>
      <c r="B1460" s="340"/>
      <c r="C1460" s="340"/>
      <c r="D1460" s="344"/>
      <c r="E1460" s="344"/>
      <c r="F1460" s="340"/>
      <c r="G1460" s="340"/>
      <c r="H1460" s="340"/>
      <c r="I1460" s="340"/>
      <c r="J1460" s="340"/>
      <c r="K1460" s="340"/>
      <c r="L1460" s="340"/>
      <c r="M1460" s="340"/>
      <c r="N1460" s="340"/>
      <c r="O1460" s="340"/>
      <c r="P1460" s="340"/>
      <c r="Q1460" s="35"/>
      <c r="R1460" s="35"/>
      <c r="S1460" s="35"/>
      <c r="T1460" s="1"/>
      <c r="U1460" s="1"/>
      <c r="V1460" s="1"/>
    </row>
    <row r="1461" ht="15.75" customHeight="1">
      <c r="A1461" s="340"/>
      <c r="B1461" s="340"/>
      <c r="C1461" s="340"/>
      <c r="D1461" s="344"/>
      <c r="E1461" s="344"/>
      <c r="F1461" s="340"/>
      <c r="G1461" s="340"/>
      <c r="H1461" s="340"/>
      <c r="I1461" s="340"/>
      <c r="J1461" s="340"/>
      <c r="K1461" s="340"/>
      <c r="L1461" s="340"/>
      <c r="M1461" s="340"/>
      <c r="N1461" s="340"/>
      <c r="O1461" s="340"/>
      <c r="P1461" s="340"/>
      <c r="Q1461" s="35"/>
      <c r="R1461" s="35"/>
      <c r="S1461" s="35"/>
      <c r="T1461" s="1"/>
      <c r="U1461" s="1"/>
      <c r="V1461" s="1"/>
    </row>
    <row r="1462" ht="15.75" customHeight="1">
      <c r="A1462" s="340"/>
      <c r="B1462" s="340"/>
      <c r="C1462" s="340"/>
      <c r="D1462" s="344"/>
      <c r="E1462" s="344"/>
      <c r="F1462" s="340"/>
      <c r="G1462" s="340"/>
      <c r="H1462" s="340"/>
      <c r="I1462" s="340"/>
      <c r="J1462" s="340"/>
      <c r="K1462" s="340"/>
      <c r="L1462" s="340"/>
      <c r="M1462" s="340"/>
      <c r="N1462" s="340"/>
      <c r="O1462" s="340"/>
      <c r="P1462" s="340"/>
      <c r="Q1462" s="35"/>
      <c r="R1462" s="35"/>
      <c r="S1462" s="35"/>
      <c r="T1462" s="1"/>
      <c r="U1462" s="1"/>
      <c r="V1462" s="1"/>
    </row>
    <row r="1463" ht="15.75" customHeight="1">
      <c r="A1463" s="340"/>
      <c r="B1463" s="340"/>
      <c r="C1463" s="340"/>
      <c r="D1463" s="344"/>
      <c r="E1463" s="344"/>
      <c r="F1463" s="340"/>
      <c r="G1463" s="340"/>
      <c r="H1463" s="340"/>
      <c r="I1463" s="340"/>
      <c r="J1463" s="340"/>
      <c r="K1463" s="340"/>
      <c r="L1463" s="340"/>
      <c r="M1463" s="340"/>
      <c r="N1463" s="340"/>
      <c r="O1463" s="340"/>
      <c r="P1463" s="340"/>
      <c r="Q1463" s="35"/>
      <c r="R1463" s="35"/>
      <c r="S1463" s="35"/>
      <c r="T1463" s="1"/>
      <c r="U1463" s="1"/>
      <c r="V1463" s="1"/>
    </row>
    <row r="1464" ht="15.75" customHeight="1">
      <c r="A1464" s="340"/>
      <c r="B1464" s="340"/>
      <c r="C1464" s="340"/>
      <c r="D1464" s="344"/>
      <c r="E1464" s="344"/>
      <c r="F1464" s="340"/>
      <c r="G1464" s="340"/>
      <c r="H1464" s="340"/>
      <c r="I1464" s="340"/>
      <c r="J1464" s="340"/>
      <c r="K1464" s="340"/>
      <c r="L1464" s="340"/>
      <c r="M1464" s="340"/>
      <c r="N1464" s="340"/>
      <c r="O1464" s="340"/>
      <c r="P1464" s="340"/>
      <c r="Q1464" s="35"/>
      <c r="R1464" s="35"/>
      <c r="S1464" s="35"/>
      <c r="T1464" s="1"/>
      <c r="U1464" s="1"/>
      <c r="V1464" s="1"/>
    </row>
    <row r="1465" ht="15.75" customHeight="1">
      <c r="A1465" s="340"/>
      <c r="B1465" s="340"/>
      <c r="C1465" s="340"/>
      <c r="D1465" s="344"/>
      <c r="E1465" s="344"/>
      <c r="F1465" s="340"/>
      <c r="G1465" s="340"/>
      <c r="H1465" s="340"/>
      <c r="I1465" s="340"/>
      <c r="J1465" s="340"/>
      <c r="K1465" s="340"/>
      <c r="L1465" s="340"/>
      <c r="M1465" s="340"/>
      <c r="N1465" s="340"/>
      <c r="O1465" s="340"/>
      <c r="P1465" s="340"/>
      <c r="Q1465" s="35"/>
      <c r="R1465" s="35"/>
      <c r="S1465" s="35"/>
      <c r="T1465" s="1"/>
      <c r="U1465" s="1"/>
      <c r="V1465" s="1"/>
    </row>
    <row r="1466" ht="15.75" customHeight="1">
      <c r="A1466" s="340"/>
      <c r="B1466" s="340"/>
      <c r="C1466" s="340"/>
      <c r="D1466" s="344"/>
      <c r="E1466" s="344"/>
      <c r="F1466" s="340"/>
      <c r="G1466" s="340"/>
      <c r="H1466" s="340"/>
      <c r="I1466" s="340"/>
      <c r="J1466" s="340"/>
      <c r="K1466" s="340"/>
      <c r="L1466" s="340"/>
      <c r="M1466" s="340"/>
      <c r="N1466" s="340"/>
      <c r="O1466" s="340"/>
      <c r="P1466" s="340"/>
      <c r="Q1466" s="35"/>
      <c r="R1466" s="35"/>
      <c r="S1466" s="35"/>
      <c r="T1466" s="1"/>
      <c r="U1466" s="1"/>
      <c r="V1466" s="1"/>
    </row>
    <row r="1467" ht="15.75" customHeight="1">
      <c r="A1467" s="340"/>
      <c r="B1467" s="340"/>
      <c r="C1467" s="340"/>
      <c r="D1467" s="344"/>
      <c r="E1467" s="344"/>
      <c r="F1467" s="340"/>
      <c r="G1467" s="340"/>
      <c r="H1467" s="340"/>
      <c r="I1467" s="340"/>
      <c r="J1467" s="340"/>
      <c r="K1467" s="340"/>
      <c r="L1467" s="340"/>
      <c r="M1467" s="340"/>
      <c r="N1467" s="340"/>
      <c r="O1467" s="340"/>
      <c r="P1467" s="340"/>
      <c r="Q1467" s="35"/>
      <c r="R1467" s="35"/>
      <c r="S1467" s="35"/>
      <c r="T1467" s="1"/>
      <c r="U1467" s="1"/>
      <c r="V1467" s="1"/>
    </row>
    <row r="1468" ht="15.75" customHeight="1">
      <c r="A1468" s="340"/>
      <c r="B1468" s="340"/>
      <c r="C1468" s="340"/>
      <c r="D1468" s="344"/>
      <c r="E1468" s="344"/>
      <c r="F1468" s="340"/>
      <c r="G1468" s="340"/>
      <c r="H1468" s="340"/>
      <c r="I1468" s="340"/>
      <c r="J1468" s="340"/>
      <c r="K1468" s="340"/>
      <c r="L1468" s="340"/>
      <c r="M1468" s="340"/>
      <c r="N1468" s="340"/>
      <c r="O1468" s="340"/>
      <c r="P1468" s="340"/>
      <c r="Q1468" s="35"/>
      <c r="R1468" s="35"/>
      <c r="S1468" s="35"/>
      <c r="T1468" s="1"/>
      <c r="U1468" s="1"/>
      <c r="V1468" s="1"/>
    </row>
    <row r="1469" ht="15.75" customHeight="1">
      <c r="A1469" s="340"/>
      <c r="B1469" s="340"/>
      <c r="C1469" s="340"/>
      <c r="D1469" s="344"/>
      <c r="E1469" s="344"/>
      <c r="F1469" s="340"/>
      <c r="G1469" s="340"/>
      <c r="H1469" s="340"/>
      <c r="I1469" s="340"/>
      <c r="J1469" s="340"/>
      <c r="K1469" s="340"/>
      <c r="L1469" s="340"/>
      <c r="M1469" s="340"/>
      <c r="N1469" s="340"/>
      <c r="O1469" s="340"/>
      <c r="P1469" s="340"/>
      <c r="Q1469" s="35"/>
      <c r="R1469" s="35"/>
      <c r="S1469" s="35"/>
      <c r="T1469" s="1"/>
      <c r="U1469" s="1"/>
      <c r="V1469" s="1"/>
    </row>
    <row r="1470" ht="15.75" customHeight="1">
      <c r="A1470" s="340"/>
      <c r="B1470" s="340"/>
      <c r="C1470" s="340"/>
      <c r="D1470" s="344"/>
      <c r="E1470" s="344"/>
      <c r="F1470" s="340"/>
      <c r="G1470" s="340"/>
      <c r="H1470" s="340"/>
      <c r="I1470" s="340"/>
      <c r="J1470" s="340"/>
      <c r="K1470" s="340"/>
      <c r="L1470" s="340"/>
      <c r="M1470" s="340"/>
      <c r="N1470" s="340"/>
      <c r="O1470" s="340"/>
      <c r="P1470" s="340"/>
      <c r="Q1470" s="35"/>
      <c r="R1470" s="35"/>
      <c r="S1470" s="35"/>
      <c r="T1470" s="1"/>
      <c r="U1470" s="1"/>
      <c r="V1470" s="1"/>
    </row>
    <row r="1471" ht="15.75" customHeight="1">
      <c r="A1471" s="340"/>
      <c r="B1471" s="340"/>
      <c r="C1471" s="340"/>
      <c r="D1471" s="344"/>
      <c r="E1471" s="344"/>
      <c r="F1471" s="340"/>
      <c r="G1471" s="340"/>
      <c r="H1471" s="340"/>
      <c r="I1471" s="340"/>
      <c r="J1471" s="340"/>
      <c r="K1471" s="340"/>
      <c r="L1471" s="340"/>
      <c r="M1471" s="340"/>
      <c r="N1471" s="340"/>
      <c r="O1471" s="340"/>
      <c r="P1471" s="340"/>
      <c r="Q1471" s="35"/>
      <c r="R1471" s="35"/>
      <c r="S1471" s="35"/>
      <c r="T1471" s="1"/>
      <c r="U1471" s="1"/>
      <c r="V1471" s="1"/>
    </row>
    <row r="1472" ht="15.75" customHeight="1">
      <c r="A1472" s="340"/>
      <c r="B1472" s="340"/>
      <c r="C1472" s="340"/>
      <c r="D1472" s="344"/>
      <c r="E1472" s="344"/>
      <c r="F1472" s="340"/>
      <c r="G1472" s="340"/>
      <c r="H1472" s="340"/>
      <c r="I1472" s="340"/>
      <c r="J1472" s="340"/>
      <c r="K1472" s="340"/>
      <c r="L1472" s="340"/>
      <c r="M1472" s="340"/>
      <c r="N1472" s="340"/>
      <c r="O1472" s="340"/>
      <c r="P1472" s="340"/>
      <c r="Q1472" s="35"/>
      <c r="R1472" s="35"/>
      <c r="S1472" s="35"/>
      <c r="T1472" s="1"/>
      <c r="U1472" s="1"/>
      <c r="V1472" s="1"/>
    </row>
    <row r="1473" ht="15.75" customHeight="1">
      <c r="A1473" s="340"/>
      <c r="B1473" s="340"/>
      <c r="C1473" s="340"/>
      <c r="D1473" s="344"/>
      <c r="E1473" s="344"/>
      <c r="F1473" s="340"/>
      <c r="G1473" s="340"/>
      <c r="H1473" s="340"/>
      <c r="I1473" s="340"/>
      <c r="J1473" s="340"/>
      <c r="K1473" s="340"/>
      <c r="L1473" s="340"/>
      <c r="M1473" s="340"/>
      <c r="N1473" s="340"/>
      <c r="O1473" s="340"/>
      <c r="P1473" s="340"/>
      <c r="Q1473" s="35"/>
      <c r="R1473" s="35"/>
      <c r="S1473" s="35"/>
      <c r="T1473" s="1"/>
      <c r="U1473" s="1"/>
      <c r="V1473" s="1"/>
    </row>
    <row r="1474" ht="15.75" customHeight="1">
      <c r="A1474" s="340"/>
      <c r="B1474" s="340"/>
      <c r="C1474" s="340"/>
      <c r="D1474" s="344"/>
      <c r="E1474" s="344"/>
      <c r="F1474" s="340"/>
      <c r="G1474" s="340"/>
      <c r="H1474" s="340"/>
      <c r="I1474" s="340"/>
      <c r="J1474" s="340"/>
      <c r="K1474" s="340"/>
      <c r="L1474" s="340"/>
      <c r="M1474" s="340"/>
      <c r="N1474" s="340"/>
      <c r="O1474" s="340"/>
      <c r="P1474" s="340"/>
      <c r="Q1474" s="35"/>
      <c r="R1474" s="35"/>
      <c r="S1474" s="35"/>
      <c r="T1474" s="1"/>
      <c r="U1474" s="1"/>
      <c r="V1474" s="1"/>
    </row>
    <row r="1475" ht="15.75" customHeight="1">
      <c r="A1475" s="340"/>
      <c r="B1475" s="340"/>
      <c r="C1475" s="340"/>
      <c r="D1475" s="344"/>
      <c r="E1475" s="344"/>
      <c r="F1475" s="340"/>
      <c r="G1475" s="340"/>
      <c r="H1475" s="340"/>
      <c r="I1475" s="340"/>
      <c r="J1475" s="340"/>
      <c r="K1475" s="340"/>
      <c r="L1475" s="340"/>
      <c r="M1475" s="340"/>
      <c r="N1475" s="340"/>
      <c r="O1475" s="340"/>
      <c r="P1475" s="340"/>
      <c r="Q1475" s="35"/>
      <c r="R1475" s="35"/>
      <c r="S1475" s="35"/>
      <c r="T1475" s="1"/>
      <c r="U1475" s="1"/>
      <c r="V1475" s="1"/>
    </row>
    <row r="1476" ht="15.75" customHeight="1">
      <c r="A1476" s="340"/>
      <c r="B1476" s="340"/>
      <c r="C1476" s="340"/>
      <c r="D1476" s="344"/>
      <c r="E1476" s="344"/>
      <c r="F1476" s="340"/>
      <c r="G1476" s="340"/>
      <c r="H1476" s="340"/>
      <c r="I1476" s="340"/>
      <c r="J1476" s="340"/>
      <c r="K1476" s="340"/>
      <c r="L1476" s="340"/>
      <c r="M1476" s="340"/>
      <c r="N1476" s="340"/>
      <c r="O1476" s="340"/>
      <c r="P1476" s="340"/>
      <c r="Q1476" s="35"/>
      <c r="R1476" s="35"/>
      <c r="S1476" s="35"/>
      <c r="T1476" s="1"/>
      <c r="U1476" s="1"/>
      <c r="V1476" s="1"/>
    </row>
    <row r="1477" ht="15.75" customHeight="1">
      <c r="A1477" s="340"/>
      <c r="B1477" s="340"/>
      <c r="C1477" s="340"/>
      <c r="D1477" s="344"/>
      <c r="E1477" s="344"/>
      <c r="F1477" s="340"/>
      <c r="G1477" s="340"/>
      <c r="H1477" s="340"/>
      <c r="I1477" s="340"/>
      <c r="J1477" s="340"/>
      <c r="K1477" s="340"/>
      <c r="L1477" s="340"/>
      <c r="M1477" s="340"/>
      <c r="N1477" s="340"/>
      <c r="O1477" s="340"/>
      <c r="P1477" s="340"/>
      <c r="Q1477" s="35"/>
      <c r="R1477" s="35"/>
      <c r="S1477" s="35"/>
      <c r="T1477" s="1"/>
      <c r="U1477" s="1"/>
      <c r="V1477" s="1"/>
    </row>
    <row r="1478" ht="15.75" customHeight="1">
      <c r="A1478" s="340"/>
      <c r="B1478" s="340"/>
      <c r="C1478" s="340"/>
      <c r="D1478" s="344"/>
      <c r="E1478" s="344"/>
      <c r="F1478" s="340"/>
      <c r="G1478" s="340"/>
      <c r="H1478" s="340"/>
      <c r="I1478" s="340"/>
      <c r="J1478" s="340"/>
      <c r="K1478" s="340"/>
      <c r="L1478" s="340"/>
      <c r="M1478" s="340"/>
      <c r="N1478" s="340"/>
      <c r="O1478" s="340"/>
      <c r="P1478" s="340"/>
      <c r="Q1478" s="35"/>
      <c r="R1478" s="35"/>
      <c r="S1478" s="35"/>
      <c r="T1478" s="1"/>
      <c r="U1478" s="1"/>
      <c r="V1478" s="1"/>
    </row>
    <row r="1479" ht="15.75" customHeight="1">
      <c r="A1479" s="340"/>
      <c r="B1479" s="340"/>
      <c r="C1479" s="340"/>
      <c r="D1479" s="344"/>
      <c r="E1479" s="344"/>
      <c r="F1479" s="340"/>
      <c r="G1479" s="340"/>
      <c r="H1479" s="340"/>
      <c r="I1479" s="340"/>
      <c r="J1479" s="340"/>
      <c r="K1479" s="340"/>
      <c r="L1479" s="340"/>
      <c r="M1479" s="340"/>
      <c r="N1479" s="340"/>
      <c r="O1479" s="340"/>
      <c r="P1479" s="340"/>
      <c r="Q1479" s="35"/>
      <c r="R1479" s="35"/>
      <c r="S1479" s="35"/>
      <c r="T1479" s="1"/>
      <c r="U1479" s="1"/>
      <c r="V1479" s="1"/>
    </row>
    <row r="1480" ht="15.75" customHeight="1">
      <c r="A1480" s="340"/>
      <c r="B1480" s="340"/>
      <c r="C1480" s="340"/>
      <c r="D1480" s="344"/>
      <c r="E1480" s="344"/>
      <c r="F1480" s="340"/>
      <c r="G1480" s="340"/>
      <c r="H1480" s="340"/>
      <c r="I1480" s="340"/>
      <c r="J1480" s="340"/>
      <c r="K1480" s="340"/>
      <c r="L1480" s="340"/>
      <c r="M1480" s="340"/>
      <c r="N1480" s="340"/>
      <c r="O1480" s="340"/>
      <c r="P1480" s="340"/>
      <c r="Q1480" s="35"/>
      <c r="R1480" s="35"/>
      <c r="S1480" s="35"/>
      <c r="T1480" s="1"/>
      <c r="U1480" s="1"/>
      <c r="V1480" s="1"/>
    </row>
    <row r="1481" ht="15.75" customHeight="1">
      <c r="A1481" s="340"/>
      <c r="B1481" s="340"/>
      <c r="C1481" s="340"/>
      <c r="D1481" s="344"/>
      <c r="E1481" s="344"/>
      <c r="F1481" s="340"/>
      <c r="G1481" s="340"/>
      <c r="H1481" s="340"/>
      <c r="I1481" s="340"/>
      <c r="J1481" s="340"/>
      <c r="K1481" s="340"/>
      <c r="L1481" s="340"/>
      <c r="M1481" s="340"/>
      <c r="N1481" s="340"/>
      <c r="O1481" s="340"/>
      <c r="P1481" s="340"/>
      <c r="Q1481" s="35"/>
      <c r="R1481" s="35"/>
      <c r="S1481" s="35"/>
      <c r="T1481" s="1"/>
      <c r="U1481" s="1"/>
      <c r="V1481" s="1"/>
    </row>
    <row r="1482" ht="15.75" customHeight="1">
      <c r="A1482" s="340"/>
      <c r="B1482" s="340"/>
      <c r="C1482" s="340"/>
      <c r="D1482" s="344"/>
      <c r="E1482" s="344"/>
      <c r="F1482" s="340"/>
      <c r="G1482" s="340"/>
      <c r="H1482" s="340"/>
      <c r="I1482" s="340"/>
      <c r="J1482" s="340"/>
      <c r="K1482" s="340"/>
      <c r="L1482" s="340"/>
      <c r="M1482" s="340"/>
      <c r="N1482" s="340"/>
      <c r="O1482" s="340"/>
      <c r="P1482" s="340"/>
      <c r="Q1482" s="35"/>
      <c r="R1482" s="35"/>
      <c r="S1482" s="35"/>
      <c r="T1482" s="1"/>
      <c r="U1482" s="1"/>
      <c r="V1482" s="1"/>
    </row>
    <row r="1483" ht="15.75" customHeight="1">
      <c r="A1483" s="340"/>
      <c r="B1483" s="340"/>
      <c r="C1483" s="340"/>
      <c r="D1483" s="344"/>
      <c r="E1483" s="344"/>
      <c r="F1483" s="340"/>
      <c r="G1483" s="340"/>
      <c r="H1483" s="340"/>
      <c r="I1483" s="340"/>
      <c r="J1483" s="340"/>
      <c r="K1483" s="340"/>
      <c r="L1483" s="340"/>
      <c r="M1483" s="340"/>
      <c r="N1483" s="340"/>
      <c r="O1483" s="340"/>
      <c r="P1483" s="340"/>
      <c r="Q1483" s="35"/>
      <c r="R1483" s="35"/>
      <c r="S1483" s="35"/>
      <c r="T1483" s="1"/>
      <c r="U1483" s="1"/>
      <c r="V1483" s="1"/>
    </row>
    <row r="1484" ht="15.75" customHeight="1">
      <c r="A1484" s="340"/>
      <c r="B1484" s="340"/>
      <c r="C1484" s="340"/>
      <c r="D1484" s="344"/>
      <c r="E1484" s="344"/>
      <c r="F1484" s="340"/>
      <c r="G1484" s="340"/>
      <c r="H1484" s="340"/>
      <c r="I1484" s="340"/>
      <c r="J1484" s="340"/>
      <c r="K1484" s="340"/>
      <c r="L1484" s="340"/>
      <c r="M1484" s="340"/>
      <c r="N1484" s="340"/>
      <c r="O1484" s="340"/>
      <c r="P1484" s="340"/>
      <c r="Q1484" s="35"/>
      <c r="R1484" s="35"/>
      <c r="S1484" s="35"/>
      <c r="T1484" s="1"/>
      <c r="U1484" s="1"/>
      <c r="V1484" s="1"/>
    </row>
    <row r="1485" ht="15.75" customHeight="1">
      <c r="A1485" s="340"/>
      <c r="B1485" s="340"/>
      <c r="C1485" s="340"/>
      <c r="D1485" s="344"/>
      <c r="E1485" s="344"/>
      <c r="F1485" s="340"/>
      <c r="G1485" s="340"/>
      <c r="H1485" s="340"/>
      <c r="I1485" s="340"/>
      <c r="J1485" s="340"/>
      <c r="K1485" s="340"/>
      <c r="L1485" s="340"/>
      <c r="M1485" s="340"/>
      <c r="N1485" s="340"/>
      <c r="O1485" s="340"/>
      <c r="P1485" s="340"/>
      <c r="Q1485" s="35"/>
      <c r="R1485" s="35"/>
      <c r="S1485" s="35"/>
      <c r="T1485" s="1"/>
      <c r="U1485" s="1"/>
      <c r="V1485" s="1"/>
    </row>
    <row r="1486" ht="15.75" customHeight="1">
      <c r="A1486" s="340"/>
      <c r="B1486" s="340"/>
      <c r="C1486" s="340"/>
      <c r="D1486" s="344"/>
      <c r="E1486" s="344"/>
      <c r="F1486" s="340"/>
      <c r="G1486" s="340"/>
      <c r="H1486" s="340"/>
      <c r="I1486" s="340"/>
      <c r="J1486" s="340"/>
      <c r="K1486" s="340"/>
      <c r="L1486" s="340"/>
      <c r="M1486" s="340"/>
      <c r="N1486" s="340"/>
      <c r="O1486" s="340"/>
      <c r="P1486" s="340"/>
      <c r="Q1486" s="35"/>
      <c r="R1486" s="35"/>
      <c r="S1486" s="35"/>
      <c r="T1486" s="1"/>
      <c r="U1486" s="1"/>
      <c r="V1486" s="1"/>
    </row>
    <row r="1487" ht="15.75" customHeight="1">
      <c r="A1487" s="340"/>
      <c r="B1487" s="340"/>
      <c r="C1487" s="340"/>
      <c r="D1487" s="344"/>
      <c r="E1487" s="344"/>
      <c r="F1487" s="340"/>
      <c r="G1487" s="340"/>
      <c r="H1487" s="340"/>
      <c r="I1487" s="340"/>
      <c r="J1487" s="340"/>
      <c r="K1487" s="340"/>
      <c r="L1487" s="340"/>
      <c r="M1487" s="340"/>
      <c r="N1487" s="340"/>
      <c r="O1487" s="340"/>
      <c r="P1487" s="340"/>
      <c r="Q1487" s="35"/>
      <c r="R1487" s="35"/>
      <c r="S1487" s="35"/>
      <c r="T1487" s="1"/>
      <c r="U1487" s="1"/>
      <c r="V1487" s="1"/>
    </row>
    <row r="1488" ht="15.75" customHeight="1">
      <c r="A1488" s="340"/>
      <c r="B1488" s="340"/>
      <c r="C1488" s="340"/>
      <c r="D1488" s="344"/>
      <c r="E1488" s="344"/>
      <c r="F1488" s="340"/>
      <c r="G1488" s="340"/>
      <c r="H1488" s="340"/>
      <c r="I1488" s="340"/>
      <c r="J1488" s="340"/>
      <c r="K1488" s="340"/>
      <c r="L1488" s="340"/>
      <c r="M1488" s="340"/>
      <c r="N1488" s="340"/>
      <c r="O1488" s="340"/>
      <c r="P1488" s="340"/>
      <c r="Q1488" s="35"/>
      <c r="R1488" s="35"/>
      <c r="S1488" s="35"/>
      <c r="T1488" s="1"/>
      <c r="U1488" s="1"/>
      <c r="V1488" s="1"/>
    </row>
    <row r="1489" ht="15.75" customHeight="1">
      <c r="A1489" s="340"/>
      <c r="B1489" s="340"/>
      <c r="C1489" s="340"/>
      <c r="D1489" s="344"/>
      <c r="E1489" s="344"/>
      <c r="F1489" s="340"/>
      <c r="G1489" s="340"/>
      <c r="H1489" s="340"/>
      <c r="I1489" s="340"/>
      <c r="J1489" s="340"/>
      <c r="K1489" s="340"/>
      <c r="L1489" s="340"/>
      <c r="M1489" s="340"/>
      <c r="N1489" s="340"/>
      <c r="O1489" s="340"/>
      <c r="P1489" s="340"/>
      <c r="Q1489" s="35"/>
      <c r="R1489" s="35"/>
      <c r="S1489" s="35"/>
      <c r="T1489" s="1"/>
      <c r="U1489" s="1"/>
      <c r="V1489" s="1"/>
    </row>
    <row r="1490" ht="15.75" customHeight="1">
      <c r="A1490" s="340"/>
      <c r="B1490" s="340"/>
      <c r="C1490" s="340"/>
      <c r="D1490" s="344"/>
      <c r="E1490" s="344"/>
      <c r="F1490" s="340"/>
      <c r="G1490" s="340"/>
      <c r="H1490" s="340"/>
      <c r="I1490" s="340"/>
      <c r="J1490" s="340"/>
      <c r="K1490" s="340"/>
      <c r="L1490" s="340"/>
      <c r="M1490" s="340"/>
      <c r="N1490" s="340"/>
      <c r="O1490" s="340"/>
      <c r="P1490" s="340"/>
      <c r="Q1490" s="35"/>
      <c r="R1490" s="35"/>
      <c r="S1490" s="35"/>
      <c r="T1490" s="1"/>
      <c r="U1490" s="1"/>
      <c r="V1490" s="1"/>
    </row>
    <row r="1491" ht="15.75" customHeight="1">
      <c r="A1491" s="340"/>
      <c r="B1491" s="340"/>
      <c r="C1491" s="340"/>
      <c r="D1491" s="344"/>
      <c r="E1491" s="344"/>
      <c r="F1491" s="340"/>
      <c r="G1491" s="340"/>
      <c r="H1491" s="340"/>
      <c r="I1491" s="340"/>
      <c r="J1491" s="340"/>
      <c r="K1491" s="340"/>
      <c r="L1491" s="340"/>
      <c r="M1491" s="340"/>
      <c r="N1491" s="340"/>
      <c r="O1491" s="340"/>
      <c r="P1491" s="340"/>
      <c r="Q1491" s="35"/>
      <c r="R1491" s="35"/>
      <c r="S1491" s="35"/>
      <c r="T1491" s="1"/>
      <c r="U1491" s="1"/>
      <c r="V1491" s="1"/>
    </row>
    <row r="1492" ht="15.75" customHeight="1">
      <c r="A1492" s="340"/>
      <c r="B1492" s="340"/>
      <c r="C1492" s="340"/>
      <c r="D1492" s="344"/>
      <c r="E1492" s="344"/>
      <c r="F1492" s="340"/>
      <c r="G1492" s="340"/>
      <c r="H1492" s="340"/>
      <c r="I1492" s="340"/>
      <c r="J1492" s="340"/>
      <c r="K1492" s="340"/>
      <c r="L1492" s="340"/>
      <c r="M1492" s="340"/>
      <c r="N1492" s="340"/>
      <c r="O1492" s="340"/>
      <c r="P1492" s="340"/>
      <c r="Q1492" s="35"/>
      <c r="R1492" s="35"/>
      <c r="S1492" s="35"/>
      <c r="T1492" s="1"/>
      <c r="U1492" s="1"/>
      <c r="V1492" s="1"/>
    </row>
    <row r="1493" ht="15.75" customHeight="1">
      <c r="A1493" s="340"/>
      <c r="B1493" s="340"/>
      <c r="C1493" s="340"/>
      <c r="D1493" s="344"/>
      <c r="E1493" s="344"/>
      <c r="F1493" s="340"/>
      <c r="G1493" s="340"/>
      <c r="H1493" s="340"/>
      <c r="I1493" s="340"/>
      <c r="J1493" s="340"/>
      <c r="K1493" s="340"/>
      <c r="L1493" s="340"/>
      <c r="M1493" s="340"/>
      <c r="N1493" s="340"/>
      <c r="O1493" s="340"/>
      <c r="P1493" s="340"/>
      <c r="Q1493" s="35"/>
      <c r="R1493" s="35"/>
      <c r="S1493" s="35"/>
      <c r="T1493" s="1"/>
      <c r="U1493" s="1"/>
      <c r="V1493" s="1"/>
    </row>
    <row r="1494" ht="15.75" customHeight="1">
      <c r="A1494" s="340"/>
      <c r="B1494" s="340"/>
      <c r="C1494" s="340"/>
      <c r="D1494" s="344"/>
      <c r="E1494" s="344"/>
      <c r="F1494" s="340"/>
      <c r="G1494" s="340"/>
      <c r="H1494" s="340"/>
      <c r="I1494" s="340"/>
      <c r="J1494" s="340"/>
      <c r="K1494" s="340"/>
      <c r="L1494" s="340"/>
      <c r="M1494" s="340"/>
      <c r="N1494" s="340"/>
      <c r="O1494" s="340"/>
      <c r="P1494" s="340"/>
      <c r="Q1494" s="35"/>
      <c r="R1494" s="35"/>
      <c r="S1494" s="35"/>
      <c r="T1494" s="1"/>
      <c r="U1494" s="1"/>
      <c r="V1494" s="1"/>
    </row>
    <row r="1495" ht="15.75" customHeight="1">
      <c r="A1495" s="340"/>
      <c r="B1495" s="340"/>
      <c r="C1495" s="340"/>
      <c r="D1495" s="344"/>
      <c r="E1495" s="344"/>
      <c r="F1495" s="340"/>
      <c r="G1495" s="340"/>
      <c r="H1495" s="340"/>
      <c r="I1495" s="340"/>
      <c r="J1495" s="340"/>
      <c r="K1495" s="340"/>
      <c r="L1495" s="340"/>
      <c r="M1495" s="340"/>
      <c r="N1495" s="340"/>
      <c r="O1495" s="340"/>
      <c r="P1495" s="340"/>
      <c r="Q1495" s="35"/>
      <c r="R1495" s="35"/>
      <c r="S1495" s="35"/>
      <c r="T1495" s="1"/>
      <c r="U1495" s="1"/>
      <c r="V1495" s="1"/>
    </row>
    <row r="1496" ht="15.75" customHeight="1">
      <c r="A1496" s="340"/>
      <c r="B1496" s="340"/>
      <c r="C1496" s="340"/>
      <c r="D1496" s="344"/>
      <c r="E1496" s="344"/>
      <c r="F1496" s="340"/>
      <c r="G1496" s="340"/>
      <c r="H1496" s="340"/>
      <c r="I1496" s="340"/>
      <c r="J1496" s="340"/>
      <c r="K1496" s="340"/>
      <c r="L1496" s="340"/>
      <c r="M1496" s="340"/>
      <c r="N1496" s="340"/>
      <c r="O1496" s="340"/>
      <c r="P1496" s="340"/>
      <c r="Q1496" s="35"/>
      <c r="R1496" s="35"/>
      <c r="S1496" s="35"/>
      <c r="T1496" s="1"/>
      <c r="U1496" s="1"/>
      <c r="V1496" s="1"/>
    </row>
    <row r="1497" ht="15.75" customHeight="1">
      <c r="A1497" s="340"/>
      <c r="B1497" s="340"/>
      <c r="C1497" s="340"/>
      <c r="D1497" s="344"/>
      <c r="E1497" s="344"/>
      <c r="F1497" s="340"/>
      <c r="G1497" s="340"/>
      <c r="H1497" s="340"/>
      <c r="I1497" s="340"/>
      <c r="J1497" s="340"/>
      <c r="K1497" s="340"/>
      <c r="L1497" s="340"/>
      <c r="M1497" s="340"/>
      <c r="N1497" s="340"/>
      <c r="O1497" s="340"/>
      <c r="P1497" s="340"/>
      <c r="Q1497" s="35"/>
      <c r="R1497" s="35"/>
      <c r="S1497" s="35"/>
      <c r="T1497" s="1"/>
      <c r="U1497" s="1"/>
      <c r="V1497" s="1"/>
    </row>
    <row r="1498" ht="15.75" customHeight="1">
      <c r="A1498" s="340"/>
      <c r="B1498" s="340"/>
      <c r="C1498" s="340"/>
      <c r="D1498" s="344"/>
      <c r="E1498" s="344"/>
      <c r="F1498" s="340"/>
      <c r="G1498" s="340"/>
      <c r="H1498" s="340"/>
      <c r="I1498" s="340"/>
      <c r="J1498" s="340"/>
      <c r="K1498" s="340"/>
      <c r="L1498" s="340"/>
      <c r="M1498" s="340"/>
      <c r="N1498" s="340"/>
      <c r="O1498" s="340"/>
      <c r="P1498" s="340"/>
      <c r="Q1498" s="35"/>
      <c r="R1498" s="35"/>
      <c r="S1498" s="35"/>
      <c r="T1498" s="1"/>
      <c r="U1498" s="1"/>
      <c r="V1498" s="1"/>
    </row>
    <row r="1499" ht="15.75" customHeight="1">
      <c r="A1499" s="340"/>
      <c r="B1499" s="340"/>
      <c r="C1499" s="340"/>
      <c r="D1499" s="344"/>
      <c r="E1499" s="344"/>
      <c r="F1499" s="340"/>
      <c r="G1499" s="340"/>
      <c r="H1499" s="340"/>
      <c r="I1499" s="340"/>
      <c r="J1499" s="340"/>
      <c r="K1499" s="340"/>
      <c r="L1499" s="340"/>
      <c r="M1499" s="340"/>
      <c r="N1499" s="340"/>
      <c r="O1499" s="340"/>
      <c r="P1499" s="340"/>
      <c r="Q1499" s="35"/>
      <c r="R1499" s="35"/>
      <c r="S1499" s="35"/>
      <c r="T1499" s="1"/>
      <c r="U1499" s="1"/>
      <c r="V1499" s="1"/>
    </row>
    <row r="1500" ht="15.75" customHeight="1">
      <c r="A1500" s="340"/>
      <c r="B1500" s="340"/>
      <c r="C1500" s="340"/>
      <c r="D1500" s="344"/>
      <c r="E1500" s="344"/>
      <c r="F1500" s="340"/>
      <c r="G1500" s="340"/>
      <c r="H1500" s="340"/>
      <c r="I1500" s="340"/>
      <c r="J1500" s="340"/>
      <c r="K1500" s="340"/>
      <c r="L1500" s="340"/>
      <c r="M1500" s="340"/>
      <c r="N1500" s="340"/>
      <c r="O1500" s="340"/>
      <c r="P1500" s="340"/>
      <c r="Q1500" s="35"/>
      <c r="R1500" s="35"/>
      <c r="S1500" s="35"/>
      <c r="T1500" s="1"/>
      <c r="U1500" s="1"/>
      <c r="V1500" s="1"/>
    </row>
    <row r="1501" ht="15.75" customHeight="1">
      <c r="A1501" s="340"/>
      <c r="B1501" s="340"/>
      <c r="C1501" s="340"/>
      <c r="D1501" s="344"/>
      <c r="E1501" s="344"/>
      <c r="F1501" s="340"/>
      <c r="G1501" s="340"/>
      <c r="H1501" s="340"/>
      <c r="I1501" s="340"/>
      <c r="J1501" s="340"/>
      <c r="K1501" s="340"/>
      <c r="L1501" s="340"/>
      <c r="M1501" s="340"/>
      <c r="N1501" s="340"/>
      <c r="O1501" s="340"/>
      <c r="P1501" s="340"/>
      <c r="Q1501" s="35"/>
      <c r="R1501" s="35"/>
      <c r="S1501" s="35"/>
      <c r="T1501" s="1"/>
      <c r="U1501" s="1"/>
      <c r="V1501" s="1"/>
    </row>
  </sheetData>
  <autoFilter ref="$B$7:$F$1301">
    <filterColumn colId="4">
      <filters blank="1">
        <filter val="1"/>
        <filter val="2"/>
        <filter val="3"/>
        <filter val="14"/>
        <filter val="4"/>
        <filter val="5"/>
        <filter val="6"/>
        <filter val="8"/>
        <filter val="9"/>
        <filter val="10"/>
      </filters>
    </filterColumn>
    <sortState ref="B7:F1301">
      <sortCondition ref="B7:B1301"/>
    </sortState>
  </autoFilter>
  <customSheetViews>
    <customSheetView guid="{07B0E11D-54A2-4A9E-A53E-42276DBD7B0D}" filter="1" showAutoFilter="1">
      <autoFilter ref="$A$7:$H$1298">
        <filterColumn colId="5">
          <filters blank="1">
            <filter val="1"/>
            <filter val="2"/>
            <filter val="3"/>
            <filter val="14"/>
            <filter val="4"/>
            <filter val="5"/>
            <filter val="6"/>
            <filter val="8"/>
            <filter val="9"/>
            <filter val="10"/>
          </filters>
        </filterColumn>
      </autoFilter>
      <extLst>
        <ext uri="GoogleSheetsCustomDataVersion1">
          <go:sheetsCustomData xmlns:go="http://customooxmlschemas.google.com/" filterViewId="1894185961"/>
        </ext>
      </extLst>
    </customSheetView>
  </customSheetViews>
  <conditionalFormatting sqref="B1:B1501 C1:C1276 A9:A1301 C1278:C1501">
    <cfRule type="expression" dxfId="0" priority="1">
      <formula>#REF!</formula>
    </cfRule>
  </conditionalFormatting>
  <conditionalFormatting sqref="I9:I46 I48:I94 I96:I102 I104:I142 I144:I1301">
    <cfRule type="beginsWith" dxfId="1" priority="2" operator="beginsWith" text="-">
      <formula>LEFT((I9),LEN("-"))=("-")</formula>
    </cfRule>
  </conditionalFormatting>
  <conditionalFormatting sqref="U9:V16">
    <cfRule type="beginsWith" dxfId="1" priority="3" operator="beginsWith" text="-">
      <formula>LEFT((U9),LEN("-"))=("-")</formula>
    </cfRule>
  </conditionalFormatting>
  <hyperlinks>
    <hyperlink r:id="rId2" ref="E15"/>
    <hyperlink r:id="rId3" ref="E19"/>
    <hyperlink r:id="rId4" ref="E24"/>
    <hyperlink r:id="rId5" ref="E30"/>
    <hyperlink r:id="rId6" ref="E48"/>
    <hyperlink r:id="rId7" ref="E49"/>
    <hyperlink r:id="rId8" ref="E51"/>
    <hyperlink r:id="rId9" ref="E52"/>
    <hyperlink r:id="rId10" ref="E53"/>
    <hyperlink r:id="rId11" ref="E54"/>
    <hyperlink r:id="rId12" ref="E55"/>
    <hyperlink r:id="rId13" ref="E59"/>
    <hyperlink r:id="rId14" ref="E60"/>
    <hyperlink r:id="rId15" ref="E61"/>
    <hyperlink r:id="rId16" ref="E65"/>
    <hyperlink r:id="rId17" ref="E66"/>
    <hyperlink r:id="rId18" ref="E67"/>
    <hyperlink r:id="rId19" ref="E68"/>
    <hyperlink r:id="rId20" ref="E69"/>
    <hyperlink r:id="rId21" ref="E70"/>
    <hyperlink r:id="rId22" ref="E71"/>
    <hyperlink r:id="rId23" ref="E72"/>
    <hyperlink r:id="rId24" ref="E73"/>
    <hyperlink r:id="rId25" ref="E74"/>
    <hyperlink r:id="rId26" ref="E75"/>
    <hyperlink r:id="rId27" ref="E76"/>
    <hyperlink r:id="rId28" ref="E78"/>
    <hyperlink r:id="rId29" ref="E79"/>
    <hyperlink r:id="rId30" ref="E80"/>
    <hyperlink r:id="rId31" ref="E81"/>
    <hyperlink r:id="rId32" ref="E82"/>
    <hyperlink r:id="rId33" ref="E83"/>
    <hyperlink r:id="rId34" ref="E84"/>
    <hyperlink r:id="rId35" ref="E85"/>
    <hyperlink r:id="rId36" ref="E86"/>
    <hyperlink r:id="rId37" ref="E87"/>
    <hyperlink r:id="rId38" ref="E88"/>
    <hyperlink r:id="rId39" ref="E89"/>
    <hyperlink r:id="rId40" ref="E90"/>
    <hyperlink r:id="rId41" ref="E91"/>
    <hyperlink r:id="rId42" ref="E92"/>
    <hyperlink r:id="rId43" ref="E96"/>
    <hyperlink r:id="rId44" ref="E97"/>
    <hyperlink r:id="rId45" ref="E98"/>
    <hyperlink r:id="rId46" ref="E99"/>
    <hyperlink r:id="rId47" ref="E100"/>
    <hyperlink r:id="rId48" ref="E101"/>
    <hyperlink r:id="rId49" ref="E102"/>
    <hyperlink r:id="rId50" ref="E115"/>
    <hyperlink r:id="rId51" ref="E138"/>
    <hyperlink r:id="rId52" ref="E140"/>
    <hyperlink r:id="rId53" ref="E152"/>
    <hyperlink r:id="rId54" ref="E160"/>
    <hyperlink r:id="rId55" ref="E162"/>
    <hyperlink r:id="rId56" ref="E179"/>
    <hyperlink r:id="rId57" ref="E180"/>
    <hyperlink r:id="rId58" ref="E197"/>
    <hyperlink r:id="rId59" ref="E208"/>
    <hyperlink r:id="rId60" ref="E209"/>
    <hyperlink r:id="rId61" ref="E210"/>
    <hyperlink r:id="rId62" ref="E214"/>
    <hyperlink r:id="rId63" ref="E216"/>
    <hyperlink r:id="rId64" ref="E222"/>
    <hyperlink r:id="rId65" ref="E224"/>
    <hyperlink r:id="rId66" ref="E225"/>
    <hyperlink r:id="rId67" ref="E226"/>
    <hyperlink r:id="rId68" ref="E233"/>
    <hyperlink r:id="rId69" ref="E234"/>
    <hyperlink r:id="rId70" ref="E235"/>
    <hyperlink r:id="rId71" ref="E247"/>
    <hyperlink r:id="rId72" ref="E248"/>
    <hyperlink r:id="rId73" ref="E261"/>
    <hyperlink r:id="rId74" ref="E267"/>
    <hyperlink r:id="rId75" ref="E273"/>
    <hyperlink r:id="rId76" ref="E279"/>
    <hyperlink r:id="rId77" ref="E280"/>
    <hyperlink r:id="rId78" ref="E281"/>
    <hyperlink r:id="rId79" ref="E291"/>
    <hyperlink r:id="rId80" ref="E293"/>
    <hyperlink r:id="rId81" ref="E294"/>
    <hyperlink r:id="rId82" ref="E295"/>
    <hyperlink r:id="rId83" ref="E302"/>
    <hyperlink r:id="rId84" ref="E303"/>
    <hyperlink r:id="rId85" ref="E304"/>
    <hyperlink r:id="rId86" ref="E316"/>
    <hyperlink r:id="rId87" ref="E317"/>
    <hyperlink r:id="rId88" ref="E330"/>
    <hyperlink r:id="rId89" ref="E336"/>
    <hyperlink r:id="rId90" ref="E348"/>
    <hyperlink r:id="rId91" ref="E349"/>
    <hyperlink r:id="rId92" ref="E350"/>
    <hyperlink r:id="rId93" ref="E353"/>
    <hyperlink r:id="rId94" ref="E361"/>
    <hyperlink r:id="rId95" ref="E362"/>
    <hyperlink r:id="rId96" ref="E363"/>
    <hyperlink r:id="rId97" ref="E364"/>
    <hyperlink r:id="rId98" ref="E365"/>
    <hyperlink r:id="rId99" ref="E369"/>
    <hyperlink r:id="rId100" ref="E370"/>
    <hyperlink r:id="rId101" ref="E371"/>
    <hyperlink r:id="rId102" ref="E372"/>
    <hyperlink r:id="rId103" ref="E373"/>
    <hyperlink r:id="rId104" ref="E374"/>
    <hyperlink r:id="rId105" ref="E385"/>
    <hyperlink r:id="rId106" ref="E390"/>
    <hyperlink r:id="rId107" ref="E391"/>
    <hyperlink r:id="rId108" ref="E411"/>
    <hyperlink r:id="rId109" ref="E413"/>
    <hyperlink r:id="rId110" ref="E422"/>
    <hyperlink r:id="rId111" ref="E423"/>
    <hyperlink r:id="rId112" ref="E425"/>
    <hyperlink r:id="rId113" ref="E427"/>
    <hyperlink r:id="rId114" ref="E428"/>
    <hyperlink r:id="rId115" ref="E430"/>
    <hyperlink r:id="rId116" ref="E431"/>
    <hyperlink r:id="rId117" ref="E433"/>
    <hyperlink r:id="rId118" ref="E434"/>
    <hyperlink r:id="rId119" ref="E435"/>
    <hyperlink r:id="rId120" ref="E436"/>
    <hyperlink r:id="rId121" ref="E465"/>
    <hyperlink r:id="rId122" ref="E468"/>
    <hyperlink r:id="rId123" ref="E472"/>
    <hyperlink r:id="rId124" ref="E514"/>
    <hyperlink r:id="rId125" ref="E520"/>
    <hyperlink r:id="rId126" ref="E526"/>
    <hyperlink r:id="rId127" ref="E527"/>
    <hyperlink r:id="rId128" ref="E528"/>
    <hyperlink r:id="rId129" ref="E529"/>
    <hyperlink r:id="rId130" ref="E537"/>
    <hyperlink r:id="rId131" ref="E539"/>
    <hyperlink r:id="rId132" ref="E540"/>
    <hyperlink r:id="rId133" ref="E541"/>
    <hyperlink r:id="rId134" ref="E548"/>
    <hyperlink r:id="rId135" ref="E549"/>
    <hyperlink r:id="rId136" ref="E550"/>
    <hyperlink r:id="rId137" ref="E562"/>
    <hyperlink r:id="rId138" ref="E563"/>
    <hyperlink r:id="rId139" ref="E589"/>
    <hyperlink r:id="rId140" ref="E593"/>
    <hyperlink r:id="rId141" ref="E594"/>
    <hyperlink r:id="rId142" ref="E597"/>
    <hyperlink r:id="rId143" ref="E603"/>
    <hyperlink r:id="rId144" ref="E605"/>
    <hyperlink r:id="rId145" ref="E606"/>
    <hyperlink r:id="rId146" ref="E608"/>
    <hyperlink r:id="rId147" ref="E609"/>
    <hyperlink r:id="rId148" ref="E610"/>
    <hyperlink r:id="rId149" ref="E636"/>
    <hyperlink r:id="rId150" ref="E639"/>
    <hyperlink r:id="rId151" ref="E640"/>
    <hyperlink r:id="rId152" ref="E643"/>
    <hyperlink r:id="rId153" ref="E647"/>
    <hyperlink r:id="rId154" ref="E689"/>
    <hyperlink r:id="rId155" ref="E700"/>
    <hyperlink r:id="rId156" ref="E701"/>
    <hyperlink r:id="rId157" ref="E702"/>
    <hyperlink r:id="rId158" ref="E703"/>
    <hyperlink r:id="rId159" ref="E712"/>
    <hyperlink r:id="rId160" ref="E717"/>
    <hyperlink r:id="rId161" ref="E718"/>
    <hyperlink r:id="rId162" ref="E719"/>
    <hyperlink r:id="rId163" ref="E720"/>
    <hyperlink r:id="rId164" ref="E726"/>
    <hyperlink r:id="rId165" ref="E731"/>
    <hyperlink r:id="rId166" ref="E739"/>
    <hyperlink r:id="rId167" ref="E755"/>
    <hyperlink r:id="rId168" ref="E768"/>
    <hyperlink r:id="rId169" ref="E769"/>
    <hyperlink r:id="rId170" ref="E770"/>
    <hyperlink r:id="rId171" ref="E771"/>
    <hyperlink r:id="rId172" ref="E779"/>
    <hyperlink r:id="rId173" ref="E781"/>
    <hyperlink r:id="rId174" ref="E782"/>
    <hyperlink r:id="rId175" ref="E783"/>
    <hyperlink r:id="rId176" ref="E792"/>
    <hyperlink r:id="rId177" ref="E793"/>
    <hyperlink r:id="rId178" ref="E794"/>
    <hyperlink r:id="rId179" ref="E806"/>
    <hyperlink r:id="rId180" ref="E814"/>
    <hyperlink r:id="rId181" ref="E833"/>
    <hyperlink r:id="rId182" ref="E834"/>
    <hyperlink r:id="rId183" ref="E836"/>
    <hyperlink r:id="rId184" ref="E837"/>
    <hyperlink r:id="rId185" ref="E843"/>
    <hyperlink r:id="rId186" ref="E847"/>
    <hyperlink r:id="rId187" ref="E872"/>
    <hyperlink r:id="rId188" ref="E875"/>
    <hyperlink r:id="rId189" ref="E883"/>
    <hyperlink r:id="rId190" ref="E930"/>
    <hyperlink r:id="rId191" ref="E931"/>
    <hyperlink r:id="rId192" ref="E941"/>
    <hyperlink r:id="rId193" ref="E944"/>
    <hyperlink r:id="rId194" ref="E945"/>
    <hyperlink r:id="rId195" ref="E947"/>
    <hyperlink r:id="rId196" ref="E948"/>
    <hyperlink r:id="rId197" ref="E973"/>
    <hyperlink r:id="rId198" ref="E976"/>
    <hyperlink r:id="rId199" ref="E984"/>
    <hyperlink r:id="rId200" ref="E1024"/>
    <hyperlink r:id="rId201" ref="E1025"/>
    <hyperlink r:id="rId202" ref="E1026"/>
    <hyperlink r:id="rId203" ref="E1027"/>
    <hyperlink r:id="rId204" ref="E1028"/>
    <hyperlink r:id="rId205" ref="E1029"/>
    <hyperlink r:id="rId206" ref="E1032"/>
    <hyperlink r:id="rId207" ref="E1035"/>
    <hyperlink r:id="rId208" ref="E1036"/>
    <hyperlink r:id="rId209" ref="K1051"/>
    <hyperlink r:id="rId210" ref="E1053"/>
    <hyperlink r:id="rId211" ref="E1054"/>
    <hyperlink r:id="rId212" ref="E1057"/>
    <hyperlink r:id="rId213" ref="E1060"/>
    <hyperlink r:id="rId214" ref="E1061"/>
    <hyperlink r:id="rId215" ref="E1074"/>
    <hyperlink r:id="rId216" ref="E1075"/>
    <hyperlink r:id="rId217" ref="E1076"/>
    <hyperlink r:id="rId218" ref="E1077"/>
    <hyperlink r:id="rId219" ref="E1078"/>
    <hyperlink r:id="rId220" ref="E1084"/>
    <hyperlink r:id="rId221" ref="E1085"/>
    <hyperlink r:id="rId222" ref="E1087"/>
    <hyperlink r:id="rId223" ref="E1088"/>
    <hyperlink r:id="rId224" ref="E1094"/>
    <hyperlink r:id="rId225" ref="E1096"/>
    <hyperlink r:id="rId226" ref="E1098"/>
    <hyperlink r:id="rId227" ref="E1099"/>
    <hyperlink r:id="rId228" ref="E1108"/>
    <hyperlink r:id="rId229" ref="E1109"/>
    <hyperlink r:id="rId230" ref="E1110"/>
    <hyperlink r:id="rId231" ref="E1111"/>
    <hyperlink r:id="rId232" ref="E1112"/>
    <hyperlink r:id="rId233" ref="E1113"/>
    <hyperlink r:id="rId234" ref="E1114"/>
    <hyperlink r:id="rId235" ref="E1115"/>
    <hyperlink r:id="rId236" ref="E1116"/>
    <hyperlink r:id="rId237" ref="E1117"/>
    <hyperlink r:id="rId238" ref="E1118"/>
    <hyperlink r:id="rId239" ref="E1119"/>
    <hyperlink r:id="rId240" ref="E1121"/>
    <hyperlink r:id="rId241" ref="E1122"/>
    <hyperlink r:id="rId242" ref="E1123"/>
    <hyperlink r:id="rId243" ref="E1127"/>
    <hyperlink r:id="rId244" ref="E1128"/>
    <hyperlink r:id="rId245" ref="E1131"/>
    <hyperlink r:id="rId246" ref="E1132"/>
    <hyperlink r:id="rId247" ref="E1135"/>
    <hyperlink r:id="rId248" ref="E1138"/>
    <hyperlink r:id="rId249" ref="E1139"/>
    <hyperlink r:id="rId250" ref="E1141"/>
    <hyperlink r:id="rId251" ref="E1143"/>
    <hyperlink r:id="rId252" ref="E1146"/>
    <hyperlink r:id="rId253" ref="E1147"/>
    <hyperlink r:id="rId254" ref="E1148"/>
    <hyperlink r:id="rId255" ref="E1149"/>
    <hyperlink r:id="rId256" ref="E1150"/>
    <hyperlink r:id="rId257" ref="E1151"/>
    <hyperlink r:id="rId258" ref="E1152"/>
    <hyperlink r:id="rId259" ref="E1153"/>
    <hyperlink r:id="rId260" ref="E1154"/>
    <hyperlink r:id="rId261" ref="E1155"/>
    <hyperlink r:id="rId262" ref="E1156"/>
    <hyperlink r:id="rId263" ref="E1157"/>
    <hyperlink r:id="rId264" ref="E1163"/>
    <hyperlink r:id="rId265" ref="E1192"/>
    <hyperlink r:id="rId266" ref="E1194"/>
    <hyperlink r:id="rId267" ref="E1196"/>
    <hyperlink r:id="rId268" ref="E1197"/>
    <hyperlink r:id="rId269" ref="E1198"/>
    <hyperlink r:id="rId270" ref="E1199"/>
    <hyperlink r:id="rId271" ref="E1200"/>
    <hyperlink r:id="rId272" ref="E1201"/>
    <hyperlink r:id="rId273" ref="E1203"/>
    <hyperlink r:id="rId274" ref="E1205"/>
    <hyperlink r:id="rId275" ref="E1206"/>
    <hyperlink r:id="rId276" ref="E1207"/>
    <hyperlink r:id="rId277" ref="E1210"/>
    <hyperlink r:id="rId278" ref="E1211"/>
    <hyperlink r:id="rId279" ref="E1214"/>
    <hyperlink r:id="rId280" ref="E1215"/>
    <hyperlink r:id="rId281" ref="E1218"/>
    <hyperlink r:id="rId282" ref="E1221"/>
    <hyperlink r:id="rId283" ref="E1222"/>
    <hyperlink r:id="rId284" ref="E1224"/>
    <hyperlink r:id="rId285" ref="E1226"/>
    <hyperlink r:id="rId286" ref="E1229"/>
    <hyperlink r:id="rId287" ref="E1230"/>
    <hyperlink r:id="rId288" ref="E1231"/>
    <hyperlink r:id="rId289" ref="E1232"/>
    <hyperlink r:id="rId290" ref="E1233"/>
    <hyperlink r:id="rId291" ref="E1234"/>
    <hyperlink r:id="rId292" ref="E1235"/>
    <hyperlink r:id="rId293" ref="E1236"/>
    <hyperlink r:id="rId294" ref="E1237"/>
    <hyperlink r:id="rId295" ref="E1238"/>
    <hyperlink r:id="rId296" ref="E1239"/>
    <hyperlink r:id="rId297" ref="E1240"/>
    <hyperlink r:id="rId298" ref="E1259"/>
    <hyperlink r:id="rId299" ref="E1265"/>
    <hyperlink r:id="rId300" ref="E1266"/>
  </hyperlinks>
  <printOptions/>
  <pageMargins bottom="0.75" footer="0.0" header="0.0" left="0.7" right="0.7" top="0.75"/>
  <pageSetup orientation="portrait"/>
  <drawing r:id="rId301"/>
  <legacyDrawing r:id="rId30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88"/>
    <col customWidth="1" min="2" max="2" width="19.0"/>
    <col customWidth="1" min="3" max="3" width="18.25"/>
    <col customWidth="1" min="4" max="4" width="21.75"/>
    <col customWidth="1" min="5" max="5" width="17.38"/>
    <col customWidth="1" min="6" max="6" width="16.13"/>
    <col customWidth="1" min="7" max="8" width="14.25"/>
    <col customWidth="1" min="9" max="9" width="18.88"/>
    <col customWidth="1" min="10" max="10" width="18.25"/>
    <col customWidth="1" min="11" max="11" width="14.75"/>
    <col customWidth="1" min="12" max="12" width="14.63"/>
    <col customWidth="1" min="13" max="13" width="14.0"/>
    <col customWidth="1" min="14" max="27" width="8.63"/>
  </cols>
  <sheetData>
    <row r="1" ht="12.0" customHeight="1">
      <c r="B1" s="420"/>
      <c r="C1" s="420"/>
    </row>
    <row r="2" ht="45.0" customHeight="1">
      <c r="A2" s="421" t="s">
        <v>1004</v>
      </c>
      <c r="B2" s="422"/>
      <c r="C2" s="422"/>
      <c r="D2" s="422"/>
      <c r="E2" s="423"/>
    </row>
    <row r="3" ht="12.0" customHeight="1">
      <c r="A3" s="423"/>
      <c r="B3" s="424" t="s">
        <v>1005</v>
      </c>
      <c r="C3" s="425" t="s">
        <v>309</v>
      </c>
      <c r="D3" s="426" t="s">
        <v>1006</v>
      </c>
      <c r="E3" s="423"/>
    </row>
    <row r="4" ht="12.0" customHeight="1">
      <c r="A4" s="423" t="s">
        <v>1007</v>
      </c>
      <c r="B4" s="427">
        <v>5043.37</v>
      </c>
      <c r="C4" s="427">
        <v>1323.94</v>
      </c>
      <c r="D4" s="428">
        <f t="shared" ref="D4:D14" si="1">(B4+C4)*0.5</f>
        <v>3183.655</v>
      </c>
      <c r="E4" s="423"/>
    </row>
    <row r="5" ht="12.0" customHeight="1">
      <c r="A5" s="423" t="s">
        <v>1008</v>
      </c>
      <c r="B5" s="427">
        <v>8345.22</v>
      </c>
      <c r="C5" s="234">
        <v>977.2</v>
      </c>
      <c r="D5" s="428">
        <f t="shared" si="1"/>
        <v>4661.21</v>
      </c>
      <c r="E5" s="423"/>
    </row>
    <row r="6" ht="12.0" customHeight="1">
      <c r="A6" s="429" t="s">
        <v>1009</v>
      </c>
      <c r="B6" s="427">
        <v>9218.58</v>
      </c>
      <c r="C6" s="427">
        <v>1425.94</v>
      </c>
      <c r="D6" s="428">
        <f t="shared" si="1"/>
        <v>5322.26</v>
      </c>
      <c r="E6" s="429"/>
    </row>
    <row r="7" ht="12.0" customHeight="1">
      <c r="A7" s="429" t="s">
        <v>1010</v>
      </c>
      <c r="B7" s="427">
        <v>6868.41</v>
      </c>
      <c r="C7" s="427">
        <v>0.0</v>
      </c>
      <c r="D7" s="428">
        <f t="shared" si="1"/>
        <v>3434.205</v>
      </c>
      <c r="E7" s="429"/>
    </row>
    <row r="8" ht="12.0" customHeight="1">
      <c r="A8" s="423" t="s">
        <v>1011</v>
      </c>
      <c r="B8" s="427">
        <v>0.0</v>
      </c>
      <c r="C8" s="427">
        <v>0.0</v>
      </c>
      <c r="D8" s="428">
        <f t="shared" si="1"/>
        <v>0</v>
      </c>
      <c r="E8" s="423"/>
    </row>
    <row r="9" ht="12.0" customHeight="1">
      <c r="A9" s="429" t="s">
        <v>1012</v>
      </c>
      <c r="B9" s="427">
        <v>0.0</v>
      </c>
      <c r="C9" s="427">
        <v>0.0</v>
      </c>
      <c r="D9" s="428">
        <f t="shared" si="1"/>
        <v>0</v>
      </c>
      <c r="E9" s="429"/>
    </row>
    <row r="10" ht="12.0" customHeight="1">
      <c r="A10" s="429" t="s">
        <v>1013</v>
      </c>
      <c r="B10" s="427">
        <v>878.8</v>
      </c>
      <c r="C10" s="427">
        <v>0.0</v>
      </c>
      <c r="D10" s="428">
        <f t="shared" si="1"/>
        <v>439.4</v>
      </c>
      <c r="E10" s="429"/>
    </row>
    <row r="11" ht="12.0" customHeight="1">
      <c r="A11" s="429" t="s">
        <v>1014</v>
      </c>
      <c r="B11" s="427">
        <v>0.0</v>
      </c>
      <c r="C11" s="427">
        <v>0.0</v>
      </c>
      <c r="D11" s="428">
        <f t="shared" si="1"/>
        <v>0</v>
      </c>
      <c r="E11" s="429"/>
    </row>
    <row r="12" ht="12.0" customHeight="1">
      <c r="A12" s="429" t="s">
        <v>1015</v>
      </c>
      <c r="B12" s="427">
        <v>1430.42</v>
      </c>
      <c r="C12" s="427">
        <v>0.0</v>
      </c>
      <c r="D12" s="428">
        <f t="shared" si="1"/>
        <v>715.21</v>
      </c>
      <c r="E12" s="429"/>
    </row>
    <row r="13" ht="12.0" customHeight="1">
      <c r="A13" s="423" t="s">
        <v>1016</v>
      </c>
      <c r="B13" s="427">
        <v>1341.29</v>
      </c>
      <c r="C13" s="427">
        <v>0.0</v>
      </c>
      <c r="D13" s="428">
        <f t="shared" si="1"/>
        <v>670.645</v>
      </c>
      <c r="E13" s="429"/>
    </row>
    <row r="14" ht="12.0" customHeight="1">
      <c r="A14" s="423" t="s">
        <v>1017</v>
      </c>
      <c r="B14" s="427">
        <v>1421.19</v>
      </c>
      <c r="C14" s="427">
        <v>0.0</v>
      </c>
      <c r="D14" s="428">
        <f t="shared" si="1"/>
        <v>710.595</v>
      </c>
      <c r="E14" s="429"/>
    </row>
    <row r="15" ht="12.0" customHeight="1">
      <c r="A15" s="423"/>
      <c r="B15" s="430"/>
      <c r="C15" s="430"/>
      <c r="D15" s="431"/>
      <c r="E15" s="423"/>
    </row>
    <row r="16" ht="12.0" customHeight="1">
      <c r="A16" s="432" t="s">
        <v>1018</v>
      </c>
      <c r="B16" s="433">
        <f t="shared" ref="B16:C16" si="2">SUM(B4:B15)</f>
        <v>34547.28</v>
      </c>
      <c r="C16" s="433">
        <f t="shared" si="2"/>
        <v>3727.08</v>
      </c>
      <c r="D16" s="431"/>
      <c r="E16" s="423"/>
    </row>
    <row r="17" ht="12.0" customHeight="1">
      <c r="A17" s="423"/>
      <c r="B17" s="430"/>
      <c r="C17" s="430"/>
      <c r="D17" s="431"/>
      <c r="E17" s="423"/>
    </row>
    <row r="18" ht="12.0" customHeight="1">
      <c r="A18" s="434"/>
      <c r="D18" s="435">
        <f>SUM(D4:D17)</f>
        <v>19137.18</v>
      </c>
      <c r="E18" s="423"/>
    </row>
    <row r="19" ht="12.0" customHeight="1">
      <c r="A19" s="423"/>
      <c r="B19" s="431"/>
      <c r="C19" s="431"/>
      <c r="D19" s="423"/>
      <c r="E19" s="423"/>
    </row>
    <row r="20" ht="12.0" customHeight="1">
      <c r="A20" s="423"/>
      <c r="B20" s="423"/>
      <c r="C20" s="423"/>
      <c r="D20" s="423"/>
      <c r="E20" s="423"/>
      <c r="F20" s="423"/>
    </row>
    <row r="21" ht="12.0" customHeight="1">
      <c r="A21" s="423"/>
      <c r="B21" s="423"/>
      <c r="C21" s="423"/>
      <c r="D21" s="423"/>
      <c r="E21" s="423"/>
      <c r="F21" s="423"/>
    </row>
    <row r="22" ht="37.5" customHeight="1">
      <c r="A22" s="421" t="s">
        <v>1019</v>
      </c>
      <c r="B22" s="422"/>
      <c r="C22" s="422"/>
      <c r="D22" s="422"/>
      <c r="E22" s="422"/>
      <c r="F22" s="422"/>
      <c r="G22" s="422"/>
      <c r="H22" s="422"/>
    </row>
    <row r="23" ht="12.0" customHeight="1">
      <c r="A23" s="423"/>
      <c r="B23" s="436" t="s">
        <v>1020</v>
      </c>
      <c r="C23" s="436" t="s">
        <v>1021</v>
      </c>
      <c r="D23" s="436" t="s">
        <v>1022</v>
      </c>
      <c r="E23" s="436" t="s">
        <v>1023</v>
      </c>
      <c r="F23" s="436" t="s">
        <v>1024</v>
      </c>
      <c r="G23" s="437" t="s">
        <v>1025</v>
      </c>
      <c r="H23" s="436" t="s">
        <v>1018</v>
      </c>
    </row>
    <row r="24" ht="12.0" customHeight="1">
      <c r="A24" s="423" t="s">
        <v>1007</v>
      </c>
      <c r="B24" s="423"/>
      <c r="C24" s="423"/>
      <c r="D24" s="438">
        <f>4*90</f>
        <v>360</v>
      </c>
      <c r="E24" s="423"/>
      <c r="F24" s="438">
        <f>4*20 </f>
        <v>80</v>
      </c>
      <c r="G24" s="438"/>
      <c r="H24" s="438">
        <f t="shared" ref="H24:H32" si="3">SUM(B24:G24)</f>
        <v>440</v>
      </c>
      <c r="I24" s="423"/>
      <c r="J24" s="438"/>
      <c r="K24" s="423"/>
      <c r="L24" s="423"/>
      <c r="M24" s="423"/>
      <c r="N24" s="438"/>
    </row>
    <row r="25" ht="12.0" customHeight="1">
      <c r="A25" s="423" t="s">
        <v>1008</v>
      </c>
      <c r="B25" s="423"/>
      <c r="C25" s="423"/>
      <c r="D25" s="438">
        <f>6*90</f>
        <v>540</v>
      </c>
      <c r="E25" s="438">
        <f t="shared" ref="E25:E26" si="4">4*35</f>
        <v>140</v>
      </c>
      <c r="F25" s="423"/>
      <c r="G25" s="438"/>
      <c r="H25" s="438">
        <f t="shared" si="3"/>
        <v>680</v>
      </c>
      <c r="I25" s="438"/>
      <c r="J25" s="423"/>
      <c r="K25" s="423"/>
      <c r="L25" s="429"/>
      <c r="M25" s="423"/>
      <c r="N25" s="438"/>
    </row>
    <row r="26" ht="12.0" customHeight="1">
      <c r="A26" s="423" t="s">
        <v>1026</v>
      </c>
      <c r="B26" s="432" t="s">
        <v>1027</v>
      </c>
      <c r="C26" s="432">
        <f>12*28.5</f>
        <v>342</v>
      </c>
      <c r="D26" s="432">
        <f t="shared" ref="D26:D27" si="5">7*90</f>
        <v>630</v>
      </c>
      <c r="E26" s="432">
        <f t="shared" si="4"/>
        <v>140</v>
      </c>
      <c r="F26" s="432">
        <f>6*20</f>
        <v>120</v>
      </c>
      <c r="G26" s="438"/>
      <c r="H26" s="438">
        <f t="shared" si="3"/>
        <v>1232</v>
      </c>
      <c r="I26" s="432"/>
      <c r="J26" s="432"/>
      <c r="K26" s="432"/>
      <c r="L26" s="432"/>
      <c r="M26" s="432"/>
      <c r="N26" s="438"/>
    </row>
    <row r="27" ht="12.0" customHeight="1">
      <c r="A27" s="423" t="s">
        <v>1011</v>
      </c>
      <c r="B27" s="423"/>
      <c r="C27" s="438">
        <f t="shared" ref="C27:C28" si="6">2*28.5</f>
        <v>57</v>
      </c>
      <c r="D27" s="438">
        <f t="shared" si="5"/>
        <v>630</v>
      </c>
      <c r="E27" s="438">
        <f>2*35</f>
        <v>70</v>
      </c>
      <c r="F27" s="438">
        <f>20*20</f>
        <v>400</v>
      </c>
      <c r="G27" s="438">
        <f>2*20</f>
        <v>40</v>
      </c>
      <c r="H27" s="438">
        <f t="shared" si="3"/>
        <v>1197</v>
      </c>
      <c r="I27" s="423"/>
      <c r="J27" s="438"/>
      <c r="K27" s="438"/>
      <c r="L27" s="438"/>
      <c r="M27" s="438"/>
      <c r="N27" s="438"/>
    </row>
    <row r="28" ht="12.0" customHeight="1">
      <c r="A28" s="429" t="s">
        <v>1012</v>
      </c>
      <c r="B28" s="423"/>
      <c r="C28" s="438">
        <f t="shared" si="6"/>
        <v>57</v>
      </c>
      <c r="D28" s="438">
        <f>3*90</f>
        <v>270</v>
      </c>
      <c r="E28" s="439">
        <v>0.0</v>
      </c>
      <c r="F28" s="423"/>
      <c r="G28" s="440"/>
      <c r="H28" s="438">
        <f t="shared" si="3"/>
        <v>327</v>
      </c>
      <c r="I28" s="423"/>
      <c r="J28" s="438"/>
      <c r="K28" s="438"/>
      <c r="L28" s="423"/>
      <c r="M28" s="438"/>
      <c r="N28" s="438"/>
    </row>
    <row r="29" ht="12.0" customHeight="1">
      <c r="A29" s="423" t="s">
        <v>1028</v>
      </c>
      <c r="B29" s="423"/>
      <c r="C29" s="438">
        <f>13*28.5</f>
        <v>370.5</v>
      </c>
      <c r="D29" s="438">
        <f>9*90</f>
        <v>810</v>
      </c>
      <c r="E29" s="438">
        <f>5*35</f>
        <v>175</v>
      </c>
      <c r="F29" s="423"/>
      <c r="G29" s="440"/>
      <c r="H29" s="438">
        <f t="shared" si="3"/>
        <v>1355.5</v>
      </c>
      <c r="I29" s="423"/>
      <c r="J29" s="423"/>
      <c r="K29" s="423"/>
      <c r="L29" s="423"/>
      <c r="M29" s="423"/>
      <c r="N29" s="438"/>
    </row>
    <row r="30" ht="12.0" customHeight="1">
      <c r="A30" s="423" t="s">
        <v>1015</v>
      </c>
      <c r="B30" s="423"/>
      <c r="C30" s="438">
        <f>8*28.5</f>
        <v>228</v>
      </c>
      <c r="D30" s="438">
        <f>6*90</f>
        <v>540</v>
      </c>
      <c r="E30" s="438">
        <f>1*35</f>
        <v>35</v>
      </c>
      <c r="F30" s="423"/>
      <c r="G30" s="440"/>
      <c r="H30" s="438">
        <f t="shared" si="3"/>
        <v>803</v>
      </c>
      <c r="I30" s="423"/>
      <c r="J30" s="438"/>
      <c r="K30" s="438"/>
      <c r="L30" s="423"/>
      <c r="M30" s="438"/>
      <c r="N30" s="438"/>
    </row>
    <row r="31" ht="12.0" customHeight="1">
      <c r="A31" s="423" t="s">
        <v>1016</v>
      </c>
      <c r="B31" s="423"/>
      <c r="C31" s="438">
        <f>10*28.5</f>
        <v>285</v>
      </c>
      <c r="D31" s="438">
        <f t="shared" ref="D31:D32" si="7">3*90</f>
        <v>270</v>
      </c>
      <c r="E31" s="423"/>
      <c r="F31" s="438">
        <f>2*20</f>
        <v>40</v>
      </c>
      <c r="G31" s="440"/>
      <c r="H31" s="438">
        <f t="shared" si="3"/>
        <v>595</v>
      </c>
      <c r="I31" s="423"/>
      <c r="J31" s="423"/>
      <c r="K31" s="438"/>
      <c r="L31" s="423"/>
      <c r="M31" s="438"/>
      <c r="N31" s="438"/>
    </row>
    <row r="32" ht="12.0" customHeight="1">
      <c r="A32" s="423" t="s">
        <v>1017</v>
      </c>
      <c r="B32" s="423"/>
      <c r="C32" s="438">
        <f>2*28.5</f>
        <v>57</v>
      </c>
      <c r="D32" s="438">
        <f t="shared" si="7"/>
        <v>270</v>
      </c>
      <c r="E32" s="438">
        <f>2*35</f>
        <v>70</v>
      </c>
      <c r="F32" s="423"/>
      <c r="G32" s="440"/>
      <c r="H32" s="438">
        <f t="shared" si="3"/>
        <v>397</v>
      </c>
      <c r="I32" s="423"/>
      <c r="J32" s="423"/>
      <c r="K32" s="423"/>
      <c r="L32" s="423"/>
      <c r="M32" s="423"/>
      <c r="N32" s="438"/>
    </row>
    <row r="33" ht="12.0" customHeight="1">
      <c r="A33" s="423"/>
      <c r="B33" s="423"/>
      <c r="C33" s="423"/>
      <c r="D33" s="423"/>
      <c r="E33" s="423"/>
      <c r="F33" s="423"/>
      <c r="G33" s="423"/>
      <c r="H33" s="423"/>
      <c r="I33" s="423"/>
      <c r="J33" s="423"/>
      <c r="K33" s="423"/>
      <c r="L33" s="423"/>
      <c r="M33" s="423"/>
      <c r="N33" s="423"/>
      <c r="O33" s="423"/>
      <c r="P33" s="423"/>
    </row>
    <row r="34" ht="12.0" customHeight="1">
      <c r="A34" s="423"/>
      <c r="B34" s="423"/>
      <c r="C34" s="423"/>
      <c r="D34" s="423"/>
      <c r="E34" s="434" t="s">
        <v>38</v>
      </c>
      <c r="F34" s="434"/>
      <c r="G34" s="441"/>
      <c r="H34" s="441">
        <f>SUM(H24:H32)</f>
        <v>7026.5</v>
      </c>
      <c r="I34" s="423"/>
      <c r="J34" s="423"/>
      <c r="K34" s="423"/>
      <c r="L34" s="423"/>
      <c r="M34" s="423"/>
      <c r="N34" s="423"/>
      <c r="O34" s="423"/>
      <c r="P34" s="423"/>
    </row>
    <row r="35" ht="12.0" customHeight="1">
      <c r="A35" s="423"/>
      <c r="B35" s="431"/>
      <c r="C35" s="431"/>
      <c r="D35" s="423"/>
      <c r="E35" s="423"/>
      <c r="F35" s="423"/>
      <c r="G35" s="423"/>
      <c r="H35" s="423"/>
      <c r="I35" s="423"/>
      <c r="J35" s="423"/>
      <c r="K35" s="423"/>
      <c r="L35" s="423"/>
      <c r="M35" s="423"/>
      <c r="N35" s="423"/>
      <c r="O35" s="423"/>
      <c r="P35" s="423"/>
    </row>
    <row r="36" ht="12.0" customHeight="1">
      <c r="B36" s="420"/>
      <c r="C36" s="420"/>
      <c r="G36" s="423"/>
      <c r="H36" s="423"/>
      <c r="I36" s="423"/>
      <c r="J36" s="423"/>
      <c r="K36" s="423"/>
      <c r="L36" s="423"/>
      <c r="M36" s="423"/>
      <c r="N36" s="423"/>
    </row>
    <row r="37" ht="12.0" customHeight="1">
      <c r="B37" s="420"/>
      <c r="C37" s="420"/>
    </row>
    <row r="38" ht="12.0" customHeight="1">
      <c r="B38" s="420"/>
      <c r="C38" s="420"/>
    </row>
    <row r="39" ht="12.0" customHeight="1">
      <c r="B39" s="420"/>
      <c r="C39" s="420"/>
    </row>
    <row r="40" ht="12.0" customHeight="1">
      <c r="B40" s="420"/>
      <c r="C40" s="420"/>
    </row>
    <row r="41" ht="12.0" customHeight="1">
      <c r="B41" s="420"/>
      <c r="C41" s="420"/>
    </row>
    <row r="42" ht="12.0" customHeight="1">
      <c r="B42" s="420"/>
      <c r="C42" s="420"/>
    </row>
    <row r="43" ht="12.0" customHeight="1">
      <c r="B43" s="420"/>
      <c r="C43" s="420"/>
    </row>
    <row r="44" ht="12.0" customHeight="1">
      <c r="B44" s="420"/>
      <c r="C44" s="420"/>
    </row>
    <row r="45" ht="12.0" customHeight="1">
      <c r="B45" s="420"/>
      <c r="C45" s="420"/>
    </row>
    <row r="46" ht="12.0" customHeight="1">
      <c r="B46" s="420"/>
      <c r="C46" s="420"/>
    </row>
    <row r="47" ht="12.0" customHeight="1">
      <c r="B47" s="420"/>
      <c r="C47" s="420"/>
    </row>
    <row r="48" ht="12.0" customHeight="1">
      <c r="B48" s="420"/>
      <c r="C48" s="420"/>
    </row>
    <row r="49" ht="12.0" customHeight="1">
      <c r="B49" s="420"/>
      <c r="C49" s="420"/>
    </row>
    <row r="50" ht="12.0" customHeight="1">
      <c r="B50" s="420"/>
      <c r="C50" s="420"/>
    </row>
    <row r="51" ht="12.0" customHeight="1">
      <c r="B51" s="420"/>
      <c r="C51" s="420"/>
    </row>
    <row r="52" ht="12.0" customHeight="1">
      <c r="B52" s="420"/>
      <c r="C52" s="420"/>
    </row>
    <row r="53" ht="12.0" customHeight="1">
      <c r="B53" s="420"/>
      <c r="C53" s="420"/>
    </row>
    <row r="54" ht="12.0" customHeight="1">
      <c r="B54" s="420"/>
      <c r="C54" s="420"/>
    </row>
    <row r="55" ht="12.0" customHeight="1">
      <c r="B55" s="420"/>
      <c r="C55" s="420"/>
    </row>
    <row r="56" ht="12.0" customHeight="1">
      <c r="B56" s="420"/>
      <c r="C56" s="420"/>
    </row>
    <row r="57" ht="12.0" customHeight="1">
      <c r="B57" s="420"/>
      <c r="C57" s="420"/>
    </row>
    <row r="58" ht="12.0" customHeight="1">
      <c r="B58" s="420"/>
      <c r="C58" s="420"/>
    </row>
    <row r="59" ht="12.0" customHeight="1">
      <c r="B59" s="420"/>
      <c r="C59" s="420"/>
    </row>
    <row r="60" ht="12.0" customHeight="1">
      <c r="B60" s="420"/>
      <c r="C60" s="420"/>
    </row>
    <row r="61" ht="12.0" customHeight="1">
      <c r="B61" s="420"/>
      <c r="C61" s="420"/>
    </row>
    <row r="62" ht="12.0" customHeight="1">
      <c r="B62" s="420"/>
      <c r="C62" s="420"/>
    </row>
    <row r="63" ht="12.0" customHeight="1">
      <c r="B63" s="420"/>
      <c r="C63" s="420"/>
    </row>
    <row r="64" ht="12.0" customHeight="1">
      <c r="B64" s="420"/>
      <c r="C64" s="420"/>
    </row>
    <row r="65" ht="12.0" customHeight="1">
      <c r="B65" s="420"/>
      <c r="C65" s="420"/>
    </row>
    <row r="66" ht="12.0" customHeight="1">
      <c r="B66" s="420"/>
      <c r="C66" s="420"/>
    </row>
    <row r="67" ht="12.0" customHeight="1">
      <c r="B67" s="420"/>
      <c r="C67" s="420"/>
    </row>
    <row r="68" ht="12.0" customHeight="1">
      <c r="B68" s="420"/>
      <c r="C68" s="420"/>
    </row>
    <row r="69" ht="12.0" customHeight="1">
      <c r="B69" s="420"/>
      <c r="C69" s="420"/>
    </row>
    <row r="70" ht="12.0" customHeight="1">
      <c r="B70" s="420"/>
      <c r="C70" s="420"/>
    </row>
    <row r="71" ht="12.0" customHeight="1">
      <c r="B71" s="420"/>
      <c r="C71" s="420"/>
    </row>
    <row r="72" ht="12.0" customHeight="1">
      <c r="B72" s="420"/>
      <c r="C72" s="420"/>
    </row>
    <row r="73" ht="12.0" customHeight="1">
      <c r="B73" s="420"/>
      <c r="C73" s="420"/>
    </row>
    <row r="74" ht="12.0" customHeight="1">
      <c r="B74" s="420"/>
      <c r="C74" s="420"/>
    </row>
    <row r="75" ht="12.0" customHeight="1">
      <c r="B75" s="420"/>
      <c r="C75" s="420"/>
    </row>
    <row r="76" ht="12.0" customHeight="1">
      <c r="B76" s="420"/>
      <c r="C76" s="420"/>
    </row>
    <row r="77" ht="12.0" customHeight="1">
      <c r="B77" s="420"/>
      <c r="C77" s="420"/>
    </row>
    <row r="78" ht="12.0" customHeight="1">
      <c r="B78" s="420"/>
      <c r="C78" s="420"/>
    </row>
    <row r="79" ht="12.0" customHeight="1">
      <c r="B79" s="420"/>
      <c r="C79" s="420"/>
    </row>
    <row r="80" ht="12.0" customHeight="1">
      <c r="B80" s="420"/>
      <c r="C80" s="420"/>
    </row>
    <row r="81" ht="12.0" customHeight="1">
      <c r="B81" s="420"/>
      <c r="C81" s="420"/>
    </row>
    <row r="82" ht="12.0" customHeight="1">
      <c r="B82" s="420"/>
      <c r="C82" s="420"/>
    </row>
    <row r="83" ht="12.0" customHeight="1">
      <c r="B83" s="420"/>
      <c r="C83" s="420"/>
    </row>
    <row r="84" ht="12.0" customHeight="1">
      <c r="B84" s="420"/>
      <c r="C84" s="420"/>
    </row>
    <row r="85" ht="12.0" customHeight="1">
      <c r="B85" s="420"/>
      <c r="C85" s="420"/>
    </row>
    <row r="86" ht="12.0" customHeight="1">
      <c r="B86" s="420"/>
      <c r="C86" s="420"/>
    </row>
    <row r="87" ht="12.0" customHeight="1">
      <c r="B87" s="420"/>
      <c r="C87" s="420"/>
    </row>
    <row r="88" ht="12.0" customHeight="1">
      <c r="B88" s="420"/>
      <c r="C88" s="420"/>
    </row>
    <row r="89" ht="12.0" customHeight="1">
      <c r="B89" s="420"/>
      <c r="C89" s="420"/>
    </row>
    <row r="90" ht="12.0" customHeight="1">
      <c r="B90" s="420"/>
      <c r="C90" s="420"/>
    </row>
    <row r="91" ht="12.0" customHeight="1">
      <c r="B91" s="420"/>
      <c r="C91" s="420"/>
    </row>
    <row r="92" ht="12.0" customHeight="1">
      <c r="B92" s="420"/>
      <c r="C92" s="420"/>
    </row>
    <row r="93" ht="12.0" customHeight="1">
      <c r="B93" s="420"/>
      <c r="C93" s="420"/>
    </row>
    <row r="94" ht="12.0" customHeight="1">
      <c r="B94" s="420"/>
      <c r="C94" s="420"/>
    </row>
    <row r="95" ht="12.0" customHeight="1">
      <c r="B95" s="420"/>
      <c r="C95" s="420"/>
    </row>
    <row r="96" ht="12.0" customHeight="1">
      <c r="B96" s="420"/>
      <c r="C96" s="420"/>
    </row>
    <row r="97" ht="12.0" customHeight="1">
      <c r="B97" s="420"/>
      <c r="C97" s="420"/>
    </row>
    <row r="98" ht="12.0" customHeight="1">
      <c r="B98" s="420"/>
      <c r="C98" s="420"/>
    </row>
    <row r="99" ht="12.0" customHeight="1">
      <c r="B99" s="420"/>
      <c r="C99" s="420"/>
    </row>
    <row r="100" ht="12.0" customHeight="1">
      <c r="B100" s="420"/>
      <c r="C100" s="420"/>
    </row>
    <row r="101" ht="12.0" customHeight="1">
      <c r="B101" s="420"/>
      <c r="C101" s="420"/>
    </row>
    <row r="102" ht="12.0" customHeight="1">
      <c r="B102" s="420"/>
      <c r="C102" s="420"/>
    </row>
    <row r="103" ht="12.0" customHeight="1">
      <c r="B103" s="420"/>
      <c r="C103" s="420"/>
    </row>
    <row r="104" ht="12.0" customHeight="1">
      <c r="B104" s="420"/>
      <c r="C104" s="420"/>
    </row>
    <row r="105" ht="12.0" customHeight="1">
      <c r="B105" s="420"/>
      <c r="C105" s="420"/>
    </row>
    <row r="106" ht="12.0" customHeight="1">
      <c r="B106" s="420"/>
      <c r="C106" s="420"/>
    </row>
    <row r="107" ht="12.0" customHeight="1">
      <c r="B107" s="420"/>
      <c r="C107" s="420"/>
    </row>
    <row r="108" ht="12.0" customHeight="1">
      <c r="B108" s="420"/>
      <c r="C108" s="420"/>
    </row>
    <row r="109" ht="12.0" customHeight="1">
      <c r="B109" s="420"/>
      <c r="C109" s="420"/>
    </row>
    <row r="110" ht="12.0" customHeight="1">
      <c r="B110" s="420"/>
      <c r="C110" s="420"/>
    </row>
    <row r="111" ht="12.0" customHeight="1">
      <c r="B111" s="420"/>
      <c r="C111" s="420"/>
    </row>
    <row r="112" ht="12.0" customHeight="1">
      <c r="B112" s="420"/>
      <c r="C112" s="420"/>
    </row>
    <row r="113" ht="12.0" customHeight="1">
      <c r="B113" s="420"/>
      <c r="C113" s="420"/>
    </row>
    <row r="114" ht="12.0" customHeight="1">
      <c r="B114" s="420"/>
      <c r="C114" s="420"/>
    </row>
    <row r="115" ht="12.0" customHeight="1">
      <c r="B115" s="420"/>
      <c r="C115" s="420"/>
    </row>
    <row r="116" ht="12.0" customHeight="1">
      <c r="B116" s="420"/>
      <c r="C116" s="420"/>
    </row>
    <row r="117" ht="12.0" customHeight="1">
      <c r="B117" s="420"/>
      <c r="C117" s="420"/>
    </row>
    <row r="118" ht="12.0" customHeight="1">
      <c r="B118" s="420"/>
      <c r="C118" s="420"/>
    </row>
    <row r="119" ht="12.0" customHeight="1">
      <c r="B119" s="420"/>
      <c r="C119" s="420"/>
    </row>
    <row r="120" ht="12.0" customHeight="1">
      <c r="B120" s="420"/>
      <c r="C120" s="420"/>
    </row>
    <row r="121" ht="12.0" customHeight="1">
      <c r="B121" s="420"/>
      <c r="C121" s="420"/>
    </row>
    <row r="122" ht="12.0" customHeight="1">
      <c r="B122" s="420"/>
      <c r="C122" s="420"/>
    </row>
    <row r="123" ht="12.0" customHeight="1">
      <c r="B123" s="420"/>
      <c r="C123" s="420"/>
    </row>
    <row r="124" ht="12.0" customHeight="1">
      <c r="B124" s="420"/>
      <c r="C124" s="420"/>
    </row>
    <row r="125" ht="12.0" customHeight="1">
      <c r="B125" s="420"/>
      <c r="C125" s="420"/>
    </row>
    <row r="126" ht="12.0" customHeight="1">
      <c r="B126" s="420"/>
      <c r="C126" s="420"/>
    </row>
    <row r="127" ht="12.0" customHeight="1">
      <c r="B127" s="420"/>
      <c r="C127" s="420"/>
    </row>
    <row r="128" ht="12.0" customHeight="1">
      <c r="B128" s="420"/>
      <c r="C128" s="420"/>
    </row>
    <row r="129" ht="12.0" customHeight="1">
      <c r="B129" s="420"/>
      <c r="C129" s="420"/>
    </row>
    <row r="130" ht="12.0" customHeight="1">
      <c r="B130" s="420"/>
      <c r="C130" s="420"/>
    </row>
    <row r="131" ht="12.0" customHeight="1">
      <c r="B131" s="420"/>
      <c r="C131" s="420"/>
    </row>
    <row r="132" ht="12.0" customHeight="1">
      <c r="B132" s="420"/>
      <c r="C132" s="420"/>
    </row>
    <row r="133" ht="12.0" customHeight="1">
      <c r="B133" s="420"/>
      <c r="C133" s="420"/>
    </row>
    <row r="134" ht="12.0" customHeight="1">
      <c r="B134" s="420"/>
      <c r="C134" s="420"/>
    </row>
    <row r="135" ht="12.0" customHeight="1">
      <c r="B135" s="420"/>
      <c r="C135" s="420"/>
    </row>
    <row r="136" ht="12.0" customHeight="1">
      <c r="B136" s="420"/>
      <c r="C136" s="420"/>
    </row>
    <row r="137" ht="12.0" customHeight="1">
      <c r="B137" s="420"/>
      <c r="C137" s="420"/>
    </row>
    <row r="138" ht="12.0" customHeight="1">
      <c r="B138" s="420"/>
      <c r="C138" s="420"/>
    </row>
    <row r="139" ht="12.0" customHeight="1">
      <c r="B139" s="420"/>
      <c r="C139" s="420"/>
    </row>
    <row r="140" ht="12.0" customHeight="1">
      <c r="B140" s="420"/>
      <c r="C140" s="420"/>
    </row>
    <row r="141" ht="12.0" customHeight="1">
      <c r="B141" s="420"/>
      <c r="C141" s="420"/>
    </row>
    <row r="142" ht="12.0" customHeight="1">
      <c r="B142" s="420"/>
      <c r="C142" s="420"/>
    </row>
    <row r="143" ht="12.0" customHeight="1">
      <c r="B143" s="420"/>
      <c r="C143" s="420"/>
    </row>
    <row r="144" ht="12.0" customHeight="1">
      <c r="B144" s="420"/>
      <c r="C144" s="420"/>
    </row>
    <row r="145" ht="12.0" customHeight="1">
      <c r="B145" s="420"/>
      <c r="C145" s="420"/>
    </row>
    <row r="146" ht="12.0" customHeight="1">
      <c r="B146" s="420"/>
      <c r="C146" s="420"/>
    </row>
    <row r="147" ht="12.0" customHeight="1">
      <c r="B147" s="420"/>
      <c r="C147" s="420"/>
    </row>
    <row r="148" ht="12.0" customHeight="1">
      <c r="B148" s="420"/>
      <c r="C148" s="420"/>
    </row>
    <row r="149" ht="12.0" customHeight="1">
      <c r="B149" s="420"/>
      <c r="C149" s="420"/>
    </row>
    <row r="150" ht="12.0" customHeight="1">
      <c r="B150" s="420"/>
      <c r="C150" s="420"/>
    </row>
    <row r="151" ht="12.0" customHeight="1">
      <c r="B151" s="420"/>
      <c r="C151" s="420"/>
    </row>
    <row r="152" ht="12.0" customHeight="1">
      <c r="B152" s="420"/>
      <c r="C152" s="420"/>
    </row>
    <row r="153" ht="12.0" customHeight="1">
      <c r="B153" s="420"/>
      <c r="C153" s="420"/>
    </row>
    <row r="154" ht="12.0" customHeight="1">
      <c r="B154" s="420"/>
      <c r="C154" s="420"/>
    </row>
    <row r="155" ht="12.0" customHeight="1">
      <c r="B155" s="420"/>
      <c r="C155" s="420"/>
    </row>
    <row r="156" ht="12.0" customHeight="1">
      <c r="B156" s="420"/>
      <c r="C156" s="420"/>
    </row>
    <row r="157" ht="12.0" customHeight="1">
      <c r="B157" s="420"/>
      <c r="C157" s="420"/>
    </row>
    <row r="158" ht="12.0" customHeight="1">
      <c r="B158" s="420"/>
      <c r="C158" s="420"/>
    </row>
    <row r="159" ht="12.0" customHeight="1">
      <c r="B159" s="420"/>
      <c r="C159" s="420"/>
    </row>
    <row r="160" ht="12.0" customHeight="1">
      <c r="B160" s="420"/>
      <c r="C160" s="420"/>
    </row>
    <row r="161" ht="12.0" customHeight="1">
      <c r="B161" s="420"/>
      <c r="C161" s="420"/>
    </row>
    <row r="162" ht="12.0" customHeight="1">
      <c r="B162" s="420"/>
      <c r="C162" s="420"/>
    </row>
    <row r="163" ht="12.0" customHeight="1">
      <c r="B163" s="420"/>
      <c r="C163" s="420"/>
    </row>
    <row r="164" ht="12.0" customHeight="1">
      <c r="B164" s="420"/>
      <c r="C164" s="420"/>
    </row>
    <row r="165" ht="12.0" customHeight="1">
      <c r="B165" s="420"/>
      <c r="C165" s="420"/>
    </row>
    <row r="166" ht="12.0" customHeight="1">
      <c r="B166" s="420"/>
      <c r="C166" s="420"/>
    </row>
    <row r="167" ht="12.0" customHeight="1">
      <c r="B167" s="420"/>
      <c r="C167" s="420"/>
    </row>
    <row r="168" ht="12.0" customHeight="1">
      <c r="B168" s="420"/>
      <c r="C168" s="420"/>
    </row>
    <row r="169" ht="12.0" customHeight="1">
      <c r="B169" s="420"/>
      <c r="C169" s="420"/>
    </row>
    <row r="170" ht="12.0" customHeight="1">
      <c r="B170" s="420"/>
      <c r="C170" s="420"/>
    </row>
    <row r="171" ht="12.0" customHeight="1">
      <c r="B171" s="420"/>
      <c r="C171" s="420"/>
    </row>
    <row r="172" ht="12.0" customHeight="1">
      <c r="B172" s="420"/>
      <c r="C172" s="420"/>
    </row>
    <row r="173" ht="12.0" customHeight="1">
      <c r="B173" s="420"/>
      <c r="C173" s="420"/>
    </row>
    <row r="174" ht="12.0" customHeight="1">
      <c r="B174" s="420"/>
      <c r="C174" s="420"/>
    </row>
    <row r="175" ht="12.0" customHeight="1">
      <c r="B175" s="420"/>
      <c r="C175" s="420"/>
    </row>
    <row r="176" ht="12.0" customHeight="1">
      <c r="B176" s="420"/>
      <c r="C176" s="420"/>
    </row>
    <row r="177" ht="12.0" customHeight="1">
      <c r="B177" s="420"/>
      <c r="C177" s="420"/>
    </row>
    <row r="178" ht="12.0" customHeight="1">
      <c r="B178" s="420"/>
      <c r="C178" s="420"/>
    </row>
    <row r="179" ht="12.0" customHeight="1">
      <c r="B179" s="420"/>
      <c r="C179" s="420"/>
    </row>
    <row r="180" ht="12.0" customHeight="1">
      <c r="B180" s="420"/>
      <c r="C180" s="420"/>
    </row>
    <row r="181" ht="12.0" customHeight="1">
      <c r="B181" s="420"/>
      <c r="C181" s="420"/>
    </row>
    <row r="182" ht="12.0" customHeight="1">
      <c r="B182" s="420"/>
      <c r="C182" s="420"/>
    </row>
    <row r="183" ht="12.0" customHeight="1">
      <c r="B183" s="420"/>
      <c r="C183" s="420"/>
    </row>
    <row r="184" ht="12.0" customHeight="1">
      <c r="B184" s="420"/>
      <c r="C184" s="420"/>
    </row>
    <row r="185" ht="12.0" customHeight="1">
      <c r="B185" s="420"/>
      <c r="C185" s="420"/>
    </row>
    <row r="186" ht="12.0" customHeight="1">
      <c r="B186" s="420"/>
      <c r="C186" s="420"/>
    </row>
    <row r="187" ht="12.0" customHeight="1">
      <c r="B187" s="420"/>
      <c r="C187" s="420"/>
    </row>
    <row r="188" ht="12.0" customHeight="1">
      <c r="B188" s="420"/>
      <c r="C188" s="420"/>
    </row>
    <row r="189" ht="12.0" customHeight="1">
      <c r="B189" s="420"/>
      <c r="C189" s="420"/>
    </row>
    <row r="190" ht="12.0" customHeight="1">
      <c r="B190" s="420"/>
      <c r="C190" s="420"/>
    </row>
    <row r="191" ht="12.0" customHeight="1">
      <c r="B191" s="420"/>
      <c r="C191" s="420"/>
    </row>
    <row r="192" ht="12.0" customHeight="1">
      <c r="B192" s="420"/>
      <c r="C192" s="420"/>
    </row>
    <row r="193" ht="12.0" customHeight="1">
      <c r="B193" s="420"/>
      <c r="C193" s="420"/>
    </row>
    <row r="194" ht="12.0" customHeight="1">
      <c r="B194" s="420"/>
      <c r="C194" s="420"/>
    </row>
    <row r="195" ht="12.0" customHeight="1">
      <c r="B195" s="420"/>
      <c r="C195" s="420"/>
    </row>
    <row r="196" ht="12.0" customHeight="1">
      <c r="B196" s="420"/>
      <c r="C196" s="420"/>
    </row>
    <row r="197" ht="12.0" customHeight="1">
      <c r="B197" s="420"/>
      <c r="C197" s="420"/>
    </row>
    <row r="198" ht="12.0" customHeight="1">
      <c r="B198" s="420"/>
      <c r="C198" s="420"/>
    </row>
    <row r="199" ht="12.0" customHeight="1">
      <c r="B199" s="420"/>
      <c r="C199" s="420"/>
    </row>
    <row r="200" ht="12.0" customHeight="1">
      <c r="B200" s="420"/>
      <c r="C200" s="420"/>
    </row>
    <row r="201" ht="12.0" customHeight="1">
      <c r="B201" s="420"/>
      <c r="C201" s="420"/>
    </row>
    <row r="202" ht="12.0" customHeight="1">
      <c r="B202" s="420"/>
      <c r="C202" s="420"/>
    </row>
    <row r="203" ht="12.0" customHeight="1">
      <c r="B203" s="420"/>
      <c r="C203" s="420"/>
    </row>
    <row r="204" ht="12.0" customHeight="1">
      <c r="B204" s="420"/>
      <c r="C204" s="420"/>
    </row>
    <row r="205" ht="12.0" customHeight="1">
      <c r="B205" s="420"/>
      <c r="C205" s="420"/>
    </row>
    <row r="206" ht="12.0" customHeight="1">
      <c r="B206" s="420"/>
      <c r="C206" s="420"/>
    </row>
    <row r="207" ht="12.0" customHeight="1">
      <c r="B207" s="420"/>
      <c r="C207" s="420"/>
    </row>
    <row r="208" ht="12.0" customHeight="1">
      <c r="B208" s="420"/>
      <c r="C208" s="420"/>
    </row>
    <row r="209" ht="12.0" customHeight="1">
      <c r="B209" s="420"/>
      <c r="C209" s="420"/>
    </row>
    <row r="210" ht="12.0" customHeight="1">
      <c r="B210" s="420"/>
      <c r="C210" s="420"/>
    </row>
    <row r="211" ht="12.0" customHeight="1">
      <c r="B211" s="420"/>
      <c r="C211" s="420"/>
    </row>
    <row r="212" ht="12.0" customHeight="1">
      <c r="B212" s="420"/>
      <c r="C212" s="420"/>
    </row>
    <row r="213" ht="12.0" customHeight="1">
      <c r="B213" s="420"/>
      <c r="C213" s="420"/>
    </row>
    <row r="214" ht="12.0" customHeight="1">
      <c r="B214" s="420"/>
      <c r="C214" s="420"/>
    </row>
    <row r="215" ht="12.0" customHeight="1">
      <c r="B215" s="420"/>
      <c r="C215" s="420"/>
    </row>
    <row r="216" ht="12.0" customHeight="1">
      <c r="B216" s="420"/>
      <c r="C216" s="420"/>
    </row>
    <row r="217" ht="12.0" customHeight="1">
      <c r="B217" s="420"/>
      <c r="C217" s="420"/>
    </row>
    <row r="218" ht="12.0" customHeight="1">
      <c r="B218" s="420"/>
      <c r="C218" s="420"/>
    </row>
    <row r="219" ht="12.0" customHeight="1">
      <c r="B219" s="420"/>
      <c r="C219" s="420"/>
    </row>
    <row r="220" ht="12.0" customHeight="1">
      <c r="B220" s="420"/>
      <c r="C220" s="420"/>
    </row>
    <row r="221" ht="12.0" customHeight="1">
      <c r="B221" s="420"/>
      <c r="C221" s="420"/>
    </row>
    <row r="222" ht="12.0" customHeight="1">
      <c r="B222" s="420"/>
      <c r="C222" s="420"/>
    </row>
    <row r="223" ht="12.0" customHeight="1">
      <c r="B223" s="420"/>
      <c r="C223" s="420"/>
    </row>
    <row r="224" ht="12.0" customHeight="1">
      <c r="B224" s="420"/>
      <c r="C224" s="420"/>
    </row>
    <row r="225" ht="12.0" customHeight="1">
      <c r="B225" s="420"/>
      <c r="C225" s="420"/>
    </row>
    <row r="226" ht="12.0" customHeight="1">
      <c r="B226" s="420"/>
      <c r="C226" s="420"/>
    </row>
    <row r="227" ht="12.0" customHeight="1">
      <c r="B227" s="420"/>
      <c r="C227" s="420"/>
    </row>
    <row r="228" ht="12.0" customHeight="1">
      <c r="B228" s="420"/>
      <c r="C228" s="420"/>
    </row>
    <row r="229" ht="12.0" customHeight="1">
      <c r="B229" s="420"/>
      <c r="C229" s="420"/>
    </row>
    <row r="230" ht="12.0" customHeight="1">
      <c r="B230" s="420"/>
      <c r="C230" s="420"/>
    </row>
    <row r="231" ht="12.0" customHeight="1">
      <c r="B231" s="420"/>
      <c r="C231" s="420"/>
    </row>
    <row r="232" ht="12.0" customHeight="1">
      <c r="B232" s="420"/>
      <c r="C232" s="420"/>
    </row>
    <row r="233" ht="12.0" customHeight="1">
      <c r="B233" s="420"/>
      <c r="C233" s="420"/>
    </row>
    <row r="234" ht="12.0" customHeight="1">
      <c r="B234" s="420"/>
      <c r="C234" s="420"/>
    </row>
    <row r="235" ht="12.0" customHeight="1">
      <c r="B235" s="420"/>
      <c r="C235" s="420"/>
    </row>
    <row r="236" ht="12.0" customHeight="1">
      <c r="B236" s="420"/>
      <c r="C236" s="420"/>
    </row>
    <row r="237" ht="12.0" customHeight="1">
      <c r="B237" s="420"/>
      <c r="C237" s="420"/>
    </row>
    <row r="238" ht="12.0" customHeight="1">
      <c r="B238" s="420"/>
      <c r="C238" s="420"/>
    </row>
    <row r="239" ht="12.0" customHeight="1">
      <c r="B239" s="420"/>
      <c r="C239" s="420"/>
    </row>
    <row r="240" ht="12.0" customHeight="1">
      <c r="B240" s="420"/>
      <c r="C240" s="420"/>
    </row>
    <row r="241" ht="12.0" customHeight="1">
      <c r="B241" s="420"/>
      <c r="C241" s="420"/>
    </row>
    <row r="242" ht="12.0" customHeight="1">
      <c r="B242" s="420"/>
      <c r="C242" s="420"/>
    </row>
    <row r="243" ht="12.0" customHeight="1">
      <c r="B243" s="420"/>
      <c r="C243" s="420"/>
    </row>
    <row r="244" ht="12.0" customHeight="1">
      <c r="B244" s="420"/>
      <c r="C244" s="420"/>
    </row>
    <row r="245" ht="12.0" customHeight="1">
      <c r="B245" s="420"/>
      <c r="C245" s="420"/>
    </row>
    <row r="246" ht="12.0" customHeight="1">
      <c r="B246" s="420"/>
      <c r="C246" s="420"/>
    </row>
    <row r="247" ht="12.0" customHeight="1">
      <c r="B247" s="420"/>
      <c r="C247" s="420"/>
    </row>
    <row r="248" ht="12.0" customHeight="1">
      <c r="B248" s="420"/>
      <c r="C248" s="420"/>
    </row>
    <row r="249" ht="12.0" customHeight="1">
      <c r="B249" s="420"/>
      <c r="C249" s="420"/>
    </row>
    <row r="250" ht="12.0" customHeight="1">
      <c r="B250" s="420"/>
      <c r="C250" s="420"/>
    </row>
    <row r="251" ht="12.0" customHeight="1">
      <c r="B251" s="420"/>
      <c r="C251" s="420"/>
    </row>
    <row r="252" ht="12.0" customHeight="1">
      <c r="B252" s="420"/>
      <c r="C252" s="420"/>
    </row>
    <row r="253" ht="12.0" customHeight="1">
      <c r="B253" s="420"/>
      <c r="C253" s="420"/>
    </row>
    <row r="254" ht="12.0" customHeight="1">
      <c r="B254" s="420"/>
      <c r="C254" s="420"/>
    </row>
    <row r="255" ht="12.0" customHeight="1">
      <c r="B255" s="420"/>
      <c r="C255" s="420"/>
    </row>
    <row r="256" ht="12.0" customHeight="1">
      <c r="B256" s="420"/>
      <c r="C256" s="420"/>
    </row>
    <row r="257" ht="12.0" customHeight="1">
      <c r="B257" s="420"/>
      <c r="C257" s="420"/>
    </row>
    <row r="258" ht="12.0" customHeight="1">
      <c r="B258" s="420"/>
      <c r="C258" s="420"/>
    </row>
    <row r="259" ht="12.0" customHeight="1">
      <c r="B259" s="420"/>
      <c r="C259" s="420"/>
    </row>
    <row r="260" ht="12.0" customHeight="1">
      <c r="B260" s="420"/>
      <c r="C260" s="420"/>
    </row>
    <row r="261" ht="12.0" customHeight="1">
      <c r="B261" s="420"/>
      <c r="C261" s="420"/>
    </row>
    <row r="262" ht="12.0" customHeight="1">
      <c r="B262" s="420"/>
      <c r="C262" s="420"/>
    </row>
    <row r="263" ht="12.0" customHeight="1">
      <c r="B263" s="420"/>
      <c r="C263" s="420"/>
    </row>
    <row r="264" ht="12.0" customHeight="1">
      <c r="B264" s="420"/>
      <c r="C264" s="420"/>
    </row>
    <row r="265" ht="12.0" customHeight="1">
      <c r="B265" s="420"/>
      <c r="C265" s="420"/>
    </row>
    <row r="266" ht="12.0" customHeight="1">
      <c r="B266" s="420"/>
      <c r="C266" s="420"/>
    </row>
    <row r="267" ht="12.0" customHeight="1">
      <c r="B267" s="420"/>
      <c r="C267" s="420"/>
    </row>
    <row r="268" ht="12.0" customHeight="1">
      <c r="B268" s="420"/>
      <c r="C268" s="420"/>
    </row>
    <row r="269" ht="12.0" customHeight="1">
      <c r="B269" s="420"/>
      <c r="C269" s="420"/>
    </row>
    <row r="270" ht="12.0" customHeight="1">
      <c r="B270" s="420"/>
      <c r="C270" s="420"/>
    </row>
    <row r="271" ht="12.0" customHeight="1">
      <c r="B271" s="420"/>
      <c r="C271" s="420"/>
    </row>
    <row r="272" ht="12.0" customHeight="1">
      <c r="B272" s="420"/>
      <c r="C272" s="420"/>
    </row>
    <row r="273" ht="12.0" customHeight="1">
      <c r="B273" s="420"/>
      <c r="C273" s="420"/>
    </row>
    <row r="274" ht="12.0" customHeight="1">
      <c r="B274" s="420"/>
      <c r="C274" s="420"/>
    </row>
    <row r="275" ht="12.0" customHeight="1">
      <c r="B275" s="420"/>
      <c r="C275" s="420"/>
    </row>
    <row r="276" ht="12.0" customHeight="1">
      <c r="B276" s="420"/>
      <c r="C276" s="420"/>
    </row>
    <row r="277" ht="12.0" customHeight="1">
      <c r="B277" s="420"/>
      <c r="C277" s="420"/>
    </row>
    <row r="278" ht="12.0" customHeight="1">
      <c r="B278" s="420"/>
      <c r="C278" s="420"/>
    </row>
    <row r="279" ht="12.0" customHeight="1">
      <c r="B279" s="420"/>
      <c r="C279" s="420"/>
    </row>
    <row r="280" ht="12.0" customHeight="1">
      <c r="B280" s="420"/>
      <c r="C280" s="420"/>
    </row>
    <row r="281" ht="12.0" customHeight="1">
      <c r="B281" s="420"/>
      <c r="C281" s="420"/>
    </row>
    <row r="282" ht="12.0" customHeight="1">
      <c r="B282" s="420"/>
      <c r="C282" s="420"/>
    </row>
    <row r="283" ht="12.0" customHeight="1">
      <c r="B283" s="420"/>
      <c r="C283" s="420"/>
    </row>
    <row r="284" ht="12.0" customHeight="1">
      <c r="B284" s="420"/>
      <c r="C284" s="420"/>
    </row>
    <row r="285" ht="12.0" customHeight="1">
      <c r="B285" s="420"/>
      <c r="C285" s="420"/>
    </row>
    <row r="286" ht="12.0" customHeight="1">
      <c r="B286" s="420"/>
      <c r="C286" s="420"/>
    </row>
    <row r="287" ht="12.0" customHeight="1">
      <c r="B287" s="420"/>
      <c r="C287" s="420"/>
    </row>
    <row r="288" ht="12.0" customHeight="1">
      <c r="B288" s="420"/>
      <c r="C288" s="420"/>
    </row>
    <row r="289" ht="12.0" customHeight="1">
      <c r="B289" s="420"/>
      <c r="C289" s="420"/>
    </row>
    <row r="290" ht="12.0" customHeight="1">
      <c r="B290" s="420"/>
      <c r="C290" s="420"/>
    </row>
    <row r="291" ht="12.0" customHeight="1">
      <c r="B291" s="420"/>
      <c r="C291" s="420"/>
    </row>
    <row r="292" ht="12.0" customHeight="1">
      <c r="B292" s="420"/>
      <c r="C292" s="420"/>
    </row>
    <row r="293" ht="12.0" customHeight="1">
      <c r="B293" s="420"/>
      <c r="C293" s="420"/>
    </row>
    <row r="294" ht="12.0" customHeight="1">
      <c r="B294" s="420"/>
      <c r="C294" s="420"/>
    </row>
    <row r="295" ht="12.0" customHeight="1">
      <c r="B295" s="420"/>
      <c r="C295" s="420"/>
    </row>
    <row r="296" ht="12.0" customHeight="1">
      <c r="B296" s="420"/>
      <c r="C296" s="420"/>
    </row>
    <row r="297" ht="12.0" customHeight="1">
      <c r="B297" s="420"/>
      <c r="C297" s="420"/>
    </row>
    <row r="298" ht="12.0" customHeight="1">
      <c r="B298" s="420"/>
      <c r="C298" s="420"/>
    </row>
    <row r="299" ht="12.0" customHeight="1">
      <c r="B299" s="420"/>
      <c r="C299" s="420"/>
    </row>
    <row r="300" ht="12.0" customHeight="1">
      <c r="B300" s="420"/>
      <c r="C300" s="420"/>
    </row>
    <row r="301" ht="12.0" customHeight="1">
      <c r="B301" s="420"/>
      <c r="C301" s="420"/>
    </row>
    <row r="302" ht="12.0" customHeight="1">
      <c r="B302" s="420"/>
      <c r="C302" s="420"/>
    </row>
    <row r="303" ht="12.0" customHeight="1">
      <c r="B303" s="420"/>
      <c r="C303" s="420"/>
    </row>
    <row r="304" ht="12.0" customHeight="1">
      <c r="B304" s="420"/>
      <c r="C304" s="420"/>
    </row>
    <row r="305" ht="12.0" customHeight="1">
      <c r="B305" s="420"/>
      <c r="C305" s="420"/>
    </row>
    <row r="306" ht="12.0" customHeight="1">
      <c r="B306" s="420"/>
      <c r="C306" s="420"/>
    </row>
    <row r="307" ht="12.0" customHeight="1">
      <c r="B307" s="420"/>
      <c r="C307" s="420"/>
    </row>
    <row r="308" ht="12.0" customHeight="1">
      <c r="B308" s="420"/>
      <c r="C308" s="420"/>
    </row>
    <row r="309" ht="12.0" customHeight="1">
      <c r="B309" s="420"/>
      <c r="C309" s="420"/>
    </row>
    <row r="310" ht="12.0" customHeight="1">
      <c r="B310" s="420"/>
      <c r="C310" s="420"/>
    </row>
    <row r="311" ht="12.0" customHeight="1">
      <c r="B311" s="420"/>
      <c r="C311" s="420"/>
    </row>
    <row r="312" ht="12.0" customHeight="1">
      <c r="B312" s="420"/>
      <c r="C312" s="420"/>
    </row>
    <row r="313" ht="12.0" customHeight="1">
      <c r="B313" s="420"/>
      <c r="C313" s="420"/>
    </row>
    <row r="314" ht="12.0" customHeight="1">
      <c r="B314" s="420"/>
      <c r="C314" s="420"/>
    </row>
    <row r="315" ht="12.0" customHeight="1">
      <c r="B315" s="420"/>
      <c r="C315" s="420"/>
    </row>
    <row r="316" ht="12.0" customHeight="1">
      <c r="B316" s="420"/>
      <c r="C316" s="420"/>
    </row>
    <row r="317" ht="12.0" customHeight="1">
      <c r="B317" s="420"/>
      <c r="C317" s="420"/>
    </row>
    <row r="318" ht="12.0" customHeight="1">
      <c r="B318" s="420"/>
      <c r="C318" s="420"/>
    </row>
    <row r="319" ht="12.0" customHeight="1">
      <c r="B319" s="420"/>
      <c r="C319" s="420"/>
    </row>
    <row r="320" ht="12.0" customHeight="1">
      <c r="B320" s="420"/>
      <c r="C320" s="420"/>
    </row>
    <row r="321" ht="12.0" customHeight="1">
      <c r="B321" s="420"/>
      <c r="C321" s="420"/>
    </row>
    <row r="322" ht="12.0" customHeight="1">
      <c r="B322" s="420"/>
      <c r="C322" s="420"/>
    </row>
    <row r="323" ht="12.0" customHeight="1">
      <c r="B323" s="420"/>
      <c r="C323" s="420"/>
    </row>
    <row r="324" ht="12.0" customHeight="1">
      <c r="B324" s="420"/>
      <c r="C324" s="420"/>
    </row>
    <row r="325" ht="12.0" customHeight="1">
      <c r="B325" s="420"/>
      <c r="C325" s="420"/>
    </row>
    <row r="326" ht="12.0" customHeight="1">
      <c r="B326" s="420"/>
      <c r="C326" s="420"/>
    </row>
    <row r="327" ht="12.0" customHeight="1">
      <c r="B327" s="420"/>
      <c r="C327" s="420"/>
    </row>
    <row r="328" ht="12.0" customHeight="1">
      <c r="B328" s="420"/>
      <c r="C328" s="420"/>
    </row>
    <row r="329" ht="12.0" customHeight="1">
      <c r="B329" s="420"/>
      <c r="C329" s="420"/>
    </row>
    <row r="330" ht="12.0" customHeight="1">
      <c r="B330" s="420"/>
      <c r="C330" s="420"/>
    </row>
    <row r="331" ht="12.0" customHeight="1">
      <c r="B331" s="420"/>
      <c r="C331" s="420"/>
    </row>
    <row r="332" ht="12.0" customHeight="1">
      <c r="B332" s="420"/>
      <c r="C332" s="420"/>
    </row>
    <row r="333" ht="12.0" customHeight="1">
      <c r="B333" s="420"/>
      <c r="C333" s="420"/>
    </row>
    <row r="334" ht="12.0" customHeight="1">
      <c r="B334" s="420"/>
      <c r="C334" s="420"/>
    </row>
    <row r="335" ht="12.0" customHeight="1">
      <c r="B335" s="420"/>
      <c r="C335" s="420"/>
    </row>
    <row r="336" ht="12.0" customHeight="1">
      <c r="B336" s="420"/>
      <c r="C336" s="420"/>
    </row>
    <row r="337" ht="12.0" customHeight="1">
      <c r="B337" s="420"/>
      <c r="C337" s="420"/>
    </row>
    <row r="338" ht="12.0" customHeight="1">
      <c r="B338" s="420"/>
      <c r="C338" s="420"/>
    </row>
    <row r="339" ht="12.0" customHeight="1">
      <c r="B339" s="420"/>
      <c r="C339" s="420"/>
    </row>
    <row r="340" ht="12.0" customHeight="1">
      <c r="B340" s="420"/>
      <c r="C340" s="420"/>
    </row>
    <row r="341" ht="12.0" customHeight="1">
      <c r="B341" s="420"/>
      <c r="C341" s="420"/>
    </row>
    <row r="342" ht="12.0" customHeight="1">
      <c r="B342" s="420"/>
      <c r="C342" s="420"/>
    </row>
    <row r="343" ht="12.0" customHeight="1">
      <c r="B343" s="420"/>
      <c r="C343" s="420"/>
    </row>
    <row r="344" ht="12.0" customHeight="1">
      <c r="B344" s="420"/>
      <c r="C344" s="420"/>
    </row>
    <row r="345" ht="12.0" customHeight="1">
      <c r="B345" s="420"/>
      <c r="C345" s="420"/>
    </row>
    <row r="346" ht="12.0" customHeight="1">
      <c r="B346" s="420"/>
      <c r="C346" s="420"/>
    </row>
    <row r="347" ht="12.0" customHeight="1">
      <c r="B347" s="420"/>
      <c r="C347" s="420"/>
    </row>
    <row r="348" ht="12.0" customHeight="1">
      <c r="B348" s="420"/>
      <c r="C348" s="420"/>
    </row>
    <row r="349" ht="12.0" customHeight="1">
      <c r="B349" s="420"/>
      <c r="C349" s="420"/>
    </row>
    <row r="350" ht="12.0" customHeight="1">
      <c r="B350" s="420"/>
      <c r="C350" s="420"/>
    </row>
    <row r="351" ht="12.0" customHeight="1">
      <c r="B351" s="420"/>
      <c r="C351" s="420"/>
    </row>
    <row r="352" ht="12.0" customHeight="1">
      <c r="B352" s="420"/>
      <c r="C352" s="420"/>
    </row>
    <row r="353" ht="12.0" customHeight="1">
      <c r="B353" s="420"/>
      <c r="C353" s="420"/>
    </row>
    <row r="354" ht="12.0" customHeight="1">
      <c r="B354" s="420"/>
      <c r="C354" s="420"/>
    </row>
    <row r="355" ht="12.0" customHeight="1">
      <c r="B355" s="420"/>
      <c r="C355" s="420"/>
    </row>
    <row r="356" ht="12.0" customHeight="1">
      <c r="B356" s="420"/>
      <c r="C356" s="420"/>
    </row>
    <row r="357" ht="12.0" customHeight="1">
      <c r="B357" s="420"/>
      <c r="C357" s="420"/>
    </row>
    <row r="358" ht="12.0" customHeight="1">
      <c r="B358" s="420"/>
      <c r="C358" s="420"/>
    </row>
    <row r="359" ht="12.0" customHeight="1">
      <c r="B359" s="420"/>
      <c r="C359" s="420"/>
    </row>
    <row r="360" ht="12.0" customHeight="1">
      <c r="B360" s="420"/>
      <c r="C360" s="420"/>
    </row>
    <row r="361" ht="12.0" customHeight="1">
      <c r="B361" s="420"/>
      <c r="C361" s="420"/>
    </row>
    <row r="362" ht="12.0" customHeight="1">
      <c r="B362" s="420"/>
      <c r="C362" s="420"/>
    </row>
    <row r="363" ht="12.0" customHeight="1">
      <c r="B363" s="420"/>
      <c r="C363" s="420"/>
    </row>
    <row r="364" ht="12.0" customHeight="1">
      <c r="B364" s="420"/>
      <c r="C364" s="420"/>
    </row>
    <row r="365" ht="12.0" customHeight="1">
      <c r="B365" s="420"/>
      <c r="C365" s="420"/>
    </row>
    <row r="366" ht="12.0" customHeight="1">
      <c r="B366" s="420"/>
      <c r="C366" s="420"/>
    </row>
    <row r="367" ht="12.0" customHeight="1">
      <c r="B367" s="420"/>
      <c r="C367" s="420"/>
    </row>
    <row r="368" ht="12.0" customHeight="1">
      <c r="B368" s="420"/>
      <c r="C368" s="420"/>
    </row>
    <row r="369" ht="12.0" customHeight="1">
      <c r="B369" s="420"/>
      <c r="C369" s="420"/>
    </row>
    <row r="370" ht="12.0" customHeight="1">
      <c r="B370" s="420"/>
      <c r="C370" s="420"/>
    </row>
    <row r="371" ht="12.0" customHeight="1">
      <c r="B371" s="420"/>
      <c r="C371" s="420"/>
    </row>
    <row r="372" ht="12.0" customHeight="1">
      <c r="B372" s="420"/>
      <c r="C372" s="420"/>
    </row>
    <row r="373" ht="12.0" customHeight="1">
      <c r="B373" s="420"/>
      <c r="C373" s="420"/>
    </row>
    <row r="374" ht="12.0" customHeight="1">
      <c r="B374" s="420"/>
      <c r="C374" s="420"/>
    </row>
    <row r="375" ht="12.0" customHeight="1">
      <c r="B375" s="420"/>
      <c r="C375" s="420"/>
    </row>
    <row r="376" ht="12.0" customHeight="1">
      <c r="B376" s="420"/>
      <c r="C376" s="420"/>
    </row>
    <row r="377" ht="12.0" customHeight="1">
      <c r="B377" s="420"/>
      <c r="C377" s="420"/>
    </row>
    <row r="378" ht="12.0" customHeight="1">
      <c r="B378" s="420"/>
      <c r="C378" s="420"/>
    </row>
    <row r="379" ht="12.0" customHeight="1">
      <c r="B379" s="420"/>
      <c r="C379" s="420"/>
    </row>
    <row r="380" ht="12.0" customHeight="1">
      <c r="B380" s="420"/>
      <c r="C380" s="420"/>
    </row>
    <row r="381" ht="12.0" customHeight="1">
      <c r="B381" s="420"/>
      <c r="C381" s="420"/>
    </row>
    <row r="382" ht="12.0" customHeight="1">
      <c r="B382" s="420"/>
      <c r="C382" s="420"/>
    </row>
    <row r="383" ht="12.0" customHeight="1">
      <c r="B383" s="420"/>
      <c r="C383" s="420"/>
    </row>
    <row r="384" ht="12.0" customHeight="1">
      <c r="B384" s="420"/>
      <c r="C384" s="420"/>
    </row>
    <row r="385" ht="12.0" customHeight="1">
      <c r="B385" s="420"/>
      <c r="C385" s="420"/>
    </row>
    <row r="386" ht="12.0" customHeight="1">
      <c r="B386" s="420"/>
      <c r="C386" s="420"/>
    </row>
    <row r="387" ht="12.0" customHeight="1">
      <c r="B387" s="420"/>
      <c r="C387" s="420"/>
    </row>
    <row r="388" ht="12.0" customHeight="1">
      <c r="B388" s="420"/>
      <c r="C388" s="420"/>
    </row>
    <row r="389" ht="12.0" customHeight="1">
      <c r="B389" s="420"/>
      <c r="C389" s="420"/>
    </row>
    <row r="390" ht="12.0" customHeight="1">
      <c r="B390" s="420"/>
      <c r="C390" s="420"/>
    </row>
    <row r="391" ht="12.0" customHeight="1">
      <c r="B391" s="420"/>
      <c r="C391" s="420"/>
    </row>
    <row r="392" ht="12.0" customHeight="1">
      <c r="B392" s="420"/>
      <c r="C392" s="420"/>
    </row>
    <row r="393" ht="12.0" customHeight="1">
      <c r="B393" s="420"/>
      <c r="C393" s="420"/>
    </row>
    <row r="394" ht="12.0" customHeight="1">
      <c r="B394" s="420"/>
      <c r="C394" s="420"/>
    </row>
    <row r="395" ht="12.0" customHeight="1">
      <c r="B395" s="420"/>
      <c r="C395" s="420"/>
    </row>
    <row r="396" ht="12.0" customHeight="1">
      <c r="B396" s="420"/>
      <c r="C396" s="420"/>
    </row>
    <row r="397" ht="12.0" customHeight="1">
      <c r="B397" s="420"/>
      <c r="C397" s="420"/>
    </row>
    <row r="398" ht="12.0" customHeight="1">
      <c r="B398" s="420"/>
      <c r="C398" s="420"/>
    </row>
    <row r="399" ht="12.0" customHeight="1">
      <c r="B399" s="420"/>
      <c r="C399" s="420"/>
    </row>
    <row r="400" ht="12.0" customHeight="1">
      <c r="B400" s="420"/>
      <c r="C400" s="420"/>
    </row>
    <row r="401" ht="12.0" customHeight="1">
      <c r="B401" s="420"/>
      <c r="C401" s="420"/>
    </row>
    <row r="402" ht="12.0" customHeight="1">
      <c r="B402" s="420"/>
      <c r="C402" s="420"/>
    </row>
    <row r="403" ht="12.0" customHeight="1">
      <c r="B403" s="420"/>
      <c r="C403" s="420"/>
    </row>
    <row r="404" ht="12.0" customHeight="1">
      <c r="B404" s="420"/>
      <c r="C404" s="420"/>
    </row>
    <row r="405" ht="12.0" customHeight="1">
      <c r="B405" s="420"/>
      <c r="C405" s="420"/>
    </row>
    <row r="406" ht="12.0" customHeight="1">
      <c r="B406" s="420"/>
      <c r="C406" s="420"/>
    </row>
    <row r="407" ht="12.0" customHeight="1">
      <c r="B407" s="420"/>
      <c r="C407" s="420"/>
    </row>
    <row r="408" ht="12.0" customHeight="1">
      <c r="B408" s="420"/>
      <c r="C408" s="420"/>
    </row>
    <row r="409" ht="12.0" customHeight="1">
      <c r="B409" s="420"/>
      <c r="C409" s="420"/>
    </row>
    <row r="410" ht="12.0" customHeight="1">
      <c r="B410" s="420"/>
      <c r="C410" s="420"/>
    </row>
    <row r="411" ht="12.0" customHeight="1">
      <c r="B411" s="420"/>
      <c r="C411" s="420"/>
    </row>
    <row r="412" ht="12.0" customHeight="1">
      <c r="B412" s="420"/>
      <c r="C412" s="420"/>
    </row>
    <row r="413" ht="12.0" customHeight="1">
      <c r="B413" s="420"/>
      <c r="C413" s="420"/>
    </row>
    <row r="414" ht="12.0" customHeight="1">
      <c r="B414" s="420"/>
      <c r="C414" s="420"/>
    </row>
    <row r="415" ht="12.0" customHeight="1">
      <c r="B415" s="420"/>
      <c r="C415" s="420"/>
    </row>
    <row r="416" ht="12.0" customHeight="1">
      <c r="B416" s="420"/>
      <c r="C416" s="420"/>
    </row>
    <row r="417" ht="12.0" customHeight="1">
      <c r="B417" s="420"/>
      <c r="C417" s="420"/>
    </row>
    <row r="418" ht="12.0" customHeight="1">
      <c r="B418" s="420"/>
      <c r="C418" s="420"/>
    </row>
    <row r="419" ht="12.0" customHeight="1">
      <c r="B419" s="420"/>
      <c r="C419" s="420"/>
    </row>
    <row r="420" ht="12.0" customHeight="1">
      <c r="B420" s="420"/>
      <c r="C420" s="420"/>
    </row>
    <row r="421" ht="12.0" customHeight="1">
      <c r="B421" s="420"/>
      <c r="C421" s="420"/>
    </row>
    <row r="422" ht="12.0" customHeight="1">
      <c r="B422" s="420"/>
      <c r="C422" s="420"/>
    </row>
    <row r="423" ht="12.0" customHeight="1">
      <c r="B423" s="420"/>
      <c r="C423" s="420"/>
    </row>
    <row r="424" ht="12.0" customHeight="1">
      <c r="B424" s="420"/>
      <c r="C424" s="420"/>
    </row>
    <row r="425" ht="12.0" customHeight="1">
      <c r="B425" s="420"/>
      <c r="C425" s="420"/>
    </row>
    <row r="426" ht="12.0" customHeight="1">
      <c r="B426" s="420"/>
      <c r="C426" s="420"/>
    </row>
    <row r="427" ht="12.0" customHeight="1">
      <c r="B427" s="420"/>
      <c r="C427" s="420"/>
    </row>
    <row r="428" ht="12.0" customHeight="1">
      <c r="B428" s="420"/>
      <c r="C428" s="420"/>
    </row>
    <row r="429" ht="12.0" customHeight="1">
      <c r="B429" s="420"/>
      <c r="C429" s="420"/>
    </row>
    <row r="430" ht="12.0" customHeight="1">
      <c r="B430" s="420"/>
      <c r="C430" s="420"/>
    </row>
    <row r="431" ht="12.0" customHeight="1">
      <c r="B431" s="420"/>
      <c r="C431" s="420"/>
    </row>
    <row r="432" ht="12.0" customHeight="1">
      <c r="B432" s="420"/>
      <c r="C432" s="420"/>
    </row>
    <row r="433" ht="12.0" customHeight="1">
      <c r="B433" s="420"/>
      <c r="C433" s="420"/>
    </row>
    <row r="434" ht="12.0" customHeight="1">
      <c r="B434" s="420"/>
      <c r="C434" s="420"/>
    </row>
    <row r="435" ht="12.0" customHeight="1">
      <c r="B435" s="420"/>
      <c r="C435" s="420"/>
    </row>
    <row r="436" ht="12.0" customHeight="1">
      <c r="B436" s="420"/>
      <c r="C436" s="420"/>
    </row>
    <row r="437" ht="12.0" customHeight="1">
      <c r="B437" s="420"/>
      <c r="C437" s="420"/>
    </row>
    <row r="438" ht="12.0" customHeight="1">
      <c r="B438" s="420"/>
      <c r="C438" s="420"/>
    </row>
    <row r="439" ht="12.0" customHeight="1">
      <c r="B439" s="420"/>
      <c r="C439" s="420"/>
    </row>
    <row r="440" ht="12.0" customHeight="1">
      <c r="B440" s="420"/>
      <c r="C440" s="420"/>
    </row>
    <row r="441" ht="12.0" customHeight="1">
      <c r="B441" s="420"/>
      <c r="C441" s="420"/>
    </row>
    <row r="442" ht="12.0" customHeight="1">
      <c r="B442" s="420"/>
      <c r="C442" s="420"/>
    </row>
    <row r="443" ht="12.0" customHeight="1">
      <c r="B443" s="420"/>
      <c r="C443" s="420"/>
    </row>
    <row r="444" ht="12.0" customHeight="1">
      <c r="B444" s="420"/>
      <c r="C444" s="420"/>
    </row>
    <row r="445" ht="12.0" customHeight="1">
      <c r="B445" s="420"/>
      <c r="C445" s="420"/>
    </row>
    <row r="446" ht="12.0" customHeight="1">
      <c r="B446" s="420"/>
      <c r="C446" s="420"/>
    </row>
    <row r="447" ht="12.0" customHeight="1">
      <c r="B447" s="420"/>
      <c r="C447" s="420"/>
    </row>
    <row r="448" ht="12.0" customHeight="1">
      <c r="B448" s="420"/>
      <c r="C448" s="420"/>
    </row>
    <row r="449" ht="12.0" customHeight="1">
      <c r="B449" s="420"/>
      <c r="C449" s="420"/>
    </row>
    <row r="450" ht="12.0" customHeight="1">
      <c r="B450" s="420"/>
      <c r="C450" s="420"/>
    </row>
    <row r="451" ht="12.0" customHeight="1">
      <c r="B451" s="420"/>
      <c r="C451" s="420"/>
    </row>
    <row r="452" ht="12.0" customHeight="1">
      <c r="B452" s="420"/>
      <c r="C452" s="420"/>
    </row>
    <row r="453" ht="12.0" customHeight="1">
      <c r="B453" s="420"/>
      <c r="C453" s="420"/>
    </row>
    <row r="454" ht="12.0" customHeight="1">
      <c r="B454" s="420"/>
      <c r="C454" s="420"/>
    </row>
    <row r="455" ht="12.0" customHeight="1">
      <c r="B455" s="420"/>
      <c r="C455" s="420"/>
    </row>
    <row r="456" ht="12.0" customHeight="1">
      <c r="B456" s="420"/>
      <c r="C456" s="420"/>
    </row>
    <row r="457" ht="12.0" customHeight="1">
      <c r="B457" s="420"/>
      <c r="C457" s="420"/>
    </row>
    <row r="458" ht="12.0" customHeight="1">
      <c r="B458" s="420"/>
      <c r="C458" s="420"/>
    </row>
    <row r="459" ht="12.0" customHeight="1">
      <c r="B459" s="420"/>
      <c r="C459" s="420"/>
    </row>
    <row r="460" ht="12.0" customHeight="1">
      <c r="B460" s="420"/>
      <c r="C460" s="420"/>
    </row>
    <row r="461" ht="12.0" customHeight="1">
      <c r="B461" s="420"/>
      <c r="C461" s="420"/>
    </row>
    <row r="462" ht="12.0" customHeight="1">
      <c r="B462" s="420"/>
      <c r="C462" s="420"/>
    </row>
    <row r="463" ht="12.0" customHeight="1">
      <c r="B463" s="420"/>
      <c r="C463" s="420"/>
    </row>
    <row r="464" ht="12.0" customHeight="1">
      <c r="B464" s="420"/>
      <c r="C464" s="420"/>
    </row>
    <row r="465" ht="12.0" customHeight="1">
      <c r="B465" s="420"/>
      <c r="C465" s="420"/>
    </row>
    <row r="466" ht="12.0" customHeight="1">
      <c r="B466" s="420"/>
      <c r="C466" s="420"/>
    </row>
    <row r="467" ht="12.0" customHeight="1">
      <c r="B467" s="420"/>
      <c r="C467" s="420"/>
    </row>
    <row r="468" ht="12.0" customHeight="1">
      <c r="B468" s="420"/>
      <c r="C468" s="420"/>
    </row>
    <row r="469" ht="12.0" customHeight="1">
      <c r="B469" s="420"/>
      <c r="C469" s="420"/>
    </row>
    <row r="470" ht="12.0" customHeight="1">
      <c r="B470" s="420"/>
      <c r="C470" s="420"/>
    </row>
    <row r="471" ht="12.0" customHeight="1">
      <c r="B471" s="420"/>
      <c r="C471" s="420"/>
    </row>
    <row r="472" ht="12.0" customHeight="1">
      <c r="B472" s="420"/>
      <c r="C472" s="420"/>
    </row>
    <row r="473" ht="12.0" customHeight="1">
      <c r="B473" s="420"/>
      <c r="C473" s="420"/>
    </row>
    <row r="474" ht="12.0" customHeight="1">
      <c r="B474" s="420"/>
      <c r="C474" s="420"/>
    </row>
    <row r="475" ht="12.0" customHeight="1">
      <c r="B475" s="420"/>
      <c r="C475" s="420"/>
    </row>
    <row r="476" ht="12.0" customHeight="1">
      <c r="B476" s="420"/>
      <c r="C476" s="420"/>
    </row>
    <row r="477" ht="12.0" customHeight="1">
      <c r="B477" s="420"/>
      <c r="C477" s="420"/>
    </row>
    <row r="478" ht="12.0" customHeight="1">
      <c r="B478" s="420"/>
      <c r="C478" s="420"/>
    </row>
    <row r="479" ht="12.0" customHeight="1">
      <c r="B479" s="420"/>
      <c r="C479" s="420"/>
    </row>
    <row r="480" ht="12.0" customHeight="1">
      <c r="B480" s="420"/>
      <c r="C480" s="420"/>
    </row>
    <row r="481" ht="12.0" customHeight="1">
      <c r="B481" s="420"/>
      <c r="C481" s="420"/>
    </row>
    <row r="482" ht="12.0" customHeight="1">
      <c r="B482" s="420"/>
      <c r="C482" s="420"/>
    </row>
    <row r="483" ht="12.0" customHeight="1">
      <c r="B483" s="420"/>
      <c r="C483" s="420"/>
    </row>
    <row r="484" ht="12.0" customHeight="1">
      <c r="B484" s="420"/>
      <c r="C484" s="420"/>
    </row>
    <row r="485" ht="12.0" customHeight="1">
      <c r="B485" s="420"/>
      <c r="C485" s="420"/>
    </row>
    <row r="486" ht="12.0" customHeight="1">
      <c r="B486" s="420"/>
      <c r="C486" s="420"/>
    </row>
    <row r="487" ht="12.0" customHeight="1">
      <c r="B487" s="420"/>
      <c r="C487" s="420"/>
    </row>
    <row r="488" ht="12.0" customHeight="1">
      <c r="B488" s="420"/>
      <c r="C488" s="420"/>
    </row>
    <row r="489" ht="12.0" customHeight="1">
      <c r="B489" s="420"/>
      <c r="C489" s="420"/>
    </row>
    <row r="490" ht="12.0" customHeight="1">
      <c r="B490" s="420"/>
      <c r="C490" s="420"/>
    </row>
    <row r="491" ht="12.0" customHeight="1">
      <c r="B491" s="420"/>
      <c r="C491" s="420"/>
    </row>
    <row r="492" ht="12.0" customHeight="1">
      <c r="B492" s="420"/>
      <c r="C492" s="420"/>
    </row>
    <row r="493" ht="12.0" customHeight="1">
      <c r="B493" s="420"/>
      <c r="C493" s="420"/>
    </row>
    <row r="494" ht="12.0" customHeight="1">
      <c r="B494" s="420"/>
      <c r="C494" s="420"/>
    </row>
    <row r="495" ht="12.0" customHeight="1">
      <c r="B495" s="420"/>
      <c r="C495" s="420"/>
    </row>
    <row r="496" ht="12.0" customHeight="1">
      <c r="B496" s="420"/>
      <c r="C496" s="420"/>
    </row>
    <row r="497" ht="12.0" customHeight="1">
      <c r="B497" s="420"/>
      <c r="C497" s="420"/>
    </row>
    <row r="498" ht="12.0" customHeight="1">
      <c r="B498" s="420"/>
      <c r="C498" s="420"/>
    </row>
    <row r="499" ht="12.0" customHeight="1">
      <c r="B499" s="420"/>
      <c r="C499" s="420"/>
    </row>
    <row r="500" ht="12.0" customHeight="1">
      <c r="B500" s="420"/>
      <c r="C500" s="420"/>
    </row>
    <row r="501" ht="12.0" customHeight="1">
      <c r="B501" s="420"/>
      <c r="C501" s="420"/>
    </row>
    <row r="502" ht="12.0" customHeight="1">
      <c r="B502" s="420"/>
      <c r="C502" s="420"/>
    </row>
    <row r="503" ht="12.0" customHeight="1">
      <c r="B503" s="420"/>
      <c r="C503" s="420"/>
    </row>
    <row r="504" ht="12.0" customHeight="1">
      <c r="B504" s="420"/>
      <c r="C504" s="420"/>
    </row>
    <row r="505" ht="12.0" customHeight="1">
      <c r="B505" s="420"/>
      <c r="C505" s="420"/>
    </row>
    <row r="506" ht="12.0" customHeight="1">
      <c r="B506" s="420"/>
      <c r="C506" s="420"/>
    </row>
    <row r="507" ht="12.0" customHeight="1">
      <c r="B507" s="420"/>
      <c r="C507" s="420"/>
    </row>
    <row r="508" ht="12.0" customHeight="1">
      <c r="B508" s="420"/>
      <c r="C508" s="420"/>
    </row>
    <row r="509" ht="12.0" customHeight="1">
      <c r="B509" s="420"/>
      <c r="C509" s="420"/>
    </row>
    <row r="510" ht="12.0" customHeight="1">
      <c r="B510" s="420"/>
      <c r="C510" s="420"/>
    </row>
    <row r="511" ht="12.0" customHeight="1">
      <c r="B511" s="420"/>
      <c r="C511" s="420"/>
    </row>
    <row r="512" ht="12.0" customHeight="1">
      <c r="B512" s="420"/>
      <c r="C512" s="420"/>
    </row>
    <row r="513" ht="12.0" customHeight="1">
      <c r="B513" s="420"/>
      <c r="C513" s="420"/>
    </row>
    <row r="514" ht="12.0" customHeight="1">
      <c r="B514" s="420"/>
      <c r="C514" s="420"/>
    </row>
    <row r="515" ht="12.0" customHeight="1">
      <c r="B515" s="420"/>
      <c r="C515" s="420"/>
    </row>
    <row r="516" ht="12.0" customHeight="1">
      <c r="B516" s="420"/>
      <c r="C516" s="420"/>
    </row>
    <row r="517" ht="12.0" customHeight="1">
      <c r="B517" s="420"/>
      <c r="C517" s="420"/>
    </row>
    <row r="518" ht="12.0" customHeight="1">
      <c r="B518" s="420"/>
      <c r="C518" s="420"/>
    </row>
    <row r="519" ht="12.0" customHeight="1">
      <c r="B519" s="420"/>
      <c r="C519" s="420"/>
    </row>
    <row r="520" ht="12.0" customHeight="1">
      <c r="B520" s="420"/>
      <c r="C520" s="420"/>
    </row>
    <row r="521" ht="12.0" customHeight="1">
      <c r="B521" s="420"/>
      <c r="C521" s="420"/>
    </row>
    <row r="522" ht="12.0" customHeight="1">
      <c r="B522" s="420"/>
      <c r="C522" s="420"/>
    </row>
    <row r="523" ht="12.0" customHeight="1">
      <c r="B523" s="420"/>
      <c r="C523" s="420"/>
    </row>
    <row r="524" ht="12.0" customHeight="1">
      <c r="B524" s="420"/>
      <c r="C524" s="420"/>
    </row>
    <row r="525" ht="12.0" customHeight="1">
      <c r="B525" s="420"/>
      <c r="C525" s="420"/>
    </row>
    <row r="526" ht="12.0" customHeight="1">
      <c r="B526" s="420"/>
      <c r="C526" s="420"/>
    </row>
    <row r="527" ht="12.0" customHeight="1">
      <c r="B527" s="420"/>
      <c r="C527" s="420"/>
    </row>
    <row r="528" ht="12.0" customHeight="1">
      <c r="B528" s="420"/>
      <c r="C528" s="420"/>
    </row>
    <row r="529" ht="12.0" customHeight="1">
      <c r="B529" s="420"/>
      <c r="C529" s="420"/>
    </row>
    <row r="530" ht="12.0" customHeight="1">
      <c r="B530" s="420"/>
      <c r="C530" s="420"/>
    </row>
    <row r="531" ht="12.0" customHeight="1">
      <c r="B531" s="420"/>
      <c r="C531" s="420"/>
    </row>
    <row r="532" ht="12.0" customHeight="1">
      <c r="B532" s="420"/>
      <c r="C532" s="420"/>
    </row>
    <row r="533" ht="12.0" customHeight="1">
      <c r="B533" s="420"/>
      <c r="C533" s="420"/>
    </row>
    <row r="534" ht="12.0" customHeight="1">
      <c r="B534" s="420"/>
      <c r="C534" s="420"/>
    </row>
    <row r="535" ht="12.0" customHeight="1">
      <c r="B535" s="420"/>
      <c r="C535" s="420"/>
    </row>
    <row r="536" ht="12.0" customHeight="1">
      <c r="B536" s="420"/>
      <c r="C536" s="420"/>
    </row>
    <row r="537" ht="12.0" customHeight="1">
      <c r="B537" s="420"/>
      <c r="C537" s="420"/>
    </row>
    <row r="538" ht="12.0" customHeight="1">
      <c r="B538" s="420"/>
      <c r="C538" s="420"/>
    </row>
    <row r="539" ht="12.0" customHeight="1">
      <c r="B539" s="420"/>
      <c r="C539" s="420"/>
    </row>
    <row r="540" ht="12.0" customHeight="1">
      <c r="B540" s="420"/>
      <c r="C540" s="420"/>
    </row>
    <row r="541" ht="12.0" customHeight="1">
      <c r="B541" s="420"/>
      <c r="C541" s="420"/>
    </row>
    <row r="542" ht="12.0" customHeight="1">
      <c r="B542" s="420"/>
      <c r="C542" s="420"/>
    </row>
    <row r="543" ht="12.0" customHeight="1">
      <c r="B543" s="420"/>
      <c r="C543" s="420"/>
    </row>
    <row r="544" ht="12.0" customHeight="1">
      <c r="B544" s="420"/>
      <c r="C544" s="420"/>
    </row>
    <row r="545" ht="12.0" customHeight="1">
      <c r="B545" s="420"/>
      <c r="C545" s="420"/>
    </row>
    <row r="546" ht="12.0" customHeight="1">
      <c r="B546" s="420"/>
      <c r="C546" s="420"/>
    </row>
    <row r="547" ht="12.0" customHeight="1">
      <c r="B547" s="420"/>
      <c r="C547" s="420"/>
    </row>
    <row r="548" ht="12.0" customHeight="1">
      <c r="B548" s="420"/>
      <c r="C548" s="420"/>
    </row>
    <row r="549" ht="12.0" customHeight="1">
      <c r="B549" s="420"/>
      <c r="C549" s="420"/>
    </row>
    <row r="550" ht="12.0" customHeight="1">
      <c r="B550" s="420"/>
      <c r="C550" s="420"/>
    </row>
    <row r="551" ht="12.0" customHeight="1">
      <c r="B551" s="420"/>
      <c r="C551" s="420"/>
    </row>
    <row r="552" ht="12.0" customHeight="1">
      <c r="B552" s="420"/>
      <c r="C552" s="420"/>
    </row>
    <row r="553" ht="12.0" customHeight="1">
      <c r="B553" s="420"/>
      <c r="C553" s="420"/>
    </row>
    <row r="554" ht="12.0" customHeight="1">
      <c r="B554" s="420"/>
      <c r="C554" s="420"/>
    </row>
    <row r="555" ht="12.0" customHeight="1">
      <c r="B555" s="420"/>
      <c r="C555" s="420"/>
    </row>
    <row r="556" ht="12.0" customHeight="1">
      <c r="B556" s="420"/>
      <c r="C556" s="420"/>
    </row>
    <row r="557" ht="12.0" customHeight="1">
      <c r="B557" s="420"/>
      <c r="C557" s="420"/>
    </row>
    <row r="558" ht="12.0" customHeight="1">
      <c r="B558" s="420"/>
      <c r="C558" s="420"/>
    </row>
    <row r="559" ht="12.0" customHeight="1">
      <c r="B559" s="420"/>
      <c r="C559" s="420"/>
    </row>
    <row r="560" ht="12.0" customHeight="1">
      <c r="B560" s="420"/>
      <c r="C560" s="420"/>
    </row>
    <row r="561" ht="12.0" customHeight="1">
      <c r="B561" s="420"/>
      <c r="C561" s="420"/>
    </row>
    <row r="562" ht="12.0" customHeight="1">
      <c r="B562" s="420"/>
      <c r="C562" s="420"/>
    </row>
    <row r="563" ht="12.0" customHeight="1">
      <c r="B563" s="420"/>
      <c r="C563" s="420"/>
    </row>
    <row r="564" ht="12.0" customHeight="1">
      <c r="B564" s="420"/>
      <c r="C564" s="420"/>
    </row>
    <row r="565" ht="12.0" customHeight="1">
      <c r="B565" s="420"/>
      <c r="C565" s="420"/>
    </row>
    <row r="566" ht="12.0" customHeight="1">
      <c r="B566" s="420"/>
      <c r="C566" s="420"/>
    </row>
    <row r="567" ht="12.0" customHeight="1">
      <c r="B567" s="420"/>
      <c r="C567" s="420"/>
    </row>
    <row r="568" ht="12.0" customHeight="1">
      <c r="B568" s="420"/>
      <c r="C568" s="420"/>
    </row>
    <row r="569" ht="12.0" customHeight="1">
      <c r="B569" s="420"/>
      <c r="C569" s="420"/>
    </row>
    <row r="570" ht="12.0" customHeight="1">
      <c r="B570" s="420"/>
      <c r="C570" s="420"/>
    </row>
    <row r="571" ht="12.0" customHeight="1">
      <c r="B571" s="420"/>
      <c r="C571" s="420"/>
    </row>
    <row r="572" ht="12.0" customHeight="1">
      <c r="B572" s="420"/>
      <c r="C572" s="420"/>
    </row>
    <row r="573" ht="12.0" customHeight="1">
      <c r="B573" s="420"/>
      <c r="C573" s="420"/>
    </row>
    <row r="574" ht="12.0" customHeight="1">
      <c r="B574" s="420"/>
      <c r="C574" s="420"/>
    </row>
    <row r="575" ht="12.0" customHeight="1">
      <c r="B575" s="420"/>
      <c r="C575" s="420"/>
    </row>
    <row r="576" ht="12.0" customHeight="1">
      <c r="B576" s="420"/>
      <c r="C576" s="420"/>
    </row>
    <row r="577" ht="12.0" customHeight="1">
      <c r="B577" s="420"/>
      <c r="C577" s="420"/>
    </row>
    <row r="578" ht="12.0" customHeight="1">
      <c r="B578" s="420"/>
      <c r="C578" s="420"/>
    </row>
    <row r="579" ht="12.0" customHeight="1">
      <c r="B579" s="420"/>
      <c r="C579" s="420"/>
    </row>
    <row r="580" ht="12.0" customHeight="1">
      <c r="B580" s="420"/>
      <c r="C580" s="420"/>
    </row>
    <row r="581" ht="12.0" customHeight="1">
      <c r="B581" s="420"/>
      <c r="C581" s="420"/>
    </row>
    <row r="582" ht="12.0" customHeight="1">
      <c r="B582" s="420"/>
      <c r="C582" s="420"/>
    </row>
    <row r="583" ht="12.0" customHeight="1">
      <c r="B583" s="420"/>
      <c r="C583" s="420"/>
    </row>
    <row r="584" ht="12.0" customHeight="1">
      <c r="B584" s="420"/>
      <c r="C584" s="420"/>
    </row>
    <row r="585" ht="12.0" customHeight="1">
      <c r="B585" s="420"/>
      <c r="C585" s="420"/>
    </row>
    <row r="586" ht="12.0" customHeight="1">
      <c r="B586" s="420"/>
      <c r="C586" s="420"/>
    </row>
    <row r="587" ht="12.0" customHeight="1">
      <c r="B587" s="420"/>
      <c r="C587" s="420"/>
    </row>
    <row r="588" ht="12.0" customHeight="1">
      <c r="B588" s="420"/>
      <c r="C588" s="420"/>
    </row>
    <row r="589" ht="12.0" customHeight="1">
      <c r="B589" s="420"/>
      <c r="C589" s="420"/>
    </row>
    <row r="590" ht="12.0" customHeight="1">
      <c r="B590" s="420"/>
      <c r="C590" s="420"/>
    </row>
    <row r="591" ht="12.0" customHeight="1">
      <c r="B591" s="420"/>
      <c r="C591" s="420"/>
    </row>
    <row r="592" ht="12.0" customHeight="1">
      <c r="B592" s="420"/>
      <c r="C592" s="420"/>
    </row>
    <row r="593" ht="12.0" customHeight="1">
      <c r="B593" s="420"/>
      <c r="C593" s="420"/>
    </row>
    <row r="594" ht="12.0" customHeight="1">
      <c r="B594" s="420"/>
      <c r="C594" s="420"/>
    </row>
    <row r="595" ht="12.0" customHeight="1">
      <c r="B595" s="420"/>
      <c r="C595" s="420"/>
    </row>
    <row r="596" ht="12.0" customHeight="1">
      <c r="B596" s="420"/>
      <c r="C596" s="420"/>
    </row>
    <row r="597" ht="12.0" customHeight="1">
      <c r="B597" s="420"/>
      <c r="C597" s="420"/>
    </row>
    <row r="598" ht="12.0" customHeight="1">
      <c r="B598" s="420"/>
      <c r="C598" s="420"/>
    </row>
    <row r="599" ht="12.0" customHeight="1">
      <c r="B599" s="420"/>
      <c r="C599" s="420"/>
    </row>
    <row r="600" ht="12.0" customHeight="1">
      <c r="B600" s="420"/>
      <c r="C600" s="420"/>
    </row>
    <row r="601" ht="12.0" customHeight="1">
      <c r="B601" s="420"/>
      <c r="C601" s="420"/>
    </row>
    <row r="602" ht="12.0" customHeight="1">
      <c r="B602" s="420"/>
      <c r="C602" s="420"/>
    </row>
    <row r="603" ht="12.0" customHeight="1">
      <c r="B603" s="420"/>
      <c r="C603" s="420"/>
    </row>
    <row r="604" ht="12.0" customHeight="1">
      <c r="B604" s="420"/>
      <c r="C604" s="420"/>
    </row>
    <row r="605" ht="12.0" customHeight="1">
      <c r="B605" s="420"/>
      <c r="C605" s="420"/>
    </row>
    <row r="606" ht="12.0" customHeight="1">
      <c r="B606" s="420"/>
      <c r="C606" s="420"/>
    </row>
    <row r="607" ht="12.0" customHeight="1">
      <c r="B607" s="420"/>
      <c r="C607" s="420"/>
    </row>
    <row r="608" ht="12.0" customHeight="1">
      <c r="B608" s="420"/>
      <c r="C608" s="420"/>
    </row>
    <row r="609" ht="12.0" customHeight="1">
      <c r="B609" s="420"/>
      <c r="C609" s="420"/>
    </row>
    <row r="610" ht="12.0" customHeight="1">
      <c r="B610" s="420"/>
      <c r="C610" s="420"/>
    </row>
    <row r="611" ht="12.0" customHeight="1">
      <c r="B611" s="420"/>
      <c r="C611" s="420"/>
    </row>
    <row r="612" ht="12.0" customHeight="1">
      <c r="B612" s="420"/>
      <c r="C612" s="420"/>
    </row>
    <row r="613" ht="12.0" customHeight="1">
      <c r="B613" s="420"/>
      <c r="C613" s="420"/>
    </row>
    <row r="614" ht="12.0" customHeight="1">
      <c r="B614" s="420"/>
      <c r="C614" s="420"/>
    </row>
    <row r="615" ht="12.0" customHeight="1">
      <c r="B615" s="420"/>
      <c r="C615" s="420"/>
    </row>
    <row r="616" ht="12.0" customHeight="1">
      <c r="B616" s="420"/>
      <c r="C616" s="420"/>
    </row>
    <row r="617" ht="12.0" customHeight="1">
      <c r="B617" s="420"/>
      <c r="C617" s="420"/>
    </row>
    <row r="618" ht="12.0" customHeight="1">
      <c r="B618" s="420"/>
      <c r="C618" s="420"/>
    </row>
    <row r="619" ht="12.0" customHeight="1">
      <c r="B619" s="420"/>
      <c r="C619" s="420"/>
    </row>
    <row r="620" ht="12.0" customHeight="1">
      <c r="B620" s="420"/>
      <c r="C620" s="420"/>
    </row>
    <row r="621" ht="12.0" customHeight="1">
      <c r="B621" s="420"/>
      <c r="C621" s="420"/>
    </row>
    <row r="622" ht="12.0" customHeight="1">
      <c r="B622" s="420"/>
      <c r="C622" s="420"/>
    </row>
    <row r="623" ht="12.0" customHeight="1">
      <c r="B623" s="420"/>
      <c r="C623" s="420"/>
    </row>
    <row r="624" ht="12.0" customHeight="1">
      <c r="B624" s="420"/>
      <c r="C624" s="420"/>
    </row>
    <row r="625" ht="12.0" customHeight="1">
      <c r="B625" s="420"/>
      <c r="C625" s="420"/>
    </row>
    <row r="626" ht="12.0" customHeight="1">
      <c r="B626" s="420"/>
      <c r="C626" s="420"/>
    </row>
    <row r="627" ht="12.0" customHeight="1">
      <c r="B627" s="420"/>
      <c r="C627" s="420"/>
    </row>
    <row r="628" ht="12.0" customHeight="1">
      <c r="B628" s="420"/>
      <c r="C628" s="420"/>
    </row>
    <row r="629" ht="12.0" customHeight="1">
      <c r="B629" s="420"/>
      <c r="C629" s="420"/>
    </row>
    <row r="630" ht="12.0" customHeight="1">
      <c r="B630" s="420"/>
      <c r="C630" s="420"/>
    </row>
    <row r="631" ht="12.0" customHeight="1">
      <c r="B631" s="420"/>
      <c r="C631" s="420"/>
    </row>
    <row r="632" ht="12.0" customHeight="1">
      <c r="B632" s="420"/>
      <c r="C632" s="420"/>
    </row>
    <row r="633" ht="12.0" customHeight="1">
      <c r="B633" s="420"/>
      <c r="C633" s="420"/>
    </row>
    <row r="634" ht="12.0" customHeight="1">
      <c r="B634" s="420"/>
      <c r="C634" s="420"/>
    </row>
    <row r="635" ht="12.0" customHeight="1">
      <c r="B635" s="420"/>
      <c r="C635" s="420"/>
    </row>
    <row r="636" ht="12.0" customHeight="1">
      <c r="B636" s="420"/>
      <c r="C636" s="420"/>
    </row>
    <row r="637" ht="12.0" customHeight="1">
      <c r="B637" s="420"/>
      <c r="C637" s="420"/>
    </row>
    <row r="638" ht="12.0" customHeight="1">
      <c r="B638" s="420"/>
      <c r="C638" s="420"/>
    </row>
    <row r="639" ht="12.0" customHeight="1">
      <c r="B639" s="420"/>
      <c r="C639" s="420"/>
    </row>
    <row r="640" ht="12.0" customHeight="1">
      <c r="B640" s="420"/>
      <c r="C640" s="420"/>
    </row>
    <row r="641" ht="12.0" customHeight="1">
      <c r="B641" s="420"/>
      <c r="C641" s="420"/>
    </row>
    <row r="642" ht="12.0" customHeight="1">
      <c r="B642" s="420"/>
      <c r="C642" s="420"/>
    </row>
    <row r="643" ht="12.0" customHeight="1">
      <c r="B643" s="420"/>
      <c r="C643" s="420"/>
    </row>
    <row r="644" ht="12.0" customHeight="1">
      <c r="B644" s="420"/>
      <c r="C644" s="420"/>
    </row>
    <row r="645" ht="12.0" customHeight="1">
      <c r="B645" s="420"/>
      <c r="C645" s="420"/>
    </row>
    <row r="646" ht="12.0" customHeight="1">
      <c r="B646" s="420"/>
      <c r="C646" s="420"/>
    </row>
    <row r="647" ht="12.0" customHeight="1">
      <c r="B647" s="420"/>
      <c r="C647" s="420"/>
    </row>
    <row r="648" ht="12.0" customHeight="1">
      <c r="B648" s="420"/>
      <c r="C648" s="420"/>
    </row>
    <row r="649" ht="12.0" customHeight="1">
      <c r="B649" s="420"/>
      <c r="C649" s="420"/>
    </row>
    <row r="650" ht="12.0" customHeight="1">
      <c r="B650" s="420"/>
      <c r="C650" s="420"/>
    </row>
    <row r="651" ht="12.0" customHeight="1">
      <c r="B651" s="420"/>
      <c r="C651" s="420"/>
    </row>
    <row r="652" ht="12.0" customHeight="1">
      <c r="B652" s="420"/>
      <c r="C652" s="420"/>
    </row>
    <row r="653" ht="12.0" customHeight="1">
      <c r="B653" s="420"/>
      <c r="C653" s="420"/>
    </row>
    <row r="654" ht="12.0" customHeight="1">
      <c r="B654" s="420"/>
      <c r="C654" s="420"/>
    </row>
    <row r="655" ht="12.0" customHeight="1">
      <c r="B655" s="420"/>
      <c r="C655" s="420"/>
    </row>
    <row r="656" ht="12.0" customHeight="1">
      <c r="B656" s="420"/>
      <c r="C656" s="420"/>
    </row>
    <row r="657" ht="12.0" customHeight="1">
      <c r="B657" s="420"/>
      <c r="C657" s="420"/>
    </row>
    <row r="658" ht="12.0" customHeight="1">
      <c r="B658" s="420"/>
      <c r="C658" s="420"/>
    </row>
    <row r="659" ht="12.0" customHeight="1">
      <c r="B659" s="420"/>
      <c r="C659" s="420"/>
    </row>
    <row r="660" ht="12.0" customHeight="1">
      <c r="B660" s="420"/>
      <c r="C660" s="420"/>
    </row>
    <row r="661" ht="12.0" customHeight="1">
      <c r="B661" s="420"/>
      <c r="C661" s="420"/>
    </row>
    <row r="662" ht="12.0" customHeight="1">
      <c r="B662" s="420"/>
      <c r="C662" s="420"/>
    </row>
    <row r="663" ht="12.0" customHeight="1">
      <c r="B663" s="420"/>
      <c r="C663" s="420"/>
    </row>
    <row r="664" ht="12.0" customHeight="1">
      <c r="B664" s="420"/>
      <c r="C664" s="420"/>
    </row>
    <row r="665" ht="12.0" customHeight="1">
      <c r="B665" s="420"/>
      <c r="C665" s="420"/>
    </row>
    <row r="666" ht="12.0" customHeight="1">
      <c r="B666" s="420"/>
      <c r="C666" s="420"/>
    </row>
    <row r="667" ht="12.0" customHeight="1">
      <c r="B667" s="420"/>
      <c r="C667" s="420"/>
    </row>
    <row r="668" ht="12.0" customHeight="1">
      <c r="B668" s="420"/>
      <c r="C668" s="420"/>
    </row>
    <row r="669" ht="12.0" customHeight="1">
      <c r="B669" s="420"/>
      <c r="C669" s="420"/>
    </row>
    <row r="670" ht="12.0" customHeight="1">
      <c r="B670" s="420"/>
      <c r="C670" s="420"/>
    </row>
    <row r="671" ht="12.0" customHeight="1">
      <c r="B671" s="420"/>
      <c r="C671" s="420"/>
    </row>
    <row r="672" ht="12.0" customHeight="1">
      <c r="B672" s="420"/>
      <c r="C672" s="420"/>
    </row>
    <row r="673" ht="12.0" customHeight="1">
      <c r="B673" s="420"/>
      <c r="C673" s="420"/>
    </row>
    <row r="674" ht="12.0" customHeight="1">
      <c r="B674" s="420"/>
      <c r="C674" s="420"/>
    </row>
    <row r="675" ht="12.0" customHeight="1">
      <c r="B675" s="420"/>
      <c r="C675" s="420"/>
    </row>
    <row r="676" ht="12.0" customHeight="1">
      <c r="B676" s="420"/>
      <c r="C676" s="420"/>
    </row>
    <row r="677" ht="12.0" customHeight="1">
      <c r="B677" s="420"/>
      <c r="C677" s="420"/>
    </row>
    <row r="678" ht="12.0" customHeight="1">
      <c r="B678" s="420"/>
      <c r="C678" s="420"/>
    </row>
    <row r="679" ht="12.0" customHeight="1">
      <c r="B679" s="420"/>
      <c r="C679" s="420"/>
    </row>
    <row r="680" ht="12.0" customHeight="1">
      <c r="B680" s="420"/>
      <c r="C680" s="420"/>
    </row>
    <row r="681" ht="12.0" customHeight="1">
      <c r="B681" s="420"/>
      <c r="C681" s="420"/>
    </row>
    <row r="682" ht="12.0" customHeight="1">
      <c r="B682" s="420"/>
      <c r="C682" s="420"/>
    </row>
    <row r="683" ht="12.0" customHeight="1">
      <c r="B683" s="420"/>
      <c r="C683" s="420"/>
    </row>
    <row r="684" ht="12.0" customHeight="1">
      <c r="B684" s="420"/>
      <c r="C684" s="420"/>
    </row>
    <row r="685" ht="12.0" customHeight="1">
      <c r="B685" s="420"/>
      <c r="C685" s="420"/>
    </row>
    <row r="686" ht="12.0" customHeight="1">
      <c r="B686" s="420"/>
      <c r="C686" s="420"/>
    </row>
    <row r="687" ht="12.0" customHeight="1">
      <c r="B687" s="420"/>
      <c r="C687" s="420"/>
    </row>
    <row r="688" ht="12.0" customHeight="1">
      <c r="B688" s="420"/>
      <c r="C688" s="420"/>
    </row>
    <row r="689" ht="12.0" customHeight="1">
      <c r="B689" s="420"/>
      <c r="C689" s="420"/>
    </row>
    <row r="690" ht="12.0" customHeight="1">
      <c r="B690" s="420"/>
      <c r="C690" s="420"/>
    </row>
    <row r="691" ht="12.0" customHeight="1">
      <c r="B691" s="420"/>
      <c r="C691" s="420"/>
    </row>
    <row r="692" ht="12.0" customHeight="1">
      <c r="B692" s="420"/>
      <c r="C692" s="420"/>
    </row>
    <row r="693" ht="12.0" customHeight="1">
      <c r="B693" s="420"/>
      <c r="C693" s="420"/>
    </row>
    <row r="694" ht="12.0" customHeight="1">
      <c r="B694" s="420"/>
      <c r="C694" s="420"/>
    </row>
    <row r="695" ht="12.0" customHeight="1">
      <c r="B695" s="420"/>
      <c r="C695" s="420"/>
    </row>
    <row r="696" ht="12.0" customHeight="1">
      <c r="B696" s="420"/>
      <c r="C696" s="420"/>
    </row>
    <row r="697" ht="12.0" customHeight="1">
      <c r="B697" s="420"/>
      <c r="C697" s="420"/>
    </row>
    <row r="698" ht="12.0" customHeight="1">
      <c r="B698" s="420"/>
      <c r="C698" s="420"/>
    </row>
    <row r="699" ht="12.0" customHeight="1">
      <c r="B699" s="420"/>
      <c r="C699" s="420"/>
    </row>
    <row r="700" ht="12.0" customHeight="1">
      <c r="B700" s="420"/>
      <c r="C700" s="420"/>
    </row>
    <row r="701" ht="12.0" customHeight="1">
      <c r="B701" s="420"/>
      <c r="C701" s="420"/>
    </row>
    <row r="702" ht="12.0" customHeight="1">
      <c r="B702" s="420"/>
      <c r="C702" s="420"/>
    </row>
    <row r="703" ht="12.0" customHeight="1">
      <c r="B703" s="420"/>
      <c r="C703" s="420"/>
    </row>
    <row r="704" ht="12.0" customHeight="1">
      <c r="B704" s="420"/>
      <c r="C704" s="420"/>
    </row>
    <row r="705" ht="12.0" customHeight="1">
      <c r="B705" s="420"/>
      <c r="C705" s="420"/>
    </row>
    <row r="706" ht="12.0" customHeight="1">
      <c r="B706" s="420"/>
      <c r="C706" s="420"/>
    </row>
    <row r="707" ht="12.0" customHeight="1">
      <c r="B707" s="420"/>
      <c r="C707" s="420"/>
    </row>
    <row r="708" ht="12.0" customHeight="1">
      <c r="B708" s="420"/>
      <c r="C708" s="420"/>
    </row>
    <row r="709" ht="12.0" customHeight="1">
      <c r="B709" s="420"/>
      <c r="C709" s="420"/>
    </row>
    <row r="710" ht="12.0" customHeight="1">
      <c r="B710" s="420"/>
      <c r="C710" s="420"/>
    </row>
    <row r="711" ht="12.0" customHeight="1">
      <c r="B711" s="420"/>
      <c r="C711" s="420"/>
    </row>
    <row r="712" ht="12.0" customHeight="1">
      <c r="B712" s="420"/>
      <c r="C712" s="420"/>
    </row>
    <row r="713" ht="12.0" customHeight="1">
      <c r="B713" s="420"/>
      <c r="C713" s="420"/>
    </row>
    <row r="714" ht="12.0" customHeight="1">
      <c r="B714" s="420"/>
      <c r="C714" s="420"/>
    </row>
    <row r="715" ht="12.0" customHeight="1">
      <c r="B715" s="420"/>
      <c r="C715" s="420"/>
    </row>
    <row r="716" ht="12.0" customHeight="1">
      <c r="B716" s="420"/>
      <c r="C716" s="420"/>
    </row>
    <row r="717" ht="12.0" customHeight="1">
      <c r="B717" s="420"/>
      <c r="C717" s="420"/>
    </row>
    <row r="718" ht="12.0" customHeight="1">
      <c r="B718" s="420"/>
      <c r="C718" s="420"/>
    </row>
    <row r="719" ht="12.0" customHeight="1">
      <c r="B719" s="420"/>
      <c r="C719" s="420"/>
    </row>
    <row r="720" ht="12.0" customHeight="1">
      <c r="B720" s="420"/>
      <c r="C720" s="420"/>
    </row>
    <row r="721" ht="12.0" customHeight="1">
      <c r="B721" s="420"/>
      <c r="C721" s="420"/>
    </row>
    <row r="722" ht="12.0" customHeight="1">
      <c r="B722" s="420"/>
      <c r="C722" s="420"/>
    </row>
    <row r="723" ht="12.0" customHeight="1">
      <c r="B723" s="420"/>
      <c r="C723" s="420"/>
    </row>
    <row r="724" ht="12.0" customHeight="1">
      <c r="B724" s="420"/>
      <c r="C724" s="420"/>
    </row>
    <row r="725" ht="12.0" customHeight="1">
      <c r="B725" s="420"/>
      <c r="C725" s="420"/>
    </row>
    <row r="726" ht="12.0" customHeight="1">
      <c r="B726" s="420"/>
      <c r="C726" s="420"/>
    </row>
    <row r="727" ht="12.0" customHeight="1">
      <c r="B727" s="420"/>
      <c r="C727" s="420"/>
    </row>
    <row r="728" ht="12.0" customHeight="1">
      <c r="B728" s="420"/>
      <c r="C728" s="420"/>
    </row>
    <row r="729" ht="12.0" customHeight="1">
      <c r="B729" s="420"/>
      <c r="C729" s="420"/>
    </row>
    <row r="730" ht="12.0" customHeight="1">
      <c r="B730" s="420"/>
      <c r="C730" s="420"/>
    </row>
    <row r="731" ht="12.0" customHeight="1">
      <c r="B731" s="420"/>
      <c r="C731" s="420"/>
    </row>
    <row r="732" ht="12.0" customHeight="1">
      <c r="B732" s="420"/>
      <c r="C732" s="420"/>
    </row>
    <row r="733" ht="12.0" customHeight="1">
      <c r="B733" s="420"/>
      <c r="C733" s="420"/>
    </row>
    <row r="734" ht="12.0" customHeight="1">
      <c r="B734" s="420"/>
      <c r="C734" s="420"/>
    </row>
    <row r="735" ht="12.0" customHeight="1">
      <c r="B735" s="420"/>
      <c r="C735" s="420"/>
    </row>
    <row r="736" ht="12.0" customHeight="1">
      <c r="B736" s="420"/>
      <c r="C736" s="420"/>
    </row>
    <row r="737" ht="12.0" customHeight="1">
      <c r="B737" s="420"/>
      <c r="C737" s="420"/>
    </row>
    <row r="738" ht="12.0" customHeight="1">
      <c r="B738" s="420"/>
      <c r="C738" s="420"/>
    </row>
    <row r="739" ht="12.0" customHeight="1">
      <c r="B739" s="420"/>
      <c r="C739" s="420"/>
    </row>
    <row r="740" ht="12.0" customHeight="1">
      <c r="B740" s="420"/>
      <c r="C740" s="420"/>
    </row>
    <row r="741" ht="12.0" customHeight="1">
      <c r="B741" s="420"/>
      <c r="C741" s="420"/>
    </row>
    <row r="742" ht="12.0" customHeight="1">
      <c r="B742" s="420"/>
      <c r="C742" s="420"/>
    </row>
    <row r="743" ht="12.0" customHeight="1">
      <c r="B743" s="420"/>
      <c r="C743" s="420"/>
    </row>
    <row r="744" ht="12.0" customHeight="1">
      <c r="B744" s="420"/>
      <c r="C744" s="420"/>
    </row>
    <row r="745" ht="12.0" customHeight="1">
      <c r="B745" s="420"/>
      <c r="C745" s="420"/>
    </row>
    <row r="746" ht="12.0" customHeight="1">
      <c r="B746" s="420"/>
      <c r="C746" s="420"/>
    </row>
    <row r="747" ht="12.0" customHeight="1">
      <c r="B747" s="420"/>
      <c r="C747" s="420"/>
    </row>
    <row r="748" ht="12.0" customHeight="1">
      <c r="B748" s="420"/>
      <c r="C748" s="420"/>
    </row>
    <row r="749" ht="12.0" customHeight="1">
      <c r="B749" s="420"/>
      <c r="C749" s="420"/>
    </row>
    <row r="750" ht="12.0" customHeight="1">
      <c r="B750" s="420"/>
      <c r="C750" s="420"/>
    </row>
    <row r="751" ht="12.0" customHeight="1">
      <c r="B751" s="420"/>
      <c r="C751" s="420"/>
    </row>
    <row r="752" ht="12.0" customHeight="1">
      <c r="B752" s="420"/>
      <c r="C752" s="420"/>
    </row>
    <row r="753" ht="12.0" customHeight="1">
      <c r="B753" s="420"/>
      <c r="C753" s="420"/>
    </row>
    <row r="754" ht="12.0" customHeight="1">
      <c r="B754" s="420"/>
      <c r="C754" s="420"/>
    </row>
    <row r="755" ht="12.0" customHeight="1">
      <c r="B755" s="420"/>
      <c r="C755" s="420"/>
    </row>
    <row r="756" ht="12.0" customHeight="1">
      <c r="B756" s="420"/>
      <c r="C756" s="420"/>
    </row>
    <row r="757" ht="12.0" customHeight="1">
      <c r="B757" s="420"/>
      <c r="C757" s="420"/>
    </row>
    <row r="758" ht="12.0" customHeight="1">
      <c r="B758" s="420"/>
      <c r="C758" s="420"/>
    </row>
    <row r="759" ht="12.0" customHeight="1">
      <c r="B759" s="420"/>
      <c r="C759" s="420"/>
    </row>
    <row r="760" ht="12.0" customHeight="1">
      <c r="B760" s="420"/>
      <c r="C760" s="420"/>
    </row>
    <row r="761" ht="12.0" customHeight="1">
      <c r="B761" s="420"/>
      <c r="C761" s="420"/>
    </row>
    <row r="762" ht="12.0" customHeight="1">
      <c r="B762" s="420"/>
      <c r="C762" s="420"/>
    </row>
    <row r="763" ht="12.0" customHeight="1">
      <c r="B763" s="420"/>
      <c r="C763" s="420"/>
    </row>
    <row r="764" ht="12.0" customHeight="1">
      <c r="B764" s="420"/>
      <c r="C764" s="420"/>
    </row>
    <row r="765" ht="12.0" customHeight="1">
      <c r="B765" s="420"/>
      <c r="C765" s="420"/>
    </row>
    <row r="766" ht="12.0" customHeight="1">
      <c r="B766" s="420"/>
      <c r="C766" s="420"/>
    </row>
    <row r="767" ht="12.0" customHeight="1">
      <c r="B767" s="420"/>
      <c r="C767" s="420"/>
    </row>
    <row r="768" ht="12.0" customHeight="1">
      <c r="B768" s="420"/>
      <c r="C768" s="420"/>
    </row>
    <row r="769" ht="12.0" customHeight="1">
      <c r="B769" s="420"/>
      <c r="C769" s="420"/>
    </row>
    <row r="770" ht="12.0" customHeight="1">
      <c r="B770" s="420"/>
      <c r="C770" s="420"/>
    </row>
    <row r="771" ht="12.0" customHeight="1">
      <c r="B771" s="420"/>
      <c r="C771" s="420"/>
    </row>
    <row r="772" ht="12.0" customHeight="1">
      <c r="B772" s="420"/>
      <c r="C772" s="420"/>
    </row>
    <row r="773" ht="12.0" customHeight="1">
      <c r="B773" s="420"/>
      <c r="C773" s="420"/>
    </row>
    <row r="774" ht="12.0" customHeight="1">
      <c r="B774" s="420"/>
      <c r="C774" s="420"/>
    </row>
    <row r="775" ht="12.0" customHeight="1">
      <c r="B775" s="420"/>
      <c r="C775" s="420"/>
    </row>
    <row r="776" ht="12.0" customHeight="1">
      <c r="B776" s="420"/>
      <c r="C776" s="420"/>
    </row>
    <row r="777" ht="12.0" customHeight="1">
      <c r="B777" s="420"/>
      <c r="C777" s="420"/>
    </row>
    <row r="778" ht="12.0" customHeight="1">
      <c r="B778" s="420"/>
      <c r="C778" s="420"/>
    </row>
    <row r="779" ht="12.0" customHeight="1">
      <c r="B779" s="420"/>
      <c r="C779" s="420"/>
    </row>
    <row r="780" ht="12.0" customHeight="1">
      <c r="B780" s="420"/>
      <c r="C780" s="420"/>
    </row>
    <row r="781" ht="12.0" customHeight="1">
      <c r="B781" s="420"/>
      <c r="C781" s="420"/>
    </row>
    <row r="782" ht="12.0" customHeight="1">
      <c r="B782" s="420"/>
      <c r="C782" s="420"/>
    </row>
    <row r="783" ht="12.0" customHeight="1">
      <c r="B783" s="420"/>
      <c r="C783" s="420"/>
    </row>
    <row r="784" ht="12.0" customHeight="1">
      <c r="B784" s="420"/>
      <c r="C784" s="420"/>
    </row>
    <row r="785" ht="12.0" customHeight="1">
      <c r="B785" s="420"/>
      <c r="C785" s="420"/>
    </row>
    <row r="786" ht="12.0" customHeight="1">
      <c r="B786" s="420"/>
      <c r="C786" s="420"/>
    </row>
    <row r="787" ht="12.0" customHeight="1">
      <c r="B787" s="420"/>
      <c r="C787" s="420"/>
    </row>
    <row r="788" ht="12.0" customHeight="1">
      <c r="B788" s="420"/>
      <c r="C788" s="420"/>
    </row>
    <row r="789" ht="12.0" customHeight="1">
      <c r="B789" s="420"/>
      <c r="C789" s="420"/>
    </row>
    <row r="790" ht="12.0" customHeight="1">
      <c r="B790" s="420"/>
      <c r="C790" s="420"/>
    </row>
    <row r="791" ht="12.0" customHeight="1">
      <c r="B791" s="420"/>
      <c r="C791" s="420"/>
    </row>
    <row r="792" ht="12.0" customHeight="1">
      <c r="B792" s="420"/>
      <c r="C792" s="420"/>
    </row>
    <row r="793" ht="12.0" customHeight="1">
      <c r="B793" s="420"/>
      <c r="C793" s="420"/>
    </row>
    <row r="794" ht="12.0" customHeight="1">
      <c r="B794" s="420"/>
      <c r="C794" s="420"/>
    </row>
    <row r="795" ht="12.0" customHeight="1">
      <c r="B795" s="420"/>
      <c r="C795" s="420"/>
    </row>
    <row r="796" ht="12.0" customHeight="1">
      <c r="B796" s="420"/>
      <c r="C796" s="420"/>
    </row>
    <row r="797" ht="12.0" customHeight="1">
      <c r="B797" s="420"/>
      <c r="C797" s="420"/>
    </row>
    <row r="798" ht="12.0" customHeight="1">
      <c r="B798" s="420"/>
      <c r="C798" s="420"/>
    </row>
    <row r="799" ht="12.0" customHeight="1">
      <c r="B799" s="420"/>
      <c r="C799" s="420"/>
    </row>
    <row r="800" ht="12.0" customHeight="1">
      <c r="B800" s="420"/>
      <c r="C800" s="420"/>
    </row>
    <row r="801" ht="12.0" customHeight="1">
      <c r="B801" s="420"/>
      <c r="C801" s="420"/>
    </row>
    <row r="802" ht="12.0" customHeight="1">
      <c r="B802" s="420"/>
      <c r="C802" s="420"/>
    </row>
    <row r="803" ht="12.0" customHeight="1">
      <c r="B803" s="420"/>
      <c r="C803" s="420"/>
    </row>
    <row r="804" ht="12.0" customHeight="1">
      <c r="B804" s="420"/>
      <c r="C804" s="420"/>
    </row>
    <row r="805" ht="12.0" customHeight="1">
      <c r="B805" s="420"/>
      <c r="C805" s="420"/>
    </row>
    <row r="806" ht="12.0" customHeight="1">
      <c r="B806" s="420"/>
      <c r="C806" s="420"/>
    </row>
    <row r="807" ht="12.0" customHeight="1">
      <c r="B807" s="420"/>
      <c r="C807" s="420"/>
    </row>
    <row r="808" ht="12.0" customHeight="1">
      <c r="B808" s="420"/>
      <c r="C808" s="420"/>
    </row>
    <row r="809" ht="12.0" customHeight="1">
      <c r="B809" s="420"/>
      <c r="C809" s="420"/>
    </row>
    <row r="810" ht="12.0" customHeight="1">
      <c r="B810" s="420"/>
      <c r="C810" s="420"/>
    </row>
    <row r="811" ht="12.0" customHeight="1">
      <c r="B811" s="420"/>
      <c r="C811" s="420"/>
    </row>
    <row r="812" ht="12.0" customHeight="1">
      <c r="B812" s="420"/>
      <c r="C812" s="420"/>
    </row>
    <row r="813" ht="12.0" customHeight="1">
      <c r="B813" s="420"/>
      <c r="C813" s="420"/>
    </row>
    <row r="814" ht="12.0" customHeight="1">
      <c r="B814" s="420"/>
      <c r="C814" s="420"/>
    </row>
    <row r="815" ht="12.0" customHeight="1">
      <c r="B815" s="420"/>
      <c r="C815" s="420"/>
    </row>
    <row r="816" ht="12.0" customHeight="1">
      <c r="B816" s="420"/>
      <c r="C816" s="420"/>
    </row>
    <row r="817" ht="12.0" customHeight="1">
      <c r="B817" s="420"/>
      <c r="C817" s="420"/>
    </row>
    <row r="818" ht="12.0" customHeight="1">
      <c r="B818" s="420"/>
      <c r="C818" s="420"/>
    </row>
    <row r="819" ht="12.0" customHeight="1">
      <c r="B819" s="420"/>
      <c r="C819" s="420"/>
    </row>
    <row r="820" ht="12.0" customHeight="1">
      <c r="B820" s="420"/>
      <c r="C820" s="420"/>
    </row>
    <row r="821" ht="12.0" customHeight="1">
      <c r="B821" s="420"/>
      <c r="C821" s="420"/>
    </row>
    <row r="822" ht="12.0" customHeight="1">
      <c r="B822" s="420"/>
      <c r="C822" s="420"/>
    </row>
    <row r="823" ht="12.0" customHeight="1">
      <c r="B823" s="420"/>
      <c r="C823" s="420"/>
    </row>
    <row r="824" ht="12.0" customHeight="1">
      <c r="B824" s="420"/>
      <c r="C824" s="420"/>
    </row>
    <row r="825" ht="12.0" customHeight="1">
      <c r="B825" s="420"/>
      <c r="C825" s="420"/>
    </row>
    <row r="826" ht="12.0" customHeight="1">
      <c r="B826" s="420"/>
      <c r="C826" s="420"/>
    </row>
    <row r="827" ht="12.0" customHeight="1">
      <c r="B827" s="420"/>
      <c r="C827" s="420"/>
    </row>
    <row r="828" ht="12.0" customHeight="1">
      <c r="B828" s="420"/>
      <c r="C828" s="420"/>
    </row>
    <row r="829" ht="12.0" customHeight="1">
      <c r="B829" s="420"/>
      <c r="C829" s="420"/>
    </row>
    <row r="830" ht="12.0" customHeight="1">
      <c r="B830" s="420"/>
      <c r="C830" s="420"/>
    </row>
    <row r="831" ht="12.0" customHeight="1">
      <c r="B831" s="420"/>
      <c r="C831" s="420"/>
    </row>
    <row r="832" ht="12.0" customHeight="1">
      <c r="B832" s="420"/>
      <c r="C832" s="420"/>
    </row>
    <row r="833" ht="12.0" customHeight="1">
      <c r="B833" s="420"/>
      <c r="C833" s="420"/>
    </row>
    <row r="834" ht="12.0" customHeight="1">
      <c r="B834" s="420"/>
      <c r="C834" s="420"/>
    </row>
    <row r="835" ht="12.0" customHeight="1">
      <c r="B835" s="420"/>
      <c r="C835" s="420"/>
    </row>
    <row r="836" ht="12.0" customHeight="1">
      <c r="B836" s="420"/>
      <c r="C836" s="420"/>
    </row>
    <row r="837" ht="12.0" customHeight="1">
      <c r="B837" s="420"/>
      <c r="C837" s="420"/>
    </row>
    <row r="838" ht="12.0" customHeight="1">
      <c r="B838" s="420"/>
      <c r="C838" s="420"/>
    </row>
    <row r="839" ht="12.0" customHeight="1">
      <c r="B839" s="420"/>
      <c r="C839" s="420"/>
    </row>
    <row r="840" ht="12.0" customHeight="1">
      <c r="B840" s="420"/>
      <c r="C840" s="420"/>
    </row>
    <row r="841" ht="12.0" customHeight="1">
      <c r="B841" s="420"/>
      <c r="C841" s="420"/>
    </row>
    <row r="842" ht="12.0" customHeight="1">
      <c r="B842" s="420"/>
      <c r="C842" s="420"/>
    </row>
    <row r="843" ht="12.0" customHeight="1">
      <c r="B843" s="420"/>
      <c r="C843" s="420"/>
    </row>
    <row r="844" ht="12.0" customHeight="1">
      <c r="B844" s="420"/>
      <c r="C844" s="420"/>
    </row>
    <row r="845" ht="12.0" customHeight="1">
      <c r="B845" s="420"/>
      <c r="C845" s="420"/>
    </row>
    <row r="846" ht="12.0" customHeight="1">
      <c r="B846" s="420"/>
      <c r="C846" s="420"/>
    </row>
    <row r="847" ht="12.0" customHeight="1">
      <c r="B847" s="420"/>
      <c r="C847" s="420"/>
    </row>
    <row r="848" ht="12.0" customHeight="1">
      <c r="B848" s="420"/>
      <c r="C848" s="420"/>
    </row>
    <row r="849" ht="12.0" customHeight="1">
      <c r="B849" s="420"/>
      <c r="C849" s="420"/>
    </row>
    <row r="850" ht="12.0" customHeight="1">
      <c r="B850" s="420"/>
      <c r="C850" s="420"/>
    </row>
    <row r="851" ht="12.0" customHeight="1">
      <c r="B851" s="420"/>
      <c r="C851" s="420"/>
    </row>
    <row r="852" ht="12.0" customHeight="1">
      <c r="B852" s="420"/>
      <c r="C852" s="420"/>
    </row>
    <row r="853" ht="12.0" customHeight="1">
      <c r="B853" s="420"/>
      <c r="C853" s="420"/>
    </row>
    <row r="854" ht="12.0" customHeight="1">
      <c r="B854" s="420"/>
      <c r="C854" s="420"/>
    </row>
    <row r="855" ht="12.0" customHeight="1">
      <c r="B855" s="420"/>
      <c r="C855" s="420"/>
    </row>
    <row r="856" ht="12.0" customHeight="1">
      <c r="B856" s="420"/>
      <c r="C856" s="420"/>
    </row>
    <row r="857" ht="12.0" customHeight="1">
      <c r="B857" s="420"/>
      <c r="C857" s="420"/>
    </row>
    <row r="858" ht="12.0" customHeight="1">
      <c r="B858" s="420"/>
      <c r="C858" s="420"/>
    </row>
    <row r="859" ht="12.0" customHeight="1">
      <c r="B859" s="420"/>
      <c r="C859" s="420"/>
    </row>
    <row r="860" ht="12.0" customHeight="1">
      <c r="B860" s="420"/>
      <c r="C860" s="420"/>
    </row>
    <row r="861" ht="12.0" customHeight="1">
      <c r="B861" s="420"/>
      <c r="C861" s="420"/>
    </row>
    <row r="862" ht="12.0" customHeight="1">
      <c r="B862" s="420"/>
      <c r="C862" s="420"/>
    </row>
    <row r="863" ht="12.0" customHeight="1">
      <c r="B863" s="420"/>
      <c r="C863" s="420"/>
    </row>
    <row r="864" ht="12.0" customHeight="1">
      <c r="B864" s="420"/>
      <c r="C864" s="420"/>
    </row>
    <row r="865" ht="12.0" customHeight="1">
      <c r="B865" s="420"/>
      <c r="C865" s="420"/>
    </row>
    <row r="866" ht="12.0" customHeight="1">
      <c r="B866" s="420"/>
      <c r="C866" s="420"/>
    </row>
    <row r="867" ht="12.0" customHeight="1">
      <c r="B867" s="420"/>
      <c r="C867" s="420"/>
    </row>
    <row r="868" ht="12.0" customHeight="1">
      <c r="B868" s="420"/>
      <c r="C868" s="420"/>
    </row>
    <row r="869" ht="12.0" customHeight="1">
      <c r="B869" s="420"/>
      <c r="C869" s="420"/>
    </row>
    <row r="870" ht="12.0" customHeight="1">
      <c r="B870" s="420"/>
      <c r="C870" s="420"/>
    </row>
    <row r="871" ht="12.0" customHeight="1">
      <c r="B871" s="420"/>
      <c r="C871" s="420"/>
    </row>
    <row r="872" ht="12.0" customHeight="1">
      <c r="B872" s="420"/>
      <c r="C872" s="420"/>
    </row>
    <row r="873" ht="12.0" customHeight="1">
      <c r="B873" s="420"/>
      <c r="C873" s="420"/>
    </row>
    <row r="874" ht="12.0" customHeight="1">
      <c r="B874" s="420"/>
      <c r="C874" s="420"/>
    </row>
    <row r="875" ht="12.0" customHeight="1">
      <c r="B875" s="420"/>
      <c r="C875" s="420"/>
    </row>
    <row r="876" ht="12.0" customHeight="1">
      <c r="B876" s="420"/>
      <c r="C876" s="420"/>
    </row>
    <row r="877" ht="12.0" customHeight="1">
      <c r="B877" s="420"/>
      <c r="C877" s="420"/>
    </row>
    <row r="878" ht="12.0" customHeight="1">
      <c r="B878" s="420"/>
      <c r="C878" s="420"/>
    </row>
    <row r="879" ht="12.0" customHeight="1">
      <c r="B879" s="420"/>
      <c r="C879" s="420"/>
    </row>
    <row r="880" ht="12.0" customHeight="1">
      <c r="B880" s="420"/>
      <c r="C880" s="420"/>
    </row>
    <row r="881" ht="12.0" customHeight="1">
      <c r="B881" s="420"/>
      <c r="C881" s="420"/>
    </row>
    <row r="882" ht="12.0" customHeight="1">
      <c r="B882" s="420"/>
      <c r="C882" s="420"/>
    </row>
    <row r="883" ht="12.0" customHeight="1">
      <c r="B883" s="420"/>
      <c r="C883" s="420"/>
    </row>
    <row r="884" ht="12.0" customHeight="1">
      <c r="B884" s="420"/>
      <c r="C884" s="420"/>
    </row>
    <row r="885" ht="12.0" customHeight="1">
      <c r="B885" s="420"/>
      <c r="C885" s="420"/>
    </row>
    <row r="886" ht="12.0" customHeight="1">
      <c r="B886" s="420"/>
      <c r="C886" s="420"/>
    </row>
    <row r="887" ht="12.0" customHeight="1">
      <c r="B887" s="420"/>
      <c r="C887" s="420"/>
    </row>
    <row r="888" ht="12.0" customHeight="1">
      <c r="B888" s="420"/>
      <c r="C888" s="420"/>
    </row>
    <row r="889" ht="12.0" customHeight="1">
      <c r="B889" s="420"/>
      <c r="C889" s="420"/>
    </row>
    <row r="890" ht="12.0" customHeight="1">
      <c r="B890" s="420"/>
      <c r="C890" s="420"/>
    </row>
    <row r="891" ht="12.0" customHeight="1">
      <c r="B891" s="420"/>
      <c r="C891" s="420"/>
    </row>
    <row r="892" ht="12.0" customHeight="1">
      <c r="B892" s="420"/>
      <c r="C892" s="420"/>
    </row>
    <row r="893" ht="12.0" customHeight="1">
      <c r="B893" s="420"/>
      <c r="C893" s="420"/>
    </row>
    <row r="894" ht="12.0" customHeight="1">
      <c r="B894" s="420"/>
      <c r="C894" s="420"/>
    </row>
    <row r="895" ht="12.0" customHeight="1">
      <c r="B895" s="420"/>
      <c r="C895" s="420"/>
    </row>
    <row r="896" ht="12.0" customHeight="1">
      <c r="B896" s="420"/>
      <c r="C896" s="420"/>
    </row>
    <row r="897" ht="12.0" customHeight="1">
      <c r="B897" s="420"/>
      <c r="C897" s="420"/>
    </row>
    <row r="898" ht="12.0" customHeight="1">
      <c r="B898" s="420"/>
      <c r="C898" s="420"/>
    </row>
    <row r="899" ht="12.0" customHeight="1">
      <c r="B899" s="420"/>
      <c r="C899" s="420"/>
    </row>
    <row r="900" ht="12.0" customHeight="1">
      <c r="B900" s="420"/>
      <c r="C900" s="420"/>
    </row>
    <row r="901" ht="12.0" customHeight="1">
      <c r="B901" s="420"/>
      <c r="C901" s="420"/>
    </row>
    <row r="902" ht="12.0" customHeight="1">
      <c r="B902" s="420"/>
      <c r="C902" s="420"/>
    </row>
    <row r="903" ht="12.0" customHeight="1">
      <c r="B903" s="420"/>
      <c r="C903" s="420"/>
    </row>
    <row r="904" ht="12.0" customHeight="1">
      <c r="B904" s="420"/>
      <c r="C904" s="420"/>
    </row>
    <row r="905" ht="12.0" customHeight="1">
      <c r="B905" s="420"/>
      <c r="C905" s="420"/>
    </row>
    <row r="906" ht="12.0" customHeight="1">
      <c r="B906" s="420"/>
      <c r="C906" s="420"/>
    </row>
    <row r="907" ht="12.0" customHeight="1">
      <c r="B907" s="420"/>
      <c r="C907" s="420"/>
    </row>
    <row r="908" ht="12.0" customHeight="1">
      <c r="B908" s="420"/>
      <c r="C908" s="420"/>
    </row>
    <row r="909" ht="12.0" customHeight="1">
      <c r="B909" s="420"/>
      <c r="C909" s="420"/>
    </row>
    <row r="910" ht="12.0" customHeight="1">
      <c r="B910" s="420"/>
      <c r="C910" s="420"/>
    </row>
    <row r="911" ht="12.0" customHeight="1">
      <c r="B911" s="420"/>
      <c r="C911" s="420"/>
    </row>
    <row r="912" ht="12.0" customHeight="1">
      <c r="B912" s="420"/>
      <c r="C912" s="420"/>
    </row>
    <row r="913" ht="12.0" customHeight="1">
      <c r="B913" s="420"/>
      <c r="C913" s="420"/>
    </row>
    <row r="914" ht="12.0" customHeight="1">
      <c r="B914" s="420"/>
      <c r="C914" s="420"/>
    </row>
    <row r="915" ht="12.0" customHeight="1">
      <c r="B915" s="420"/>
      <c r="C915" s="420"/>
    </row>
    <row r="916" ht="12.0" customHeight="1">
      <c r="B916" s="420"/>
      <c r="C916" s="420"/>
    </row>
    <row r="917" ht="12.0" customHeight="1">
      <c r="B917" s="420"/>
      <c r="C917" s="420"/>
    </row>
    <row r="918" ht="12.0" customHeight="1">
      <c r="B918" s="420"/>
      <c r="C918" s="420"/>
    </row>
    <row r="919" ht="12.0" customHeight="1">
      <c r="B919" s="420"/>
      <c r="C919" s="420"/>
    </row>
    <row r="920" ht="12.0" customHeight="1">
      <c r="B920" s="420"/>
      <c r="C920" s="420"/>
    </row>
    <row r="921" ht="12.0" customHeight="1">
      <c r="B921" s="420"/>
      <c r="C921" s="420"/>
    </row>
    <row r="922" ht="12.0" customHeight="1">
      <c r="B922" s="420"/>
      <c r="C922" s="420"/>
    </row>
    <row r="923" ht="12.0" customHeight="1">
      <c r="B923" s="420"/>
      <c r="C923" s="420"/>
    </row>
    <row r="924" ht="12.0" customHeight="1">
      <c r="B924" s="420"/>
      <c r="C924" s="420"/>
    </row>
    <row r="925" ht="12.0" customHeight="1">
      <c r="B925" s="420"/>
      <c r="C925" s="420"/>
    </row>
    <row r="926" ht="12.0" customHeight="1">
      <c r="B926" s="420"/>
      <c r="C926" s="420"/>
    </row>
    <row r="927" ht="12.0" customHeight="1">
      <c r="B927" s="420"/>
      <c r="C927" s="420"/>
    </row>
    <row r="928" ht="12.0" customHeight="1">
      <c r="B928" s="420"/>
      <c r="C928" s="420"/>
    </row>
    <row r="929" ht="12.0" customHeight="1">
      <c r="B929" s="420"/>
      <c r="C929" s="420"/>
    </row>
    <row r="930" ht="12.0" customHeight="1">
      <c r="B930" s="420"/>
      <c r="C930" s="420"/>
    </row>
    <row r="931" ht="12.0" customHeight="1">
      <c r="B931" s="420"/>
      <c r="C931" s="420"/>
    </row>
    <row r="932" ht="12.0" customHeight="1">
      <c r="B932" s="420"/>
      <c r="C932" s="420"/>
    </row>
    <row r="933" ht="12.0" customHeight="1">
      <c r="B933" s="420"/>
      <c r="C933" s="420"/>
    </row>
    <row r="934" ht="12.0" customHeight="1">
      <c r="B934" s="420"/>
      <c r="C934" s="420"/>
    </row>
    <row r="935" ht="12.0" customHeight="1">
      <c r="B935" s="420"/>
      <c r="C935" s="420"/>
    </row>
    <row r="936" ht="12.0" customHeight="1">
      <c r="B936" s="420"/>
      <c r="C936" s="420"/>
    </row>
    <row r="937" ht="12.0" customHeight="1">
      <c r="B937" s="420"/>
      <c r="C937" s="420"/>
    </row>
    <row r="938" ht="12.0" customHeight="1">
      <c r="B938" s="420"/>
      <c r="C938" s="420"/>
    </row>
    <row r="939" ht="12.0" customHeight="1">
      <c r="B939" s="420"/>
      <c r="C939" s="420"/>
    </row>
    <row r="940" ht="12.0" customHeight="1">
      <c r="B940" s="420"/>
      <c r="C940" s="420"/>
    </row>
    <row r="941" ht="12.0" customHeight="1">
      <c r="B941" s="420"/>
      <c r="C941" s="420"/>
    </row>
    <row r="942" ht="12.0" customHeight="1">
      <c r="B942" s="420"/>
      <c r="C942" s="420"/>
    </row>
    <row r="943" ht="12.0" customHeight="1">
      <c r="B943" s="420"/>
      <c r="C943" s="420"/>
    </row>
    <row r="944" ht="12.0" customHeight="1">
      <c r="B944" s="420"/>
      <c r="C944" s="420"/>
    </row>
    <row r="945" ht="12.0" customHeight="1">
      <c r="B945" s="420"/>
      <c r="C945" s="420"/>
    </row>
    <row r="946" ht="12.0" customHeight="1">
      <c r="B946" s="420"/>
      <c r="C946" s="420"/>
    </row>
    <row r="947" ht="12.0" customHeight="1">
      <c r="B947" s="420"/>
      <c r="C947" s="420"/>
    </row>
    <row r="948" ht="12.0" customHeight="1">
      <c r="B948" s="420"/>
      <c r="C948" s="420"/>
    </row>
    <row r="949" ht="12.0" customHeight="1">
      <c r="B949" s="420"/>
      <c r="C949" s="420"/>
    </row>
    <row r="950" ht="12.0" customHeight="1">
      <c r="B950" s="420"/>
      <c r="C950" s="420"/>
    </row>
    <row r="951" ht="12.0" customHeight="1">
      <c r="B951" s="420"/>
      <c r="C951" s="420"/>
    </row>
    <row r="952" ht="12.0" customHeight="1">
      <c r="B952" s="420"/>
      <c r="C952" s="420"/>
    </row>
    <row r="953" ht="12.0" customHeight="1">
      <c r="B953" s="420"/>
      <c r="C953" s="420"/>
    </row>
    <row r="954" ht="12.0" customHeight="1">
      <c r="B954" s="420"/>
      <c r="C954" s="420"/>
    </row>
    <row r="955" ht="12.0" customHeight="1">
      <c r="B955" s="420"/>
      <c r="C955" s="420"/>
    </row>
    <row r="956" ht="12.0" customHeight="1">
      <c r="B956" s="420"/>
      <c r="C956" s="420"/>
    </row>
    <row r="957" ht="12.0" customHeight="1">
      <c r="B957" s="420"/>
      <c r="C957" s="420"/>
    </row>
    <row r="958" ht="12.0" customHeight="1">
      <c r="B958" s="420"/>
      <c r="C958" s="420"/>
    </row>
    <row r="959" ht="12.0" customHeight="1">
      <c r="B959" s="420"/>
      <c r="C959" s="420"/>
    </row>
    <row r="960" ht="12.0" customHeight="1">
      <c r="B960" s="420"/>
      <c r="C960" s="420"/>
    </row>
    <row r="961" ht="12.0" customHeight="1">
      <c r="B961" s="420"/>
      <c r="C961" s="420"/>
    </row>
    <row r="962" ht="12.0" customHeight="1">
      <c r="B962" s="420"/>
      <c r="C962" s="420"/>
    </row>
    <row r="963" ht="12.0" customHeight="1">
      <c r="B963" s="420"/>
      <c r="C963" s="420"/>
    </row>
    <row r="964" ht="12.0" customHeight="1">
      <c r="B964" s="420"/>
      <c r="C964" s="420"/>
    </row>
    <row r="965" ht="12.0" customHeight="1">
      <c r="B965" s="420"/>
      <c r="C965" s="420"/>
    </row>
    <row r="966" ht="12.0" customHeight="1">
      <c r="B966" s="420"/>
      <c r="C966" s="420"/>
    </row>
    <row r="967" ht="12.0" customHeight="1">
      <c r="B967" s="420"/>
      <c r="C967" s="420"/>
    </row>
    <row r="968" ht="12.0" customHeight="1">
      <c r="B968" s="420"/>
      <c r="C968" s="420"/>
    </row>
    <row r="969" ht="12.0" customHeight="1">
      <c r="B969" s="420"/>
      <c r="C969" s="420"/>
    </row>
    <row r="970" ht="12.0" customHeight="1">
      <c r="B970" s="420"/>
      <c r="C970" s="420"/>
    </row>
    <row r="971" ht="12.0" customHeight="1">
      <c r="B971" s="420"/>
      <c r="C971" s="420"/>
    </row>
    <row r="972" ht="12.0" customHeight="1">
      <c r="B972" s="420"/>
      <c r="C972" s="420"/>
    </row>
    <row r="973" ht="12.0" customHeight="1">
      <c r="B973" s="420"/>
      <c r="C973" s="420"/>
    </row>
    <row r="974" ht="12.0" customHeight="1">
      <c r="B974" s="420"/>
      <c r="C974" s="420"/>
    </row>
    <row r="975" ht="12.0" customHeight="1">
      <c r="B975" s="420"/>
      <c r="C975" s="420"/>
    </row>
    <row r="976" ht="12.0" customHeight="1">
      <c r="B976" s="420"/>
      <c r="C976" s="420"/>
    </row>
    <row r="977" ht="12.0" customHeight="1">
      <c r="B977" s="420"/>
      <c r="C977" s="420"/>
    </row>
  </sheetData>
  <mergeCells count="3">
    <mergeCell ref="A2:D2"/>
    <mergeCell ref="A18:C18"/>
    <mergeCell ref="A22:H2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2024-09-12T15:38:25Z</dcterms:created>
  <dc:creator>Appenin Cabinets</dc:creator>
</cp:coreProperties>
</file>