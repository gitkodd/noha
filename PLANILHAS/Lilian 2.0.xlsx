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1" sheetId="1" r:id="rId4"/>
    <sheet state="hidden" name="DASH BOARD" sheetId="2" r:id="rId5"/>
  </sheets>
  <definedNames>
    <definedName hidden="1" localSheetId="0" name="_xlnm._FilterDatabase">'BD1'!$B$12:$L$468</definedName>
  </definedNames>
  <calcPr/>
  <extLst>
    <ext uri="GoogleSheetsCustomDataVersion2">
      <go:sheetsCustomData xmlns:go="http://customooxmlschemas.google.com/" r:id="rId6" roundtripDataChecksum="QMbL1qyF2159Ajaa+uBaDKOhlv928Sx3cGWFQku26Iw="/>
    </ext>
  </extLst>
</workbook>
</file>

<file path=xl/sharedStrings.xml><?xml version="1.0" encoding="utf-8"?>
<sst xmlns="http://schemas.openxmlformats.org/spreadsheetml/2006/main" count="2037" uniqueCount="413">
  <si>
    <t>Ambiente</t>
  </si>
  <si>
    <t>Company</t>
  </si>
  <si>
    <t>Product</t>
  </si>
  <si>
    <t>Category</t>
  </si>
  <si>
    <t>LINK</t>
  </si>
  <si>
    <t>Qty</t>
  </si>
  <si>
    <t>Unit Cost Price</t>
  </si>
  <si>
    <t>Price Cost</t>
  </si>
  <si>
    <t>Actual Cost</t>
  </si>
  <si>
    <t>STATUS</t>
  </si>
  <si>
    <t>Comentarios</t>
  </si>
  <si>
    <t>FOYER</t>
  </si>
  <si>
    <t>Amazon</t>
  </si>
  <si>
    <t>Capacho de Porta</t>
  </si>
  <si>
    <t>PRODUTOS</t>
  </si>
  <si>
    <t>Home Goods</t>
  </si>
  <si>
    <t>Deco</t>
  </si>
  <si>
    <t>Elegance - Junior</t>
  </si>
  <si>
    <t xml:space="preserve">Espelho </t>
  </si>
  <si>
    <t>MÃO DE OBRA</t>
  </si>
  <si>
    <t>Publix</t>
  </si>
  <si>
    <t>Filtro Ar</t>
  </si>
  <si>
    <t>CVS</t>
  </si>
  <si>
    <t>Fotos</t>
  </si>
  <si>
    <t>Spot</t>
  </si>
  <si>
    <t>TIME NOHA</t>
  </si>
  <si>
    <t>Instalação Spot até 5 spots</t>
  </si>
  <si>
    <t>FIXOS</t>
  </si>
  <si>
    <t>Appenin</t>
  </si>
  <si>
    <t>Marcenaria</t>
  </si>
  <si>
    <t>PACOTES</t>
  </si>
  <si>
    <t xml:space="preserve">Quadro </t>
  </si>
  <si>
    <t>Instalação Quadros</t>
  </si>
  <si>
    <t>KITCHEN - 25 pessoas</t>
  </si>
  <si>
    <t>Utensilios Set</t>
  </si>
  <si>
    <t>Bandejas de Aluminio Grande Pack 2</t>
  </si>
  <si>
    <t>Meridian</t>
  </si>
  <si>
    <t>Banqueta</t>
  </si>
  <si>
    <t>MÓVEIS</t>
  </si>
  <si>
    <t>COMPRADO</t>
  </si>
  <si>
    <t>PACOTE COMPRADO JUNTO</t>
  </si>
  <si>
    <t xml:space="preserve">Walmart </t>
  </si>
  <si>
    <t>Cafeteira</t>
  </si>
  <si>
    <t>Chaleira</t>
  </si>
  <si>
    <t>Coaster Set Pack 16</t>
  </si>
  <si>
    <t>Colher de Pau</t>
  </si>
  <si>
    <t xml:space="preserve">Pendente </t>
  </si>
  <si>
    <t>Lampada pendente</t>
  </si>
  <si>
    <t>Instalação de pendentes</t>
  </si>
  <si>
    <t>Copo de medida</t>
  </si>
  <si>
    <t>Copos para piscina Pack 16</t>
  </si>
  <si>
    <t xml:space="preserve">Descanso de panela </t>
  </si>
  <si>
    <t>Escorredor de Macarrao</t>
  </si>
  <si>
    <t>Fruteira</t>
  </si>
  <si>
    <t>Jarras para Sucos</t>
  </si>
  <si>
    <t>Jogo americano Pack 12</t>
  </si>
  <si>
    <t>Jogo de Copos Grandes Pack 8</t>
  </si>
  <si>
    <t>Jogo De Facas</t>
  </si>
  <si>
    <t>Costco</t>
  </si>
  <si>
    <t>Jogo de Panelas</t>
  </si>
  <si>
    <t>Jogo de Pratos Pack 4</t>
  </si>
  <si>
    <t>Jogo de talheres Pack 8</t>
  </si>
  <si>
    <t>Walmart</t>
  </si>
  <si>
    <t>Liquidificador</t>
  </si>
  <si>
    <t>Luvas para Forno</t>
  </si>
  <si>
    <t>Napkin 12 unid.</t>
  </si>
  <si>
    <t>Panos de Pratos</t>
  </si>
  <si>
    <t>Porta Bucha</t>
  </si>
  <si>
    <t>Porta guardanapo</t>
  </si>
  <si>
    <t>Porta Sabao</t>
  </si>
  <si>
    <t>Porta Talheres</t>
  </si>
  <si>
    <t>Ring p Napkin 12 unid.</t>
  </si>
  <si>
    <t>Saca Rolhas</t>
  </si>
  <si>
    <t>Saladeira Grande</t>
  </si>
  <si>
    <t>Saleiro e Pimenteiro</t>
  </si>
  <si>
    <t>Suporte papel toalha</t>
  </si>
  <si>
    <t>Tabua de Cortar</t>
  </si>
  <si>
    <t>Taças para Vinho</t>
  </si>
  <si>
    <t>Tostadeira</t>
  </si>
  <si>
    <t>Tuppleware</t>
  </si>
  <si>
    <t>Taça de Champagne</t>
  </si>
  <si>
    <t>Espátula de bolo</t>
  </si>
  <si>
    <t>AirFryer</t>
  </si>
  <si>
    <t>Tampa para Microondas</t>
  </si>
  <si>
    <t>LAUNDRY</t>
  </si>
  <si>
    <t>Aspirador de Pó</t>
  </si>
  <si>
    <t>Desentupidor</t>
  </si>
  <si>
    <t>Ferro de Passar</t>
  </si>
  <si>
    <t>MOP</t>
  </si>
  <si>
    <t>Pá e Escova</t>
  </si>
  <si>
    <t>Tábua de Passar</t>
  </si>
  <si>
    <t xml:space="preserve">Vassoura </t>
  </si>
  <si>
    <t>DINNING ROOM</t>
  </si>
  <si>
    <t>Polyanna</t>
  </si>
  <si>
    <t>Cortina  (Medida*2.3</t>
  </si>
  <si>
    <t>Material Cortineiro Dining</t>
  </si>
  <si>
    <t>CONSTRUÇÃO</t>
  </si>
  <si>
    <t>Mão de obra Cortineiro Dining</t>
  </si>
  <si>
    <t>Pendente Dining</t>
  </si>
  <si>
    <t>Instalação pendente Dining</t>
  </si>
  <si>
    <t>Lampada p Luminaria p Dining</t>
  </si>
  <si>
    <t>Spot para sala de jantar</t>
  </si>
  <si>
    <t>Instalação spot até 5 spots</t>
  </si>
  <si>
    <t>Decoracao mesa jantar</t>
  </si>
  <si>
    <t>Chairs</t>
  </si>
  <si>
    <t>871Black-C</t>
  </si>
  <si>
    <t>VIG</t>
  </si>
  <si>
    <t>Mesa de Jantar</t>
  </si>
  <si>
    <t>Junior Elegance</t>
  </si>
  <si>
    <t>Tampo de Vidro para Mesa Dining</t>
  </si>
  <si>
    <t>126" x 43"</t>
  </si>
  <si>
    <t>Quadro</t>
  </si>
  <si>
    <t>Instalacao de quadro</t>
  </si>
  <si>
    <t>BILLIARD ROOM</t>
  </si>
  <si>
    <t>Pendente Bilhar</t>
  </si>
  <si>
    <t>Banquetas Altas</t>
  </si>
  <si>
    <t>846Black-C</t>
  </si>
  <si>
    <t>Suporte de taco</t>
  </si>
  <si>
    <t>Instalação suporte Taco</t>
  </si>
  <si>
    <t>Mesa de Bilhar</t>
  </si>
  <si>
    <t>LIVING ROOM</t>
  </si>
  <si>
    <t>Bench</t>
  </si>
  <si>
    <t>22002Cream</t>
  </si>
  <si>
    <t xml:space="preserve">Ottoman </t>
  </si>
  <si>
    <t>105Black</t>
  </si>
  <si>
    <t>Coffee Table</t>
  </si>
  <si>
    <t>Cortina (Medida*2.3</t>
  </si>
  <si>
    <t>Mao de obra cortineiro Living</t>
  </si>
  <si>
    <t>Material Cortineiro Living</t>
  </si>
  <si>
    <t>Luminária Living</t>
  </si>
  <si>
    <t>Instalação luminária Cristal Living</t>
  </si>
  <si>
    <t>Lampada p luminaria p Living</t>
  </si>
  <si>
    <t>Decoração Painel Living p/ nicho</t>
  </si>
  <si>
    <t>Livro</t>
  </si>
  <si>
    <t xml:space="preserve">Pack </t>
  </si>
  <si>
    <t>Poltrona</t>
  </si>
  <si>
    <t>693Black-C</t>
  </si>
  <si>
    <t>Puff</t>
  </si>
  <si>
    <t>132Black</t>
  </si>
  <si>
    <t>Coaster</t>
  </si>
  <si>
    <t>Sofa Corner</t>
  </si>
  <si>
    <t>Sofa Ottoman</t>
  </si>
  <si>
    <t>Sofa Armless Chair</t>
  </si>
  <si>
    <t xml:space="preserve">Arvore </t>
  </si>
  <si>
    <t>Home Depot</t>
  </si>
  <si>
    <t>Vaso + terra + pedra</t>
  </si>
  <si>
    <t>Almofadas de Decoração</t>
  </si>
  <si>
    <t>Trendy Rugs</t>
  </si>
  <si>
    <t>Tapete 10x14</t>
  </si>
  <si>
    <t>Neo Plain- Cinza</t>
  </si>
  <si>
    <t>BestBuy</t>
  </si>
  <si>
    <t>TV 85"</t>
  </si>
  <si>
    <t>Wall Mount</t>
  </si>
  <si>
    <t>Instalacao de spot</t>
  </si>
  <si>
    <t>LOFT MICKEY E MINIE</t>
  </si>
  <si>
    <t>Brinquedos</t>
  </si>
  <si>
    <t>Decor</t>
  </si>
  <si>
    <t>Mesas Infantil com Cadeiras</t>
  </si>
  <si>
    <t>Cabana</t>
  </si>
  <si>
    <t>Tapete Cabana</t>
  </si>
  <si>
    <t>Pipoqueira</t>
  </si>
  <si>
    <t>Sacos de pipoca</t>
  </si>
  <si>
    <t xml:space="preserve">Arandela </t>
  </si>
  <si>
    <t>Cordao de luz</t>
  </si>
  <si>
    <t>Disney Store</t>
  </si>
  <si>
    <t>Mickey Medium</t>
  </si>
  <si>
    <t xml:space="preserve">Minie Medium </t>
  </si>
  <si>
    <t>Pateta</t>
  </si>
  <si>
    <t xml:space="preserve">LINK
</t>
  </si>
  <si>
    <t>Pluto</t>
  </si>
  <si>
    <t xml:space="preserve">Donald </t>
  </si>
  <si>
    <t>Margarida</t>
  </si>
  <si>
    <t>Almofada</t>
  </si>
  <si>
    <t>Almofada Pillow Case Lisa  Pack 4</t>
  </si>
  <si>
    <t>Insert Almofada 18x18 Pack 8</t>
  </si>
  <si>
    <t>Wudson - Seven Decor</t>
  </si>
  <si>
    <t xml:space="preserve">Mao de obra + material Loft </t>
  </si>
  <si>
    <t>PACOTES TEMATICOS</t>
  </si>
  <si>
    <t>PACOTE WUDSON - PAGO 50%</t>
  </si>
  <si>
    <t>Sofa Armless</t>
  </si>
  <si>
    <t>Cortina sem BK (Medida*2.3</t>
  </si>
  <si>
    <t>TV 75"</t>
  </si>
  <si>
    <t>LG</t>
  </si>
  <si>
    <t>Frigobar</t>
  </si>
  <si>
    <t>Banquetas</t>
  </si>
  <si>
    <t>976Saddle-C</t>
  </si>
  <si>
    <t xml:space="preserve">Spot </t>
  </si>
  <si>
    <t>B01KZJ8F34</t>
  </si>
  <si>
    <t xml:space="preserve"> Bedroom Master King Cinza</t>
  </si>
  <si>
    <t>Instalacao pendente</t>
  </si>
  <si>
    <t>Luminaria</t>
  </si>
  <si>
    <t>Instalação Luminária</t>
  </si>
  <si>
    <t>Night Stand</t>
  </si>
  <si>
    <t>Dresser</t>
  </si>
  <si>
    <t>498Cream</t>
  </si>
  <si>
    <t>Cabides</t>
  </si>
  <si>
    <t>Cortina  (medida*2.3</t>
  </si>
  <si>
    <t>Mão de obra - Cortineiro</t>
  </si>
  <si>
    <t>Material Cortineiro</t>
  </si>
  <si>
    <t>Espelho 78"X38" dourado</t>
  </si>
  <si>
    <t>Lençol Extra King</t>
  </si>
  <si>
    <t>Quilt King</t>
  </si>
  <si>
    <t>Manta King Cinza</t>
  </si>
  <si>
    <t>Mattress Protector King</t>
  </si>
  <si>
    <t>Vanderlei</t>
  </si>
  <si>
    <t>Mattress King</t>
  </si>
  <si>
    <t>KING</t>
  </si>
  <si>
    <t>Mattress Box King</t>
  </si>
  <si>
    <t>Frame King</t>
  </si>
  <si>
    <t>Sams</t>
  </si>
  <si>
    <t>Pillow King Pack 2</t>
  </si>
  <si>
    <t>TV 55"</t>
  </si>
  <si>
    <t xml:space="preserve">LINK </t>
  </si>
  <si>
    <t>Instalação Wall Mount</t>
  </si>
  <si>
    <t>Wall Paper</t>
  </si>
  <si>
    <t xml:space="preserve">Instalação Wallpaper </t>
  </si>
  <si>
    <t xml:space="preserve"> Bedroom 02 Queen Bege</t>
  </si>
  <si>
    <t>Abajur</t>
  </si>
  <si>
    <t>Lampadas de Abajur</t>
  </si>
  <si>
    <t>Lampada para Luminaria</t>
  </si>
  <si>
    <t>Bed</t>
  </si>
  <si>
    <t>Cortina COM BK (medida*2.3</t>
  </si>
  <si>
    <t>Lençol Extra Queen</t>
  </si>
  <si>
    <t>Quilt Queen</t>
  </si>
  <si>
    <t>Manta Queen Bege</t>
  </si>
  <si>
    <t>Green Rest - Vanderlei</t>
  </si>
  <si>
    <t>Mattress Queen</t>
  </si>
  <si>
    <t>QUEEN</t>
  </si>
  <si>
    <t>Mattress Box Queen</t>
  </si>
  <si>
    <t>Frame Queen</t>
  </si>
  <si>
    <t>Mattress Protector Queen</t>
  </si>
  <si>
    <t>Pillow Standard Pack 2</t>
  </si>
  <si>
    <t>Quadros</t>
  </si>
  <si>
    <t>TV 50"</t>
  </si>
  <si>
    <t>Bedroom 03 Minions Full</t>
  </si>
  <si>
    <t xml:space="preserve">Plush Minions </t>
  </si>
  <si>
    <t>Decor Pillow</t>
  </si>
  <si>
    <t>Bed Full</t>
  </si>
  <si>
    <t>Led Olhos</t>
  </si>
  <si>
    <t xml:space="preserve">Parede escalada </t>
  </si>
  <si>
    <t>Brinquedo corda</t>
  </si>
  <si>
    <t>Bananas</t>
  </si>
  <si>
    <t>Piscina de espuma</t>
  </si>
  <si>
    <t>Luz de emergencia</t>
  </si>
  <si>
    <t>Comforter Full</t>
  </si>
  <si>
    <t>Sheet Set Full</t>
  </si>
  <si>
    <t>Sams Club</t>
  </si>
  <si>
    <t xml:space="preserve">Pillow Standard Pack 2 </t>
  </si>
  <si>
    <t>Cortina COM BK( Medida*2.3</t>
  </si>
  <si>
    <t>Mattress Full</t>
  </si>
  <si>
    <t>Mattress Protector Full</t>
  </si>
  <si>
    <t xml:space="preserve"> Bedroom 04 King Bege</t>
  </si>
  <si>
    <t>FlynnCream-K</t>
  </si>
  <si>
    <t>Manta King Bege</t>
  </si>
  <si>
    <t>Bedroom 05 Rapunzel Full-Twin</t>
  </si>
  <si>
    <t>Rapunzel Doll</t>
  </si>
  <si>
    <t>Espelho</t>
  </si>
  <si>
    <t>Flores</t>
  </si>
  <si>
    <t>Arandela</t>
  </si>
  <si>
    <t>Vela</t>
  </si>
  <si>
    <t>Comforter Twin</t>
  </si>
  <si>
    <t>Insert Decor Pillow</t>
  </si>
  <si>
    <t>Sheet Set  Full</t>
  </si>
  <si>
    <t>Sheet Set Twin</t>
  </si>
  <si>
    <t xml:space="preserve">Cortina Cama </t>
  </si>
  <si>
    <t>Mattress Twin</t>
  </si>
  <si>
    <t>Mattress Protector Twin</t>
  </si>
  <si>
    <t xml:space="preserve"> Bedroom 06 King Bege</t>
  </si>
  <si>
    <t>Bedroom 07 Full Avengers</t>
  </si>
  <si>
    <t>Bed Twin</t>
  </si>
  <si>
    <t>Escudo</t>
  </si>
  <si>
    <t>Comprar na loja</t>
  </si>
  <si>
    <t>Mao</t>
  </si>
  <si>
    <t>Martelo</t>
  </si>
  <si>
    <t>Luminaria Emergencia</t>
  </si>
  <si>
    <t>Botões quadrados</t>
  </si>
  <si>
    <t>Botões redondos</t>
  </si>
  <si>
    <t>China</t>
  </si>
  <si>
    <t>Boneco</t>
  </si>
  <si>
    <t>Arcade</t>
  </si>
  <si>
    <t xml:space="preserve">Best Buy </t>
  </si>
  <si>
    <t>Tela para arcade</t>
  </si>
  <si>
    <t>Samsung 32" Class M4500 Series LED HD Smart Tizen TV (2018) UN32M4500BFXZA - Best Buy</t>
  </si>
  <si>
    <t>Suporte de monitor Arcade</t>
  </si>
  <si>
    <t>Conforter</t>
  </si>
  <si>
    <t>Universal</t>
  </si>
  <si>
    <t>Plushies</t>
  </si>
  <si>
    <t xml:space="preserve"> Bedroom 08 King Cinza</t>
  </si>
  <si>
    <t>Lampadas Abajur</t>
  </si>
  <si>
    <t>Bedroom 09 Harry Potter</t>
  </si>
  <si>
    <t>Vassoura</t>
  </si>
  <si>
    <t xml:space="preserve">Chapéu </t>
  </si>
  <si>
    <t xml:space="preserve">Maquina de fumaça </t>
  </si>
  <si>
    <t xml:space="preserve">Fluido Maquina de fumaça </t>
  </si>
  <si>
    <t xml:space="preserve">Coaster </t>
  </si>
  <si>
    <t xml:space="preserve">Dresser </t>
  </si>
  <si>
    <t xml:space="preserve">Comforter Full </t>
  </si>
  <si>
    <t>Pillow Case red</t>
  </si>
  <si>
    <t>Pillow Case Green</t>
  </si>
  <si>
    <t>Pillow Insert 18x18</t>
  </si>
  <si>
    <t xml:space="preserve">TV 32" </t>
  </si>
  <si>
    <t>Fernando Canario</t>
  </si>
  <si>
    <t>Arte Video</t>
  </si>
  <si>
    <t>BATHROOM SINGLE 2</t>
  </si>
  <si>
    <t>Curtin Bath Rod</t>
  </si>
  <si>
    <t>Curtin Bath Hook</t>
  </si>
  <si>
    <t>Shower Curtin</t>
  </si>
  <si>
    <t>Shower Curtin Linear</t>
  </si>
  <si>
    <t>IKEA</t>
  </si>
  <si>
    <t>Toilet Brush</t>
  </si>
  <si>
    <t>Lixinho</t>
  </si>
  <si>
    <t>Quadros Pack 2</t>
  </si>
  <si>
    <t>Secador de Cabelo</t>
  </si>
  <si>
    <t>Soap Dispenser</t>
  </si>
  <si>
    <t>Tooth Brush Holder</t>
  </si>
  <si>
    <t>Suporte de Toalha</t>
  </si>
  <si>
    <t>Vasinhos Pack 5</t>
  </si>
  <si>
    <t>Tapetes Kit</t>
  </si>
  <si>
    <t>Toalhas Grande - 6pk</t>
  </si>
  <si>
    <t>Toalhas Media - 12pk</t>
  </si>
  <si>
    <t>Toalhas Pequena - 24pk</t>
  </si>
  <si>
    <t>Toalha de Piscina - Individual</t>
  </si>
  <si>
    <t xml:space="preserve">Suporte toalha e papel </t>
  </si>
  <si>
    <t>Instalação suporte de toalha e papel</t>
  </si>
  <si>
    <t>BATHROOM DULPO 4</t>
  </si>
  <si>
    <t>Vasinhos</t>
  </si>
  <si>
    <t>B09B9P9M8L</t>
  </si>
  <si>
    <t>LAVABO</t>
  </si>
  <si>
    <t>Suporte Papell Higienico</t>
  </si>
  <si>
    <t>Decoração</t>
  </si>
  <si>
    <t>Build</t>
  </si>
  <si>
    <t>Móvel da pia</t>
  </si>
  <si>
    <t xml:space="preserve">Pintura </t>
  </si>
  <si>
    <t>Lowes</t>
  </si>
  <si>
    <t>Material Pintura</t>
  </si>
  <si>
    <t>Torneira / Faucet</t>
  </si>
  <si>
    <t>LANAI</t>
  </si>
  <si>
    <t>Almofada espreguicadeira Pillow Cover Pack 2</t>
  </si>
  <si>
    <t>Insert almofada espreguicadeira Pack 4</t>
  </si>
  <si>
    <t>Almofada Sofa Pillow Cover Pack 2</t>
  </si>
  <si>
    <t>Insert Almoafada 18x18 Pack 4</t>
  </si>
  <si>
    <t>Ramon</t>
  </si>
  <si>
    <t>Conjunto Sofá</t>
  </si>
  <si>
    <t>Deco Coffee Table</t>
  </si>
  <si>
    <t>Deco Mesa jantar</t>
  </si>
  <si>
    <t>Wayfair</t>
  </si>
  <si>
    <t xml:space="preserve">Espreguicadeira </t>
  </si>
  <si>
    <t>Whiteline</t>
  </si>
  <si>
    <t xml:space="preserve">Mesa de jantar </t>
  </si>
  <si>
    <t>Parede de Grama</t>
  </si>
  <si>
    <t>Parede de Grama Instalação</t>
  </si>
  <si>
    <t>Refletores 2 Pack</t>
  </si>
  <si>
    <t>Refletores Instalação</t>
  </si>
  <si>
    <t>Ventilador</t>
  </si>
  <si>
    <t>Ventilador Instalação</t>
  </si>
  <si>
    <t>Bóias para piscina</t>
  </si>
  <si>
    <t xml:space="preserve">Elias Summer Kitchen </t>
  </si>
  <si>
    <t>Bancada em marmoraria + frigobar + cuba</t>
  </si>
  <si>
    <t>Banquetas altas</t>
  </si>
  <si>
    <t>Led</t>
  </si>
  <si>
    <t xml:space="preserve">Canaleta de led </t>
  </si>
  <si>
    <t>Instalacao de LED</t>
  </si>
  <si>
    <t xml:space="preserve"> GAME ROOM NINTENDO</t>
  </si>
  <si>
    <t xml:space="preserve">Banqueta Vermelha </t>
  </si>
  <si>
    <t>Arcade Bancada</t>
  </si>
  <si>
    <t>Monitor para arcade</t>
  </si>
  <si>
    <t>Suporte de Monitor Arcade</t>
  </si>
  <si>
    <t>Hockey Table</t>
  </si>
  <si>
    <t>Escorregador</t>
  </si>
  <si>
    <t>Pole</t>
  </si>
  <si>
    <t>Ammazon</t>
  </si>
  <si>
    <t xml:space="preserve">Arandela Castelo </t>
  </si>
  <si>
    <t xml:space="preserve">Throne Kingdom </t>
  </si>
  <si>
    <t>Trono Castelo</t>
  </si>
  <si>
    <t xml:space="preserve">Refletor </t>
  </si>
  <si>
    <t>Video Game - PS5</t>
  </si>
  <si>
    <t xml:space="preserve">TV 50" </t>
  </si>
  <si>
    <t>Controle de Video Game</t>
  </si>
  <si>
    <t xml:space="preserve">Game Chair </t>
  </si>
  <si>
    <t>Universal Store</t>
  </si>
  <si>
    <t>Epoxi</t>
  </si>
  <si>
    <t>HDMI</t>
  </si>
  <si>
    <t>B07FCFJ9NF</t>
  </si>
  <si>
    <t>Diego</t>
  </si>
  <si>
    <t>Ar Condicionado Kit</t>
  </si>
  <si>
    <t>Instalacao de Ar Condicionado</t>
  </si>
  <si>
    <t xml:space="preserve">Mao de Obra Garagem </t>
  </si>
  <si>
    <t xml:space="preserve">Material Game Room Garagem </t>
  </si>
  <si>
    <t>EXTRAS</t>
  </si>
  <si>
    <t>Marcenaria Pack</t>
  </si>
  <si>
    <t>407 Decor</t>
  </si>
  <si>
    <t>PVC</t>
  </si>
  <si>
    <t>Instalacao PVC</t>
  </si>
  <si>
    <t>Material de obra</t>
  </si>
  <si>
    <t>Mão de obra - Touch Up</t>
  </si>
  <si>
    <t>Instalação Cortina</t>
  </si>
  <si>
    <t>Juliana Vila Party</t>
  </si>
  <si>
    <t>Café</t>
  </si>
  <si>
    <t>Mercado</t>
  </si>
  <si>
    <t>Fotografo</t>
  </si>
  <si>
    <t>Foto e Video 9BED</t>
  </si>
  <si>
    <t>Fernanda</t>
  </si>
  <si>
    <t>Limpeza e Inventario 9BED</t>
  </si>
  <si>
    <t>Loha</t>
  </si>
  <si>
    <t xml:space="preserve">Personagem </t>
  </si>
  <si>
    <t>Truck Rental</t>
  </si>
  <si>
    <t xml:space="preserve">Comissao 10% </t>
  </si>
  <si>
    <t>Vivi/Rodrigo</t>
  </si>
  <si>
    <t xml:space="preserve">StyleCraft (quadros) </t>
  </si>
  <si>
    <t xml:space="preserve">Shipping </t>
  </si>
  <si>
    <t>Entrega e montagem</t>
  </si>
  <si>
    <t>Waste</t>
  </si>
  <si>
    <t>Custos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</si>
</sst>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15">
    <font>
      <sz val="11.0"/>
      <color theme="1"/>
      <name val="Aptos Narrow"/>
      <scheme val="minor"/>
    </font>
    <font>
      <sz val="12.0"/>
      <color theme="1"/>
      <name val="Arial"/>
    </font>
    <font>
      <sz val="12.0"/>
      <color rgb="FFFFFFFF"/>
      <name val="Arial"/>
    </font>
    <font>
      <b/>
      <sz val="12.0"/>
      <color theme="1"/>
      <name val="Arial"/>
    </font>
    <font>
      <b/>
      <color rgb="FFFFFFFF"/>
      <name val="Arial"/>
    </font>
    <font>
      <b/>
      <u/>
      <sz val="12.0"/>
      <color rgb="FF0000FF"/>
      <name val="Arial"/>
    </font>
    <font>
      <sz val="11.0"/>
      <color theme="1"/>
      <name val="Aptos Narrow"/>
    </font>
    <font>
      <b/>
      <u/>
      <sz val="12.0"/>
      <color rgb="FF434343"/>
      <name val="Arial"/>
    </font>
    <font>
      <sz val="11.0"/>
      <color theme="1"/>
      <name val="Arial"/>
    </font>
    <font>
      <b/>
      <u/>
      <sz val="12.0"/>
      <color rgb="FF434343"/>
      <name val="Arial"/>
    </font>
    <font>
      <b/>
      <sz val="10.0"/>
      <color rgb="FFFFFFFF"/>
      <name val="Arial"/>
    </font>
    <font>
      <b/>
      <u/>
      <sz val="12.0"/>
      <color rgb="FF434343"/>
      <name val="Arial"/>
    </font>
    <font>
      <b/>
      <u/>
      <sz val="12.0"/>
      <color rgb="FF434343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</fills>
  <borders count="14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70707"/>
      </left>
      <right style="thin">
        <color rgb="FF090909"/>
      </right>
      <top style="thin">
        <color rgb="FF070707"/>
      </top>
      <bottom style="thin">
        <color rgb="FF070707"/>
      </bottom>
    </border>
    <border>
      <left style="thin">
        <color rgb="FF090909"/>
      </left>
      <right style="thin">
        <color rgb="FF090909"/>
      </right>
      <top style="thin">
        <color rgb="FF070707"/>
      </top>
      <bottom style="thin">
        <color rgb="FF070707"/>
      </bottom>
    </border>
    <border>
      <left style="thin">
        <color rgb="FF090909"/>
      </left>
      <right style="thin">
        <color rgb="FF070707"/>
      </right>
      <top style="thin">
        <color rgb="FF070707"/>
      </top>
      <bottom style="thin">
        <color rgb="FF07070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70707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70707"/>
      </right>
      <top style="thin">
        <color rgb="FFF6F8F9"/>
      </top>
      <bottom style="thin">
        <color rgb="FFF6F8F9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70707"/>
      </bottom>
    </border>
    <border>
      <left style="thin">
        <color rgb="FFF6F8F9"/>
      </left>
      <right style="thin">
        <color rgb="FF070707"/>
      </right>
      <top style="thin">
        <color rgb="FFF6F8F9"/>
      </top>
      <bottom style="thin">
        <color rgb="FF070707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ill="1" applyFont="1">
      <alignment horizontal="center" readingOrder="0" shrinkToFit="0" vertical="center" wrapText="0"/>
    </xf>
    <xf borderId="5" fillId="3" fontId="3" numFmtId="0" xfId="0" applyAlignment="1" applyBorder="1" applyFill="1" applyFont="1">
      <alignment horizontal="center" shrinkToFit="0" vertical="center" wrapText="1"/>
    </xf>
    <xf borderId="5" fillId="3" fontId="3" numFmtId="164" xfId="0" applyAlignment="1" applyBorder="1" applyFont="1" applyNumberFormat="1">
      <alignment horizontal="center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shrinkToFit="0" vertical="center" wrapText="1"/>
    </xf>
    <xf borderId="5" fillId="3" fontId="3" numFmtId="164" xfId="0" applyAlignment="1" applyBorder="1" applyFont="1" applyNumberFormat="1">
      <alignment shrinkToFit="0" vertical="center" wrapText="1"/>
    </xf>
    <xf borderId="5" fillId="3" fontId="3" numFmtId="0" xfId="0" applyAlignment="1" applyBorder="1" applyFont="1">
      <alignment readingOrder="0" shrinkToFit="0" vertical="center" wrapText="1"/>
    </xf>
    <xf borderId="5" fillId="3" fontId="6" numFmtId="165" xfId="0" applyAlignment="1" applyBorder="1" applyFont="1" applyNumberFormat="1">
      <alignment shrinkToFit="0" vertical="center" wrapText="0"/>
    </xf>
    <xf borderId="5" fillId="3" fontId="7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shrinkToFit="0" vertical="center" wrapText="1"/>
    </xf>
    <xf borderId="5" fillId="4" fontId="6" numFmtId="0" xfId="0" applyAlignment="1" applyBorder="1" applyFill="1" applyFont="1">
      <alignment horizontal="center" shrinkToFit="0" vertical="center" wrapText="0"/>
    </xf>
    <xf borderId="5" fillId="4" fontId="3" numFmtId="164" xfId="0" applyAlignment="1" applyBorder="1" applyFont="1" applyNumberFormat="1">
      <alignment horizontal="center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ont="1">
      <alignment shrinkToFit="0" vertical="center" wrapText="1"/>
    </xf>
    <xf borderId="5" fillId="4" fontId="3" numFmtId="164" xfId="0" applyAlignment="1" applyBorder="1" applyFont="1" applyNumberFormat="1">
      <alignment shrinkToFit="0" vertical="center" wrapText="1"/>
    </xf>
    <xf borderId="5" fillId="4" fontId="6" numFmtId="164" xfId="0" applyAlignment="1" applyBorder="1" applyFont="1" applyNumberForma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5" fillId="4" fontId="6" numFmtId="165" xfId="0" applyAlignment="1" applyBorder="1" applyFont="1" applyNumberFormat="1">
      <alignment shrinkToFit="0" vertical="center" wrapText="0"/>
    </xf>
    <xf borderId="5" fillId="5" fontId="3" numFmtId="0" xfId="0" applyAlignment="1" applyBorder="1" applyFill="1" applyFont="1">
      <alignment horizontal="center" shrinkToFit="0" vertical="center" wrapText="1"/>
    </xf>
    <xf borderId="5" fillId="5" fontId="3" numFmtId="164" xfId="0" applyAlignment="1" applyBorder="1" applyFont="1" applyNumberFormat="1">
      <alignment horizontal="center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shrinkToFit="0" vertical="center" wrapText="1"/>
    </xf>
    <xf borderId="5" fillId="5" fontId="3" numFmtId="164" xfId="0" applyAlignment="1" applyBorder="1" applyFont="1" applyNumberFormat="1">
      <alignment shrinkToFit="0" vertical="center" wrapText="1"/>
    </xf>
    <xf borderId="5" fillId="5" fontId="3" numFmtId="0" xfId="0" applyAlignment="1" applyBorder="1" applyFont="1">
      <alignment shrinkToFit="0" vertical="center" wrapText="1"/>
    </xf>
    <xf borderId="5" fillId="5" fontId="3" numFmtId="165" xfId="0" applyAlignment="1" applyBorder="1" applyFont="1" applyNumberForma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center" readingOrder="0" shrinkToFit="0" vertical="center" wrapText="0"/>
    </xf>
    <xf borderId="5" fillId="6" fontId="3" numFmtId="0" xfId="0" applyAlignment="1" applyBorder="1" applyFont="1">
      <alignment horizontal="center" shrinkToFit="0" vertical="center" wrapText="1"/>
    </xf>
    <xf borderId="5" fillId="6" fontId="3" numFmtId="164" xfId="0" applyAlignment="1" applyBorder="1" applyFont="1" applyNumberFormat="1">
      <alignment horizontal="center" shrinkToFit="0" vertical="center" wrapText="1"/>
    </xf>
    <xf borderId="5" fillId="6" fontId="3" numFmtId="0" xfId="0" applyAlignment="1" applyBorder="1" applyFont="1">
      <alignment horizontal="center" readingOrder="0" shrinkToFit="0" vertical="center" wrapText="1"/>
    </xf>
    <xf borderId="5" fillId="6" fontId="3" numFmtId="3" xfId="0" applyAlignment="1" applyBorder="1" applyFont="1" applyNumberFormat="1">
      <alignment shrinkToFit="0" vertical="center" wrapText="1"/>
    </xf>
    <xf borderId="5" fillId="6" fontId="3" numFmtId="164" xfId="0" applyAlignment="1" applyBorder="1" applyFont="1" applyNumberFormat="1">
      <alignment shrinkToFit="0" vertical="center" wrapText="1"/>
    </xf>
    <xf borderId="5" fillId="6" fontId="6" numFmtId="164" xfId="0" applyAlignment="1" applyBorder="1" applyFont="1" applyNumberFormat="1">
      <alignment shrinkToFit="0" vertical="center" wrapText="0"/>
    </xf>
    <xf borderId="5" fillId="6" fontId="6" numFmtId="0" xfId="0" applyAlignment="1" applyBorder="1" applyFont="1">
      <alignment shrinkToFit="0" vertical="center" wrapText="0"/>
    </xf>
    <xf borderId="5" fillId="6" fontId="6" numFmtId="165" xfId="0" applyAlignment="1" applyBorder="1" applyFont="1" applyNumberFormat="1">
      <alignment shrinkToFit="0" vertical="center" wrapText="0"/>
    </xf>
    <xf borderId="5" fillId="6" fontId="3" numFmtId="0" xfId="0" applyAlignment="1" applyBorder="1" applyFont="1">
      <alignment shrinkToFit="0" vertical="center" wrapText="1"/>
    </xf>
    <xf borderId="5" fillId="3" fontId="3" numFmtId="164" xfId="0" applyAlignment="1" applyBorder="1" applyFont="1" applyNumberFormat="1">
      <alignment horizontal="center" shrinkToFit="0" vertical="center" wrapText="1"/>
    </xf>
    <xf borderId="5" fillId="3" fontId="3" numFmtId="164" xfId="0" applyAlignment="1" applyBorder="1" applyFont="1" applyNumberFormat="1">
      <alignment shrinkToFit="0" vertical="center" wrapText="1"/>
    </xf>
    <xf borderId="5" fillId="3" fontId="3" numFmtId="165" xfId="0" applyAlignment="1" applyBorder="1" applyFont="1" applyNumberFormat="1">
      <alignment horizontal="center" readingOrder="0" shrinkToFit="0" vertical="center" wrapText="1"/>
    </xf>
    <xf borderId="5" fillId="3" fontId="3" numFmtId="49" xfId="0" applyAlignment="1" applyBorder="1" applyFont="1" applyNumberForma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0"/>
    </xf>
    <xf borderId="5" fillId="3" fontId="9" numFmtId="0" xfId="0" applyAlignment="1" applyBorder="1" applyFont="1">
      <alignment horizontal="center" shrinkToFit="0" vertical="center" wrapText="1"/>
    </xf>
    <xf borderId="5" fillId="3" fontId="3" numFmtId="164" xfId="0" applyAlignment="1" applyBorder="1" applyFont="1" applyNumberFormat="1">
      <alignment readingOrder="0" shrinkToFit="0" vertical="center" wrapText="1"/>
    </xf>
    <xf borderId="5" fillId="3" fontId="8" numFmtId="165" xfId="0" applyAlignment="1" applyBorder="1" applyFont="1" applyNumberFormat="1">
      <alignment readingOrder="0" shrinkToFit="0" vertical="center" wrapText="0"/>
    </xf>
    <xf borderId="5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6" fillId="2" fontId="10" numFmtId="0" xfId="0" applyAlignment="1" applyBorder="1" applyFont="1">
      <alignment horizontal="center" readingOrder="0" shrinkToFit="0" vertical="center" wrapText="0"/>
    </xf>
    <xf borderId="7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readingOrder="0" shrinkToFit="0" vertical="center" wrapText="1"/>
    </xf>
    <xf borderId="7" fillId="3" fontId="11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shrinkToFit="0" vertical="center" wrapText="1"/>
    </xf>
    <xf borderId="7" fillId="3" fontId="3" numFmtId="164" xfId="0" applyAlignment="1" applyBorder="1" applyFont="1" applyNumberFormat="1">
      <alignment shrinkToFit="0" vertical="center" wrapText="1"/>
    </xf>
    <xf borderId="7" fillId="3" fontId="3" numFmtId="0" xfId="0" applyAlignment="1" applyBorder="1" applyFont="1">
      <alignment shrinkToFit="0" vertical="center" wrapText="1"/>
    </xf>
    <xf borderId="8" fillId="3" fontId="6" numFmtId="165" xfId="0" applyAlignment="1" applyBorder="1" applyFont="1" applyNumberFormat="1">
      <alignment shrinkToFit="0" vertical="center" wrapText="0"/>
    </xf>
    <xf borderId="5" fillId="3" fontId="3" numFmtId="0" xfId="0" applyAlignment="1" applyBorder="1" applyFont="1">
      <alignment readingOrder="0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9" fillId="3" fontId="3" numFmtId="49" xfId="0" applyAlignment="1" applyBorder="1" applyFont="1" applyNumberFormat="1">
      <alignment horizontal="center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shrinkToFit="0" vertical="center" wrapText="1"/>
    </xf>
    <xf borderId="9" fillId="3" fontId="3" numFmtId="164" xfId="0" applyAlignment="1" applyBorder="1" applyFont="1" applyNumberFormat="1">
      <alignment shrinkToFit="0" vertical="center" wrapText="1"/>
    </xf>
    <xf borderId="9" fillId="3" fontId="3" numFmtId="0" xfId="0" applyAlignment="1" applyBorder="1" applyFont="1">
      <alignment shrinkToFit="0" vertical="center" wrapText="1"/>
    </xf>
    <xf borderId="10" fillId="3" fontId="6" numFmtId="165" xfId="0" applyAlignment="1" applyBorder="1" applyFont="1" applyNumberFormat="1">
      <alignment shrinkToFit="0" vertical="center" wrapText="0"/>
    </xf>
    <xf borderId="7" fillId="3" fontId="3" numFmtId="49" xfId="0" applyAlignment="1" applyBorder="1" applyFont="1" applyNumberFormat="1">
      <alignment horizontal="center" shrinkToFit="0" vertical="center" wrapText="1"/>
    </xf>
    <xf borderId="11" fillId="2" fontId="10" numFmtId="0" xfId="0" applyAlignment="1" applyBorder="1" applyFont="1">
      <alignment horizontal="center" readingOrder="0" shrinkToFit="0" vertical="center" wrapText="0"/>
    </xf>
    <xf borderId="6" fillId="2" fontId="10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9" fillId="3" fontId="12" numFmtId="0" xfId="0" applyAlignment="1" applyBorder="1" applyFont="1">
      <alignment horizontal="center" shrinkToFit="0" vertical="center" wrapText="1"/>
    </xf>
    <xf borderId="7" fillId="3" fontId="13" numFmtId="0" xfId="0" applyAlignment="1" applyBorder="1" applyFont="1">
      <alignment horizontal="center" readingOrder="0" shrinkToFit="0" vertical="center" wrapText="1"/>
    </xf>
    <xf borderId="9" fillId="3" fontId="14" numFmtId="0" xfId="0" applyAlignment="1" applyBorder="1" applyFont="1">
      <alignment horizontal="center" readingOrder="0" shrinkToFit="0" vertical="center" wrapText="1"/>
    </xf>
    <xf borderId="11" fillId="2" fontId="10" numFmtId="0" xfId="0" applyAlignment="1" applyBorder="1" applyFont="1">
      <alignment horizontal="center" shrinkToFit="0" vertical="center" wrapText="0"/>
    </xf>
    <xf borderId="9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11" fillId="2" fontId="10" numFmtId="0" xfId="0" applyAlignment="1" applyBorder="1" applyFont="1">
      <alignment horizontal="center" readingOrder="0" shrinkToFit="0" vertical="center" wrapText="1"/>
    </xf>
    <xf borderId="12" fillId="3" fontId="3" numFmtId="0" xfId="0" applyAlignment="1" applyBorder="1" applyFont="1">
      <alignment horizontal="center" shrinkToFit="0" vertical="center" wrapText="1"/>
    </xf>
    <xf borderId="12" fillId="3" fontId="3" numFmtId="49" xfId="0" applyAlignment="1" applyBorder="1" applyFont="1" applyNumberFormat="1">
      <alignment horizontal="center" shrinkToFit="0" vertical="center" wrapText="1"/>
    </xf>
    <xf borderId="12" fillId="3" fontId="3" numFmtId="0" xfId="0" applyAlignment="1" applyBorder="1" applyFont="1">
      <alignment horizontal="center" readingOrder="0" shrinkToFit="0" vertical="center" wrapText="1"/>
    </xf>
    <xf borderId="12" fillId="3" fontId="3" numFmtId="0" xfId="0" applyAlignment="1" applyBorder="1" applyFont="1">
      <alignment horizontal="center" shrinkToFit="0" vertical="center" wrapText="1"/>
    </xf>
    <xf borderId="12" fillId="3" fontId="3" numFmtId="0" xfId="0" applyAlignment="1" applyBorder="1" applyFont="1">
      <alignment shrinkToFit="0" vertical="center" wrapText="1"/>
    </xf>
    <xf borderId="12" fillId="3" fontId="3" numFmtId="164" xfId="0" applyAlignment="1" applyBorder="1" applyFont="1" applyNumberFormat="1">
      <alignment shrinkToFit="0" vertical="center" wrapText="1"/>
    </xf>
    <xf borderId="12" fillId="3" fontId="3" numFmtId="0" xfId="0" applyAlignment="1" applyBorder="1" applyFont="1">
      <alignment shrinkToFit="0" vertical="center" wrapText="1"/>
    </xf>
    <xf borderId="13" fillId="3" fontId="6" numFmtId="165" xfId="0" applyAlignment="1" applyBorder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10"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90909"/>
          <bgColor rgb="FF09090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BD1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1657350</xdr:colOff>
      <xdr:row>0</xdr:row>
      <xdr:rowOff>66675</xdr:rowOff>
    </xdr:from>
    <xdr:ext cx="7400925" cy="2038350"/>
    <xdr:sp>
      <xdr:nvSpPr>
        <xdr:cNvPr id="3" name="Shape 3"/>
        <xdr:cNvSpPr/>
      </xdr:nvSpPr>
      <xdr:spPr>
        <a:xfrm>
          <a:off x="1655063" y="2770350"/>
          <a:ext cx="7381875" cy="20193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900"/>
            <a:buFont typeface="Arial"/>
            <a:buNone/>
          </a:pPr>
          <a:r>
            <a:rPr b="1" lang="en-US" sz="1900">
              <a:solidFill>
                <a:srgbClr val="FFFFFF"/>
              </a:solidFill>
            </a:rPr>
            <a:t>Projeto - </a:t>
          </a:r>
          <a:r>
            <a:rPr b="1" lang="en-US" sz="1800">
              <a:solidFill>
                <a:schemeClr val="lt1"/>
              </a:solidFill>
            </a:rPr>
            <a:t>9179 Breeze Mist Terrace, Kissimmee FL 34741</a:t>
          </a:r>
          <a:r>
            <a:rPr b="1" lang="en-US" sz="1800">
              <a:solidFill>
                <a:schemeClr val="lt1"/>
              </a:solidFill>
            </a:rPr>
            <a:t> - SOLARA</a:t>
          </a:r>
          <a:endParaRPr b="1" sz="20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rPr b="1" lang="en-US" sz="1700">
              <a:solidFill>
                <a:srgbClr val="D9D9D9"/>
              </a:solidFill>
            </a:rPr>
            <a:t>Cliente: </a:t>
          </a:r>
          <a:r>
            <a:rPr b="1" lang="en-US" sz="1500">
              <a:solidFill>
                <a:srgbClr val="D9D9D9"/>
              </a:solidFill>
            </a:rPr>
            <a:t>LILIAN TAVARES</a:t>
          </a:r>
          <a:r>
            <a:rPr b="1" lang="en-US" sz="1500">
              <a:solidFill>
                <a:srgbClr val="D9D9D9"/>
              </a:solidFill>
            </a:rPr>
            <a:t> -</a:t>
          </a:r>
          <a:br>
            <a:rPr b="1" lang="en-US" sz="1500">
              <a:solidFill>
                <a:srgbClr val="D9D9D9"/>
              </a:solidFill>
            </a:rPr>
          </a:br>
          <a:r>
            <a:rPr b="1" lang="en-US" sz="1500">
              <a:solidFill>
                <a:srgbClr val="D9D9D9"/>
              </a:solidFill>
              <a:highlight>
                <a:srgbClr val="FF0000"/>
              </a:highlight>
            </a:rPr>
            <a:t>ENTREGA DA OBRA 10 DE NOVEMBRO</a:t>
          </a:r>
          <a:endParaRPr b="1" sz="1500">
            <a:solidFill>
              <a:srgbClr val="D9D9D9"/>
            </a:solidFill>
            <a:highlight>
              <a:srgbClr val="FF0000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2:L468" displayName="BD_LILIAN" name="BD_LILIAN" id="1">
  <autoFilter ref="$B$12:$L$468"/>
  <tableColumns count="11">
    <tableColumn name="Ambiente" id="1"/>
    <tableColumn name="Company" id="2"/>
    <tableColumn name="Product" id="3"/>
    <tableColumn name="Category" id="4"/>
    <tableColumn name="LINK" id="5"/>
    <tableColumn name="Qty" id="6"/>
    <tableColumn name="Unit Cost Price" id="7"/>
    <tableColumn name="Price Cost" id="8"/>
    <tableColumn name="Actual Cost" id="9"/>
    <tableColumn name="STATUS" id="10"/>
    <tableColumn name="Comentarios" id="11"/>
  </tableColumns>
  <tableStyleInfo name="B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Biewalk-Sputnik-Chandelier-Fixture-Century/dp/B0CHY9PG3L/ref=sr_1_6?crid=NCZ5V540X4Y2&amp;dib=eyJ2IjoiMSJ9.Q1yGLrY1gDu0Gm7ZxvrOe_3uDuQwYPC63WWml4UxHIM2-Pf2EIMdBYFzuixR0UnXDsGW-syB2w90zRXqKEjhgCDgOyCwLDiiMHgfHXmL6K7c3kl8B2l7yul1wI9uhf8xLBQeQszfFCnHWC-BtaTupKOmRAQRVYVDFuDp25g8hcg4IKRwawGHDdpT08oUc-pt3eWrDt8qsoUG9O8wpcS7A_J4t0ubbAu7fgLAjX5rZqk.W58v_nBHdW1kZz7jGdYIQ4gQO_L7JmrAxQ8APgUWUkQ&amp;dib_tag=se&amp;keywords=chandelier%2Bgold%2Bglobe&amp;qid=1753286350&amp;sprefix=chandelier%2Bgold%2Bglob%2Caps%2C103&amp;sr=8-6&amp;th=1" TargetMode="External"/><Relationship Id="rId42" Type="http://schemas.openxmlformats.org/officeDocument/2006/relationships/hyperlink" Target="https://www.amazon.com/dp/B0DHVQHD52/ref=sspa_dk_detail_2?pd_rd_i=B0CP1QTVRV&amp;pd_rd_w=ZstIN&amp;content-id=amzn1.sym.c4606765-78ec-444e-9319-716ceb6c5a61&amp;pf_rd_p=c4606765-78ec-444e-9319-716ceb6c5a61&amp;pf_rd_r=06TT44RC41G5YSXBXTRH&amp;pd_rd_wg=dxbrh&amp;pd_rd_r=5605e90c-f9d3-4378-a948-261126dd4a52&amp;s=kitchen&amp;sp_csd=d2lkZ2V0TmFtZT1zcF9kZXRhaWxfdGhlbWF0aWM&amp;th=1" TargetMode="External"/><Relationship Id="rId41" Type="http://schemas.openxmlformats.org/officeDocument/2006/relationships/hyperlink" Target="https://www.amazon.com/dp/B01IRHUV6A/ref=twister_B081MR1LSJ?_encoding=UTF8&amp;psc=1" TargetMode="External"/><Relationship Id="rId44" Type="http://schemas.openxmlformats.org/officeDocument/2006/relationships/hyperlink" Target="https://www.amazon.com/Maple-Stone-Lightweight-Bedspread-Ultrasonic/dp/B09P3QKQR8/ref=sr_1_1?crid=1F80T5UAC8IQN&amp;dib=eyJ2IjoiMSJ9.Q8tWRfz8Y8ozcJHRiLdrnw.cRUUQ4ZFzLyrxjjIgcxpwkDlgfKzCQ_CCUil6V7DD2g&amp;dib_tag=se&amp;keywords=B09P3QKQR8&amp;qid=1732929333&amp;s=home-garden&amp;sprefix=b09p3qkqr8%2Cgarden%2C116&amp;sr=1-1" TargetMode="External"/><Relationship Id="rId43" Type="http://schemas.openxmlformats.org/officeDocument/2006/relationships/hyperlink" Target="https://www.amazon.com/dp/B015QL1KMY?ref=fed_asin_title" TargetMode="External"/><Relationship Id="rId46" Type="http://schemas.openxmlformats.org/officeDocument/2006/relationships/hyperlink" Target="https://www.amazon.com/Linenspa-Premium-Smooth-Mattress-Protector/dp/B00MW50EDY/ref=sr_1_1?crid=25DG9Z7HU244I&amp;dib=eyJ2IjoiMSJ9.6mVtZC-y3V_lIKegVbsP3A.H0X0nf7fas06vB7t3v1gCNd1KJQgTsFSYa5861NAQ6Q&amp;dib_tag=se&amp;keywords=B00MW50EDY&amp;qid=1732929411&amp;s=home-garden&amp;sprefix=b00mw50edy%2Cgarden%2C123&amp;sr=1-1" TargetMode="External"/><Relationship Id="rId45" Type="http://schemas.openxmlformats.org/officeDocument/2006/relationships/hyperlink" Target="https://www.amazon.com/Bedsure-Fleece-Blanket-Lightweight-Microfiber/dp/B06XHXSXRT/ref=sr_1_1_sspa?crid=3J8G40CXVG1H3&amp;dib=eyJ2IjoiMSJ9.YFQ-fwrDEXmE7kAc6vrSXWJcXw7-dHqlfURk0y7v-E4mkBMg2aDqfrrGg832bi47HplXTbpe4oJrBCo0u5RvliG5o_I6mdLvtotuM-qroRlebY7bqao-ypZujPAkekzkssVnfv5amanisl6yD8w4CLN4e0HPIk0hoimnONtmgAGS08j-45wnRYJOHcU4ds3bvnhdbWuYyB6HVAEgNrnWEvsxaXZ8Vsi694glS7jPAulF8ncuYmC4QZSarfA-3556M6yfWGEsYmsOX5PcD0BvX6Bd6WXtJtV63i_Yiw90Cyw.9JPlJZBf9gGxcjzpKpBc8k7HyqoMXurFQKi0Wq05SPw&amp;dib_tag=se&amp;keywords=Bedding%2BGrey%2BFleece%2BBlanket&amp;qid=1755098148&amp;s=home-garden&amp;sprefix=bedding%2Bgrey%2Bfleece%2Bblanket%2Cgarden%2C91&amp;sr=1-1-spons&amp;sp_csd=d2lkZ2V0TmFtZT1zcF9hdGY&amp;th=1" TargetMode="External"/><Relationship Id="rId191" Type="http://schemas.openxmlformats.org/officeDocument/2006/relationships/table" Target="../tables/table1.xml"/><Relationship Id="rId107" Type="http://schemas.openxmlformats.org/officeDocument/2006/relationships/hyperlink" Target="https://www.amazon.com/dp/B01M0XPWGG/ref=sspa_dk_detail_1?psc=1&amp;pd_rd_i=B01M0XPWGG&amp;pd_rd_w=qVA3i&amp;content-id=amzn1.sym.386c274b-4bfe-4421-9052-a1a56db557ab&amp;pf_rd_p=386c274b-4bfe-4421-9052-a1a56db557ab&amp;pf_rd_r=60MENY164A1M5YR3MZ81&amp;pd_rd_wg=dkIDV&amp;pd_rd_r=227a57d0-8440-4304-b63d-8d51ced5fca1&amp;sp_csd=d2lkZ2V0TmFtZT1zcF9kZXRhaWxfdGhlbWF0aWM&amp;smid=A3H7VB6FZ4M9FM" TargetMode="External"/><Relationship Id="rId106" Type="http://schemas.openxmlformats.org/officeDocument/2006/relationships/hyperlink" Target="https://www.amazon.com/dp/B06XBLH25X/ref=sspa_dk_detail_6?psc=1&amp;pd_rd_i=B06XBLH25X&amp;pd_rd_w=FyRNS&amp;content-id=amzn1.sym.386c274b-4bfe-4421-9052-a1a56db557ab&amp;pf_rd_p=386c274b-4bfe-4421-9052-a1a56db557ab&amp;pf_rd_r=K4BJ1TNRZNFMJCXB3ZCV&amp;pd_rd_wg=Rx1DL&amp;pd_rd_r=e1bf9983-68f4-4a34-bd98-be9c25e30778&amp;sp_csd=d2lkZ2V0TmFtZT1zcF9kZXRhaWxfdGhlbWF0aWM" TargetMode="External"/><Relationship Id="rId105" Type="http://schemas.openxmlformats.org/officeDocument/2006/relationships/hyperlink" Target="https://www.amazon.com/eTzone-Forklift-Emergency-Forklifts-Ambulances/dp/B0C7ZK3DYB/ref=sr_1_1_sspa?crid=D1ZBY9EQILUZ&amp;dib=eyJ2IjoiMSJ9.q2pTQwWRQDPBMlz3YqWn9-RY2-vNJhAjJ5s0E7mZdSeoIhOLsoHjeBAcnAHquogdlubpbaLk6cB3f2hwFikJ6pByQGVdUFAz-_lfvsdDfILgXebndvAxtqxWdTI6tLYLiiZvExnTt_6zEIGk3FVNqoGQZFWiONHeaCKOQ5rsMj5rv40xZKnkWGLDD58Igi_i-oHR1liidGMimbvcZKHdVXRakv4Z3ee52atJ9svkc6TI9NjrDOudL0St9uef_kT4pH_-7qQRIbiVHN6_7oNroop-4DAUCLZGlXPGzwu-27w.-qY9nZHCR5Of5dxjKd14Up5SfB1N20NFjxuZd6xgNbA&amp;dib_tag=se&amp;keywords=emergency%2Blighting%2Bred&amp;qid=1755218107&amp;sprefix=emergency%2Blighting%2Bred%2Caps%2C113&amp;sr=8-1-spons&amp;sp_csd=d2lkZ2V0TmFtZT1zcF9hdGY&amp;th=1" TargetMode="External"/><Relationship Id="rId104" Type="http://schemas.openxmlformats.org/officeDocument/2006/relationships/hyperlink" Target="https://www.amazon.com/Haimin-Wallpaper-Textured-Self-Adhesive-Herringbone/dp/B0DPJ27GRP/ref=sr_1_32_sspa?crid=SJ3FQD83MRM1&amp;dib=eyJ2IjoiMSJ9.qal4h-zCIA-bsMmsorR9gHOV3aRRcxNbBxf8PNShHZQV4CwuBH0Vdx0ItB0mfXq2M9xYmCtJtaJKqXa7JyvCPcIEUdL4AbKdoR1FIOaJiVhPsNaDW3oDKmqw_BiELfxVHiSbfhiyLAICeeBne_f6JWn-GhnhMhOYWW_QcAhyOEvxpBVulOwFiFPzMb3HVPmSyZOA3yC9oNZ9DDZDffJjxbtdR6wk88Mnk6e5qbcAR18UQjotfXo3VFz-DQUDLVUnyUse85OarVnoMTwWltYs6LEvmvhXQwZCuZg0sBjaFXM.NsJu3u3lt157513Ii6Iw_7y-uVop1s3-9FP1hJbV0kI&amp;dib_tag=se&amp;keywords=wallpaper%2Bbeige&amp;qid=1755098665&amp;s=home-garden&amp;sprefix=wallpaper%2Bbeige%2Cgarden%2C108&amp;sr=1-32-spons&amp;sp_csd=d2lkZ2V0TmFtZT1zcF9idGY&amp;th=1" TargetMode="External"/><Relationship Id="rId109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108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48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87" Type="http://schemas.openxmlformats.org/officeDocument/2006/relationships/hyperlink" Target="https://www.amazon.com/YSSOA-Gaming-Office-Adjustable-Chair/dp/B08XQNSH7B/ref=sr_1_8?crid=19TRNH921WE7W&amp;dib=eyJ2IjoiMSJ9.czJuf7c2gaUmBWxHX2td-ddNaMKs_GJNwmrRjy1HyOnB7mThr6Uw5o-qw2Yu7dlU6XMUR9Pg0Ti9uhkQryC5HVD5scSdJq5_S88mqKjRYrnnSFvh6yVHSa5TA0bqT0SxPeXq4rIwLWIzRNcgQ2aZGIIVi187kfYF1ly92jsKbXT9DfO_uPnx8WUw3XLTNhQa7vJGxbU7kTQBhl1QEyEWoCbt1FL3KQ0VPY-bSrp_T-I.JKEeKB1ztiKzbAFWtWdeN_8E0KZjFhK1ohwzxYxLaBY&amp;dib_tag=se&amp;keywords=game%2Bchair&amp;qid=1753306639&amp;sprefix=game%2Bchair%2Caps%2C136&amp;sr=8-8&amp;th=1" TargetMode="External"/><Relationship Id="rId47" Type="http://schemas.openxmlformats.org/officeDocument/2006/relationships/hyperlink" Target="https://www.samsclub.com/p/hotel-premier-collection-king-pillow-by-members-mark/prod21023976?xid=plp_product_3" TargetMode="External"/><Relationship Id="rId186" Type="http://schemas.openxmlformats.org/officeDocument/2006/relationships/hyperlink" Target="https://www.amazon.com/Pinspot-Spotlight-Control-Lighting-Wedding/dp/B08R8MSD3F/ref=sr_1_10?crid=27ISZ0J5NFYNI&amp;dib=eyJ2IjoiMSJ9.Q946tgskeRRd6YKDDM1PdxV3ShlZNw3JpBXl23hgjJzQQaDgnMgjo6QSqldXfMd9MBfk5JX2lAXmDUqflviJPFXC6jEBmK4NLyQF-ZtJzwUBFokO-cdIwyVy5Kjq3R3KRZYZQE0OD1NeeKmZspqLpnnTQ-cVinhuUFQIB4q1Cw0Dk09uhQZuFxyzgehK1RAGwuubG9Ta3LkBpStT2pgopDPajRM6xp2Ugd4VRbRcuBuSvl_8Lwlw3W5gMy9EHnk89hrZbB2nK1CXI2PTugyuV05jYQaHXDdH9aqcGdH899s.yWH57dIhiuhHy56UpxfnZxoShNTpPd6qDxHhKVIFQmg&amp;dib_tag=se&amp;keywords=pink+laser+spot+lights&amp;qid=1755135603&amp;sprefix=pink+laser+spot+lights%2Caps%2C122&amp;sr=8-10" TargetMode="External"/><Relationship Id="rId185" Type="http://schemas.openxmlformats.org/officeDocument/2006/relationships/hyperlink" Target="https://thronekingdom.com/products/mini-crown-tiffany-kids-throne?variant=51621525586292" TargetMode="External"/><Relationship Id="rId49" Type="http://schemas.openxmlformats.org/officeDocument/2006/relationships/hyperlink" Target="https://www.amazon.com/Haimin-Wallpaper-Textured-Grasscloth-Self-Adhesive/dp/B0D14CF95Q/ref=sxin_16_pa_sp_search_thematic_sspa?content-id=amzn1.sym.3afbfb03-37f9-433d-812b-5618f5fce9ff%3Aamzn1.sym.3afbfb03-37f9-433d-812b-5618f5fce9ff&amp;crid=1PQF4MV910ROY&amp;cv_ct_cx=wallpaper%2Bgray&amp;keywords=wallpaper%2Bgray&amp;pd_rd_i=B0D14CF95Q&amp;pd_rd_r=53919ee4-98c9-481e-9500-4675c6f3ceed&amp;pd_rd_w=GXBX5&amp;pd_rd_wg=YKyoS&amp;pf_rd_p=3afbfb03-37f9-433d-812b-5618f5fce9ff&amp;pf_rd_r=NV5NDK33A5DCMD4A8Q41&amp;qid=1755098215&amp;s=home-garden&amp;sbo=RZvfv%2F%2FHxDF%2BO5021pAnSA%3D%3D&amp;sprefix=wallpaper%2Bgray%2Cgarden%2C117&amp;sr=1-4-6024b2a3-78e4-4fed-8fed-e1613be3bcce-spons&amp;sp_csd=d2lkZ2V0TmFtZT1zcF9zZWFyY2hfdGhlbWF0aWM&amp;th=1" TargetMode="External"/><Relationship Id="rId184" Type="http://schemas.openxmlformats.org/officeDocument/2006/relationships/hyperlink" Target="https://www.amazon.com/dp/B0DWSMSY6B/ref=sspa_dk_detail_2?pd_rd_i=B0DWSMSY6B&amp;pd_rd_w=k3m2U&amp;content-id=amzn1.sym.f2f1cf8f-cab4-44dc-82ba-0ca811fb90cc&amp;pf_rd_p=f2f1cf8f-cab4-44dc-82ba-0ca811fb90cc&amp;pf_rd_r=RDT70WNDDQ0T0G6HYSFT&amp;pd_rd_wg=Vdonj&amp;pd_rd_r=658d70d9-b342-4651-93b8-2375d4b7af50&amp;sp_csd=d2lkZ2V0TmFtZT1zcF9kZXRhaWxfdGhlbWF0aWM&amp;th=1" TargetMode="External"/><Relationship Id="rId103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02" Type="http://schemas.openxmlformats.org/officeDocument/2006/relationships/hyperlink" Target="https://www.samsclub.com/p/hotel-premier-collection-king-pillow-by-members-mark/prod21023976?xid=plp_product_3" TargetMode="External"/><Relationship Id="rId101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189" Type="http://schemas.openxmlformats.org/officeDocument/2006/relationships/drawing" Target="../drawings/drawing1.xml"/><Relationship Id="rId100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188" Type="http://schemas.openxmlformats.org/officeDocument/2006/relationships/hyperlink" Target="https://www.amazon.com/WALI-Bracket-100x100mm-400x400mm-TTM-1/dp/B072JNQBSB/ref=sxin_16_pa_sp_search_thematic_sspa?content-id=amzn1.sym.5a2f80d8-3686-499a-bbaa-70664bd0de70%3Aamzn1.sym.5a2f80d8-3686-499a-bbaa-70664bd0de70&amp;crid=3TM0UE71G9F26&amp;cv_ct_cx=Wall%2Bmount&amp;keywords=Wall%2Bmount&amp;pd_rd_i=B072JNQBSB&amp;pd_rd_r=d513bf69-eb7a-4613-b141-fb25e849eee7&amp;pd_rd_w=iQ8q2&amp;pd_rd_wg=gPNVB&amp;pf_rd_p=5a2f80d8-3686-499a-bbaa-70664bd0de70&amp;pf_rd_r=7DKQKAKTZ4SSTY7AA4YV&amp;qid=1755266539&amp;sbo=9ZOMT9Jm0JH%2Ft%2BWi68iDSA%3D%3D&amp;sprefix=wall%2Bmount%2Caps%2C255&amp;sr=1-1-6024b2a3-78e4-4fed-8fed-e1613be3bcce-spons&amp;sp_csd=d2lkZ2V0TmFtZT1zcF9zZWFyY2hfdGhlbWF0aWM&amp;th=1" TargetMode="External"/><Relationship Id="rId31" Type="http://schemas.openxmlformats.org/officeDocument/2006/relationships/hyperlink" Target="https://www.disneystore.com/pluto-plush-medium-13-34-412312273766.html" TargetMode="External"/><Relationship Id="rId30" Type="http://schemas.openxmlformats.org/officeDocument/2006/relationships/hyperlink" Target="https://www.disneystore.com/goofy-plush-medium-18-12-412312273841.html" TargetMode="External"/><Relationship Id="rId33" Type="http://schemas.openxmlformats.org/officeDocument/2006/relationships/hyperlink" Target="https://www.disneystore.com/daisy-duck-plush-medium-13-412312274008.html?isProductSearch=1&amp;searchType=regular" TargetMode="External"/><Relationship Id="rId183" Type="http://schemas.openxmlformats.org/officeDocument/2006/relationships/hyperlink" Target="https://www.amazon.com/Yaheetech-Dancing-Portable-Spinning-Adjustable/dp/B0C8TBZDLJ/ref=sr_1_25?crid=2669STUWUN57M&amp;dib=eyJ2IjoiMSJ9.pJfRV7iiE4qzOCwNSCmdijKE9sbHxkp4nHRLTwvP95KTrxqUF5s2yO02gq_9j2XdlVVZPb8kGtb62OYHL5XFL5YyjwnGGm2MInMwUGUoLN-xxlR1gani4d0PpHgRu7t11fj_s0siOWI2sfTtv5lxP0z-QFo1QSCYfyTxQnBbBPECjVd5fHOzEJXS3-qn8tK27l_yUs20DJT547Ltree2J0EIxYWPk5gw3104KY-o7-aWjTLU9ty_xgcGk2TwffFeJTa3FUCTu_xDRCasgpOWU_8Cxspg4dRNWSfUm70t_Ac.n8w_twsPwXE0mmLRL1iIxi8KmVrJ0cmsv1qxf9y9gYU&amp;dib_tag=se&amp;keywords=pole+dance&amp;qid=1755264992&amp;sprefix=poledanc%2Caps%2C205&amp;sr=8-25" TargetMode="External"/><Relationship Id="rId32" Type="http://schemas.openxmlformats.org/officeDocument/2006/relationships/hyperlink" Target="https://www.disneystore.com/donald-duck-plush-medium-15-34-412312273926.html?isProductSearch=1&amp;searchType=regular" TargetMode="External"/><Relationship Id="rId182" Type="http://schemas.openxmlformats.org/officeDocument/2006/relationships/hyperlink" Target="https://www.amazon.com/Swing-N-Slide-WS-5040-G-Connect-Heights/dp/B0CBQQ1LSM/ref=sr_1_2?crid=22F1N4FJR04PC&amp;dib=eyJ2IjoiMSJ9.fh2quLpAH1UZhqexVZCkyg.yS_UPF-bta0zpS4_LB6i2Qs1DbyyAXZKfOsadaDu0sE&amp;dib_tag=se&amp;keywords=B0CBQQ1LSM&amp;qid=1753984498&amp;sprefix=hock%2Caps%2C488&amp;sr=8-2&amp;th=1" TargetMode="External"/><Relationship Id="rId35" Type="http://schemas.openxmlformats.org/officeDocument/2006/relationships/hyperlink" Target="https://www.amazon.com/Pillow-Velvet-Decorations-Cushion-Bedroom/dp/B0CJS1PQXZ/ref=sr_1_9?crid=1JIZL9BWUQA3S&amp;dib=eyJ2IjoiMSJ9.y6VTEQOubyTYKrghNNV2W9akVzowCuGI1ORyBU7s57WEZynQbF0490YQgHaSZ1YWwCPy7xkN68uxYtfma2jqa5Pu0JGaHwWnOyQ5Ym1mwpFzvH0-WZCFXyuHUi2-mbgzaASF7oOsZpxwb09dZxtxOsqn_lkhMjbTz-VHkH-vDVxG_ynqPCLWT1k3NZXHcm_AZMbzkdNjI68S0JsnYkFsQifwSx6lgkfg7AXc9tixmMs1aPtbyETSyRozFxZtBhWQDUEnDrXNcoyx46wZX1w6DiaWu2ciDvtQjJ1Nr9bel1I.C7Ntu09Do3Ul0oSCQK2G-9uDGaRdaqtSFYs9llwe0IA&amp;dib_tag=se&amp;keywords=Pillow%2BCase%2Bblack%2B18x18&amp;qid=1753285812&amp;s=home-garden&amp;sprefix=pillow%2Bcase%2Bblack%2B18x18%2Cgarden%2C98&amp;sr=1-9&amp;th=1" TargetMode="External"/><Relationship Id="rId181" Type="http://schemas.openxmlformats.org/officeDocument/2006/relationships/hyperlink" Target="https://www.amazon.com/Power-Powered-Hockey-Table-Tennis/dp/B071FW6836/ref=sxin_25_pa_sp_search_thematic_sspa?content-id=amzn1.sym.e1a3e213-6255-4321-961f-3eda1e41b156%3Aamzn1.sym.e1a3e213-6255-4321-961f-3eda1e41b156&amp;crid=3EXHLNRK2GZTM&amp;cv_ct_cx=hOCKEY%2BTABLE&amp;keywords=hOCKEY%2BTABLE&amp;pd_rd_i=B071FW6836&amp;pd_rd_r=88aff2b5-8493-4bcf-96a9-88aff2060ca0&amp;pd_rd_w=JRsnk&amp;pd_rd_wg=JQF6e&amp;pf_rd_p=e1a3e213-6255-4321-961f-3eda1e41b156&amp;pf_rd_r=3EWSED17EPHKYJD9ZDZD&amp;qid=1755264625&amp;sbo=RZvfv%2F%2FHxDF%2BO5021pAnSA%3D%3D&amp;sprefix=hockey%2Btable%2Caps%2C262&amp;sr=1-1-2c727eeb-987f-452f-86bd-c2978cc9d8b9-spons&amp;sp_csd=d2lkZ2V0TmFtZT1zcF9zZWFyY2hfdGhlbWF0aWM&amp;psc=1" TargetMode="External"/><Relationship Id="rId34" Type="http://schemas.openxmlformats.org/officeDocument/2006/relationships/hyperlink" Target="https://www.amazon.com/dp/B09BL7TN1L/ref=twister_B09BL69BLX?_encoding=UTF8&amp;th=1" TargetMode="External"/><Relationship Id="rId180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37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176" Type="http://schemas.openxmlformats.org/officeDocument/2006/relationships/hyperlink" Target="https://www.amazon.com/hunhun-Aluminum-Mounting-Installations-Installation/dp/B072VZSQ3P/ref=sr_1_4_sspa?crid=32J3G2PXTPLCJ&amp;dib=eyJ2IjoiMSJ9.11QRylWlPKdvq514mjX8UQMEe6LObUbwi-TcvLzddTCx6mjkUUdWkoSf-aD1cTxhiZRZA8HEtXNjAmFseQmF1F5VsecW5YcM6FwFOpQ9cjenPfWGnAUrjkcw1AarA-wCbYxquL4GNuPaKQHqG29uLU4ghyOwAbU3UQy9XyEGN86JCMuYhMP4FXaQwkaU3UgucpIG8Inuq1wvHZIHoW6lVhrPfOqnWDGZ73j_G4S_CAwGQ67oQ-oMjZogX6FIWhbyRdwLwAVn_SjTJ7A0_VMUw1wbrvfXGa0BJc7rK0Wdp28.mZOtWTGREBe35C1sOQqNbjL1FyIn8r_4sCeEWb7XjaA&amp;dib_tag=se&amp;keywords=canaleta+de+led&amp;qid=1755269813&amp;sprefix=canaleta+de+le%2Caps%2C217&amp;sr=8-4-spons&amp;sp_csd=d2lkZ2V0TmFtZT1zcF9hdGY&amp;psc=1" TargetMode="External"/><Relationship Id="rId36" Type="http://schemas.openxmlformats.org/officeDocument/2006/relationships/hyperlink" Target="https://www.amazon.com/MIULEE-Alternative-Inserts-Pillows-Sleeping/dp/B0F6Y699TS/ref=sr_1_5_sspa?crid=EHLX1HO5BB79&amp;dib=eyJ2IjoiMSJ9.13b3Khlmc3It1_A_DYpYI5Hxd-pIzb5hOZ7_cOcQrjf7kXranx-52kAcjOElROgxbf8cBJHx3GaCo9SABK4tAYPiiLtGgNUuaO1OnhtdBdtG_67fgV8-Y-tFvpwgHDgQJqwItjXTZrtjwOxV5FlQuaBOuQq0UIOIqT0A_4A1LRc2qqQOk4Cm-DAnuI5cYREbmPmQcJuQM86FRo4BAZrPVJ56He7IijJWaGHrspHlVvZRmg7_pIpl_hHSgWmrIdNZBYn810bYyS8tGc-_RLnQHDM6kRZVZpLY0GVnnqiKj_8.r0iVyodSZojzwobHAyOyZrVcWmUSff6yFAepaMk80TQ&amp;dib_tag=se&amp;keywords=pillow%2Binsert%2B18x18%2Bpack%2B4&amp;qid=1755226906&amp;sprefix=pillow%2Binsert%2B18x18%2Bpack%2B%2Caps%2C207&amp;sr=8-5-spons&amp;sp_csd=d2lkZ2V0TmFtZT1zcF9hdGY&amp;th=1" TargetMode="External"/><Relationship Id="rId175" Type="http://schemas.openxmlformats.org/officeDocument/2006/relationships/hyperlink" Target="https://www.amazon.com/HAMRVL-Flexible-Cabinet%EF%BC%8CBedroom-Backlight-Lighting/dp/B09MRLC1H1/ref=sr_1_3_sspa?crid=UDL6WCONFB1&amp;dib=eyJ2IjoiMSJ9.YxcMB9-ThjBU1jFcrbtIuGnWgzIXO6NKiPUCS6pAZCNBFhJ9uNd8sPmiz55c_fImL5pWJPi2QDBhvKxvD9MlZQpHugsEVW0FSG-eLl4wD4R_K9MAipVoFKK8ZX7XBwfanaLimQtAYRVZ7R5Sf5bLw9k4YWrXev9Cuxi9KT4ARx-7pb6KyWqavGFlffBEBOjU-ZCBBQNLrOywbJAXhhark_zvcE3XVzBZ1vmQHpN5DJKZJf6LU87ks7GNNV4h-o9uy3_ix39IRp0gC0VLXFlkMpptaEQEOzhjPKDveszkSQg._fGT7RCdvGGcnU-ppjP-z4V-VJ0_0Ll-Vw0JRVqlgjM&amp;dib_tag=se&amp;keywords=led%2Bstrip%2Bwarm%2Bwhite&amp;qid=1755269705&amp;sprefix=led%2Bstrip%2Bwarm%2Bwhite%2Caps%2C203&amp;sr=8-3-spons&amp;sp_csd=d2lkZ2V0TmFtZT1zcF9hdGY&amp;th=1" TargetMode="External"/><Relationship Id="rId39" Type="http://schemas.openxmlformats.org/officeDocument/2006/relationships/hyperlink" Target="https://www.amazon.com/dp/B09YXXX56K/ref=sspa_dk_detail_6?pf_rd_p=7446a9d1-25fe-4460-b135-a60336bad2c9&amp;pf_rd_r=7VPYV34P5J6JY6EKZ8MQ&amp;pd_rd_wg=SHUto&amp;pd_rd_w=2CvQY&amp;content-id=amzn1.sym.7446a9d1-25fe-4460-b135-a60336bad2c9&amp;pd_rd_r=a588e1de-159d-42a6-91ba-be27c4ca41c7&amp;s=hi&amp;sp_csd=d2lkZ2V0TmFtZT1zcF9kZXRhaWw&amp;th=1" TargetMode="External"/><Relationship Id="rId174" Type="http://schemas.openxmlformats.org/officeDocument/2006/relationships/hyperlink" Target="https://www.wayfair.com/outdoor/pdp/bay-isle-home-outdoor-46-bar-stools-with-cushions-w112504369.html?piid=1357238662" TargetMode="External"/><Relationship Id="rId38" Type="http://schemas.openxmlformats.org/officeDocument/2006/relationships/hyperlink" Target="https://www.amazon.com/Frigidaire-EFR376-CORAL-Fridge-Refrigerator-Bottle/dp/B084GSNPH1/ref=sr_1_3?crid=2WLFPN9TDKNQB&amp;dib=eyJ2IjoiMSJ9.2qEDpI6PmsEcujgojUgDIb7_O3htNW6NMtec_kmtxUPwerGnPDHpuv4nEr_GPrWVuwW7N0TuhWqCa83_7Ud0qAnvQR3-RmOQWNG3BKeqAGm-pmRg77sj7FkktMOzJTLOkW6xnTNIdE-MUboWP_WDEkiEvNjPobOF_iZTRcYklD6PutqXhsRtMTDSMkhCQg-UOWVSUE2XBPBdVWnVGor0HZTz2BHbbArgQxVwm1qQqjg.2mFguPNC_-K1zducqd_MTLp0yXd0udo2xK7YYaTGiFY&amp;dib_tag=se&amp;keywords=frigobar&amp;qid=1754877531&amp;sprefix=frigoba%2Caps%2C146&amp;sr=8-3" TargetMode="External"/><Relationship Id="rId173" Type="http://schemas.openxmlformats.org/officeDocument/2006/relationships/hyperlink" Target="https://www.amazon.com/JOYIN-Donut-Glitters-Swimming-Decorations/dp/B083B979JB/ref=sr_1_16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16" TargetMode="External"/><Relationship Id="rId179" Type="http://schemas.openxmlformats.org/officeDocument/2006/relationships/hyperlink" Target="https://www.bestbuy.com/site/samsung-odyssey-g51c-32-qhd-freesync-premium-gaming-monitor-with-hdr10-displayport-hdmi-black/6532282.p?skuId=6532282" TargetMode="External"/><Relationship Id="rId178" Type="http://schemas.openxmlformats.org/officeDocument/2006/relationships/hyperlink" Target="https://www.amazon.com/dp/B091TSPH51?ref=fed_asin_title&amp;th=1" TargetMode="External"/><Relationship Id="rId177" Type="http://schemas.openxmlformats.org/officeDocument/2006/relationships/hyperlink" Target="https://www.amazon.com/dp/B0DHRN1T51?ref=fed_asin_title&amp;th=1" TargetMode="External"/><Relationship Id="rId20" Type="http://schemas.openxmlformats.org/officeDocument/2006/relationships/hyperlink" Target="https://www.amazon.com/dp/B0000658L5/ref=sspa_dk_detail_5?pd_rd_i=B0000658L5&amp;pd_rd_w=XQ87f&amp;content-id=amzn1.sym.85ceacba-39b1-4243-8f28-2e014f9512c7&amp;pf_rd_p=85ceacba-39b1-4243-8f28-2e014f9512c7&amp;pf_rd_r=F7NCARXRPESFE5CMT7EN&amp;pd_rd_wg=DBfYW&amp;pd_rd_r=758dcd23-7128-4d3c-a214-5a584af9e008&amp;sp_csd=d2lkZ2V0TmFtZT1zcF9kZXRhaWxfdGhlbWF0aWM&amp;th=1" TargetMode="External"/><Relationship Id="rId22" Type="http://schemas.openxmlformats.org/officeDocument/2006/relationships/hyperlink" Target="https://www.amazon.com/Tiny-Land-Case-Kids-Games-Kids-Playhouse-Kids/dp/B01HTIET3Y/ref=sr_1_1_sspa?crid=26S0JZJYCPHG1&amp;dib=eyJ2IjoiMSJ9.O-0It-jR5ofMcBxPwmxsFQ.tEFDDjcS6v6NY6JeSyR1lWLJiZ-BxiSU0YqpjeO1liE&amp;dib_tag=se&amp;keywords=B01HTIET3Y&amp;qid=1753285637&amp;sprefix=b01htiet3y%2Caps%2C99&amp;sr=8-1-spons&amp;sp_csd=d2lkZ2V0TmFtZT1zcF9hdGY&amp;psc=1" TargetMode="External"/><Relationship Id="rId21" Type="http://schemas.openxmlformats.org/officeDocument/2006/relationships/hyperlink" Target="https://www.amazon.com/Costzon-Mid-Century-Armchairs-Toddler-Children/dp/B07X86XYXL/ref=sr_1_3?crid=21E7BW6VS0A0D&amp;dib=eyJ2IjoiMSJ9.X8voXAiKRxT9ABwD89v3Cg.MXqaBmIFfiS3w6MrTDD1JmW5ofl9POjhOgBv4tQ44cM&amp;dib_tag=se&amp;keywords=B07X86XYXL&amp;qid=1753285597&amp;sprefix=b07x86xyxl%2Caps%2C109&amp;sr=8-3" TargetMode="External"/><Relationship Id="rId24" Type="http://schemas.openxmlformats.org/officeDocument/2006/relationships/hyperlink" Target="https://www.amazon.com/dp/B0DRCZQYHW/ref=sspa_dk_detail_1?pd_rd_i=B0DRCZQYHW&amp;pd_rd_w=m5a88&amp;content-id=amzn1.sym.8c2f9165-8e93-42a1-8313-73d3809141a2&amp;pf_rd_p=8c2f9165-8e93-42a1-8313-73d3809141a2&amp;pf_rd_r=E97GJRKXN7K506B7JBT1&amp;pd_rd_wg=QNluo&amp;pd_rd_r=cd59fc92-7c6e-4863-a57f-ce4de16e6c79&amp;sp_csd=d2lkZ2V0TmFtZT1zcF9kZXRhaWw&amp;th=1" TargetMode="External"/><Relationship Id="rId23" Type="http://schemas.openxmlformats.org/officeDocument/2006/relationships/hyperlink" Target="https://www.amazon.com/Ashler-Rabbit-Chair-Bedroom-Living/dp/B07SW3N44G/ref=sr_1_3?crid=YEYIZMBHMA9M&amp;dib=eyJ2IjoiMSJ9.09vGqLzUp1fecygmWe5OzQ._bLiX2UzfoeESKC1asgC26UI4MzB15jqxcXv7j1II3s&amp;dib_tag=se&amp;keywords=B07SW3N44G&amp;qid=1753285651&amp;sprefix=b07sw3n44g%2Caps%2C87&amp;sr=8-3" TargetMode="External"/><Relationship Id="rId129" Type="http://schemas.openxmlformats.org/officeDocument/2006/relationships/hyperlink" Target="https://www.samsclub.com/p/serta-perfect-sleeper-comfy-sleep-eco-friendly-bed-pillow/P03008074" TargetMode="External"/><Relationship Id="rId128" Type="http://schemas.openxmlformats.org/officeDocument/2006/relationships/hyperlink" Target="https://www.amazon.com/dp/B07VMNJHBK?ref=fed_asin_title&amp;th=1" TargetMode="External"/><Relationship Id="rId127" Type="http://schemas.openxmlformats.org/officeDocument/2006/relationships/hyperlink" Target="https://www.amazon.com/dp/B0DYJLLLV6/ref=twister_B0DDXYL5S5?_encoding=UTF8&amp;th=1" TargetMode="External"/><Relationship Id="rId126" Type="http://schemas.openxmlformats.org/officeDocument/2006/relationships/hyperlink" Target="https://www.amazon.com/Froggys-Fog-Velocity-Dissipating-Photography/dp/B004B46LFO/ref=sr_1_4?crid=22P84BQIUTGTV&amp;dib=eyJ2IjoiMSJ9.JDWmykW_jWY4riaB-R0ZseyM3MznTsM2UKZu0cmB41O4pDbO7MJ7kZhz8cMSVaCGDIn9B1JY3aFVYE2VfMoFskiBvG4Pyg1BBQeHGrtJxtnw_A1giVGSiowXTPwok1We8r6VIyf08xn7q_OzYMedz7qVFfl5X5VM7rK9SfQEKr9yhdM4_j8dbeC9JUcYmgz-.nQfgVPE_GNNJw9ZphtZt4E4oH_N7CdfOsZ9FV_wFCu8&amp;dib_tag=se&amp;keywords=velocity+fast+decipate+fog+machine+fuel&amp;qid=1755124234&amp;sprefix=velocity+fast+decipate+fog+machine+fuil%2Caps%2C107&amp;sr=8-4" TargetMode="External"/><Relationship Id="rId26" Type="http://schemas.openxmlformats.org/officeDocument/2006/relationships/hyperlink" Target="https://www.amazon.com/DANSEER-Sconce-Modern-Nordic-Bathroom/dp/B0CKVTPQHK/ref=sr_1_10?crid=3P3A0OXZLDCGQ&amp;dib=eyJ2IjoiMSJ9.TML2hMcjtNbrCM4A0tCwVCq2FOic0QpwEaIKYXYel1whNET5q2-n2F2t4YxzBt-GnQlKmj0OL0zhy-kpsMur-kzIrVsJ0RGPiUZ4NDPq5az5QsLbM7kdXfAKBxJ_dPjNNcx8Cavupc5q6TcImLUZmDb48Gnp2KcH-jGFbz_rUwoWGlA1LeQMKBzJjpfAUAG6BcN6H1HTMH2bjLM8jX08G1f_MD6TgYKRj3C81Xq36OZhTFi2vt4Ph3y-IAV4FK7kzRbi0Tvfg79jUISR__PNKFW4BZTdb_l_tnZm88pVdAA.FbD2329SK4nStsIplX_Ip3aFEMmAZjWAtJqvjgdK7qs&amp;dib_tag=se&amp;keywords=sconce%2Bgold%2Bglobe&amp;qid=1755228715&amp;sprefix=sconce%2Bgold%2Bglobe%2Caps%2C207&amp;sr=8-10&amp;th=1" TargetMode="External"/><Relationship Id="rId121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5" Type="http://schemas.openxmlformats.org/officeDocument/2006/relationships/hyperlink" Target="https://www.amazon.com/Nostalgic-Carnival-quantities-available-Salbree/dp/B07PFLGX6L/ref=sxin_15_pa_sp_search_thematic_sspa?content-id=amzn1.sym.f9443d6b-1d0e-4264-9353-033e179ddf47%3Aamzn1.sym.f9443d6b-1d0e-4264-9353-033e179ddf47&amp;crid=QAZK3DVEKCPG&amp;cv_ct_cx=Popcorn%2Bbag&amp;keywords=Popcorn%2Bbag&amp;pd_rd_i=B07PFLGX6L&amp;pd_rd_r=903f85be-7b9e-4052-ae37-aed60c036c81&amp;pd_rd_w=1HD80&amp;pd_rd_wg=kJ9rh&amp;pf_rd_p=f9443d6b-1d0e-4264-9353-033e179ddf47&amp;pf_rd_r=Y75CTN4CW4S6MMZD1PNQ&amp;qid=1755267756&amp;sbo=RZvfv%2F%2FHxDF%2BO5021pAnSA%3D%3D&amp;sprefix=popcorn%2Bbag%2Caps%2C202&amp;sr=1-20-f853d353-bf33-45e7-b5c2-2cb2b31abc9b-spons&amp;xpid=-Ya_fsLXGBXca&amp;sp_csd=d2lkZ2V0TmFtZT1zcF9zZWFyY2hfdGhlbWF0aWM&amp;th=1" TargetMode="External"/><Relationship Id="rId120" Type="http://schemas.openxmlformats.org/officeDocument/2006/relationships/hyperlink" Target="https://www.samsclub.com/p/hotel-premier-collection-king-pillow-by-members-mark/prod21023976?xid=plp_product_3" TargetMode="External"/><Relationship Id="rId28" Type="http://schemas.openxmlformats.org/officeDocument/2006/relationships/hyperlink" Target="https://www.disneystore.com/mickey-mouse-plush-medium-17-34-412312273353.html?isProductSearch=1&amp;searchType=regular" TargetMode="External"/><Relationship Id="rId27" Type="http://schemas.openxmlformats.org/officeDocument/2006/relationships/hyperlink" Target="https://www.amazon.com/Outdoor-Commercial-Plastic-Decoration-Backyard/dp/B088QYGPKV/ref=sr_1_97_sspa?crid=1N53NRI7IUKI0&amp;dib=eyJ2IjoiMSJ9.DxFCpiTP2ZZLR8iDw34sEWcqOLGHRjEdcSoDn9BBbnW5ng4VWC_FK0BT3kyFuxyxF0VR6S0EGgKRAsCLxzBTzEJ0n1qbDT6PNTeCRm7UU5KfevgIpunRwwE2811Tkep2l95YPdIZx-jVYI0cjyPDEDIX-K0CeQm52wiCes2fZ5_5gvvMAt1ygFDzoOh02W06LWqADUcyB9nDHrQkP-sY8vqUk-r3e4314HdcxaDmTorqlterltBWZV3cw6bmuxrVq4Z2qFhvNfLbGDvj2Ck9NVrFUf_DaMD7SqkNOMbisXA.CcKBuFc8RoxkjlHTRtYTW263kUTWMPo9BpCVOEccmUM&amp;dib_tag=se&amp;keywords=cordon%2Bde%2Bluz&amp;qid=1755267967&amp;sprefix=cordon%2Bde%2Bluz%2B%2Caps%2C179&amp;sr=8-97-spons&amp;xpid=WG_vmrDAx6vy_&amp;sp_csd=d2lkZ2V0TmFtZT1zcF9hdGZfbmV4dA&amp;th=1" TargetMode="External"/><Relationship Id="rId125" Type="http://schemas.openxmlformats.org/officeDocument/2006/relationships/hyperlink" Target="https://www.amazon.com/Automatic-Machine-VIRFUN-Control-Halloween/dp/B0D91LLLW1/ref=sr_1_6?crid=2LQHRTCECJSDA&amp;dib=eyJ2IjoiMSJ9.Md46rl0LJLK2AMKYqGWEtCt0lFDDfZZ6ej0vhHYBDC2gOiE8TV_WT2e3iuYaEW2j2ywK6GQobfy1k0EmZ2HpYAeOwzqZi83G2KMVt-vkVYu2IPVCWjnpHU7sTNSnpdIvcV8PcO8Kl9qwMFJgNyzsa1y97mi_fSG7v60sDJ1_eKEIspxWr8m4AVNP-o0qzYFcJJ185r-xynfpKHeMnOuHk8vjNF3JD2p77lX--x78_kC07OT5fdUKJfsqOgY-z3JPhKuwhLh-uS3skSGzB7LUy9LD0QtC7Bu0_Zl9Fma0a0M.ln-xfsSA7BKJekTVI4YmJRETUOC8haaBnFgFJuZ1A24&amp;dib_tag=se&amp;keywords=maquina+de+fuma%C3%A7a+with+smoke+detecto+safe&amp;qid=1755123659&amp;sprefix=maquina+de+fuma%C3%A7a+with+smoke+detecto+safe%2Caps%2C87&amp;sr=8-6" TargetMode="External"/><Relationship Id="rId29" Type="http://schemas.openxmlformats.org/officeDocument/2006/relationships/hyperlink" Target="https://www.disneystore.com/minnie-mouse-plush-red-medium-17-34-412312273438.html" TargetMode="External"/><Relationship Id="rId124" Type="http://schemas.openxmlformats.org/officeDocument/2006/relationships/hyperlink" Target="https://www.amazon.com/Wizarding-World-Talking-Sorting-Phrases/dp/B08SVXG1XY/ref=sr_1_6?crid=1XLIMFBXBUMHQ&amp;dib=eyJ2IjoiMSJ9.AvUQLXfjvhHguXqC0u-Qa9fmvLYanj7k-LC59xdVArENk8tvnfY6y-s7T89CF-pv1BcYmrtcOMNcKQecqw5G_WUz8vL3FMhiIADqfB-k-xrEnA64xc8GKUkJ_6xqrNVDKjtnm22rsT9jDoNf4bAbY35G4tqJhmUJ8MDT8K2hKL5PjoojTArKjXoqQMYw-BibgG8xu6P3PxQlV_VC-WO6306JalUcysY5wlRYJ0inDPazd-v-90p5GyV3V7H4FJc6JYBUoC54TSVXtIVyeDuJCY9S-U7W8bk4EL1aMa6HGVw.KZJMHCLrmR6rqXM7Wsi8-A0guUxAAiBq-Y9eiOtK2LQ&amp;dib_tag=se&amp;keywords=Vassoura+harry+potter&amp;qid=1755123486&amp;sprefix=vassoura+harry+potte%2Caps%2C113&amp;sr=8-6" TargetMode="External"/><Relationship Id="rId123" Type="http://schemas.openxmlformats.org/officeDocument/2006/relationships/hyperlink" Target="https://www.amazon.com/Potter-Nimbus-Costume-Accessory-Length/dp/B07KWY4CYK/ref=sr_1_2?crid=1XLIMFBXBUMHQ&amp;dib=eyJ2IjoiMSJ9.AvUQLXfjvhHguXqC0u-Qa9fmvLYanj7k-LC59xdVArENk8tvnfY6y-s7T89CF-pv1BcYmrtcOMNcKQecqw5G_WUz8vL3FMhiIADqfB-k-xrEnA64xc8GKUkJ_6xqrNVDKjtnm22rsT9jDoNf4bAbY35G4tqJhmUJ8MDT8K2hKL5PjoojTArKjXoqQMYw-BibgG8xu6P3PxQlV_VC-WO6306JalUcysY5wlRYJ0inDPazd-v-90p5GyV3V7H4FJc6JYBUoC54TSVXtIVyeDuJCY9S-U7W8bk4EL1aMa6HGVw.KZJMHCLrmR6rqXM7Wsi8-A0guUxAAiBq-Y9eiOtK2LQ&amp;dib_tag=se&amp;keywords=Vassoura+harry+potter&amp;qid=1755123486&amp;sprefix=vassoura+harry+potte%2Caps%2C113&amp;sr=8-2" TargetMode="External"/><Relationship Id="rId122" Type="http://schemas.openxmlformats.org/officeDocument/2006/relationships/hyperlink" Target="https://www.amazon.com/Jaenmsa-Operated-Rechargeable-Detachable-Fireplace/dp/B0F2FWRQD5/ref=sr_1_2_sspa?crid=21DR21DVISING&amp;dib=eyJ2IjoiMSJ9.kWUUZTZ3Jxd3LXouunwkdAlAElusB-LEX7OVu44A2w47IIBn7ZUYFIjWg2YPKY_fgdOWB7EC8jZvLX11CTFLZJkcNDMwk_Zi3Gg7uOVvOMHlRPLsbxuMnkpTmvbcJeUY8jgaaOTSBmYyHNKTpzs2XxYYKryClE4jdqdgcnUqYYqd-mm3DYCgrqBQz-x56ANrSRFlNz7FpQ7XfBx7zz6mJ-KWQGF1RpV1obqnL78cvMJnVGYyht9DZp01FgBJqE9kyR5hm_eUsFK3tiokOdQvH5AtGtoLk_zgoSMxnCTDmco.SsgtbluRmt0Ha314VafYtKfErM2YtMU21N9leK-iX-Q&amp;dib_tag=se&amp;keywords=sconce&amp;qid=1755117903&amp;sprefix=sconce%2Caps%2C300&amp;sr=8-2-spons&amp;sp_csd=d2lkZ2V0TmFtZT1zcF9hdGY&amp;th=1" TargetMode="External"/><Relationship Id="rId95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94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97" Type="http://schemas.openxmlformats.org/officeDocument/2006/relationships/hyperlink" Target="https://www.amazon.com/Chandelier-Pendant-Lighting-Semi-Flush-Ceiling/dp/B0B97R6VVH/ref=sr_1_12?crid=PV9AJR9PSERW&amp;dib=eyJ2IjoiMSJ9.Fc6LB82HCy4T5kk62mcJtYSqF5LhKoFRYH6TGVfmLhmGOF98AzX-D2N6ZzBRkeIeDNfyDudpnesDfLlQDpkn9N-GCUvgbuppay7E9xzGcxylJqtGmARQXg7EgreYwNqc4FOHMKQRwj7kj5CH77iGskIwK-HkmsDEMGP_uW0drOcuNH8l1hUT2WazHwsmrSeWevhKVsFO5rHbRC_xXeoCeDkagIA3Nd-6MT31BoOO4ycwpJJ-VwK6imWxF0kM5nHVUYRtqKU-dk6q7-3gIyfdxkgmLbK42XdJPTeh8GLO-ZA.5jBeeaC17MAjMFKd2-Azn-8sqo5W8mJM7UXESA9ZGbE&amp;dib_tag=se&amp;keywords=Chandelier%2Bgold%2Bglobe&amp;qid=1753300447&amp;s=hi&amp;sprefix=chandelier%2Bgold%2Bglobe%2Ctools%2C124&amp;sr=1-12&amp;th=1" TargetMode="External"/><Relationship Id="rId96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1" Type="http://schemas.openxmlformats.org/officeDocument/2006/relationships/hyperlink" Target="https://www.amazon.com/EXTCCT-Wall-Mount-Stick-Holder/dp/B0BXDB76VZ/ref=sr_1_1_sspa?dib=eyJ2IjoiMSJ9.YlIxAx0jTx1O6U_cPvtvzNziWRbWx-HOc1cX3YcTiyynzyFdgH68Ppd9n8QdjFtzj3Ru_AKWD6Uyt3tls1ul3aNpdO3I8LBRx16BVkKgqNc_6dl7aej6lhCQYW82wq6_Gnrg_JmBVUK_xFbAJvqlmTpBr2yrpX727_wTG1LnWs330UwcTrzdgvxXlch256LCzOLfRKdoCWdoqA9lBbtAB8q6mEtQ3E_z8BxKZQCZYM0TokhKhTksFFmE7IPlFjjSNQQgt9cLyxnHiZKTqKCkJ9WgBUlhPKJyrvUm9otLzqI.gGujIaaxd7tw1TYF6nX4BEgNhhrJMMDYlg_yEj2KbBA&amp;dib_tag=se&amp;keywords=Billiard%2Bpool%2Bwall%2Bmount&amp;qid=1754939757&amp;sr=8-1-spons&amp;sp_csd=d2lkZ2V0TmFtZT1zcF9hdGY&amp;th=1" TargetMode="External"/><Relationship Id="rId99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10" Type="http://schemas.openxmlformats.org/officeDocument/2006/relationships/hyperlink" Target="https://www.amazon.com/Zihoi-Chandelier-3000k-6000K-Adjustable-Temperature/dp/B0D59QNRTB?th=1" TargetMode="External"/><Relationship Id="rId98" Type="http://schemas.openxmlformats.org/officeDocument/2006/relationships/hyperlink" Target="https://www.amazon.com/dp/B015QL1KMY?ref=fed_asin_title&amp;th=1" TargetMode="External"/><Relationship Id="rId13" Type="http://schemas.openxmlformats.org/officeDocument/2006/relationships/hyperlink" Target="https://www.amazon.com/dp/B088F2G8W7/ref=sspa_dk_detail_1?pf_rd_p=386c274b-4bfe-4421-9052-a1a56db557ab&amp;pf_rd_r=YJJP4GZS0R1K4GN4Q298&amp;pd_rd_wg=PKXiT&amp;pd_rd_w=VD48n&amp;content-id=amzn1.sym.386c274b-4bfe-4421-9052-a1a56db557ab&amp;pd_rd_r=e9227480-0733-4cec-99ce-8a27d0454b36&amp;sp_csd=d2lkZ2V0TmFtZT1zcF9kZXRhaWxfdGhlbWF0aWM&amp;th=1" TargetMode="External"/><Relationship Id="rId12" Type="http://schemas.openxmlformats.org/officeDocument/2006/relationships/hyperlink" Target="https://www.amazon.com/EastPoint-Sports-Masterton-Billiard-Deluxe/dp/B0B98ZSZ53/ref=sr_1_14?crid=2DCE6QNDZOIOD&amp;dib=eyJ2IjoiMSJ9.DFvBSqJWtresdahs2a_NhVqzLvOO1h2kgd0SwrWaNkC10cq1NU6cl9_ViRYiiFNbpXmKZqVykQDH9GiMgqVmFenv9oF-Cn7FE_Siqn55EnmIdU5n9BwoYtPC2GKBR0Ro7dJ5ewRKExCK3KzgRnIzsoG99EruFyJ8EMRbzN1GhofdxF1Fxk65B73zLMwIho39Eh6TQCkccTM0RDTvTnc0YHNCSFbuN98sJbwhGvQXMGk.3aRY86vGL0hxvP4_GLwgemOkbpUKHzAEik-Ky1261K4&amp;dib_tag=se&amp;keywords=Billiard+Table&amp;qid=1753285232&amp;sprefix=billiard+table%2Caps%2C110&amp;sr=8-14" TargetMode="External"/><Relationship Id="rId91" Type="http://schemas.openxmlformats.org/officeDocument/2006/relationships/hyperlink" Target="https://www.amazon.com/CGK-Unlimited-Kids-Sheet-Princess/dp/B08KL2XKR4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" TargetMode="External"/><Relationship Id="rId90" Type="http://schemas.openxmlformats.org/officeDocument/2006/relationships/hyperlink" Target="https://www.amazon.com/CGK-Unlimited-Kids-Sheet-Princess/dp/B08KWW1D1M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" TargetMode="External"/><Relationship Id="rId93" Type="http://schemas.openxmlformats.org/officeDocument/2006/relationships/hyperlink" Target="https://www.amazon.com/Linenspa-Premium-Smooth-Mattress-Protector/dp/B00MW4ZK8O/ref=sr_1_4?crid=3A6LPKIBLY46E&amp;dib=eyJ2IjoiMSJ9.koxMFNoF0bsW1Kvru2xkgw.yJ7KbD2c6tmhmA0KNZjiwpdH6gAhtpHABxTZqD3vOmE&amp;dib_tag=se&amp;keywords=B00MW4ZK8O&amp;qid=1732931461&amp;s=home-garden&amp;sprefix=b00mw4zk8o%2Cgarden%2C140&amp;sr=1-4" TargetMode="External"/><Relationship Id="rId92" Type="http://schemas.openxmlformats.org/officeDocument/2006/relationships/hyperlink" Target="https://www.amazon.com/Zinus-Mattress-Fiberglass-Pressure-Certified/dp/B0CKYZCVXK/ref=sr_1_1?crid=2J6X2ZSDX3TMC&amp;dib=eyJ2IjoiMSJ9.pSjjvAlhT8sGkV1Jj3QNiw.7haS_hu_Q39orLBD09cpa7OlL48EPYs6gdXqiSyNbVQ&amp;dib_tag=se&amp;keywords=B0CKYZCVXK&amp;qid=1732931420&amp;s=home-garden&amp;sprefix=b0ckyzcvxk%2Cgarden%2C119&amp;sr=1-1" TargetMode="External"/><Relationship Id="rId118" Type="http://schemas.openxmlformats.org/officeDocument/2006/relationships/hyperlink" Target="https://www.amazon.com/Bedsure-Fleece-Blanket-Lightweight-Microfiber/dp/B06XHXSXRT/ref=sr_1_1_sspa?crid=3J8G40CXVG1H3&amp;dib=eyJ2IjoiMSJ9.YFQ-fwrDEXmE7kAc6vrSXWJcXw7-dHqlfURk0y7v-E4mkBMg2aDqfrrGg832bi47HplXTbpe4oJrBCo0u5RvliG5o_I6mdLvtotuM-qroRlebY7bqao-ypZujPAkekzkssVnfv5amanisl6yD8w4CLN4e0HPIk0hoimnONtmgAGS08j-45wnRYJOHcU4ds3bvnhdbWuYyB6HVAEgNrnWEvsxaXZ8Vsi694glS7jPAulF8ncuYmC4QZSarfA-3556M6yfWGEsYmsOX5PcD0BvX6Bd6WXtJtV63i_Yiw90Cyw.9JPlJZBf9gGxcjzpKpBc8k7HyqoMXurFQKi0Wq05SPw&amp;dib_tag=se&amp;keywords=Bedding%2BGrey%2BFleece%2BBlanket&amp;qid=1755098148&amp;s=home-garden&amp;sprefix=bedding%2Bgrey%2Bfleece%2Bblanket%2Cgarden%2C91&amp;sr=1-1-spons&amp;sp_csd=d2lkZ2V0TmFtZT1zcF9hdGY&amp;th=1" TargetMode="External"/><Relationship Id="rId117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116" Type="http://schemas.openxmlformats.org/officeDocument/2006/relationships/hyperlink" Target="https://www.amazon.com/dp/B015QL1KMY?ref=fed_asin_title&amp;th=1" TargetMode="External"/><Relationship Id="rId115" Type="http://schemas.openxmlformats.org/officeDocument/2006/relationships/hyperlink" Target="https://www.amazon.com/Chandeliers-12-Light-Farmhouse-Adjustable-Chandelier/dp/B095741WD4/ref=sr_1_2_sspa?crid=1PLRNZAGVNJ15&amp;dib=eyJ2IjoiMSJ9.2MxhosPqP34Ni_qs3CUIzf3xZpMT3Po0LAGB-XcIX2B2VOGcigI1Klukovl6FUsknKRR-0O5kn-QHDpbu2_6waiVryxxH2GIkIWlnjSfKzq0gyAXU4YMVCnIZq1_OET-QYZzbPmJy5y5J-Jcx9dw_mfdBgR1e2lEl20AWFZBHMyoiPzjbB6suU4odqAP8mpXi2OKmteN9nTMBaKY-zMQpsBQy0u7gSlZc-BPJ2e0azkDMqdeK62s9BRdsEADyYG4Bpm3By94sVIH6simvRxSiK1YePdXptK7dPJP2RZe57g.qSRiHrNdgsCotSE2bx4sP9uXZSu9YHVb9ihRHHhd-iw&amp;dib_tag=se&amp;keywords=chandelier%2Bgold&amp;qid=1753302710&amp;s=hi&amp;sprefix=chandelier%2Bgold%2Ctools%2C150&amp;sr=1-2-spons&amp;sp_csd=d2lkZ2V0TmFtZT1zcF9hdGY&amp;th=1" TargetMode="External"/><Relationship Id="rId119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15" Type="http://schemas.openxmlformats.org/officeDocument/2006/relationships/hyperlink" Target="https://www.amazon.com/Realead-Artificial-Olive-Tree-8ft/dp/B0DFXV9QRN/ref=sr_1_4?crid=32DHSWZ988SEX&amp;dib=eyJ2IjoiMSJ9.TkjBdKG1s6Tky_Efk6jDOvbDXL1XgxOPwiddjHpFr95vzClN-YImwsmYznYDlPnfpTsr5AMVOTf1gp26blnw8SyWQqxF31YewwlKJ0fkdpSJfXYd9UFwz2IXdCEdrRdmV-v_SELwrxXGW4pCfQf14-JUWodb--H_5Ujg4WE_ziaqNLye5p2IXfCegH_jxk8ov4v9R2ti4DEUqtv8jgmfrl4cwB4lpRt1DI6Dubro-2Y.cvxl_Eor-JnCpiEo-srA-eIhdyGzjYWN3YG0KDYi5Xg&amp;dib_tag=se&amp;keywords=allstate%2Bfloral%2B98%22%2Bolive%2BLF%2BTree&amp;qid=1753382810&amp;sprefix=allstate%2Bfloral%2B98%2Bolive%2Blf%2Btree%2Caps%2C91&amp;sr=8-4&amp;th=1" TargetMode="External"/><Relationship Id="rId110" Type="http://schemas.openxmlformats.org/officeDocument/2006/relationships/hyperlink" Target="https://www.amazon.com/dp/B084QJ2MY5/ref=twister_B0814B6D9G?_encoding=UTF8&amp;th=1" TargetMode="External"/><Relationship Id="rId14" Type="http://schemas.openxmlformats.org/officeDocument/2006/relationships/hyperlink" Target="https://www.amazon.com/Tom-Ford-002/dp/0847864375/ref=sr_1_3?crid=2L18AWGUK6MFG&amp;dib=eyJ2IjoiMSJ9.3sHuhmoihQLtqiMTnlpx7KaY38gHPXdNjyk6dyr5bkhi-4y1xLAEN3cHJnj87ZgAaz0SZAV9xm0GqIgT4E29QEqQXm9JKhrsxx4gBaypI-UReVP-xU0eXtdxrWVOy11OquNAsmnikpmXXGBCvkYD6EijVg1pWbHfSXF9u-9GkVCpUDA2jItBCH8juRr9ljHvWyo77Eg3hMvVD9z9pal5y26zq8zVr9lPz0h2Ai8pDYCwV9hlpo885vhoqgjUWhJhZj5D9Pq4DT4WXMX60ThJ0y8IiFS0_COiNfoa10--LuY._NKDTAOeMJU-sfNtARoekkLB5GWuOV2hSOZlF_ru5ls&amp;dib_tag=se&amp;keywords=decor+book+tom+ford&amp;qid=1755199146&amp;sprefix=decor+book+tom+ford%2Caps%2C116&amp;sr=8-3" TargetMode="External"/><Relationship Id="rId17" Type="http://schemas.openxmlformats.org/officeDocument/2006/relationships/hyperlink" Target="https://www.amazon.com/LightingWill-Downlight-Directional-3000K-3500K-Equivalent/dp/B01KZJ8F34/ref=sr_1_5?crid=BD1IFCJUWVY&amp;dib=eyJ2IjoiMSJ9.gucbm69BYM-iG_Dvwj1gvw.v7LL3mw6WIzLCgqkSHKiUjD9sNow7PlSUsNZ7hVecwE&amp;dib_tag=se&amp;keywords=B01KZJ8F34&amp;qid=1730669541&amp;sprefix=b01kzj8f34%2Caps%2C149&amp;sr=8-5&amp;th=1" TargetMode="External"/><Relationship Id="rId16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19" Type="http://schemas.openxmlformats.org/officeDocument/2006/relationships/hyperlink" Target="https://www.amazon.com/dp/B0DWJYBM1D/ref=sspa_dk_detail_4?psc=1&amp;pd_rd_i=B0DWJYBM1D&amp;pd_rd_w=i3FtB&amp;content-id=amzn1.sym.386c274b-4bfe-4421-9052-a1a56db557ab&amp;pf_rd_p=386c274b-4bfe-4421-9052-a1a56db557ab&amp;pf_rd_r=ZC1M8K0F6N557E1V9WJM&amp;pd_rd_wg=DP2Rg&amp;pd_rd_r=68cffc65-e887-4fc5-8425-c6c2a535da83&amp;sp_csd=d2lkZ2V0TmFtZT1zcF9kZXRhaWxfdGhlbWF0aWM" TargetMode="External"/><Relationship Id="rId114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8" Type="http://schemas.openxmlformats.org/officeDocument/2006/relationships/hyperlink" Target="https://www.amazon.com/Jessruly-Shape-Sorter-Montessori-Educational/dp/B0CQCZWG5Y/ref=sr_1_2_sspa?crid=1KG222Q2F0M15&amp;dib=eyJ2IjoiMSJ9.N72AtaXLpLNiNazck0vxrQ.U2_p5t1Wgdhix3uSwcw_F3RH7hIQ2mxunKKqedpb1FU&amp;dib_tag=se&amp;keywords=B0CQCZWG5Y&amp;qid=1732922805&amp;sprefix=b0cqczwg5y%2Caps%2C163&amp;sr=8-2-spons&amp;sp_csd=d2lkZ2V0TmFtZT1zcF9tdGY&amp;psc=1" TargetMode="External"/><Relationship Id="rId113" Type="http://schemas.openxmlformats.org/officeDocument/2006/relationships/hyperlink" Target="https://www.amazon.com/Linenspa-Premium-Smooth-Mattress-Protector/dp/B00MW50754/ref=sr_1_4?crid=H6CK3IZKRQC8&amp;dib=eyJ2IjoiMSJ9.koxMFNoF0bsW1Kvru2xkgw.yJ7KbD2c6tmhmA0KNZjiwpdH6gAhtpHABxTZqD3vOmE&amp;dib_tag=se&amp;keywords=B00MW4ZK8O&amp;qid=1733011724&amp;s=home-garden&amp;sprefix=b00mw4zk8o%2Cgarden%2C115&amp;sr=1-4&amp;th=1" TargetMode="External"/><Relationship Id="rId112" Type="http://schemas.openxmlformats.org/officeDocument/2006/relationships/hyperlink" Target="https://www.amazon.com/dp/B0CKYZHV5D/ref=twister_B0D679J2GX?_encoding=UTF8&amp;psc=1" TargetMode="External"/><Relationship Id="rId111" Type="http://schemas.openxmlformats.org/officeDocument/2006/relationships/hyperlink" Target="https://www.samsclub.com/p/serta-perfect-sleeper-comfy-sleep-eco-friendly-bed-pillow/P03008074" TargetMode="External"/><Relationship Id="rId84" Type="http://schemas.openxmlformats.org/officeDocument/2006/relationships/hyperlink" Target="https://www.amazon.com/Waterproof-flameless-Flickering-Operated-Decoration/dp/B0CGX7DKHL/ref=pd_day0fbt_hardlines_d_sccl_2/137-7602536-0262240?pd_rd_w=yn293&amp;content-id=amzn1.sym.06aea998-aa9c-454e-b467-b476407c7977&amp;pf_rd_p=06aea998-aa9c-454e-b467-b476407c7977&amp;pf_rd_r=V1JAF7QY7QYT4BC7DP92&amp;pd_rd_wg=oZNDy&amp;pd_rd_r=cc060eec-0eda-441b-89a7-bdde7ba84c34&amp;pd_rd_i=B0CGX7DKHL&amp;th=1" TargetMode="External"/><Relationship Id="rId83" Type="http://schemas.openxmlformats.org/officeDocument/2006/relationships/hyperlink" Target="https://www.amazon.com/dp/B0DRNZSTTM/ref=sspa_dk_detail_3?pd_rd_i=B0D5Y19JGG&amp;pd_rd_w=xhrMu&amp;content-id=amzn1.sym.7446a9d1-25fe-4460-b135-a60336bad2c9&amp;pf_rd_p=7446a9d1-25fe-4460-b135-a60336bad2c9&amp;pf_rd_r=W8T9VEYCE3RWP1HD9J3K&amp;pd_rd_wg=7npaQ&amp;pd_rd_r=f6fc4ca0-756a-40ae-8510-a383eb120a6a&amp;sp_csd=d2lkZ2V0TmFtZT1zcF9kZXRhaWw&amp;th=1" TargetMode="External"/><Relationship Id="rId86" Type="http://schemas.openxmlformats.org/officeDocument/2006/relationships/hyperlink" Target="https://www.amazon.com/dp/B0826958VL/ref=sspa_dk_hqp_detail_aax_0?sp_csd=d2lkZ2V0TmFtZT1zcF9ocXBfc2hhcmVk&amp;th=1" TargetMode="External"/><Relationship Id="rId85" Type="http://schemas.openxmlformats.org/officeDocument/2006/relationships/hyperlink" Target="https://www.amazon.com/dp/B08268F64V/ref=sspa_dk_hqp_detail_aax_0?sp_csd=d2lkZ2V0TmFtZT1zcF9ocXBfc2hhcmVk&amp;th=1" TargetMode="External"/><Relationship Id="rId88" Type="http://schemas.openxmlformats.org/officeDocument/2006/relationships/hyperlink" Target="https://www.amazon.com/dp/B08D76K38L/ref=twister_B08D73XHF4?_encoding=UTF8&amp;th=1" TargetMode="External"/><Relationship Id="rId150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87" Type="http://schemas.openxmlformats.org/officeDocument/2006/relationships/hyperlink" Target="https://www.samsclub.com/p/serta-perfect-sleeper-comfy-sleep-eco-friendly-bed-pillow/P03008074" TargetMode="External"/><Relationship Id="rId89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80" Type="http://schemas.openxmlformats.org/officeDocument/2006/relationships/hyperlink" Target="https://www.amazon.com/Artificial-Wisteria-Garland-Wedding-Outdoor/dp/B09NQWCP2R/ref=sr_1_49?crid=2HXYG6PXVRMWI&amp;dib=eyJ2IjoiMSJ9.cct-IRqd6Wk5i2TRy-e-BG4Xz697LZx_RpWwkMfzffkb6EGsxZctMY5kSuyI3X0C5fM_4zdmdR3oen0f1Jc6tRqKvev4et4SnURKo3Ivw-TFshjxxuw3XhkUssUeQBux-THtZO7NPItfPXui2JzFLs1auxLY1DUrJqGf1Zesqa4j8flkizp4a-vlxzluLixvf9FIhprCYTbzc3AKi-KzXqG4pnjlgR0Yh3gBAldbAJ-H1eJmGVY2Ptkw9fHNm_tEULjDaV4ZSv8HdsKSjNPcHWKV2tM_t8Eetk6BoxknVCo.gU8dJ_RJxXokCld5dyauXg3TJpw7zNbNBWHqoiO0iPg&amp;dib_tag=se&amp;keywords=Rapunzel%2Bdecor&amp;qid=1755220845&amp;sprefix=rapunzel%2Bdecor%2Caps%2C128&amp;sr=8-49&amp;xpid=3jTMdVnc8y_P2&amp;th=1" TargetMode="External"/><Relationship Id="rId82" Type="http://schemas.openxmlformats.org/officeDocument/2006/relationships/hyperlink" Target="https://www.amazon.com/PONKING-Artificial-Flowers-Hanging-Garland/dp/B08861KXR2/ref=sr_1_53?crid=2HXYG6PXVRMWI&amp;dib=eyJ2IjoiMSJ9.vgtQeofO606hWMZp5-AGl8tTkdNGmLYsS2fiU20zXl3kylglJCO52yW_rH7Z-snWr1qL7EIwW7mTXaNCqOFZ-r7pBm-Ek0idYs1YsAlKCfo.pbS2yeeU4SSafKuAJpQ_7qykX0UV6vn2mJrG1FTbGRE&amp;dib_tag=se&amp;keywords=Rapunzel+decor&amp;qid=1755220845&amp;sprefix=rapunzel+decor%2Caps%2C128&amp;sr=8-53&amp;xpid=3jTMdVnc8y_P2" TargetMode="External"/><Relationship Id="rId81" Type="http://schemas.openxmlformats.org/officeDocument/2006/relationships/hyperlink" Target="https://www.amazon.com/Artificial-Wisteria-Garland-Wedding-Outdoor/dp/B08R3GZNJ8/ref=sr_1_49?crid=2HXYG6PXVRMWI&amp;dib=eyJ2IjoiMSJ9.cct-IRqd6Wk5i2TRy-e-BG4Xz697LZx_RpWwkMfzffkb6EGsxZctMY5kSuyI3X0C5fM_4zdmdR3oen0f1Jc6tRqKvev4et4SnURKo3Ivw-TFshjxxuw3XhkUssUeQBux-THtZO7NPItfPXui2JzFLs1auxLY1DUrJqGf1Zesqa4j8flkizp4a-vlxzluLixvf9FIhprCYTbzc3AKi-KzXqG4pnjlgR0Yh3gBAldbAJ-H1eJmGVY2Ptkw9fHNm_tEULjDaV4ZSv8HdsKSjNPcHWKV2tM_t8Eetk6BoxknVCo.gU8dJ_RJxXokCld5dyauXg3TJpw7zNbNBWHqoiO0iPg&amp;dib_tag=se&amp;keywords=Rapunzel%2Bdecor&amp;qid=1755220845&amp;sprefix=rapunzel%2Bdecor%2Caps%2C128&amp;sr=8-49&amp;xpid=3jTMdVnc8y_P2&amp;th=1" TargetMode="External"/><Relationship Id="rId1" Type="http://schemas.openxmlformats.org/officeDocument/2006/relationships/hyperlink" Target="https://www.amazon.com/PLUS-Haven-Backing-Welcome-Beautiful/dp/B07THN5B78/ref=sr_1_1_sspa?crid=1FHMQ7PAK6PVX&amp;dib=eyJ2IjoiMSJ9.lz18oYd6nfRxC3mDGRvEoA.lKoaKxaGsxj8EqFMjHiy2n_Plu-jv6ixNNrlrgGXs4M&amp;dib_tag=se&amp;keywords=B07THN5B78&amp;qid=1744306256&amp;sprefix=%2Caps%2C129&amp;sr=8-1-spons&amp;sp_csd=d2lkZ2V0TmFtZT1zcF9hdGY&amp;th=1" TargetMode="External"/><Relationship Id="rId2" Type="http://schemas.openxmlformats.org/officeDocument/2006/relationships/hyperlink" Target="https://www.amazon.com/LightingWill-Downlight-Directional-3000K-3500K-Equivalent/dp/B01KZJ8F34/ref=sr_1_5?crid=BD1IFCJUWVY&amp;dib=eyJ2IjoiMSJ9.gucbm69BYM-iG_Dvwj1gvw.v7LL3mw6WIzLCgqkSHKiUjD9sNow7PlSUsNZ7hVecwE&amp;dib_tag=se&amp;keywords=B01KZJ8F34&amp;qid=1730669541&amp;sprefix=b01kzj8f34%2Caps%2C149&amp;sr=8-5&amp;th=1" TargetMode="External"/><Relationship Id="rId3" Type="http://schemas.openxmlformats.org/officeDocument/2006/relationships/hyperlink" Target="https://amzn.to/41mWVzy" TargetMode="External"/><Relationship Id="rId149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4" Type="http://schemas.openxmlformats.org/officeDocument/2006/relationships/hyperlink" Target="https://amzn.to/47g087J" TargetMode="External"/><Relationship Id="rId148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9" Type="http://schemas.openxmlformats.org/officeDocument/2006/relationships/hyperlink" Target="https://amzn.to/40RBoPs" TargetMode="External"/><Relationship Id="rId143" Type="http://schemas.openxmlformats.org/officeDocument/2006/relationships/hyperlink" Target="https://www.ikea.com/us/en/p/snoerpa-pedal-bin-stainless-steel-10511208/" TargetMode="External"/><Relationship Id="rId142" Type="http://schemas.openxmlformats.org/officeDocument/2006/relationships/hyperlink" Target="https://www.ikea.com/us/en/p/bolmen-toilet-brush-holder-white-40574435/" TargetMode="External"/><Relationship Id="rId141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40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5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47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6" Type="http://schemas.openxmlformats.org/officeDocument/2006/relationships/hyperlink" Target="https://amzn.to/4lmFUN7" TargetMode="External"/><Relationship Id="rId146" Type="http://schemas.openxmlformats.org/officeDocument/2006/relationships/hyperlink" Target="https://www.amazon.com/Lemonfilter-Artificial-Eucalyptus-Decorative-Decoration/dp/B09B9P9M8L/ref=sr_1_1?crid=14Z0A1V06IASZ&amp;dib=eyJ2IjoiMSJ9.PsC2HhBzVuhMeyaHLcozkQ.HN1vPpI3caYOG7xs2Z29rQ4Qhn2vyxa4e3m_myxonI8&amp;dib_tag=se&amp;keywords=B09B9P9M8L&amp;qid=1733015486&amp;s=home-garden&amp;sprefix=b09b9p9m8l%2Cgarden%2C116&amp;sr=1-1" TargetMode="External"/><Relationship Id="rId7" Type="http://schemas.openxmlformats.org/officeDocument/2006/relationships/hyperlink" Target="https://amzn.to/40W9guq" TargetMode="External"/><Relationship Id="rId145" Type="http://schemas.openxmlformats.org/officeDocument/2006/relationships/hyperlink" Target="https://www.amazon.com/Zitalupy-T-Shape-Towel-Rack-Countertop/dp/B0D232RB1V/ref=sr_1_1?crid=38VXXCTPNMBLB&amp;dib=eyJ2IjoiMSJ9.uJASzIuTkOKswAQDAkkmbQ.bUvBQVQ-w8fjmm4swr0NbJSIO_SMUn5GX_fvW9_wP98&amp;dib_tag=se&amp;keywords=B0D232RB1V&amp;qid=1733015470&amp;s=home-garden&amp;sprefix=b0d232rb1v%2Cgarden%2C116&amp;sr=1-1" TargetMode="External"/><Relationship Id="rId8" Type="http://schemas.openxmlformats.org/officeDocument/2006/relationships/hyperlink" Target="https://amzn.to/40WW2xA" TargetMode="External"/><Relationship Id="rId144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73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72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75" Type="http://schemas.openxmlformats.org/officeDocument/2006/relationships/hyperlink" Target="https://www.samsclub.com/p/hotel-premier-collection-king-pillow-by-members-mark/prod21023976?xid=plp_product_3" TargetMode="External"/><Relationship Id="rId74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77" Type="http://schemas.openxmlformats.org/officeDocument/2006/relationships/hyperlink" Target="https://www.amazon.com/Saint-Mossi-Contemporary-K9-Chandelier/dp/B00YSMM5PO/ref=sr_1_11?crid=16QCPZRL6QWXL&amp;dib=eyJ2IjoiMSJ9.7e9gGjY_77UDyTdp5TcZSrO4lxsd38A1JA7gKmxqmtcR0g7v1YVrKOU-rvGfui_dYpCpfAMI5hQ0ShJOy_jgWjSZduX8PZYMmISj-rzD46koMsQHveJZzVui6nEMW4fFoZo3mFZ058rPBmlJjhog__3cbM9rTopTQutQJUc1EfJw6RI4D3ighr4qdAm7pRbt55c4OiGi9I1UvTa8a3TQ4UD627ovY5ALIX8B7oYKQsI.kEI2vhpxGVi3YG83VQPTnTjzpRCu7Eada8MklDQG7cY&amp;dib_tag=se&amp;keywords=chandelier%2Bcrystal%2Bprincess&amp;qid=1753298570&amp;sprefix=chandelier%2Bcrystal%2Bprinces%2Caps%2C123&amp;sr=8-11&amp;th=1" TargetMode="External"/><Relationship Id="rId76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79" Type="http://schemas.openxmlformats.org/officeDocument/2006/relationships/hyperlink" Target="https://www.amazon.com/Sweetcrispy-Standing-Aluminum-Suitable-Cloakroom/dp/B0DNSYCD38/ref=sr_1_79?dib=eyJ2IjoiMSJ9.9vHoxgb7VnIqoSVwC19evsxiqirqeNHVD98lYB0Y01ffL4kcOKaWkEJB0CApw6DmK7jO-6QrMHBuAHYX6lctWDSZvmLchVWgYpJP4xV6GggiJrwniLe7OzKoZQ9CnSg38Wsx79YZ5CNVUgz2Hzy8i8V1sIF4AqZ58q9-5sOASLyDXtOljJlb7Oh-7PsFtf9_U4UW_OXndXVvP88W-Xz5_DCRRD5EFIdfQJQIZwJjxsAy7gxDMCJhwrGwmCsdkOpsEYZIygFZlIaBDjMQzjaJgOVY5tXbKpHdEU8-Vn_xLIA.oo1YpT2fjhqKph7OQsezF5sjvQ-C8d-a2zi6Z9FGM8k&amp;dib_tag=se&amp;keywords=Mirror%2Brustic&amp;qid=1754572487&amp;sr=8-79&amp;xpid=hdqbOpLMWpQkx&amp;th=1" TargetMode="External"/><Relationship Id="rId78" Type="http://schemas.openxmlformats.org/officeDocument/2006/relationships/hyperlink" Target="https://www.amazon.com/Disney-Animators-Collection-Rapunzel-Doll/dp/B07MFZRXD8/ref=sr_1_1_sspa?dib=eyJ2IjoiMSJ9.lXVYmCM4w9VJA3eQ3EWoJx5YFK9a4MNAuKhrZdHcxcHyNRNeFQbgh_Q5u560NQ79YaEBRB9g4UGL0N_5YnnAoTQqYhHVNchY4XAcvqkQHLJU-JNb4pLm-kd3K_22p_gCM24U9a7G4FCC93Z2vrTFkQPR4cVyzoqqW-LWZph0FiBPkkcejJ20KT1dKNN1EXnx3LKcbOiemtRto3mIdUrBFD7XrQ4P9he8uTj1ULATOMCgPsWSGCp21fdHYvkglgtufwCkkV7YvytVQQyF5nRiotwS2olvcy60Xn7ZGvJiHLI.yxKgdkMavte1pMkAybqbG6xNZySSUGdOYHoNPEj0vCU&amp;dib_tag=se&amp;keywords=Rapunzel%2Bdoll&amp;qid=1755220265&amp;sr=8-1-spons&amp;sp_csd=d2lkZ2V0TmFtZT1zcF9hdGY&amp;th=1" TargetMode="External"/><Relationship Id="rId71" Type="http://schemas.openxmlformats.org/officeDocument/2006/relationships/hyperlink" Target="https://www.amazon.com/dp/B015QL1KMY?ref=fed_asin_title&amp;th=1" TargetMode="External"/><Relationship Id="rId70" Type="http://schemas.openxmlformats.org/officeDocument/2006/relationships/hyperlink" Target="https://www.amazon.com/MEIXISUE-Chandelier-Fixtures-6-Lights-Industrial/dp/B09DV3P1GY/ref=sr_1_7?crid=184LEVEAN92B9&amp;dib=eyJ2IjoiMSJ9.NGwRxp2wu6S-Hqq9YHuId9s-26cBo44aIyDE5VCoakVF7vC5x6UZY0EXm_7kaobc_wugtjCEjSBCtJGxwFeUkr-b5gYm6TgWwTHrNAcVqFt5IvtG_Xo11hNpiMBFPAAtXp64Kmp3YMORqRrhoHhUi8vcnPLRnsOt_zr7LC4KKejKqOdD8-88A-wRsGl-JRjdCA35aofEgRg51_QRAhIyQnCQtGc5c5uS3vWnCj0QjoybISe2GqI3YTrtmkzlxF4RhTossk61tzu86wPkOE7QmfYqFLncvw09LSKz7xQ8h54.bPvJ_VViKJ7sp0FVzxpGiDlelQyffwVFKO7vaQq9r5I&amp;dib_tag=se&amp;keywords=chandelier%2Bgold&amp;qid=1753298224&amp;sprefix=chandelier%2Bgold%2Caps%2C124&amp;sr=8-7&amp;th=1" TargetMode="External"/><Relationship Id="rId139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138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137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32" Type="http://schemas.openxmlformats.org/officeDocument/2006/relationships/hyperlink" Target="https://www.amazon.com/dp/B07K7GCT7P?ref=fed_asin_title&amp;th=1" TargetMode="External"/><Relationship Id="rId131" Type="http://schemas.openxmlformats.org/officeDocument/2006/relationships/hyperlink" Target="https://www.amazon.com/dp/B07HRW97Q8?ref=fed_asin_title&amp;th=11" TargetMode="External"/><Relationship Id="rId130" Type="http://schemas.openxmlformats.org/officeDocument/2006/relationships/hyperlink" Target="https://www.amazon.com/dp/B08QBB427C?ref=fed_asin_title&amp;th=1" TargetMode="External"/><Relationship Id="rId136" Type="http://schemas.openxmlformats.org/officeDocument/2006/relationships/hyperlink" Target="https://www.amazon.com/dp/B00MW50754/ref=twister_B0CYCRVKD1?_encoding=UTF8&amp;th=1" TargetMode="External"/><Relationship Id="rId135" Type="http://schemas.openxmlformats.org/officeDocument/2006/relationships/hyperlink" Target="https://www.amazon.com/Zinus-Mattress-Fiberglass-Pressure-Certified/dp/B0CKYZHV5D/ref=sr_1_2?crid=7D5IY68A6CPY&amp;dib=eyJ2IjoiMSJ9.pSjjvAlhT8sGkV1Jj3QNiw.7haS_hu_Q39orLBD09cpa7OlL48EPYs6gdXqiSyNbVQ&amp;dib_tag=se&amp;keywords=B0CKYZCVXK&amp;qid=1733014694&amp;sprefix=b0ckyzcvxk%2Caps%2C134&amp;sr=8-2&amp;th=1" TargetMode="External"/><Relationship Id="rId134" Type="http://schemas.openxmlformats.org/officeDocument/2006/relationships/hyperlink" Target="https://www.amazon.com/Paladone-Harry-Potter-Hogwarts-Control/dp/B09XN5SQ9R/ref=sxin_25_sbv_search_btf?content-id=amzn1.sym.c8b39f81-ded8-4d75-80c2-6dfa03cbb699%3Aamzn1.sym.c8b39f81-ded8-4d75-80c2-6dfa03cbb699&amp;crid=2SFY5ND4DQD03&amp;cv_ct_cx=Harry+potter+deco&amp;keywords=Harry+potter+deco&amp;pd_rd_i=B09XN5SQ9R&amp;pd_rd_r=a7da7f7e-6fb9-41bf-9742-d4b2cedfcc05&amp;pd_rd_w=cdOSM&amp;pd_rd_wg=VlsLS&amp;pf_rd_p=c8b39f81-ded8-4d75-80c2-6dfa03cbb699&amp;pf_rd_r=QDRV4XDAR9H0V1WAN6GN&amp;qid=1755204783&amp;s=home-garden&amp;sbo=RZvfv%2F%2FHxDF%2BO5021pAnSA%3D%3D&amp;sprefix=harry+potter+deco%2Cgarden%2C129&amp;sr=1-1-5190daf0-67e3-427c-bea6-c72c1df98776" TargetMode="External"/><Relationship Id="rId133" Type="http://schemas.openxmlformats.org/officeDocument/2006/relationships/hyperlink" Target="https://www.amazon.com/Utopia-Bedding-Decorative-Pillow-Insert/dp/B0714K41PB/ref=sr_1_3?crid=QGYMSV9TEXL5&amp;dib=eyJ2IjoiMSJ9.0vMYWtCt3WzBtrQqPkG46H8qWSQZ8o_MrVO2DRXJnjfHFBFp8hHSxDLVst_TZ1jJNJddKBgPxoaFNUk22oO7x7sCJC8ubNgdB6w6moAOrJsRBMonclQu99t2jeZyR9PbmTQDc9E4ym_yRE61TaSda-Mw8NbEkYgS8DUd3OetkQ_UjxvDMwDYRyPHl31hA22_xMFZrq0yXiv8vq74qgISLQ78oVNd4ncF9lFH1c_-MXg.JN1YZHUmtDHJs8m1QF02oFmiBrU7TU_A5EaaDvhNnTw&amp;dib_tag=se&amp;keywords=Pillow%2Binsert&amp;qid=1753303850&amp;sprefix=pillow%2Binser%2Caps%2C154&amp;sr=8-3&amp;th=1" TargetMode="External"/><Relationship Id="rId62" Type="http://schemas.openxmlformats.org/officeDocument/2006/relationships/hyperlink" Target="https://www.amazon.com/dp/B0BPC8J34J/ref=sspa_dk_detail_2?pd_rd_i=B0CMH69FH3&amp;pd_rd_w=De2cd&amp;content-id=amzn1.sym.386c274b-4bfe-4421-9052-a1a56db557ab&amp;pf_rd_p=386c274b-4bfe-4421-9052-a1a56db557ab&amp;pf_rd_r=XS6NGRFSAJM98YEKAM3A&amp;pd_rd_wg=ovTXA&amp;pd_rd_r=76fe6fb8-2144-4e88-96cc-7c500a2c7032&amp;sp_csd=d2lkZ2V0TmFtZT1zcF9kZXRhaWxfdGhlbWF0aWM&amp;th=1" TargetMode="External"/><Relationship Id="rId61" Type="http://schemas.openxmlformats.org/officeDocument/2006/relationships/hyperlink" Target="https://www.amazon.com/dp/B0DL6VMCCN/ref=sspa_dk_detail_4?pd_rd_i=B0DL6VMCCN&amp;pd_rd_w=2WBlm&amp;content-id=amzn1.sym.386c274b-4bfe-4421-9052-a1a56db557ab&amp;pf_rd_p=386c274b-4bfe-4421-9052-a1a56db557ab&amp;pf_rd_r=VA3617MTK73R7KPD6SA0&amp;pd_rd_wg=CKmke&amp;pd_rd_r=579739ca-a518-4998-874f-c3fc1dba4b9f&amp;s=toys-and-games&amp;sp_csd=d2lkZ2V0TmFtZT1zcF9kZXRhaWxfdGhlbWF0aWM&amp;th=1" TargetMode="External"/><Relationship Id="rId64" Type="http://schemas.openxmlformats.org/officeDocument/2006/relationships/hyperlink" Target="https://www.amazon.com/Franco-Bedding-Reversible-Comforter-Despicable/dp/B0864VS6ZP/ref=sr_1_4?crid=3OZZ6Y17RV0GL&amp;dib=eyJ2IjoiMSJ9.gSHDrgfM6GNhcVYEMv5LGRa-Ndtz0wCmak2UTE9vA3cEFm_lr4DcZckVEUfXXX2p4oZHXVcWhLXQvEb9CD5Tdp3ftkjIMbiF-WT1V_BX5lUYkOoZJ9OFnIz82z8W-Dyvh98QqiSRBMGm0aeQ0bV4Jl3zOd5OJuSpDAGhX6Tbb_zdJCM9bMmWwNd8HiT5r4oM3-n8ikDUjN3ZB122NiSgVekH7E9U_Eue3YDzjgqg7wA.UHpt3sMxpoOQZ6dXi5DyMv-PMSX_lVgVtUXY3wfU6pQ&amp;dib_tag=se&amp;keywords=comforter+minions&amp;qid=1753302470&amp;sprefix=comforter+minions%2Caps%2C131&amp;sr=8-4" TargetMode="External"/><Relationship Id="rId63" Type="http://schemas.openxmlformats.org/officeDocument/2006/relationships/hyperlink" Target="https://www.amazon.com/Xprite-Emergency-Warning-Flashing-Forklift/dp/B07228HYPD/ref=sr_1_1_sspa?dib=eyJ2IjoiMSJ9.Iuo_aVcZi_v3T-fn_PqHipiMG0XzvTNLWAKJkMk8rkfbToNyEUrhXu_iWWfzH_pPnGjtagnyADki7FjzPB-4XFt6dz0twCbBgXqxB2CA2vt-Ext6oMXzyHO_Axo4TTMsugHXXhwpaOewZna4c-i8xOlCmNkCms5FeVfrI6XR2xfTENYE0OqS6cebI8e5bshIwKFW3wEV0_GjuGIRX7WBBu8pQnGfGusg67miQaziKCp3DuhC6zZJxOHmGIQco3LR9dJmxr-rbwTIFGqp5870shA7va5QQToxkI1BCn3yHG8.LQQBRFwFJubCizLUn154Ueuw-gkx2wb7WkaibS9ifCo&amp;dib_tag=se&amp;keywords=EMERGENCY%2BLIGHTING%2BORANGE&amp;qid=1755225485&amp;sr=8-1-spons&amp;sp_csd=d2lkZ2V0TmFtZT1zcF9hdGY&amp;th=1" TargetMode="External"/><Relationship Id="rId66" Type="http://schemas.openxmlformats.org/officeDocument/2006/relationships/hyperlink" Target="https://www.samsclub.com/p/serta-perfect-sleeper-comfy-sleep-eco-friendly-bed-pillow/P03008074" TargetMode="External"/><Relationship Id="rId172" Type="http://schemas.openxmlformats.org/officeDocument/2006/relationships/hyperlink" Target="https://www.amazon.com/Inflatable-Colorful-FlyfreeU-Changing-Floaties/dp/B0BW83TD8Q/ref=sr_1_5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5" TargetMode="External"/><Relationship Id="rId65" Type="http://schemas.openxmlformats.org/officeDocument/2006/relationships/hyperlink" Target="https://www.amazon.com/Full-Size-Piece-Sheet-Set/dp/B06X9MSPFQ/ref=sr_1_2_sspa?crid=1UZT6QQFGE4DY&amp;dib=eyJ2IjoiMSJ9.fxd-iThvAboR7K8pSJc_AQs3Sybmcimj5eHsDOtDKFn9rZFFlvT8rdMAd-5r7gz54guwSuZkcmUBlYAmBsjJeGZ8TJxd1AHdMBhw_vCWcuAMaZ4aWZ0l39JcJ_Mdw6eV-HMw2Cy9HplPLKuffevSAC1v17gUfFdKCfRo5RGOND9CtxIV7isl0qspLUsdkPE1K1XIC3pu6A4QkSNjk1A_2rcd-_3rQl6k4fSY3aHSfTxYNc9ZnVKGEANtgAQ1K6nycypPQ_JJw5MY_MvLMM0iRPxqKQr4Du6_PDihKMajw9A.JYEgDXc1Q1ETc0gqshIVamz6NmlXXJfebp-Cu8I994E&amp;dib_tag=se&amp;keywords=sheet%2Bset%2Bfull%2Bblue&amp;qid=1755226006&amp;sprefix=sheet%2Bset%2Bfull%2Bblu%2Caps%2C197&amp;sr=8-2-spons&amp;sp_csd=d2lkZ2V0TmFtZT1zcF9hdGY&amp;th=1" TargetMode="External"/><Relationship Id="rId171" Type="http://schemas.openxmlformats.org/officeDocument/2006/relationships/hyperlink" Target="https://www.lowes.com/pd/Breezary-65-in-Satin-Nickel-Color-changing-Indoor-Chandelier-Ceiling-Fan-with-Light-and-Remote-5-Blade/5015042397" TargetMode="External"/><Relationship Id="rId68" Type="http://schemas.openxmlformats.org/officeDocument/2006/relationships/hyperlink" Target="https://www.amazon.com/Linenspa-Premium-Smooth-Mattress-Protector/dp/B00MW50754/ref=sr_1_4?crid=3A6LPKIBLY46E&amp;dib=eyJ2IjoiMSJ9.koxMFNoF0bsW1Kvru2xkgw.yJ7KbD2c6tmhmA0KNZjiwpdH6gAhtpHABxTZqD3vOmE&amp;dib_tag=se&amp;keywords=B00MW4ZK8O&amp;qid=1732931461&amp;s=home-garden&amp;sprefix=b00mw4zk8o%2Cgarden%2C140&amp;sr=1-4&amp;th=1" TargetMode="External"/><Relationship Id="rId170" Type="http://schemas.openxmlformats.org/officeDocument/2006/relationships/hyperlink" Target="https://www.amazon.com/LEPOWER-Certified-Waterproof-Adjustable-Entryways/dp/B07P6QXB66/ref=sr_1_5?crid=ZMZ3BJWM8V0I&amp;dib=eyJ2IjoiMSJ9.BqkxDogbJdcUO6Wu-4d3yg.7HMmG5pgyP0HvNXDq8NxvHWyzSbggiVOESyWwb3mgao&amp;dib_tag=se&amp;keywords=B07P6QXB66&amp;qid=1733021940&amp;sprefix=b07p6qxb66%2Caps%2C283&amp;sr=8-5" TargetMode="External"/><Relationship Id="rId67" Type="http://schemas.openxmlformats.org/officeDocument/2006/relationships/hyperlink" Target="https://www.amazon.com/Zinus-Mattress-Fiberglass-Pressure-Certified/dp/B0CKYZHV5D/ref=sr_1_1?crid=2J6X2ZSDX3TMC&amp;dib=eyJ2IjoiMSJ9.pSjjvAlhT8sGkV1Jj3QNiw.7haS_hu_Q39orLBD09cpa7OlL48EPYs6gdXqiSyNbVQ&amp;dib_tag=se&amp;keywords=B0CKYZCVXK&amp;qid=1732931420&amp;s=home-garden&amp;sprefix=b0ckyzcvxk%2Cgarden%2C119&amp;sr=1-1&amp;th=1" TargetMode="External"/><Relationship Id="rId60" Type="http://schemas.openxmlformats.org/officeDocument/2006/relationships/hyperlink" Target="https://www.amazon.com/dp/B08XNM4QRY/ref=sspa_dk_detail_3?pf_rd_p=f2f1cf8f-cab4-44dc-82ba-0ca811fb90cc&amp;pf_rd_r=JSKXFYYZMN7TY4BZ55Z1&amp;pd_rd_wg=Xd86H&amp;pd_rd_w=Sw0mk&amp;content-id=amzn1.sym.f2f1cf8f-cab4-44dc-82ba-0ca811fb90cc&amp;pd_rd_r=305a34e0-e9b0-4b4d-9dff-2cfa89108ada&amp;sp_csd=d2lkZ2V0TmFtZT1zcF9kZXRhaWxfdGhlbWF0aWM&amp;th=1" TargetMode="External"/><Relationship Id="rId165" Type="http://schemas.openxmlformats.org/officeDocument/2006/relationships/hyperlink" Target="https://www.amazon.com/MIULEE-Decorative-Waterproof-Polyester-Farmhouse/dp/B0CJ984L1V/ref=sr_1_1?crid=3W0GAXKEQJAJU&amp;dib=eyJ2IjoiMSJ9.ekCnOUwN44bbZE4E0k_7EA.ckTqfyt-F9tnWDR03V85FI583B9XXP3Yy5l7jvuvs-U&amp;dib_tag=se&amp;keywords=B0CJ984L1V&amp;qid=1732913858&amp;sprefix=b096z5ht2g%2Caps%2C211&amp;sr=8-1" TargetMode="External"/><Relationship Id="rId69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64" Type="http://schemas.openxmlformats.org/officeDocument/2006/relationships/hyperlink" Target="https://www.amazon.com/XXPILOS-Outdoor-Pillows-Waterproof-Furniture/dp/B0D1VJWFBC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163" Type="http://schemas.openxmlformats.org/officeDocument/2006/relationships/hyperlink" Target="https://www.amazon.com/MIULEE-Outdoor-Waterproof-Decorative-Rectangle/dp/B0CL8V7BL8/ref=sr_1_7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+outdoor+pillow&amp;qid=1733020695&amp;sprefix=rectangle+outdoor+pillo%2Caps%2C175&amp;sr=8-7" TargetMode="External"/><Relationship Id="rId162" Type="http://schemas.openxmlformats.org/officeDocument/2006/relationships/hyperlink" Target="https://www.amazon.com/XXPILOS-Outdoor-Pillows-Waterproof-Furniture/dp/B0D1VL9DT3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169" Type="http://schemas.openxmlformats.org/officeDocument/2006/relationships/hyperlink" Target="https://www.amazon.com/dp/B0DZHNT3XG?ref=fed_asin_title&amp;th=1" TargetMode="External"/><Relationship Id="rId168" Type="http://schemas.openxmlformats.org/officeDocument/2006/relationships/hyperlink" Target="https://www.wayfair.com/outdoor/pdp/lark-manor-alyah-rectangular-8-person-838-long-aluminum-dining-set-w004770254.html?piid=526125330" TargetMode="External"/><Relationship Id="rId167" Type="http://schemas.openxmlformats.org/officeDocument/2006/relationships/hyperlink" Target="https://www.wayfair.com/outdoor/pdp/wade-logan-caggiano-7756-long-reclining-chaise-lounges-w005616407.html?piid=1113835958" TargetMode="External"/><Relationship Id="rId166" Type="http://schemas.openxmlformats.org/officeDocument/2006/relationships/hyperlink" Target="https://www.amazon.com/OTOSTAR-Premium-Waterproof-Inserts-Cushion/dp/B096M19N4F/ref=pd_lpo_d_sccl_2/137-7602536-0262240?pd_rd_w=OXkhj&amp;content-id=amzn1.sym.4c8c52db-06f8-4e42-8e56-912796f2ea6c&amp;pf_rd_p=4c8c52db-06f8-4e42-8e56-912796f2ea6c&amp;pf_rd_r=363BVXXQJBGMD6VRJHMS&amp;pd_rd_wg=cYREh&amp;pd_rd_r=5cbc3e44-6cc5-4a98-b4fa-17adccd37fd4&amp;pd_rd_i=B096M19N4F&amp;psc=1" TargetMode="External"/><Relationship Id="rId51" Type="http://schemas.openxmlformats.org/officeDocument/2006/relationships/hyperlink" Target="https://www.amazon.com/dp/B0125Q7KKY?ref=fed_asin_title&amp;th=1" TargetMode="External"/><Relationship Id="rId50" Type="http://schemas.openxmlformats.org/officeDocument/2006/relationships/hyperlink" Target="https://www.amazon.com/RUIYEY-Chandeliers-Chandelier-Fixtures-Adjustable/dp/B0CHDS3QCK/ref=sr_1_8?crid=2D8A49LSJM3VY&amp;dib=eyJ2IjoiMSJ9.RxHjPgeSgeHbBlWIumaYQLV04TMEAA8BKW_7o3fu5rLc14SnHPETNaZVXKCf3QEM5A4trb72pvb9STiIAMhdpVF5fD4K8sKX02PEI9o5Uj754pd9-SRRhr9AXPL86A_1I0b13NL7wPWbtdNR2i7jUtrrvda9b9pD6Ccfg3oYyree42RQZmqK_-aLjg72JVgZfHmDTEE-NToGNvaz99sekKedyIqG-ceJ4FpI1y76oaQ.PQHomhVhLZHhzu0dVayrz_QKg5b8-_7egNwFfhUHrbM&amp;dib_tag=se&amp;keywords=chandelier%2Bgold&amp;qid=1753288146&amp;sprefix=chandelier%2Bgold%2Caps%2C210&amp;sr=8-8&amp;th=1" TargetMode="External"/><Relationship Id="rId53" Type="http://schemas.openxmlformats.org/officeDocument/2006/relationships/hyperlink" Target="https://www.amazon.com/Utopia-Bedding-Lightweight-Anti-Static-Microfiber/dp/B0C96GF9WL/ref=sr_1_1?crid=383UJKEGU2FGV&amp;dib=eyJ2IjoiMSJ9.5nzTNC1n0sXC2GyCY_YfyQ.2tyw4ZNbgUyaxh36XbD11fe2bdMDrTcLjHk_oTq8Iqc&amp;dib_tag=se&amp;keywords=B0BH7XT3HZ&amp;qid=1732929936&amp;s=home-garden&amp;sprefix=b0bh7xt3hz%2Cgarden%2C180&amp;sr=1-1&amp;th=1" TargetMode="External"/><Relationship Id="rId52" Type="http://schemas.openxmlformats.org/officeDocument/2006/relationships/hyperlink" Target="https://www.amazon.com/Maple-Stone-Lightweight-Bedspread-Ultrasonic/dp/B09P3NKL53/ref=sr_1_4?crid=377AXPAV0SOM4&amp;dib=eyJ2IjoiMSJ9.zRdClDQKwezdn-FACpTStA.pphEu0U7rGS-ICFY_S0gaU_oAwnA9OohNkgAmnCVPjA&amp;dib_tag=se&amp;keywords=B09P3NKL53&amp;qid=1732929920&amp;s=home-garden&amp;sprefix=b09p3nkl53%2Cgarden%2C105&amp;sr=1-4" TargetMode="External"/><Relationship Id="rId55" Type="http://schemas.openxmlformats.org/officeDocument/2006/relationships/hyperlink" Target="https://www.samsclub.com/p/serta-perfect-sleeper-comfy-sleep-eco-friendly-bed-pillow/P03008074" TargetMode="External"/><Relationship Id="rId161" Type="http://schemas.openxmlformats.org/officeDocument/2006/relationships/hyperlink" Target="https://www.homedepot.com/p/FURUISI-4-in-Center-set-Double-Handle-Gooseneck-High-Arc-Bathroom-Faucet-with-Drain-Kit-in-Matte-Gold-39H35G/336026318?MERCH=REC-_-pip_alternatives-_-319946123-_-7-_-n/a-_-n/a-_-n/a-_-n/a-_-n/a" TargetMode="External"/><Relationship Id="rId54" Type="http://schemas.openxmlformats.org/officeDocument/2006/relationships/hyperlink" Target="https://www.amazon.com/LINENSPA-Premium-Mattress-Protector-Breathable/dp/B00MW50FKG/ref=sr_1_2?crid=1U8DG37WXFUBH&amp;dib=eyJ2IjoiMSJ9.HROsvOOmvsaYsvQs-R1zMA.05_YtPHquDVFay0C1cW_g5EHYk1zf-q3pdFYJd6N9pw&amp;dib_tag=se&amp;keywords=B00MW50FKG&amp;qid=1732930004&amp;s=home-garden&amp;sprefix=b00mw50fkg%2Cgarden%2C117&amp;sr=1-2" TargetMode="External"/><Relationship Id="rId160" Type="http://schemas.openxmlformats.org/officeDocument/2006/relationships/hyperlink" Target="https://www.build.com/product/summary/1870905?uid=4420169&amp;jmtest=gg-gbav2_4420169&amp;inv2=1&amp;&amp;source=gg-gba-pla_4420169!c1707632300!a68158366538!dc!ng&amp;gad_source=1&amp;gclid=Cj0KCQiAouG5BhDBARIsAOc08RRj8RwinBNi5FpT_lmQ2ICWNKTkoCxOAl6Voqo6eB_W_nEcRzkh9IgaAogWEALw_wcB&amp;gclsrc=aw.ds" TargetMode="External"/><Relationship Id="rId57" Type="http://schemas.openxmlformats.org/officeDocument/2006/relationships/hyperlink" Target="https://www.amazon.com/Franco-Minions-Bedding-Official-Product/dp/B0BQ4WXTY6/ref=sr_1_2?crid=1YWTFS5XO59ZJ&amp;dib=eyJ2IjoiMSJ9.HVIm2oqW42rKf9ggRDZFvy06_j1RytfAHlVYsy26YHRUBBz6QKf_GsPOrpY3vOi0dI1R1y-gn-LdWivYmtmsMBYuPpjiyfffKDj4IBwR-uxQir3bUMtagWJHMg8Wlf4FgzW_8z0bVHUVwVWa5jLp98voLGpFg_WhBhXEnWTAt8r5JMZM-knSc3DGqpYlsA9UqsoBMAXs99_WowsWTeVkx0wDgi1FxyZ6iMLMpcNekSufRU5hUjBQtkpql1qvdl60RSKLSA5B_NyrshAXgh5-fVXzzdKjY2jiBKS8UsY4uk8.isf8_zIxMBiyb6xkOnePKXUnBA0VfQ8uXLnPVR1ZrNU&amp;dib_tag=se&amp;keywords=minions+plush&amp;qid=1755226512&amp;sprefix=minions+plus%2Caps%2C196&amp;sr=8-2" TargetMode="External"/><Relationship Id="rId56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59" Type="http://schemas.openxmlformats.org/officeDocument/2006/relationships/hyperlink" Target="https://www.amazon.com/Keonjinn-Bathroom-Farmhouse-Rectangle-Horizontal/dp/B0D7ZLNNBX/ref=sr_1_2_sspa?crid=1AINBAJ99DBBJ&amp;dib=eyJ2IjoiMSJ9.gJOPG5rLDVGF7SSqP4EsgTeXWYx4cw1mUEzInruOXxCe5fqlEuOjOoZWuoDevw_BidC1CmYqZq3dKk2womYagzNVEz2jZ6atEFBzCnGQvZ4jHtsjpMlQ0RAYrsnjBkrPyZF8g7KRdpgVaky7MpXAaFbNEVnTCdPn7nbgHEgDTEm9eum14c291FUVB4MfwSfWjkVzhB2uAeUdEgv7fEMtGKpc0vXuW-JKM9cClvNNcrO92pst7j40ncdUy4MsSl1Eojq0MWt3rc-27n8jitYgGAAJwrCQ2Dv07qgIWvz9Ads.iWdxyyu_8MCGBMv49MH0Z7MqPcc69lzTNbt3n6-4bvQ&amp;dib_tag=se&amp;keywords=30x40+gold+mirror&amp;qid=1755027445&amp;sprefix=Mirror+gold+30%2Caps%2C135&amp;sr=8-2-spons&amp;sp_csd=d2lkZ2V0TmFtZT1zcF9hdGY&amp;psc=11" TargetMode="External"/><Relationship Id="rId59" Type="http://schemas.openxmlformats.org/officeDocument/2006/relationships/hyperlink" Target="https://www.amazon.com/dp/B082ST1RN6/ref=sspa_dk_detail_3?psc=1&amp;pf_rd_p=386c274b-4bfe-4421-9052-a1a56db557ab&amp;pf_rd_r=6HYXFMAM106WYM6XTE3X&amp;pd_rd_wg=joT65&amp;pd_rd_w=yhgaT&amp;content-id=amzn1.sym.386c274b-4bfe-4421-9052-a1a56db557ab&amp;pd_rd_r=ed65aaf3-9426-4578-90d2-79dbf187fc01&amp;sp_csd=d2lkZ2V0TmFtZT1zcF9kZXRhaWxfdGhlbWF0aWM" TargetMode="External"/><Relationship Id="rId154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58" Type="http://schemas.openxmlformats.org/officeDocument/2006/relationships/hyperlink" Target="https://www.amazon.com/BOB-The-MINION-PILLOW-PET/dp/B0CTR8FPP8/ref=sr_1_10?crid=1YWTFS5XO59ZJ&amp;dib=eyJ2IjoiMSJ9.HVIm2oqW42rKf9ggRDZFvy06_j1RytfAHlVYsy26YHRUBBz6QKf_GsPOrpY3vOi0dI1R1y-gn-LdWivYmtmsMBYuPpjiyfffKDj4IBwR-uxQir3bUMtagWJHMg8Wlf4FgzW_8z0bVHUVwVWa5jLp98voLGpFg_WhBhXEnWTAt8r5JMZM-knSc3DGqpYlsA9UqsoBMAXs99_WowsWTeVkx0wDgi1FxyZ6iMLMpcNekSufRU5hUjBQtkpql1qvdl60RSKLSA5B_NyrshAXgh5-fVXzzdKjY2jiBKS8UsY4uk8.isf8_zIxMBiyb6xkOnePKXUnBA0VfQ8uXLnPVR1ZrNU&amp;dib_tag=se&amp;keywords=minions+plush&amp;qid=1755226512&amp;sprefix=minions+plus%2Caps%2C196&amp;sr=8-10" TargetMode="External"/><Relationship Id="rId153" Type="http://schemas.openxmlformats.org/officeDocument/2006/relationships/hyperlink" Target="https://www.ikea.com/us/en/p/snoerpa-pedal-bin-stainless-steel-10511208/" TargetMode="External"/><Relationship Id="rId152" Type="http://schemas.openxmlformats.org/officeDocument/2006/relationships/hyperlink" Target="https://www.ikea.com/us/en/p/bolmen-toilet-brush-holder-white-40574435/" TargetMode="External"/><Relationship Id="rId151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58" Type="http://schemas.openxmlformats.org/officeDocument/2006/relationships/hyperlink" Target="https://www.amazon.com/RRM-Bathroom-Standing-Reserve-Stainless/dp/B0BW899L3D/ref=sr_1_2_sspa?crid=13HJC7UAM7TYD&amp;dib=eyJ2IjoiMSJ9.0Y1DdR8ezVO64vhmdTUUXky0X2ptAoyjoVHdLrGFGtO9BNGgPM0P8lRtrT9-IiugtU8QwWRkzKznaHCoemVbpL-A5Vdl5K20JdY7kewru_8KMIz-5SerJQLUFF11INFL2L0LesOkj-FUrGZ477Eve7l7XJ4DNl77dLpRmOQWDQhpMLMPuAB6kHO06mAt9NLQ7MHA0hMjy98DQ5Rpnyg5zGTBEQz7V6zM9WGIigeTaEWy1tmG4tRz5pRi_ISgFecLBFJIyv_DietlJVBDh-oNhaL7NO4qsZDPzfvTKPgQR4k.6mKMVdCFmJSZsZVUtvnes9Gfc6blfK8_Mukkn6nqZig&amp;dib_tag=se&amp;keywords=Toilet%2BPaper%2BHolder%2BStand%2Bgold&amp;qid=1755025847&amp;s=home-garden&amp;sprefix=toilet%2Bpaper%2Bholder%2Bstand%2Bgold%2Cgarden%2C104&amp;sr=1-2-spons&amp;sp_csd=d2lkZ2V0TmFtZT1zcF9hdGY&amp;th=1" TargetMode="External"/><Relationship Id="rId157" Type="http://schemas.openxmlformats.org/officeDocument/2006/relationships/hyperlink" Target="https://www.amazon.com/Bathroom-Lightweight-Stainless-Waterproof-Organizer/dp/B0BHNJBRQT/ref=sr_1_12_sspa?crid=1V49NTQAHY7VA&amp;dib=eyJ2IjoiMSJ9.CLoWvVl2z2Nf7i5qOAOV198B20uQv9dS107kdXL0tn7t4pf1f6Clm2ACXdNrrh8Wx0zOMybP5TRSGqslRGwLeQDbZO-HYiH_MeA7InoFlb72syGsEBHO97hFEcrbfSsTGyvL5RMTTNm7gYzvP3kJ72Dxuv9x6WIOXzvWXeL0dJuW7Ya6IQk8SoUlh5_IK7xpDHx85Fire64iOr9NfLatdrKHDS-A4JsikyeNZiJ_CRw.sbE5uz5rXmhP172ZsUQIQ1SX8TNKItsY-EaVA1O18X8&amp;dib_tag=se&amp;keywords=hand%2Btowel%2Bstand&amp;qid=1738351931&amp;sprefix=hand%2Btowel%2Bstand%2Caps%2C123&amp;sr=8-12-spons&amp;sp_csd=d2lkZ2V0TmFtZT1zcF9tdGY&amp;th=1" TargetMode="External"/><Relationship Id="rId156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155" Type="http://schemas.openxmlformats.org/officeDocument/2006/relationships/hyperlink" Target="https://www.amazon.com/Zitalupy-T-Shape-Towel-Rack-Countertop/dp/B0D232RB1V/ref=sr_1_1?crid=MJLSJV5HRNPW&amp;dib=eyJ2IjoiMSJ9.uJASzIuTkOKswAQDAkkmbQ.bUvBQVQ-w8fjmm4swr0NbJSIO_SMUn5GX_fvW9_wP98&amp;dib_tag=se&amp;keywords=B0D232RB1V&amp;qid=1733015702&amp;s=home-garden&amp;sprefix=b0d232rb1v%2Cgarden%2C171&amp;sr=1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2" max="2" width="26.5"/>
    <col customWidth="1" min="3" max="3" width="28.13"/>
    <col customWidth="1" min="4" max="4" width="40.0"/>
    <col customWidth="1" min="5" max="5" width="18.63"/>
    <col customWidth="1" min="6" max="6" width="17.0"/>
    <col customWidth="1" min="8" max="8" width="25.63"/>
    <col customWidth="1" min="9" max="9" width="22.38"/>
    <col customWidth="1" min="10" max="10" width="20.38"/>
    <col customWidth="1" min="11" max="11" width="16.5"/>
    <col customWidth="1" min="12" max="12" width="25.25"/>
  </cols>
  <sheetData>
    <row r="1">
      <c r="A1" s="1"/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4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3"/>
      <c r="D4" s="3"/>
      <c r="E4" s="4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3"/>
      <c r="D5" s="3"/>
      <c r="E5" s="4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3"/>
      <c r="D6" s="3"/>
      <c r="E6" s="4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3"/>
      <c r="D7" s="3"/>
      <c r="E7" s="4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3"/>
      <c r="D8" s="3"/>
      <c r="E8" s="4"/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3"/>
      <c r="D9" s="3"/>
      <c r="E9" s="4"/>
      <c r="F9" s="3"/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3"/>
      <c r="D10" s="3"/>
      <c r="E10" s="4"/>
      <c r="F10" s="3"/>
      <c r="G10" s="3"/>
      <c r="H10" s="3"/>
      <c r="I10" s="3"/>
      <c r="J10" s="3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"/>
      <c r="C11" s="3"/>
      <c r="D11" s="3"/>
      <c r="E11" s="4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0</v>
      </c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7" t="s">
        <v>10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11</v>
      </c>
      <c r="C13" s="9" t="s">
        <v>12</v>
      </c>
      <c r="D13" s="10" t="s">
        <v>13</v>
      </c>
      <c r="E13" s="11" t="s">
        <v>14</v>
      </c>
      <c r="F13" s="12" t="s">
        <v>4</v>
      </c>
      <c r="G13" s="13">
        <v>1.0</v>
      </c>
      <c r="H13" s="14">
        <v>23.0</v>
      </c>
      <c r="I13" s="14">
        <f t="shared" ref="I13:I468" si="1">G13*H13</f>
        <v>23</v>
      </c>
      <c r="J13" s="14"/>
      <c r="K13" s="15"/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11</v>
      </c>
      <c r="C14" s="9" t="s">
        <v>15</v>
      </c>
      <c r="D14" s="10" t="s">
        <v>16</v>
      </c>
      <c r="E14" s="11" t="s">
        <v>14</v>
      </c>
      <c r="F14" s="17" t="s">
        <v>4</v>
      </c>
      <c r="G14" s="13">
        <v>1.0</v>
      </c>
      <c r="H14" s="14">
        <v>150.0</v>
      </c>
      <c r="I14" s="14">
        <f t="shared" si="1"/>
        <v>150</v>
      </c>
      <c r="J14" s="14"/>
      <c r="K14" s="18"/>
      <c r="L14" s="1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11</v>
      </c>
      <c r="C15" s="19" t="s">
        <v>17</v>
      </c>
      <c r="D15" s="20" t="s">
        <v>18</v>
      </c>
      <c r="E15" s="21" t="s">
        <v>19</v>
      </c>
      <c r="F15" s="17" t="s">
        <v>4</v>
      </c>
      <c r="G15" s="22">
        <v>1.0</v>
      </c>
      <c r="H15" s="23">
        <v>500.0</v>
      </c>
      <c r="I15" s="14">
        <f t="shared" si="1"/>
        <v>500</v>
      </c>
      <c r="J15" s="24"/>
      <c r="K15" s="25"/>
      <c r="L15" s="2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11</v>
      </c>
      <c r="C16" s="27" t="s">
        <v>20</v>
      </c>
      <c r="D16" s="28" t="s">
        <v>21</v>
      </c>
      <c r="E16" s="29" t="s">
        <v>14</v>
      </c>
      <c r="F16" s="17" t="s">
        <v>4</v>
      </c>
      <c r="G16" s="30">
        <v>2.0</v>
      </c>
      <c r="H16" s="31">
        <v>20.0</v>
      </c>
      <c r="I16" s="14">
        <f t="shared" si="1"/>
        <v>40</v>
      </c>
      <c r="J16" s="31"/>
      <c r="K16" s="32"/>
      <c r="L16" s="3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11</v>
      </c>
      <c r="C17" s="34" t="s">
        <v>22</v>
      </c>
      <c r="D17" s="20" t="s">
        <v>23</v>
      </c>
      <c r="E17" s="21" t="s">
        <v>14</v>
      </c>
      <c r="F17" s="17" t="s">
        <v>4</v>
      </c>
      <c r="G17" s="22">
        <v>2.0</v>
      </c>
      <c r="H17" s="23">
        <v>5.0</v>
      </c>
      <c r="I17" s="14">
        <f t="shared" si="1"/>
        <v>10</v>
      </c>
      <c r="J17" s="24"/>
      <c r="K17" s="25"/>
      <c r="L17" s="2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 t="s">
        <v>11</v>
      </c>
      <c r="C18" s="9" t="s">
        <v>12</v>
      </c>
      <c r="D18" s="10" t="s">
        <v>24</v>
      </c>
      <c r="E18" s="11" t="s">
        <v>14</v>
      </c>
      <c r="F18" s="12" t="s">
        <v>4</v>
      </c>
      <c r="G18" s="13">
        <v>3.0</v>
      </c>
      <c r="H18" s="14">
        <v>10.0</v>
      </c>
      <c r="I18" s="14">
        <f t="shared" si="1"/>
        <v>30</v>
      </c>
      <c r="J18" s="14"/>
      <c r="K18" s="18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11</v>
      </c>
      <c r="C19" s="35" t="s">
        <v>25</v>
      </c>
      <c r="D19" s="20" t="s">
        <v>26</v>
      </c>
      <c r="E19" s="21" t="s">
        <v>27</v>
      </c>
      <c r="F19" s="17" t="s">
        <v>4</v>
      </c>
      <c r="G19" s="22">
        <v>1.0</v>
      </c>
      <c r="H19" s="23">
        <v>210.0</v>
      </c>
      <c r="I19" s="14">
        <f t="shared" si="1"/>
        <v>210</v>
      </c>
      <c r="J19" s="24"/>
      <c r="K19" s="25"/>
      <c r="L19" s="2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 t="s">
        <v>11</v>
      </c>
      <c r="C20" s="36" t="s">
        <v>28</v>
      </c>
      <c r="D20" s="37" t="s">
        <v>29</v>
      </c>
      <c r="E20" s="38" t="s">
        <v>30</v>
      </c>
      <c r="F20" s="17" t="s">
        <v>4</v>
      </c>
      <c r="G20" s="39">
        <v>1.0</v>
      </c>
      <c r="H20" s="40">
        <v>0.0</v>
      </c>
      <c r="I20" s="14">
        <f t="shared" si="1"/>
        <v>0</v>
      </c>
      <c r="J20" s="41"/>
      <c r="K20" s="42"/>
      <c r="L20" s="4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11</v>
      </c>
      <c r="C21" s="34" t="s">
        <v>15</v>
      </c>
      <c r="D21" s="20" t="s">
        <v>31</v>
      </c>
      <c r="E21" s="21" t="s">
        <v>14</v>
      </c>
      <c r="F21" s="17" t="s">
        <v>4</v>
      </c>
      <c r="G21" s="22">
        <v>1.0</v>
      </c>
      <c r="H21" s="23">
        <v>150.0</v>
      </c>
      <c r="I21" s="14">
        <f t="shared" si="1"/>
        <v>150</v>
      </c>
      <c r="J21" s="24"/>
      <c r="K21" s="25"/>
      <c r="L21" s="2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" t="s">
        <v>11</v>
      </c>
      <c r="C22" s="35" t="s">
        <v>25</v>
      </c>
      <c r="D22" s="37" t="s">
        <v>32</v>
      </c>
      <c r="E22" s="38" t="s">
        <v>27</v>
      </c>
      <c r="F22" s="17" t="s">
        <v>4</v>
      </c>
      <c r="G22" s="44">
        <v>1.0</v>
      </c>
      <c r="H22" s="40">
        <v>17.0</v>
      </c>
      <c r="I22" s="14">
        <f t="shared" si="1"/>
        <v>17</v>
      </c>
      <c r="J22" s="41"/>
      <c r="K22" s="42"/>
      <c r="L22" s="4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" t="s">
        <v>33</v>
      </c>
      <c r="C23" s="9" t="s">
        <v>12</v>
      </c>
      <c r="D23" s="45" t="s">
        <v>34</v>
      </c>
      <c r="E23" s="11" t="s">
        <v>14</v>
      </c>
      <c r="F23" s="17" t="s">
        <v>4</v>
      </c>
      <c r="G23" s="13">
        <v>1.0</v>
      </c>
      <c r="H23" s="46">
        <v>45.0</v>
      </c>
      <c r="I23" s="14">
        <f t="shared" si="1"/>
        <v>45</v>
      </c>
      <c r="J23" s="14"/>
      <c r="K23" s="18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 t="s">
        <v>33</v>
      </c>
      <c r="C24" s="9" t="s">
        <v>12</v>
      </c>
      <c r="D24" s="45" t="s">
        <v>35</v>
      </c>
      <c r="E24" s="11" t="s">
        <v>14</v>
      </c>
      <c r="F24" s="17" t="s">
        <v>4</v>
      </c>
      <c r="G24" s="13">
        <v>1.0</v>
      </c>
      <c r="H24" s="46">
        <v>35.0</v>
      </c>
      <c r="I24" s="14">
        <f t="shared" si="1"/>
        <v>35</v>
      </c>
      <c r="J24" s="14"/>
      <c r="K24" s="18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 t="s">
        <v>33</v>
      </c>
      <c r="C25" s="9" t="s">
        <v>36</v>
      </c>
      <c r="D25" s="45" t="s">
        <v>37</v>
      </c>
      <c r="E25" s="11" t="s">
        <v>38</v>
      </c>
      <c r="F25" s="17" t="s">
        <v>4</v>
      </c>
      <c r="G25" s="13">
        <v>4.0</v>
      </c>
      <c r="H25" s="46">
        <v>149.0</v>
      </c>
      <c r="I25" s="14">
        <f t="shared" si="1"/>
        <v>596</v>
      </c>
      <c r="J25" s="14"/>
      <c r="K25" s="15" t="s">
        <v>39</v>
      </c>
      <c r="L25" s="47" t="s">
        <v>40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 t="s">
        <v>33</v>
      </c>
      <c r="C26" s="9" t="s">
        <v>41</v>
      </c>
      <c r="D26" s="45" t="s">
        <v>42</v>
      </c>
      <c r="E26" s="11" t="s">
        <v>14</v>
      </c>
      <c r="F26" s="17" t="s">
        <v>4</v>
      </c>
      <c r="G26" s="13">
        <v>1.0</v>
      </c>
      <c r="H26" s="46">
        <v>70.0</v>
      </c>
      <c r="I26" s="14">
        <f t="shared" si="1"/>
        <v>70</v>
      </c>
      <c r="J26" s="14"/>
      <c r="K26" s="18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8" t="s">
        <v>33</v>
      </c>
      <c r="C27" s="9" t="s">
        <v>12</v>
      </c>
      <c r="D27" s="45" t="s">
        <v>43</v>
      </c>
      <c r="E27" s="11" t="s">
        <v>14</v>
      </c>
      <c r="F27" s="17" t="s">
        <v>4</v>
      </c>
      <c r="G27" s="13">
        <v>1.0</v>
      </c>
      <c r="H27" s="46">
        <v>8.99</v>
      </c>
      <c r="I27" s="14">
        <f t="shared" si="1"/>
        <v>8.99</v>
      </c>
      <c r="J27" s="14"/>
      <c r="K27" s="18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 t="s">
        <v>33</v>
      </c>
      <c r="C28" s="9" t="s">
        <v>12</v>
      </c>
      <c r="D28" s="45" t="s">
        <v>44</v>
      </c>
      <c r="E28" s="11" t="s">
        <v>14</v>
      </c>
      <c r="F28" s="17" t="s">
        <v>4</v>
      </c>
      <c r="G28" s="13">
        <v>1.0</v>
      </c>
      <c r="H28" s="46">
        <v>11.99</v>
      </c>
      <c r="I28" s="14">
        <f t="shared" si="1"/>
        <v>11.99</v>
      </c>
      <c r="J28" s="14"/>
      <c r="K28" s="18"/>
      <c r="L28" s="1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" t="s">
        <v>33</v>
      </c>
      <c r="C29" s="9" t="s">
        <v>12</v>
      </c>
      <c r="D29" s="10" t="s">
        <v>45</v>
      </c>
      <c r="E29" s="11" t="s">
        <v>14</v>
      </c>
      <c r="F29" s="17" t="s">
        <v>4</v>
      </c>
      <c r="G29" s="13">
        <v>1.0</v>
      </c>
      <c r="H29" s="46">
        <v>15.0</v>
      </c>
      <c r="I29" s="14">
        <f t="shared" si="1"/>
        <v>15</v>
      </c>
      <c r="J29" s="14"/>
      <c r="K29" s="18"/>
      <c r="L29" s="1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 t="s">
        <v>33</v>
      </c>
      <c r="C30" s="9" t="s">
        <v>12</v>
      </c>
      <c r="D30" s="45" t="s">
        <v>46</v>
      </c>
      <c r="E30" s="11" t="s">
        <v>14</v>
      </c>
      <c r="F30" s="17" t="s">
        <v>4</v>
      </c>
      <c r="G30" s="13">
        <v>4.0</v>
      </c>
      <c r="H30" s="46">
        <v>89.0</v>
      </c>
      <c r="I30" s="14">
        <f t="shared" si="1"/>
        <v>356</v>
      </c>
      <c r="J30" s="14"/>
      <c r="K30" s="18"/>
      <c r="L30" s="1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8" t="s">
        <v>33</v>
      </c>
      <c r="C31" s="9" t="s">
        <v>12</v>
      </c>
      <c r="D31" s="45" t="s">
        <v>47</v>
      </c>
      <c r="E31" s="11" t="s">
        <v>14</v>
      </c>
      <c r="F31" s="17" t="s">
        <v>4</v>
      </c>
      <c r="G31" s="13">
        <v>4.0</v>
      </c>
      <c r="H31" s="46">
        <v>6.0</v>
      </c>
      <c r="I31" s="14">
        <f t="shared" si="1"/>
        <v>24</v>
      </c>
      <c r="J31" s="14"/>
      <c r="K31" s="18"/>
      <c r="L31" s="1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8" t="s">
        <v>33</v>
      </c>
      <c r="C32" s="9"/>
      <c r="D32" s="45" t="s">
        <v>48</v>
      </c>
      <c r="E32" s="11" t="s">
        <v>14</v>
      </c>
      <c r="F32" s="17" t="s">
        <v>4</v>
      </c>
      <c r="G32" s="13">
        <v>4.0</v>
      </c>
      <c r="H32" s="46">
        <v>80.0</v>
      </c>
      <c r="I32" s="14">
        <f t="shared" si="1"/>
        <v>320</v>
      </c>
      <c r="J32" s="14"/>
      <c r="K32" s="18"/>
      <c r="L32" s="1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8" t="s">
        <v>33</v>
      </c>
      <c r="C33" s="9" t="s">
        <v>15</v>
      </c>
      <c r="D33" s="45" t="s">
        <v>49</v>
      </c>
      <c r="E33" s="11" t="s">
        <v>14</v>
      </c>
      <c r="F33" s="17" t="s">
        <v>4</v>
      </c>
      <c r="G33" s="13">
        <v>1.0</v>
      </c>
      <c r="H33" s="46">
        <v>5.0</v>
      </c>
      <c r="I33" s="14">
        <f t="shared" si="1"/>
        <v>5</v>
      </c>
      <c r="J33" s="14"/>
      <c r="K33" s="18"/>
      <c r="L33" s="1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8" t="s">
        <v>33</v>
      </c>
      <c r="C34" s="9" t="s">
        <v>12</v>
      </c>
      <c r="D34" s="45" t="s">
        <v>50</v>
      </c>
      <c r="E34" s="11" t="s">
        <v>14</v>
      </c>
      <c r="F34" s="17" t="s">
        <v>4</v>
      </c>
      <c r="G34" s="13">
        <v>1.0</v>
      </c>
      <c r="H34" s="46">
        <v>24.0</v>
      </c>
      <c r="I34" s="14">
        <f t="shared" si="1"/>
        <v>24</v>
      </c>
      <c r="J34" s="14"/>
      <c r="K34" s="18"/>
      <c r="L34" s="1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8" t="s">
        <v>33</v>
      </c>
      <c r="C35" s="9" t="s">
        <v>12</v>
      </c>
      <c r="D35" s="45" t="s">
        <v>51</v>
      </c>
      <c r="E35" s="11" t="s">
        <v>14</v>
      </c>
      <c r="F35" s="17" t="s">
        <v>4</v>
      </c>
      <c r="G35" s="13">
        <v>1.0</v>
      </c>
      <c r="H35" s="46">
        <v>9.99</v>
      </c>
      <c r="I35" s="14">
        <f t="shared" si="1"/>
        <v>9.99</v>
      </c>
      <c r="J35" s="14"/>
      <c r="K35" s="18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8" t="s">
        <v>33</v>
      </c>
      <c r="C36" s="9" t="s">
        <v>12</v>
      </c>
      <c r="D36" s="45" t="s">
        <v>52</v>
      </c>
      <c r="E36" s="11" t="s">
        <v>14</v>
      </c>
      <c r="F36" s="17" t="s">
        <v>4</v>
      </c>
      <c r="G36" s="13">
        <v>1.0</v>
      </c>
      <c r="H36" s="46">
        <v>14.99</v>
      </c>
      <c r="I36" s="14">
        <f t="shared" si="1"/>
        <v>14.99</v>
      </c>
      <c r="J36" s="14"/>
      <c r="K36" s="18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8" t="s">
        <v>33</v>
      </c>
      <c r="C37" s="9" t="s">
        <v>15</v>
      </c>
      <c r="D37" s="45" t="s">
        <v>53</v>
      </c>
      <c r="E37" s="11" t="s">
        <v>14</v>
      </c>
      <c r="F37" s="17" t="s">
        <v>4</v>
      </c>
      <c r="G37" s="13">
        <v>1.0</v>
      </c>
      <c r="H37" s="46">
        <v>50.0</v>
      </c>
      <c r="I37" s="14">
        <f t="shared" si="1"/>
        <v>50</v>
      </c>
      <c r="J37" s="14"/>
      <c r="K37" s="18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8" t="s">
        <v>33</v>
      </c>
      <c r="C38" s="9" t="s">
        <v>15</v>
      </c>
      <c r="D38" s="45" t="s">
        <v>54</v>
      </c>
      <c r="E38" s="11" t="s">
        <v>14</v>
      </c>
      <c r="F38" s="17" t="s">
        <v>4</v>
      </c>
      <c r="G38" s="13">
        <v>1.0</v>
      </c>
      <c r="H38" s="46">
        <v>18.0</v>
      </c>
      <c r="I38" s="14">
        <f t="shared" si="1"/>
        <v>18</v>
      </c>
      <c r="J38" s="14"/>
      <c r="K38" s="18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8" t="s">
        <v>33</v>
      </c>
      <c r="C39" s="9" t="s">
        <v>12</v>
      </c>
      <c r="D39" s="45" t="s">
        <v>55</v>
      </c>
      <c r="E39" s="11" t="s">
        <v>14</v>
      </c>
      <c r="F39" s="17" t="s">
        <v>4</v>
      </c>
      <c r="G39" s="13">
        <v>1.0</v>
      </c>
      <c r="H39" s="46">
        <v>30.0</v>
      </c>
      <c r="I39" s="14">
        <f t="shared" si="1"/>
        <v>30</v>
      </c>
      <c r="J39" s="14"/>
      <c r="K39" s="18"/>
      <c r="L39" s="1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8" t="s">
        <v>33</v>
      </c>
      <c r="C40" s="9" t="s">
        <v>12</v>
      </c>
      <c r="D40" s="45" t="s">
        <v>56</v>
      </c>
      <c r="E40" s="11" t="s">
        <v>14</v>
      </c>
      <c r="F40" s="17" t="s">
        <v>4</v>
      </c>
      <c r="G40" s="13">
        <v>4.0</v>
      </c>
      <c r="H40" s="46">
        <v>30.0</v>
      </c>
      <c r="I40" s="14">
        <f t="shared" si="1"/>
        <v>120</v>
      </c>
      <c r="J40" s="14"/>
      <c r="K40" s="18"/>
      <c r="L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8" t="s">
        <v>33</v>
      </c>
      <c r="C41" s="9" t="s">
        <v>12</v>
      </c>
      <c r="D41" s="45" t="s">
        <v>57</v>
      </c>
      <c r="E41" s="11" t="s">
        <v>14</v>
      </c>
      <c r="F41" s="17" t="s">
        <v>4</v>
      </c>
      <c r="G41" s="13">
        <v>1.0</v>
      </c>
      <c r="H41" s="46">
        <v>25.0</v>
      </c>
      <c r="I41" s="14">
        <f t="shared" si="1"/>
        <v>25</v>
      </c>
      <c r="J41" s="14"/>
      <c r="K41" s="18"/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8" t="s">
        <v>33</v>
      </c>
      <c r="C42" s="9" t="s">
        <v>58</v>
      </c>
      <c r="D42" s="45" t="s">
        <v>59</v>
      </c>
      <c r="E42" s="11" t="s">
        <v>14</v>
      </c>
      <c r="F42" s="17" t="s">
        <v>4</v>
      </c>
      <c r="G42" s="13">
        <v>1.0</v>
      </c>
      <c r="H42" s="46">
        <v>180.0</v>
      </c>
      <c r="I42" s="14">
        <f t="shared" si="1"/>
        <v>180</v>
      </c>
      <c r="J42" s="14"/>
      <c r="K42" s="18"/>
      <c r="L42" s="1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8" t="s">
        <v>33</v>
      </c>
      <c r="C43" s="9" t="s">
        <v>12</v>
      </c>
      <c r="D43" s="45" t="s">
        <v>60</v>
      </c>
      <c r="E43" s="11" t="s">
        <v>14</v>
      </c>
      <c r="F43" s="17" t="s">
        <v>4</v>
      </c>
      <c r="G43" s="13">
        <v>8.0</v>
      </c>
      <c r="H43" s="46">
        <v>45.0</v>
      </c>
      <c r="I43" s="14">
        <f t="shared" si="1"/>
        <v>360</v>
      </c>
      <c r="J43" s="14"/>
      <c r="K43" s="18"/>
      <c r="L43" s="1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8" t="s">
        <v>33</v>
      </c>
      <c r="C44" s="9" t="s">
        <v>12</v>
      </c>
      <c r="D44" s="45" t="s">
        <v>61</v>
      </c>
      <c r="E44" s="11" t="s">
        <v>14</v>
      </c>
      <c r="F44" s="17" t="s">
        <v>4</v>
      </c>
      <c r="G44" s="13">
        <v>4.0</v>
      </c>
      <c r="H44" s="46">
        <v>54.97</v>
      </c>
      <c r="I44" s="14">
        <f t="shared" si="1"/>
        <v>219.88</v>
      </c>
      <c r="J44" s="14"/>
      <c r="K44" s="18"/>
      <c r="L44" s="1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8" t="s">
        <v>33</v>
      </c>
      <c r="C45" s="9" t="s">
        <v>62</v>
      </c>
      <c r="D45" s="45" t="s">
        <v>63</v>
      </c>
      <c r="E45" s="11" t="s">
        <v>14</v>
      </c>
      <c r="F45" s="17" t="s">
        <v>4</v>
      </c>
      <c r="G45" s="13">
        <v>1.0</v>
      </c>
      <c r="H45" s="46">
        <v>70.0</v>
      </c>
      <c r="I45" s="14">
        <f t="shared" si="1"/>
        <v>70</v>
      </c>
      <c r="J45" s="14"/>
      <c r="K45" s="18"/>
      <c r="L45" s="1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8" t="s">
        <v>33</v>
      </c>
      <c r="C46" s="9" t="s">
        <v>12</v>
      </c>
      <c r="D46" s="45" t="s">
        <v>64</v>
      </c>
      <c r="E46" s="11" t="s">
        <v>14</v>
      </c>
      <c r="F46" s="17" t="s">
        <v>4</v>
      </c>
      <c r="G46" s="13">
        <v>1.0</v>
      </c>
      <c r="H46" s="46">
        <v>7.89</v>
      </c>
      <c r="I46" s="14">
        <f t="shared" si="1"/>
        <v>7.89</v>
      </c>
      <c r="J46" s="14"/>
      <c r="K46" s="18"/>
      <c r="L46" s="1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8" t="s">
        <v>33</v>
      </c>
      <c r="C47" s="9" t="s">
        <v>12</v>
      </c>
      <c r="D47" s="45" t="s">
        <v>65</v>
      </c>
      <c r="E47" s="11" t="s">
        <v>14</v>
      </c>
      <c r="F47" s="17" t="s">
        <v>4</v>
      </c>
      <c r="G47" s="13">
        <v>1.0</v>
      </c>
      <c r="H47" s="46">
        <v>16.0</v>
      </c>
      <c r="I47" s="14">
        <f t="shared" si="1"/>
        <v>16</v>
      </c>
      <c r="J47" s="14"/>
      <c r="K47" s="18"/>
      <c r="L47" s="1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8" t="s">
        <v>33</v>
      </c>
      <c r="C48" s="9" t="s">
        <v>12</v>
      </c>
      <c r="D48" s="45" t="s">
        <v>66</v>
      </c>
      <c r="E48" s="11" t="s">
        <v>14</v>
      </c>
      <c r="F48" s="17" t="s">
        <v>4</v>
      </c>
      <c r="G48" s="13">
        <v>1.0</v>
      </c>
      <c r="H48" s="46">
        <v>14.0</v>
      </c>
      <c r="I48" s="14">
        <f t="shared" si="1"/>
        <v>14</v>
      </c>
      <c r="J48" s="14"/>
      <c r="K48" s="18"/>
      <c r="L48" s="1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8" t="s">
        <v>33</v>
      </c>
      <c r="C49" s="9" t="s">
        <v>12</v>
      </c>
      <c r="D49" s="45" t="s">
        <v>67</v>
      </c>
      <c r="E49" s="11" t="s">
        <v>14</v>
      </c>
      <c r="F49" s="17" t="s">
        <v>4</v>
      </c>
      <c r="G49" s="13">
        <v>1.0</v>
      </c>
      <c r="H49" s="46">
        <v>5.0</v>
      </c>
      <c r="I49" s="14">
        <f t="shared" si="1"/>
        <v>5</v>
      </c>
      <c r="J49" s="14"/>
      <c r="K49" s="18"/>
      <c r="L49" s="1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8" t="s">
        <v>33</v>
      </c>
      <c r="C50" s="9" t="s">
        <v>12</v>
      </c>
      <c r="D50" s="45" t="s">
        <v>68</v>
      </c>
      <c r="E50" s="11" t="s">
        <v>14</v>
      </c>
      <c r="F50" s="17" t="s">
        <v>4</v>
      </c>
      <c r="G50" s="13">
        <v>1.0</v>
      </c>
      <c r="H50" s="46">
        <v>7.2</v>
      </c>
      <c r="I50" s="14">
        <f t="shared" si="1"/>
        <v>7.2</v>
      </c>
      <c r="J50" s="14"/>
      <c r="K50" s="18"/>
      <c r="L50" s="1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8" t="s">
        <v>33</v>
      </c>
      <c r="C51" s="9" t="s">
        <v>15</v>
      </c>
      <c r="D51" s="45" t="s">
        <v>69</v>
      </c>
      <c r="E51" s="11" t="s">
        <v>14</v>
      </c>
      <c r="F51" s="17" t="s">
        <v>4</v>
      </c>
      <c r="G51" s="13">
        <v>1.0</v>
      </c>
      <c r="H51" s="46">
        <v>15.0</v>
      </c>
      <c r="I51" s="14">
        <f t="shared" si="1"/>
        <v>15</v>
      </c>
      <c r="J51" s="14"/>
      <c r="K51" s="18"/>
      <c r="L51" s="1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8" t="s">
        <v>33</v>
      </c>
      <c r="C52" s="9" t="s">
        <v>12</v>
      </c>
      <c r="D52" s="45" t="s">
        <v>70</v>
      </c>
      <c r="E52" s="11" t="s">
        <v>14</v>
      </c>
      <c r="F52" s="17" t="s">
        <v>4</v>
      </c>
      <c r="G52" s="13">
        <v>2.0</v>
      </c>
      <c r="H52" s="46">
        <v>20.0</v>
      </c>
      <c r="I52" s="14">
        <f t="shared" si="1"/>
        <v>40</v>
      </c>
      <c r="J52" s="14"/>
      <c r="K52" s="18"/>
      <c r="L52" s="1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8" t="s">
        <v>33</v>
      </c>
      <c r="C53" s="9" t="s">
        <v>12</v>
      </c>
      <c r="D53" s="45" t="s">
        <v>71</v>
      </c>
      <c r="E53" s="11" t="s">
        <v>14</v>
      </c>
      <c r="F53" s="17" t="s">
        <v>4</v>
      </c>
      <c r="G53" s="13">
        <v>1.0</v>
      </c>
      <c r="H53" s="46">
        <v>7.0</v>
      </c>
      <c r="I53" s="14">
        <f t="shared" si="1"/>
        <v>7</v>
      </c>
      <c r="J53" s="14"/>
      <c r="K53" s="18"/>
      <c r="L53" s="1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8" t="s">
        <v>33</v>
      </c>
      <c r="C54" s="9" t="s">
        <v>12</v>
      </c>
      <c r="D54" s="45" t="s">
        <v>72</v>
      </c>
      <c r="E54" s="11" t="s">
        <v>14</v>
      </c>
      <c r="F54" s="17" t="s">
        <v>4</v>
      </c>
      <c r="G54" s="13">
        <v>1.0</v>
      </c>
      <c r="H54" s="46">
        <v>4.99</v>
      </c>
      <c r="I54" s="14">
        <f t="shared" si="1"/>
        <v>4.99</v>
      </c>
      <c r="J54" s="14"/>
      <c r="K54" s="18"/>
      <c r="L54" s="1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8" t="s">
        <v>33</v>
      </c>
      <c r="C55" s="9" t="s">
        <v>12</v>
      </c>
      <c r="D55" s="45" t="s">
        <v>73</v>
      </c>
      <c r="E55" s="11" t="s">
        <v>14</v>
      </c>
      <c r="F55" s="17" t="s">
        <v>4</v>
      </c>
      <c r="G55" s="13">
        <v>1.0</v>
      </c>
      <c r="H55" s="46">
        <v>35.0</v>
      </c>
      <c r="I55" s="14">
        <f t="shared" si="1"/>
        <v>35</v>
      </c>
      <c r="J55" s="14"/>
      <c r="K55" s="18"/>
      <c r="L55" s="1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8" t="s">
        <v>33</v>
      </c>
      <c r="C56" s="9" t="s">
        <v>12</v>
      </c>
      <c r="D56" s="45" t="s">
        <v>74</v>
      </c>
      <c r="E56" s="11" t="s">
        <v>14</v>
      </c>
      <c r="F56" s="17" t="s">
        <v>4</v>
      </c>
      <c r="G56" s="13">
        <v>1.0</v>
      </c>
      <c r="H56" s="46">
        <v>7.59</v>
      </c>
      <c r="I56" s="14">
        <f t="shared" si="1"/>
        <v>7.59</v>
      </c>
      <c r="J56" s="14"/>
      <c r="K56" s="18"/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8" t="s">
        <v>33</v>
      </c>
      <c r="C57" s="9" t="s">
        <v>12</v>
      </c>
      <c r="D57" s="45" t="s">
        <v>75</v>
      </c>
      <c r="E57" s="11" t="s">
        <v>14</v>
      </c>
      <c r="F57" s="17" t="s">
        <v>4</v>
      </c>
      <c r="G57" s="13">
        <v>1.0</v>
      </c>
      <c r="H57" s="46">
        <v>15.0</v>
      </c>
      <c r="I57" s="14">
        <f t="shared" si="1"/>
        <v>15</v>
      </c>
      <c r="J57" s="14"/>
      <c r="K57" s="18"/>
      <c r="L57" s="1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8" t="s">
        <v>33</v>
      </c>
      <c r="C58" s="9" t="s">
        <v>12</v>
      </c>
      <c r="D58" s="45" t="s">
        <v>76</v>
      </c>
      <c r="E58" s="11" t="s">
        <v>14</v>
      </c>
      <c r="F58" s="17" t="s">
        <v>4</v>
      </c>
      <c r="G58" s="13">
        <v>1.0</v>
      </c>
      <c r="H58" s="46">
        <v>15.0</v>
      </c>
      <c r="I58" s="14">
        <f t="shared" si="1"/>
        <v>15</v>
      </c>
      <c r="J58" s="14"/>
      <c r="K58" s="18"/>
      <c r="L58" s="1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8" t="s">
        <v>33</v>
      </c>
      <c r="C59" s="9" t="s">
        <v>12</v>
      </c>
      <c r="D59" s="45" t="s">
        <v>77</v>
      </c>
      <c r="E59" s="11" t="s">
        <v>14</v>
      </c>
      <c r="F59" s="17" t="s">
        <v>4</v>
      </c>
      <c r="G59" s="13">
        <v>1.0</v>
      </c>
      <c r="H59" s="46">
        <v>30.0</v>
      </c>
      <c r="I59" s="14">
        <f t="shared" si="1"/>
        <v>30</v>
      </c>
      <c r="J59" s="14"/>
      <c r="K59" s="18"/>
      <c r="L59" s="1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8" t="s">
        <v>33</v>
      </c>
      <c r="C60" s="9" t="s">
        <v>62</v>
      </c>
      <c r="D60" s="45" t="s">
        <v>78</v>
      </c>
      <c r="E60" s="11" t="s">
        <v>14</v>
      </c>
      <c r="F60" s="17" t="s">
        <v>4</v>
      </c>
      <c r="G60" s="13">
        <v>1.0</v>
      </c>
      <c r="H60" s="46">
        <v>69.0</v>
      </c>
      <c r="I60" s="14">
        <f t="shared" si="1"/>
        <v>69</v>
      </c>
      <c r="J60" s="14"/>
      <c r="K60" s="18"/>
      <c r="L60" s="1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8" t="s">
        <v>33</v>
      </c>
      <c r="C61" s="9" t="s">
        <v>12</v>
      </c>
      <c r="D61" s="45" t="s">
        <v>79</v>
      </c>
      <c r="E61" s="11" t="s">
        <v>14</v>
      </c>
      <c r="F61" s="17" t="s">
        <v>4</v>
      </c>
      <c r="G61" s="13">
        <v>1.0</v>
      </c>
      <c r="H61" s="46">
        <v>37.99</v>
      </c>
      <c r="I61" s="14">
        <f t="shared" si="1"/>
        <v>37.99</v>
      </c>
      <c r="J61" s="14"/>
      <c r="K61" s="18"/>
      <c r="L61" s="1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8" t="s">
        <v>33</v>
      </c>
      <c r="C62" s="9" t="s">
        <v>12</v>
      </c>
      <c r="D62" s="45" t="s">
        <v>80</v>
      </c>
      <c r="E62" s="11" t="s">
        <v>14</v>
      </c>
      <c r="F62" s="17" t="s">
        <v>4</v>
      </c>
      <c r="G62" s="13">
        <v>1.0</v>
      </c>
      <c r="H62" s="46">
        <v>29.99</v>
      </c>
      <c r="I62" s="14">
        <f t="shared" si="1"/>
        <v>29.99</v>
      </c>
      <c r="J62" s="14"/>
      <c r="K62" s="18"/>
      <c r="L62" s="1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8" t="s">
        <v>33</v>
      </c>
      <c r="C63" s="9" t="s">
        <v>12</v>
      </c>
      <c r="D63" s="48" t="s">
        <v>81</v>
      </c>
      <c r="E63" s="11" t="s">
        <v>14</v>
      </c>
      <c r="F63" s="17" t="s">
        <v>4</v>
      </c>
      <c r="G63" s="13">
        <v>1.0</v>
      </c>
      <c r="H63" s="46">
        <v>7.99</v>
      </c>
      <c r="I63" s="14">
        <f t="shared" si="1"/>
        <v>7.99</v>
      </c>
      <c r="J63" s="14"/>
      <c r="K63" s="18"/>
      <c r="L63" s="1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8" t="s">
        <v>33</v>
      </c>
      <c r="C64" s="9" t="s">
        <v>62</v>
      </c>
      <c r="D64" s="48" t="s">
        <v>82</v>
      </c>
      <c r="E64" s="11" t="s">
        <v>14</v>
      </c>
      <c r="F64" s="17" t="s">
        <v>4</v>
      </c>
      <c r="G64" s="13">
        <v>1.0</v>
      </c>
      <c r="H64" s="46">
        <v>59.0</v>
      </c>
      <c r="I64" s="14">
        <f t="shared" si="1"/>
        <v>59</v>
      </c>
      <c r="J64" s="14"/>
      <c r="K64" s="18"/>
      <c r="L64" s="1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8" t="s">
        <v>33</v>
      </c>
      <c r="C65" s="9" t="s">
        <v>12</v>
      </c>
      <c r="D65" s="45" t="s">
        <v>83</v>
      </c>
      <c r="E65" s="11" t="s">
        <v>14</v>
      </c>
      <c r="F65" s="17" t="s">
        <v>4</v>
      </c>
      <c r="G65" s="13">
        <v>1.0</v>
      </c>
      <c r="H65" s="46">
        <v>8.0</v>
      </c>
      <c r="I65" s="14">
        <f t="shared" si="1"/>
        <v>8</v>
      </c>
      <c r="J65" s="14"/>
      <c r="K65" s="18"/>
      <c r="L65" s="1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49" t="s">
        <v>84</v>
      </c>
      <c r="C66" s="9" t="s">
        <v>12</v>
      </c>
      <c r="D66" s="48" t="s">
        <v>85</v>
      </c>
      <c r="E66" s="11" t="s">
        <v>14</v>
      </c>
      <c r="F66" s="50" t="s">
        <v>4</v>
      </c>
      <c r="G66" s="13">
        <v>1.0</v>
      </c>
      <c r="H66" s="14">
        <v>55.0</v>
      </c>
      <c r="I66" s="14">
        <f t="shared" si="1"/>
        <v>55</v>
      </c>
      <c r="J66" s="14"/>
      <c r="K66" s="18"/>
      <c r="L66" s="1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49" t="s">
        <v>84</v>
      </c>
      <c r="C67" s="9" t="s">
        <v>12</v>
      </c>
      <c r="D67" s="48" t="s">
        <v>86</v>
      </c>
      <c r="E67" s="11" t="s">
        <v>14</v>
      </c>
      <c r="F67" s="50" t="s">
        <v>4</v>
      </c>
      <c r="G67" s="13">
        <v>1.0</v>
      </c>
      <c r="H67" s="14">
        <v>21.0</v>
      </c>
      <c r="I67" s="14">
        <f t="shared" si="1"/>
        <v>21</v>
      </c>
      <c r="J67" s="14"/>
      <c r="K67" s="18"/>
      <c r="L67" s="1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49" t="s">
        <v>84</v>
      </c>
      <c r="C68" s="9" t="s">
        <v>12</v>
      </c>
      <c r="D68" s="48" t="s">
        <v>87</v>
      </c>
      <c r="E68" s="11" t="s">
        <v>14</v>
      </c>
      <c r="F68" s="50" t="s">
        <v>4</v>
      </c>
      <c r="G68" s="13">
        <v>1.0</v>
      </c>
      <c r="H68" s="14">
        <v>21.0</v>
      </c>
      <c r="I68" s="14">
        <f t="shared" si="1"/>
        <v>21</v>
      </c>
      <c r="J68" s="14"/>
      <c r="K68" s="18"/>
      <c r="L68" s="1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9" t="s">
        <v>84</v>
      </c>
      <c r="C69" s="9" t="s">
        <v>12</v>
      </c>
      <c r="D69" s="10" t="s">
        <v>88</v>
      </c>
      <c r="E69" s="11" t="s">
        <v>14</v>
      </c>
      <c r="F69" s="50" t="s">
        <v>4</v>
      </c>
      <c r="G69" s="13">
        <v>1.0</v>
      </c>
      <c r="H69" s="14">
        <v>36.0</v>
      </c>
      <c r="I69" s="14">
        <f t="shared" si="1"/>
        <v>36</v>
      </c>
      <c r="J69" s="14"/>
      <c r="K69" s="18"/>
      <c r="L69" s="1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9" t="s">
        <v>84</v>
      </c>
      <c r="C70" s="9" t="s">
        <v>12</v>
      </c>
      <c r="D70" s="48" t="s">
        <v>89</v>
      </c>
      <c r="E70" s="11" t="s">
        <v>14</v>
      </c>
      <c r="F70" s="50" t="s">
        <v>4</v>
      </c>
      <c r="G70" s="13">
        <v>1.0</v>
      </c>
      <c r="H70" s="14">
        <v>9.0</v>
      </c>
      <c r="I70" s="14">
        <f t="shared" si="1"/>
        <v>9</v>
      </c>
      <c r="J70" s="14"/>
      <c r="K70" s="18"/>
      <c r="L70" s="1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9" t="s">
        <v>84</v>
      </c>
      <c r="C71" s="9" t="s">
        <v>12</v>
      </c>
      <c r="D71" s="48" t="s">
        <v>90</v>
      </c>
      <c r="E71" s="11" t="s">
        <v>14</v>
      </c>
      <c r="F71" s="50" t="s">
        <v>4</v>
      </c>
      <c r="G71" s="13">
        <v>1.0</v>
      </c>
      <c r="H71" s="14">
        <v>50.0</v>
      </c>
      <c r="I71" s="14">
        <f t="shared" si="1"/>
        <v>50</v>
      </c>
      <c r="J71" s="14"/>
      <c r="K71" s="18"/>
      <c r="L71" s="1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9" t="s">
        <v>84</v>
      </c>
      <c r="C72" s="9" t="s">
        <v>12</v>
      </c>
      <c r="D72" s="48" t="s">
        <v>91</v>
      </c>
      <c r="E72" s="11" t="s">
        <v>14</v>
      </c>
      <c r="F72" s="50" t="s">
        <v>4</v>
      </c>
      <c r="G72" s="13">
        <v>1.0</v>
      </c>
      <c r="H72" s="14">
        <v>15.0</v>
      </c>
      <c r="I72" s="14">
        <f t="shared" si="1"/>
        <v>15</v>
      </c>
      <c r="J72" s="14"/>
      <c r="K72" s="18"/>
      <c r="L72" s="1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9" t="s">
        <v>92</v>
      </c>
      <c r="C73" s="9" t="s">
        <v>93</v>
      </c>
      <c r="D73" s="48" t="s">
        <v>94</v>
      </c>
      <c r="E73" s="11" t="s">
        <v>30</v>
      </c>
      <c r="F73" s="17"/>
      <c r="G73" s="13">
        <v>1.0</v>
      </c>
      <c r="H73" s="14">
        <v>842.0</v>
      </c>
      <c r="I73" s="14">
        <f t="shared" si="1"/>
        <v>842</v>
      </c>
      <c r="J73" s="14"/>
      <c r="K73" s="18"/>
      <c r="L73" s="1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9" t="s">
        <v>92</v>
      </c>
      <c r="C74" s="9"/>
      <c r="D74" s="48" t="s">
        <v>95</v>
      </c>
      <c r="E74" s="11" t="s">
        <v>96</v>
      </c>
      <c r="F74" s="17" t="s">
        <v>4</v>
      </c>
      <c r="G74" s="13">
        <v>1.0</v>
      </c>
      <c r="H74" s="14">
        <v>100.0</v>
      </c>
      <c r="I74" s="14">
        <f t="shared" si="1"/>
        <v>100</v>
      </c>
      <c r="J74" s="14"/>
      <c r="K74" s="18"/>
      <c r="L74" s="1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9" t="s">
        <v>92</v>
      </c>
      <c r="C75" s="9"/>
      <c r="D75" s="48" t="s">
        <v>97</v>
      </c>
      <c r="E75" s="11" t="s">
        <v>27</v>
      </c>
      <c r="F75" s="17" t="s">
        <v>4</v>
      </c>
      <c r="G75" s="13">
        <v>1.0</v>
      </c>
      <c r="H75" s="14">
        <v>140.0</v>
      </c>
      <c r="I75" s="14">
        <f t="shared" si="1"/>
        <v>140</v>
      </c>
      <c r="J75" s="14"/>
      <c r="K75" s="18"/>
      <c r="L75" s="1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9" t="s">
        <v>92</v>
      </c>
      <c r="C76" s="9" t="s">
        <v>12</v>
      </c>
      <c r="D76" s="48" t="s">
        <v>98</v>
      </c>
      <c r="E76" s="11" t="s">
        <v>14</v>
      </c>
      <c r="F76" s="17" t="s">
        <v>4</v>
      </c>
      <c r="G76" s="13">
        <v>1.0</v>
      </c>
      <c r="H76" s="14">
        <v>203.0</v>
      </c>
      <c r="I76" s="14">
        <f t="shared" si="1"/>
        <v>203</v>
      </c>
      <c r="J76" s="14"/>
      <c r="K76" s="18"/>
      <c r="L76" s="1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9" t="s">
        <v>92</v>
      </c>
      <c r="C77" s="9"/>
      <c r="D77" s="48" t="s">
        <v>99</v>
      </c>
      <c r="E77" s="11" t="s">
        <v>27</v>
      </c>
      <c r="F77" s="17" t="s">
        <v>4</v>
      </c>
      <c r="G77" s="13">
        <v>1.0</v>
      </c>
      <c r="H77" s="14">
        <v>95.0</v>
      </c>
      <c r="I77" s="14">
        <f t="shared" si="1"/>
        <v>95</v>
      </c>
      <c r="J77" s="14"/>
      <c r="K77" s="18"/>
      <c r="L77" s="1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9" t="s">
        <v>92</v>
      </c>
      <c r="C78" s="9" t="s">
        <v>12</v>
      </c>
      <c r="D78" s="48" t="s">
        <v>100</v>
      </c>
      <c r="E78" s="11" t="s">
        <v>14</v>
      </c>
      <c r="F78" s="17" t="s">
        <v>4</v>
      </c>
      <c r="G78" s="13">
        <v>16.0</v>
      </c>
      <c r="H78" s="14">
        <v>5.0</v>
      </c>
      <c r="I78" s="14">
        <f t="shared" si="1"/>
        <v>80</v>
      </c>
      <c r="J78" s="14"/>
      <c r="K78" s="18"/>
      <c r="L78" s="1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9" t="s">
        <v>92</v>
      </c>
      <c r="C79" s="9" t="s">
        <v>12</v>
      </c>
      <c r="D79" s="48" t="s">
        <v>101</v>
      </c>
      <c r="E79" s="11" t="s">
        <v>14</v>
      </c>
      <c r="F79" s="17" t="s">
        <v>4</v>
      </c>
      <c r="G79" s="13">
        <v>1.0</v>
      </c>
      <c r="H79" s="14">
        <v>10.0</v>
      </c>
      <c r="I79" s="14">
        <f t="shared" si="1"/>
        <v>10</v>
      </c>
      <c r="J79" s="14"/>
      <c r="K79" s="18"/>
      <c r="L79" s="1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9" t="s">
        <v>92</v>
      </c>
      <c r="C80" s="9"/>
      <c r="D80" s="48" t="s">
        <v>102</v>
      </c>
      <c r="E80" s="11" t="s">
        <v>27</v>
      </c>
      <c r="F80" s="17" t="s">
        <v>4</v>
      </c>
      <c r="G80" s="13">
        <v>1.0</v>
      </c>
      <c r="H80" s="14">
        <v>210.0</v>
      </c>
      <c r="I80" s="14">
        <f t="shared" si="1"/>
        <v>210</v>
      </c>
      <c r="J80" s="14"/>
      <c r="K80" s="18"/>
      <c r="L80" s="1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9" t="s">
        <v>92</v>
      </c>
      <c r="C81" s="9" t="s">
        <v>15</v>
      </c>
      <c r="D81" s="48" t="s">
        <v>103</v>
      </c>
      <c r="E81" s="11" t="s">
        <v>14</v>
      </c>
      <c r="F81" s="17" t="s">
        <v>4</v>
      </c>
      <c r="G81" s="13">
        <v>1.0</v>
      </c>
      <c r="H81" s="14">
        <v>130.0</v>
      </c>
      <c r="I81" s="14">
        <f t="shared" si="1"/>
        <v>130</v>
      </c>
      <c r="J81" s="14"/>
      <c r="K81" s="18"/>
      <c r="L81" s="1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9" t="s">
        <v>92</v>
      </c>
      <c r="C82" s="9" t="s">
        <v>36</v>
      </c>
      <c r="D82" s="48" t="s">
        <v>104</v>
      </c>
      <c r="E82" s="11" t="s">
        <v>38</v>
      </c>
      <c r="F82" s="50" t="s">
        <v>105</v>
      </c>
      <c r="G82" s="13">
        <v>10.0</v>
      </c>
      <c r="H82" s="14">
        <v>180.0</v>
      </c>
      <c r="I82" s="14">
        <f t="shared" si="1"/>
        <v>1800</v>
      </c>
      <c r="J82" s="14"/>
      <c r="K82" s="15" t="s">
        <v>39</v>
      </c>
      <c r="L82" s="1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9" t="s">
        <v>92</v>
      </c>
      <c r="C83" s="9" t="s">
        <v>106</v>
      </c>
      <c r="D83" s="48" t="s">
        <v>107</v>
      </c>
      <c r="E83" s="11" t="s">
        <v>38</v>
      </c>
      <c r="F83" s="50">
        <v>81019.0</v>
      </c>
      <c r="G83" s="13">
        <v>1.0</v>
      </c>
      <c r="H83" s="14">
        <v>2247.3</v>
      </c>
      <c r="I83" s="14">
        <f t="shared" si="1"/>
        <v>2247.3</v>
      </c>
      <c r="J83" s="14"/>
      <c r="K83" s="18"/>
      <c r="L83" s="1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9" t="s">
        <v>92</v>
      </c>
      <c r="C84" s="9" t="s">
        <v>108</v>
      </c>
      <c r="D84" s="48" t="s">
        <v>109</v>
      </c>
      <c r="E84" s="11" t="s">
        <v>14</v>
      </c>
      <c r="F84" s="50" t="s">
        <v>110</v>
      </c>
      <c r="G84" s="13">
        <v>1.0</v>
      </c>
      <c r="H84" s="14">
        <v>800.0</v>
      </c>
      <c r="I84" s="14">
        <f t="shared" si="1"/>
        <v>800</v>
      </c>
      <c r="J84" s="14"/>
      <c r="K84" s="18"/>
      <c r="L84" s="1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49" t="s">
        <v>92</v>
      </c>
      <c r="C85" s="9" t="s">
        <v>15</v>
      </c>
      <c r="D85" s="10" t="s">
        <v>111</v>
      </c>
      <c r="E85" s="11" t="s">
        <v>14</v>
      </c>
      <c r="F85" s="17" t="s">
        <v>4</v>
      </c>
      <c r="G85" s="13">
        <v>1.0</v>
      </c>
      <c r="H85" s="14">
        <v>250.0</v>
      </c>
      <c r="I85" s="14">
        <f t="shared" si="1"/>
        <v>250</v>
      </c>
      <c r="J85" s="14"/>
      <c r="K85" s="18"/>
      <c r="L85" s="1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49" t="s">
        <v>92</v>
      </c>
      <c r="C86" s="9"/>
      <c r="D86" s="10" t="s">
        <v>112</v>
      </c>
      <c r="E86" s="11" t="s">
        <v>19</v>
      </c>
      <c r="F86" s="17" t="s">
        <v>4</v>
      </c>
      <c r="G86" s="13">
        <v>1.0</v>
      </c>
      <c r="H86" s="14">
        <v>17.0</v>
      </c>
      <c r="I86" s="14">
        <f t="shared" si="1"/>
        <v>17</v>
      </c>
      <c r="J86" s="14"/>
      <c r="K86" s="18"/>
      <c r="L86" s="1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49" t="s">
        <v>113</v>
      </c>
      <c r="C87" s="10" t="s">
        <v>12</v>
      </c>
      <c r="D87" s="10" t="s">
        <v>114</v>
      </c>
      <c r="E87" s="11" t="s">
        <v>14</v>
      </c>
      <c r="F87" s="12" t="s">
        <v>4</v>
      </c>
      <c r="G87" s="13">
        <v>1.0</v>
      </c>
      <c r="H87" s="14">
        <v>90.0</v>
      </c>
      <c r="I87" s="14">
        <f t="shared" si="1"/>
        <v>90</v>
      </c>
      <c r="J87" s="14"/>
      <c r="K87" s="18"/>
      <c r="L87" s="1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49" t="s">
        <v>113</v>
      </c>
      <c r="C88" s="10"/>
      <c r="D88" s="10" t="s">
        <v>99</v>
      </c>
      <c r="E88" s="11" t="s">
        <v>27</v>
      </c>
      <c r="F88" s="17"/>
      <c r="G88" s="13">
        <v>1.0</v>
      </c>
      <c r="H88" s="14">
        <v>95.0</v>
      </c>
      <c r="I88" s="14">
        <f t="shared" si="1"/>
        <v>95</v>
      </c>
      <c r="J88" s="14"/>
      <c r="K88" s="18"/>
      <c r="L88" s="1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49" t="s">
        <v>113</v>
      </c>
      <c r="C89" s="10" t="s">
        <v>36</v>
      </c>
      <c r="D89" s="10" t="s">
        <v>115</v>
      </c>
      <c r="E89" s="11" t="s">
        <v>38</v>
      </c>
      <c r="F89" s="17" t="s">
        <v>116</v>
      </c>
      <c r="G89" s="13">
        <v>6.0</v>
      </c>
      <c r="H89" s="14">
        <v>222.0</v>
      </c>
      <c r="I89" s="14">
        <f t="shared" si="1"/>
        <v>1332</v>
      </c>
      <c r="J89" s="14"/>
      <c r="K89" s="15" t="s">
        <v>39</v>
      </c>
      <c r="L89" s="1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49" t="s">
        <v>113</v>
      </c>
      <c r="C90" s="10" t="s">
        <v>12</v>
      </c>
      <c r="D90" s="10" t="s">
        <v>117</v>
      </c>
      <c r="E90" s="11" t="s">
        <v>14</v>
      </c>
      <c r="F90" s="12" t="s">
        <v>4</v>
      </c>
      <c r="G90" s="13">
        <v>1.0</v>
      </c>
      <c r="H90" s="14">
        <v>30.0</v>
      </c>
      <c r="I90" s="14">
        <f t="shared" si="1"/>
        <v>30</v>
      </c>
      <c r="J90" s="14"/>
      <c r="K90" s="18"/>
      <c r="L90" s="1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49" t="s">
        <v>113</v>
      </c>
      <c r="C91" s="10"/>
      <c r="D91" s="10" t="s">
        <v>118</v>
      </c>
      <c r="E91" s="11" t="s">
        <v>27</v>
      </c>
      <c r="F91" s="17"/>
      <c r="G91" s="13">
        <v>1.0</v>
      </c>
      <c r="H91" s="14">
        <v>25.0</v>
      </c>
      <c r="I91" s="14">
        <f t="shared" si="1"/>
        <v>25</v>
      </c>
      <c r="J91" s="14"/>
      <c r="K91" s="18"/>
      <c r="L91" s="1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49" t="s">
        <v>113</v>
      </c>
      <c r="C92" s="10" t="s">
        <v>12</v>
      </c>
      <c r="D92" s="10" t="s">
        <v>119</v>
      </c>
      <c r="E92" s="11" t="s">
        <v>14</v>
      </c>
      <c r="F92" s="12" t="s">
        <v>4</v>
      </c>
      <c r="G92" s="13">
        <v>1.0</v>
      </c>
      <c r="H92" s="14">
        <v>885.0</v>
      </c>
      <c r="I92" s="14">
        <f t="shared" si="1"/>
        <v>885</v>
      </c>
      <c r="J92" s="14"/>
      <c r="K92" s="18"/>
      <c r="L92" s="1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49" t="s">
        <v>113</v>
      </c>
      <c r="C93" s="9" t="s">
        <v>93</v>
      </c>
      <c r="D93" s="9" t="s">
        <v>94</v>
      </c>
      <c r="E93" s="11" t="s">
        <v>30</v>
      </c>
      <c r="F93" s="17"/>
      <c r="G93" s="13">
        <v>1.0</v>
      </c>
      <c r="H93" s="14">
        <v>851.0</v>
      </c>
      <c r="I93" s="14">
        <f t="shared" si="1"/>
        <v>851</v>
      </c>
      <c r="J93" s="14"/>
      <c r="K93" s="18"/>
      <c r="L93" s="1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49" t="s">
        <v>113</v>
      </c>
      <c r="C94" s="9"/>
      <c r="D94" s="9" t="s">
        <v>95</v>
      </c>
      <c r="E94" s="11" t="s">
        <v>96</v>
      </c>
      <c r="F94" s="17"/>
      <c r="G94" s="13">
        <v>1.0</v>
      </c>
      <c r="H94" s="14">
        <v>100.0</v>
      </c>
      <c r="I94" s="14">
        <f t="shared" si="1"/>
        <v>100</v>
      </c>
      <c r="J94" s="14"/>
      <c r="K94" s="18"/>
      <c r="L94" s="1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8" t="s">
        <v>120</v>
      </c>
      <c r="C95" s="9" t="s">
        <v>36</v>
      </c>
      <c r="D95" s="48" t="s">
        <v>121</v>
      </c>
      <c r="E95" s="11" t="s">
        <v>38</v>
      </c>
      <c r="F95" s="50" t="s">
        <v>122</v>
      </c>
      <c r="G95" s="13">
        <v>2.0</v>
      </c>
      <c r="H95" s="14">
        <v>288.0</v>
      </c>
      <c r="I95" s="14">
        <f t="shared" si="1"/>
        <v>576</v>
      </c>
      <c r="J95" s="14"/>
      <c r="K95" s="15" t="s">
        <v>39</v>
      </c>
      <c r="L95" s="1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8" t="s">
        <v>120</v>
      </c>
      <c r="C96" s="9" t="s">
        <v>36</v>
      </c>
      <c r="D96" s="48" t="s">
        <v>123</v>
      </c>
      <c r="E96" s="11" t="s">
        <v>38</v>
      </c>
      <c r="F96" s="50" t="s">
        <v>124</v>
      </c>
      <c r="G96" s="13">
        <v>1.0</v>
      </c>
      <c r="H96" s="14">
        <v>102.0</v>
      </c>
      <c r="I96" s="14">
        <f t="shared" si="1"/>
        <v>102</v>
      </c>
      <c r="J96" s="14"/>
      <c r="K96" s="15" t="s">
        <v>39</v>
      </c>
      <c r="L96" s="1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8" t="s">
        <v>120</v>
      </c>
      <c r="C97" s="9" t="s">
        <v>106</v>
      </c>
      <c r="D97" s="48" t="s">
        <v>125</v>
      </c>
      <c r="E97" s="11" t="s">
        <v>38</v>
      </c>
      <c r="F97" s="50">
        <v>81757.0</v>
      </c>
      <c r="G97" s="13">
        <v>1.0</v>
      </c>
      <c r="H97" s="14">
        <v>656.7</v>
      </c>
      <c r="I97" s="14">
        <f t="shared" si="1"/>
        <v>656.7</v>
      </c>
      <c r="J97" s="14"/>
      <c r="K97" s="18"/>
      <c r="L97" s="1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8" t="s">
        <v>120</v>
      </c>
      <c r="C98" s="9" t="s">
        <v>93</v>
      </c>
      <c r="D98" s="48" t="s">
        <v>126</v>
      </c>
      <c r="E98" s="11" t="s">
        <v>30</v>
      </c>
      <c r="F98" s="50"/>
      <c r="G98" s="13">
        <v>1.0</v>
      </c>
      <c r="H98" s="14">
        <v>2300.0</v>
      </c>
      <c r="I98" s="14">
        <f t="shared" si="1"/>
        <v>2300</v>
      </c>
      <c r="J98" s="14"/>
      <c r="K98" s="18"/>
      <c r="L98" s="1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8" t="s">
        <v>120</v>
      </c>
      <c r="C99" s="9"/>
      <c r="D99" s="48" t="s">
        <v>127</v>
      </c>
      <c r="E99" s="11" t="s">
        <v>19</v>
      </c>
      <c r="F99" s="50"/>
      <c r="G99" s="13">
        <v>1.0</v>
      </c>
      <c r="H99" s="14">
        <v>138.0</v>
      </c>
      <c r="I99" s="14">
        <f t="shared" si="1"/>
        <v>138</v>
      </c>
      <c r="J99" s="14"/>
      <c r="K99" s="18"/>
      <c r="L99" s="1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8" t="s">
        <v>120</v>
      </c>
      <c r="C100" s="9"/>
      <c r="D100" s="48" t="s">
        <v>128</v>
      </c>
      <c r="E100" s="11" t="s">
        <v>96</v>
      </c>
      <c r="F100" s="50"/>
      <c r="G100" s="13">
        <v>1.0</v>
      </c>
      <c r="H100" s="14">
        <v>150.0</v>
      </c>
      <c r="I100" s="14">
        <f t="shared" si="1"/>
        <v>150</v>
      </c>
      <c r="J100" s="14"/>
      <c r="K100" s="18"/>
      <c r="L100" s="1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8" t="s">
        <v>120</v>
      </c>
      <c r="C101" s="9" t="s">
        <v>12</v>
      </c>
      <c r="D101" s="48" t="s">
        <v>129</v>
      </c>
      <c r="E101" s="11" t="s">
        <v>14</v>
      </c>
      <c r="F101" s="12" t="s">
        <v>4</v>
      </c>
      <c r="G101" s="13">
        <v>1.0</v>
      </c>
      <c r="H101" s="14">
        <v>171.0</v>
      </c>
      <c r="I101" s="14">
        <f t="shared" si="1"/>
        <v>171</v>
      </c>
      <c r="J101" s="14"/>
      <c r="K101" s="18"/>
      <c r="L101" s="1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8" t="s">
        <v>120</v>
      </c>
      <c r="C102" s="9"/>
      <c r="D102" s="48" t="s">
        <v>130</v>
      </c>
      <c r="E102" s="11" t="s">
        <v>27</v>
      </c>
      <c r="F102" s="50"/>
      <c r="G102" s="13">
        <v>1.0</v>
      </c>
      <c r="H102" s="14">
        <v>120.0</v>
      </c>
      <c r="I102" s="14">
        <f t="shared" si="1"/>
        <v>120</v>
      </c>
      <c r="J102" s="14"/>
      <c r="K102" s="18"/>
      <c r="L102" s="1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8" t="s">
        <v>120</v>
      </c>
      <c r="C103" s="9" t="s">
        <v>12</v>
      </c>
      <c r="D103" s="48" t="s">
        <v>131</v>
      </c>
      <c r="E103" s="11" t="s">
        <v>14</v>
      </c>
      <c r="F103" s="50"/>
      <c r="G103" s="13">
        <v>6.0</v>
      </c>
      <c r="H103" s="14">
        <v>5.0</v>
      </c>
      <c r="I103" s="14">
        <f t="shared" si="1"/>
        <v>30</v>
      </c>
      <c r="J103" s="14"/>
      <c r="K103" s="18"/>
      <c r="L103" s="1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8" t="s">
        <v>120</v>
      </c>
      <c r="C104" s="9" t="s">
        <v>15</v>
      </c>
      <c r="D104" s="48" t="s">
        <v>132</v>
      </c>
      <c r="E104" s="11" t="s">
        <v>14</v>
      </c>
      <c r="F104" s="50"/>
      <c r="G104" s="13">
        <v>1.0</v>
      </c>
      <c r="H104" s="14">
        <v>550.0</v>
      </c>
      <c r="I104" s="14">
        <f t="shared" si="1"/>
        <v>550</v>
      </c>
      <c r="J104" s="14"/>
      <c r="K104" s="18"/>
      <c r="L104" s="1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8" t="s">
        <v>120</v>
      </c>
      <c r="C105" s="9" t="s">
        <v>12</v>
      </c>
      <c r="D105" s="48" t="s">
        <v>133</v>
      </c>
      <c r="E105" s="11" t="s">
        <v>14</v>
      </c>
      <c r="F105" s="12" t="s">
        <v>4</v>
      </c>
      <c r="G105" s="13">
        <v>1.0</v>
      </c>
      <c r="H105" s="14">
        <v>80.0</v>
      </c>
      <c r="I105" s="14">
        <f t="shared" si="1"/>
        <v>80</v>
      </c>
      <c r="J105" s="14"/>
      <c r="K105" s="18"/>
      <c r="L105" s="1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8" t="s">
        <v>120</v>
      </c>
      <c r="C106" s="9" t="s">
        <v>28</v>
      </c>
      <c r="D106" s="48" t="s">
        <v>29</v>
      </c>
      <c r="E106" s="11" t="s">
        <v>38</v>
      </c>
      <c r="F106" s="50" t="s">
        <v>134</v>
      </c>
      <c r="G106" s="13">
        <v>1.0</v>
      </c>
      <c r="H106" s="14">
        <v>0.0</v>
      </c>
      <c r="I106" s="14">
        <f t="shared" si="1"/>
        <v>0</v>
      </c>
      <c r="J106" s="14"/>
      <c r="K106" s="18"/>
      <c r="L106" s="1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8" t="s">
        <v>120</v>
      </c>
      <c r="C107" s="9" t="s">
        <v>36</v>
      </c>
      <c r="D107" s="48" t="s">
        <v>135</v>
      </c>
      <c r="E107" s="11" t="s">
        <v>38</v>
      </c>
      <c r="F107" s="50" t="s">
        <v>136</v>
      </c>
      <c r="G107" s="13">
        <v>1.0</v>
      </c>
      <c r="H107" s="14">
        <v>576.0</v>
      </c>
      <c r="I107" s="14">
        <f t="shared" si="1"/>
        <v>576</v>
      </c>
      <c r="J107" s="14"/>
      <c r="K107" s="15" t="s">
        <v>39</v>
      </c>
      <c r="L107" s="1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8" t="s">
        <v>120</v>
      </c>
      <c r="C108" s="9" t="s">
        <v>36</v>
      </c>
      <c r="D108" s="48" t="s">
        <v>137</v>
      </c>
      <c r="E108" s="11" t="s">
        <v>38</v>
      </c>
      <c r="F108" s="50" t="s">
        <v>138</v>
      </c>
      <c r="G108" s="13">
        <v>2.0</v>
      </c>
      <c r="H108" s="14">
        <v>96.0</v>
      </c>
      <c r="I108" s="14">
        <f t="shared" si="1"/>
        <v>192</v>
      </c>
      <c r="J108" s="14"/>
      <c r="K108" s="15" t="s">
        <v>39</v>
      </c>
      <c r="L108" s="1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8" t="s">
        <v>120</v>
      </c>
      <c r="C109" s="9" t="s">
        <v>139</v>
      </c>
      <c r="D109" s="48" t="s">
        <v>140</v>
      </c>
      <c r="E109" s="11" t="s">
        <v>38</v>
      </c>
      <c r="F109" s="50">
        <v>551595.0</v>
      </c>
      <c r="G109" s="13">
        <v>2.0</v>
      </c>
      <c r="H109" s="14">
        <v>330.0</v>
      </c>
      <c r="I109" s="14">
        <f t="shared" si="1"/>
        <v>660</v>
      </c>
      <c r="J109" s="14"/>
      <c r="K109" s="18"/>
      <c r="L109" s="1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8" t="s">
        <v>120</v>
      </c>
      <c r="C110" s="9" t="s">
        <v>139</v>
      </c>
      <c r="D110" s="48" t="s">
        <v>141</v>
      </c>
      <c r="E110" s="11" t="s">
        <v>38</v>
      </c>
      <c r="F110" s="50">
        <v>551596.0</v>
      </c>
      <c r="G110" s="13">
        <v>1.0</v>
      </c>
      <c r="H110" s="14">
        <v>286.8</v>
      </c>
      <c r="I110" s="14">
        <f t="shared" si="1"/>
        <v>286.8</v>
      </c>
      <c r="J110" s="14"/>
      <c r="K110" s="18"/>
      <c r="L110" s="1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8" t="s">
        <v>120</v>
      </c>
      <c r="C111" s="9" t="s">
        <v>139</v>
      </c>
      <c r="D111" s="48" t="s">
        <v>142</v>
      </c>
      <c r="E111" s="11" t="s">
        <v>38</v>
      </c>
      <c r="F111" s="50">
        <v>551594.0</v>
      </c>
      <c r="G111" s="13">
        <v>4.0</v>
      </c>
      <c r="H111" s="14">
        <v>286.8</v>
      </c>
      <c r="I111" s="14">
        <f t="shared" si="1"/>
        <v>1147.2</v>
      </c>
      <c r="J111" s="14"/>
      <c r="K111" s="18"/>
      <c r="L111" s="1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8" t="s">
        <v>120</v>
      </c>
      <c r="C112" s="9" t="s">
        <v>12</v>
      </c>
      <c r="D112" s="48" t="s">
        <v>143</v>
      </c>
      <c r="E112" s="11" t="s">
        <v>14</v>
      </c>
      <c r="F112" s="12" t="s">
        <v>4</v>
      </c>
      <c r="G112" s="13">
        <v>1.0</v>
      </c>
      <c r="H112" s="14">
        <v>200.0</v>
      </c>
      <c r="I112" s="14">
        <f t="shared" si="1"/>
        <v>200</v>
      </c>
      <c r="J112" s="14"/>
      <c r="K112" s="18"/>
      <c r="L112" s="16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8" t="s">
        <v>120</v>
      </c>
      <c r="C113" s="9" t="s">
        <v>144</v>
      </c>
      <c r="D113" s="48" t="s">
        <v>145</v>
      </c>
      <c r="E113" s="11" t="s">
        <v>14</v>
      </c>
      <c r="F113" s="50"/>
      <c r="G113" s="13">
        <v>1.0</v>
      </c>
      <c r="H113" s="14">
        <v>300.0</v>
      </c>
      <c r="I113" s="14">
        <f t="shared" si="1"/>
        <v>300</v>
      </c>
      <c r="J113" s="14"/>
      <c r="K113" s="18"/>
      <c r="L113" s="1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8" t="s">
        <v>120</v>
      </c>
      <c r="C114" s="9" t="s">
        <v>15</v>
      </c>
      <c r="D114" s="48" t="s">
        <v>146</v>
      </c>
      <c r="E114" s="11" t="s">
        <v>14</v>
      </c>
      <c r="F114" s="50"/>
      <c r="G114" s="13">
        <v>3.0</v>
      </c>
      <c r="H114" s="14">
        <v>50.0</v>
      </c>
      <c r="I114" s="14">
        <f t="shared" si="1"/>
        <v>150</v>
      </c>
      <c r="J114" s="14"/>
      <c r="K114" s="18"/>
      <c r="L114" s="1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8" t="s">
        <v>120</v>
      </c>
      <c r="C115" s="9" t="s">
        <v>147</v>
      </c>
      <c r="D115" s="48" t="s">
        <v>148</v>
      </c>
      <c r="E115" s="11" t="s">
        <v>14</v>
      </c>
      <c r="F115" s="50" t="s">
        <v>149</v>
      </c>
      <c r="G115" s="13">
        <v>1.0</v>
      </c>
      <c r="H115" s="14">
        <v>940.0</v>
      </c>
      <c r="I115" s="14">
        <f t="shared" si="1"/>
        <v>940</v>
      </c>
      <c r="J115" s="14"/>
      <c r="K115" s="18"/>
      <c r="L115" s="1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8" t="s">
        <v>120</v>
      </c>
      <c r="C116" s="9" t="s">
        <v>150</v>
      </c>
      <c r="D116" s="48" t="s">
        <v>151</v>
      </c>
      <c r="E116" s="11" t="s">
        <v>14</v>
      </c>
      <c r="F116" s="50"/>
      <c r="G116" s="13">
        <v>1.0</v>
      </c>
      <c r="H116" s="14">
        <v>700.0</v>
      </c>
      <c r="I116" s="14">
        <f t="shared" si="1"/>
        <v>700</v>
      </c>
      <c r="J116" s="14"/>
      <c r="K116" s="18"/>
      <c r="L116" s="1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8" t="s">
        <v>120</v>
      </c>
      <c r="C117" s="9" t="s">
        <v>12</v>
      </c>
      <c r="D117" s="48" t="s">
        <v>152</v>
      </c>
      <c r="E117" s="11" t="s">
        <v>14</v>
      </c>
      <c r="F117" s="12" t="s">
        <v>4</v>
      </c>
      <c r="G117" s="13">
        <v>1.0</v>
      </c>
      <c r="H117" s="14">
        <v>30.0</v>
      </c>
      <c r="I117" s="14">
        <f t="shared" si="1"/>
        <v>30</v>
      </c>
      <c r="J117" s="14"/>
      <c r="K117" s="18"/>
      <c r="L117" s="1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8" t="s">
        <v>120</v>
      </c>
      <c r="C118" s="9" t="s">
        <v>12</v>
      </c>
      <c r="D118" s="48" t="s">
        <v>24</v>
      </c>
      <c r="E118" s="11" t="s">
        <v>14</v>
      </c>
      <c r="F118" s="12" t="s">
        <v>4</v>
      </c>
      <c r="G118" s="13">
        <v>3.0</v>
      </c>
      <c r="H118" s="14">
        <v>10.0</v>
      </c>
      <c r="I118" s="14">
        <f t="shared" si="1"/>
        <v>30</v>
      </c>
      <c r="J118" s="14"/>
      <c r="K118" s="18"/>
      <c r="L118" s="1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8" t="s">
        <v>120</v>
      </c>
      <c r="C119" s="9"/>
      <c r="D119" s="48" t="s">
        <v>153</v>
      </c>
      <c r="E119" s="11" t="s">
        <v>27</v>
      </c>
      <c r="F119" s="50"/>
      <c r="G119" s="13">
        <v>1.0</v>
      </c>
      <c r="H119" s="14">
        <v>100.0</v>
      </c>
      <c r="I119" s="14">
        <f t="shared" si="1"/>
        <v>100</v>
      </c>
      <c r="J119" s="14"/>
      <c r="K119" s="18"/>
      <c r="L119" s="1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8" t="s">
        <v>154</v>
      </c>
      <c r="C120" s="9" t="s">
        <v>12</v>
      </c>
      <c r="D120" s="48" t="s">
        <v>155</v>
      </c>
      <c r="E120" s="11" t="s">
        <v>14</v>
      </c>
      <c r="F120" s="12" t="s">
        <v>4</v>
      </c>
      <c r="G120" s="13">
        <v>1.0</v>
      </c>
      <c r="H120" s="14">
        <v>22.0</v>
      </c>
      <c r="I120" s="14">
        <f t="shared" si="1"/>
        <v>22</v>
      </c>
      <c r="J120" s="14"/>
      <c r="K120" s="18"/>
      <c r="L120" s="1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8" t="s">
        <v>154</v>
      </c>
      <c r="C121" s="9" t="s">
        <v>12</v>
      </c>
      <c r="D121" s="48" t="s">
        <v>155</v>
      </c>
      <c r="E121" s="11" t="s">
        <v>14</v>
      </c>
      <c r="F121" s="12" t="s">
        <v>4</v>
      </c>
      <c r="G121" s="13">
        <v>1.0</v>
      </c>
      <c r="H121" s="14">
        <v>25.0</v>
      </c>
      <c r="I121" s="14">
        <f t="shared" si="1"/>
        <v>25</v>
      </c>
      <c r="J121" s="14"/>
      <c r="K121" s="18"/>
      <c r="L121" s="1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8" t="s">
        <v>154</v>
      </c>
      <c r="C122" s="9" t="s">
        <v>12</v>
      </c>
      <c r="D122" s="48" t="s">
        <v>155</v>
      </c>
      <c r="E122" s="11" t="s">
        <v>14</v>
      </c>
      <c r="F122" s="12" t="s">
        <v>4</v>
      </c>
      <c r="G122" s="13">
        <v>1.0</v>
      </c>
      <c r="H122" s="14">
        <v>20.0</v>
      </c>
      <c r="I122" s="14">
        <f t="shared" si="1"/>
        <v>20</v>
      </c>
      <c r="J122" s="14"/>
      <c r="K122" s="18"/>
      <c r="L122" s="1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8" t="s">
        <v>154</v>
      </c>
      <c r="C123" s="9" t="s">
        <v>15</v>
      </c>
      <c r="D123" s="48" t="s">
        <v>156</v>
      </c>
      <c r="E123" s="11" t="s">
        <v>14</v>
      </c>
      <c r="F123" s="50"/>
      <c r="G123" s="13">
        <v>1.0</v>
      </c>
      <c r="H123" s="14">
        <v>300.0</v>
      </c>
      <c r="I123" s="14">
        <f t="shared" si="1"/>
        <v>300</v>
      </c>
      <c r="J123" s="14"/>
      <c r="K123" s="18"/>
      <c r="L123" s="16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8" t="s">
        <v>154</v>
      </c>
      <c r="C124" s="9" t="s">
        <v>12</v>
      </c>
      <c r="D124" s="48" t="s">
        <v>157</v>
      </c>
      <c r="E124" s="11" t="s">
        <v>14</v>
      </c>
      <c r="F124" s="12" t="s">
        <v>4</v>
      </c>
      <c r="G124" s="13">
        <v>2.0</v>
      </c>
      <c r="H124" s="14">
        <v>155.0</v>
      </c>
      <c r="I124" s="14">
        <f t="shared" si="1"/>
        <v>310</v>
      </c>
      <c r="J124" s="14"/>
      <c r="K124" s="18"/>
      <c r="L124" s="16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8" t="s">
        <v>154</v>
      </c>
      <c r="C125" s="9" t="s">
        <v>12</v>
      </c>
      <c r="D125" s="48" t="s">
        <v>158</v>
      </c>
      <c r="E125" s="11" t="s">
        <v>14</v>
      </c>
      <c r="F125" s="12" t="s">
        <v>4</v>
      </c>
      <c r="G125" s="13">
        <v>1.0</v>
      </c>
      <c r="H125" s="14">
        <v>52.0</v>
      </c>
      <c r="I125" s="14">
        <f t="shared" si="1"/>
        <v>52</v>
      </c>
      <c r="J125" s="14"/>
      <c r="K125" s="18"/>
      <c r="L125" s="1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8" t="s">
        <v>154</v>
      </c>
      <c r="C126" s="9" t="s">
        <v>12</v>
      </c>
      <c r="D126" s="48" t="s">
        <v>159</v>
      </c>
      <c r="E126" s="11" t="s">
        <v>14</v>
      </c>
      <c r="F126" s="12" t="s">
        <v>4</v>
      </c>
      <c r="G126" s="13">
        <v>1.0</v>
      </c>
      <c r="H126" s="14">
        <v>28.0</v>
      </c>
      <c r="I126" s="14">
        <f t="shared" si="1"/>
        <v>28</v>
      </c>
      <c r="J126" s="14"/>
      <c r="K126" s="18"/>
      <c r="L126" s="16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8" t="s">
        <v>154</v>
      </c>
      <c r="C127" s="9" t="s">
        <v>12</v>
      </c>
      <c r="D127" s="48" t="s">
        <v>160</v>
      </c>
      <c r="E127" s="11" t="s">
        <v>14</v>
      </c>
      <c r="F127" s="12" t="s">
        <v>4</v>
      </c>
      <c r="G127" s="13">
        <v>1.0</v>
      </c>
      <c r="H127" s="14">
        <v>216.0</v>
      </c>
      <c r="I127" s="14">
        <f t="shared" si="1"/>
        <v>216</v>
      </c>
      <c r="J127" s="14"/>
      <c r="K127" s="18"/>
      <c r="L127" s="16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8" t="s">
        <v>154</v>
      </c>
      <c r="C128" s="9" t="s">
        <v>12</v>
      </c>
      <c r="D128" s="48" t="s">
        <v>161</v>
      </c>
      <c r="E128" s="11" t="s">
        <v>14</v>
      </c>
      <c r="F128" s="12" t="s">
        <v>4</v>
      </c>
      <c r="G128" s="13">
        <v>1.0</v>
      </c>
      <c r="H128" s="14">
        <v>8.0</v>
      </c>
      <c r="I128" s="14">
        <f t="shared" si="1"/>
        <v>8</v>
      </c>
      <c r="J128" s="14"/>
      <c r="K128" s="18"/>
      <c r="L128" s="1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8" t="s">
        <v>154</v>
      </c>
      <c r="C129" s="9" t="s">
        <v>12</v>
      </c>
      <c r="D129" s="48" t="s">
        <v>162</v>
      </c>
      <c r="E129" s="11" t="s">
        <v>14</v>
      </c>
      <c r="F129" s="12" t="s">
        <v>4</v>
      </c>
      <c r="G129" s="13">
        <v>2.0</v>
      </c>
      <c r="H129" s="14">
        <v>80.0</v>
      </c>
      <c r="I129" s="14">
        <f t="shared" si="1"/>
        <v>160</v>
      </c>
      <c r="J129" s="14"/>
      <c r="K129" s="18"/>
      <c r="L129" s="1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8" t="s">
        <v>154</v>
      </c>
      <c r="C130" s="9" t="s">
        <v>12</v>
      </c>
      <c r="D130" s="48" t="s">
        <v>163</v>
      </c>
      <c r="E130" s="11" t="s">
        <v>14</v>
      </c>
      <c r="F130" s="12" t="s">
        <v>4</v>
      </c>
      <c r="G130" s="13">
        <v>1.0</v>
      </c>
      <c r="H130" s="14">
        <v>19.0</v>
      </c>
      <c r="I130" s="14">
        <f t="shared" si="1"/>
        <v>19</v>
      </c>
      <c r="J130" s="14"/>
      <c r="K130" s="18"/>
      <c r="L130" s="1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8" t="s">
        <v>154</v>
      </c>
      <c r="C131" s="9" t="s">
        <v>164</v>
      </c>
      <c r="D131" s="48" t="s">
        <v>165</v>
      </c>
      <c r="E131" s="11" t="s">
        <v>14</v>
      </c>
      <c r="F131" s="12" t="s">
        <v>4</v>
      </c>
      <c r="G131" s="13">
        <v>1.0</v>
      </c>
      <c r="H131" s="14">
        <v>27.0</v>
      </c>
      <c r="I131" s="14">
        <f t="shared" si="1"/>
        <v>27</v>
      </c>
      <c r="J131" s="14"/>
      <c r="K131" s="18"/>
      <c r="L131" s="16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8" t="s">
        <v>154</v>
      </c>
      <c r="C132" s="9" t="s">
        <v>164</v>
      </c>
      <c r="D132" s="48" t="s">
        <v>166</v>
      </c>
      <c r="E132" s="11" t="s">
        <v>14</v>
      </c>
      <c r="F132" s="12" t="s">
        <v>4</v>
      </c>
      <c r="G132" s="13">
        <v>1.0</v>
      </c>
      <c r="H132" s="14">
        <v>24.0</v>
      </c>
      <c r="I132" s="14">
        <f t="shared" si="1"/>
        <v>24</v>
      </c>
      <c r="J132" s="14"/>
      <c r="K132" s="18"/>
      <c r="L132" s="16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8" t="s">
        <v>154</v>
      </c>
      <c r="C133" s="9" t="s">
        <v>164</v>
      </c>
      <c r="D133" s="48" t="s">
        <v>167</v>
      </c>
      <c r="E133" s="11" t="s">
        <v>14</v>
      </c>
      <c r="F133" s="12" t="s">
        <v>168</v>
      </c>
      <c r="G133" s="13">
        <v>1.0</v>
      </c>
      <c r="H133" s="14">
        <v>24.0</v>
      </c>
      <c r="I133" s="14">
        <f t="shared" si="1"/>
        <v>24</v>
      </c>
      <c r="J133" s="14"/>
      <c r="K133" s="18"/>
      <c r="L133" s="16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8" t="s">
        <v>154</v>
      </c>
      <c r="C134" s="9" t="s">
        <v>164</v>
      </c>
      <c r="D134" s="48" t="s">
        <v>169</v>
      </c>
      <c r="E134" s="11" t="s">
        <v>14</v>
      </c>
      <c r="F134" s="12" t="s">
        <v>4</v>
      </c>
      <c r="G134" s="13">
        <v>1.0</v>
      </c>
      <c r="H134" s="14">
        <v>24.0</v>
      </c>
      <c r="I134" s="14">
        <f t="shared" si="1"/>
        <v>24</v>
      </c>
      <c r="J134" s="14"/>
      <c r="K134" s="18"/>
      <c r="L134" s="16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8" t="s">
        <v>154</v>
      </c>
      <c r="C135" s="9" t="s">
        <v>164</v>
      </c>
      <c r="D135" s="48" t="s">
        <v>170</v>
      </c>
      <c r="E135" s="11" t="s">
        <v>14</v>
      </c>
      <c r="F135" s="12" t="s">
        <v>4</v>
      </c>
      <c r="G135" s="13">
        <v>1.0</v>
      </c>
      <c r="H135" s="14">
        <v>24.0</v>
      </c>
      <c r="I135" s="14">
        <f t="shared" si="1"/>
        <v>24</v>
      </c>
      <c r="J135" s="14"/>
      <c r="K135" s="18"/>
      <c r="L135" s="16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8" t="s">
        <v>154</v>
      </c>
      <c r="C136" s="9" t="s">
        <v>164</v>
      </c>
      <c r="D136" s="48" t="s">
        <v>171</v>
      </c>
      <c r="E136" s="11" t="s">
        <v>14</v>
      </c>
      <c r="F136" s="12" t="s">
        <v>4</v>
      </c>
      <c r="G136" s="13">
        <v>1.0</v>
      </c>
      <c r="H136" s="14">
        <v>24.0</v>
      </c>
      <c r="I136" s="14">
        <f t="shared" si="1"/>
        <v>24</v>
      </c>
      <c r="J136" s="14"/>
      <c r="K136" s="18"/>
      <c r="L136" s="16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8" t="s">
        <v>154</v>
      </c>
      <c r="C137" s="9" t="s">
        <v>12</v>
      </c>
      <c r="D137" s="48" t="s">
        <v>172</v>
      </c>
      <c r="E137" s="11" t="s">
        <v>14</v>
      </c>
      <c r="F137" s="12" t="s">
        <v>4</v>
      </c>
      <c r="G137" s="13">
        <v>1.0</v>
      </c>
      <c r="H137" s="14">
        <v>16.0</v>
      </c>
      <c r="I137" s="14">
        <f t="shared" si="1"/>
        <v>16</v>
      </c>
      <c r="J137" s="14"/>
      <c r="K137" s="18"/>
      <c r="L137" s="16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8" t="s">
        <v>154</v>
      </c>
      <c r="C138" s="9" t="s">
        <v>12</v>
      </c>
      <c r="D138" s="48" t="s">
        <v>173</v>
      </c>
      <c r="E138" s="11" t="s">
        <v>14</v>
      </c>
      <c r="F138" s="12" t="s">
        <v>4</v>
      </c>
      <c r="G138" s="13">
        <v>1.0</v>
      </c>
      <c r="H138" s="14">
        <v>10.0</v>
      </c>
      <c r="I138" s="14">
        <f t="shared" si="1"/>
        <v>10</v>
      </c>
      <c r="J138" s="14"/>
      <c r="K138" s="18"/>
      <c r="L138" s="16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8" t="s">
        <v>154</v>
      </c>
      <c r="C139" s="9" t="s">
        <v>12</v>
      </c>
      <c r="D139" s="48" t="s">
        <v>174</v>
      </c>
      <c r="E139" s="11" t="s">
        <v>14</v>
      </c>
      <c r="F139" s="12" t="s">
        <v>4</v>
      </c>
      <c r="G139" s="13">
        <v>1.0</v>
      </c>
      <c r="H139" s="14">
        <v>35.0</v>
      </c>
      <c r="I139" s="14">
        <f t="shared" si="1"/>
        <v>35</v>
      </c>
      <c r="J139" s="14"/>
      <c r="K139" s="18"/>
      <c r="L139" s="16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8" t="s">
        <v>154</v>
      </c>
      <c r="C140" s="9" t="s">
        <v>175</v>
      </c>
      <c r="D140" s="48" t="s">
        <v>176</v>
      </c>
      <c r="E140" s="11" t="s">
        <v>177</v>
      </c>
      <c r="F140" s="50"/>
      <c r="G140" s="13">
        <v>1.0</v>
      </c>
      <c r="H140" s="14">
        <v>8000.0</v>
      </c>
      <c r="I140" s="14">
        <f t="shared" si="1"/>
        <v>8000</v>
      </c>
      <c r="J140" s="51">
        <v>31500.0</v>
      </c>
      <c r="K140" s="15" t="s">
        <v>39</v>
      </c>
      <c r="L140" s="52" t="s">
        <v>178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8" t="s">
        <v>154</v>
      </c>
      <c r="C141" s="9" t="s">
        <v>139</v>
      </c>
      <c r="D141" s="48" t="s">
        <v>179</v>
      </c>
      <c r="E141" s="11" t="s">
        <v>38</v>
      </c>
      <c r="F141" s="50">
        <v>551594.0</v>
      </c>
      <c r="G141" s="13">
        <v>2.0</v>
      </c>
      <c r="H141" s="14">
        <v>286.8</v>
      </c>
      <c r="I141" s="14">
        <f t="shared" si="1"/>
        <v>573.6</v>
      </c>
      <c r="J141" s="14"/>
      <c r="K141" s="18"/>
      <c r="L141" s="16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8" t="s">
        <v>154</v>
      </c>
      <c r="C142" s="9" t="s">
        <v>139</v>
      </c>
      <c r="D142" s="48" t="s">
        <v>140</v>
      </c>
      <c r="E142" s="11" t="s">
        <v>38</v>
      </c>
      <c r="F142" s="50">
        <v>551595.0</v>
      </c>
      <c r="G142" s="13">
        <v>2.0</v>
      </c>
      <c r="H142" s="14">
        <v>330.0</v>
      </c>
      <c r="I142" s="14">
        <f t="shared" si="1"/>
        <v>660</v>
      </c>
      <c r="J142" s="14"/>
      <c r="K142" s="18"/>
      <c r="L142" s="16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8" t="s">
        <v>154</v>
      </c>
      <c r="C143" s="9"/>
      <c r="D143" s="48" t="s">
        <v>141</v>
      </c>
      <c r="E143" s="11" t="s">
        <v>38</v>
      </c>
      <c r="F143" s="50">
        <v>551596.0</v>
      </c>
      <c r="G143" s="13">
        <v>1.0</v>
      </c>
      <c r="H143" s="14">
        <v>286.8</v>
      </c>
      <c r="I143" s="14">
        <f t="shared" si="1"/>
        <v>286.8</v>
      </c>
      <c r="J143" s="14"/>
      <c r="K143" s="18"/>
      <c r="L143" s="16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8" t="s">
        <v>154</v>
      </c>
      <c r="C144" s="9" t="s">
        <v>93</v>
      </c>
      <c r="D144" s="48" t="s">
        <v>180</v>
      </c>
      <c r="E144" s="11" t="s">
        <v>30</v>
      </c>
      <c r="F144" s="50"/>
      <c r="G144" s="13">
        <v>1.0</v>
      </c>
      <c r="H144" s="14">
        <v>940.0</v>
      </c>
      <c r="I144" s="14">
        <f t="shared" si="1"/>
        <v>940</v>
      </c>
      <c r="J144" s="14"/>
      <c r="K144" s="18"/>
      <c r="L144" s="16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8" t="s">
        <v>154</v>
      </c>
      <c r="C145" s="9" t="s">
        <v>150</v>
      </c>
      <c r="D145" s="48" t="s">
        <v>181</v>
      </c>
      <c r="E145" s="11" t="s">
        <v>14</v>
      </c>
      <c r="F145" s="50" t="s">
        <v>182</v>
      </c>
      <c r="G145" s="13">
        <v>1.0</v>
      </c>
      <c r="H145" s="14">
        <v>600.0</v>
      </c>
      <c r="I145" s="14">
        <f t="shared" si="1"/>
        <v>600</v>
      </c>
      <c r="J145" s="14"/>
      <c r="K145" s="18"/>
      <c r="L145" s="16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8" t="s">
        <v>154</v>
      </c>
      <c r="C146" s="9" t="s">
        <v>12</v>
      </c>
      <c r="D146" s="48" t="s">
        <v>152</v>
      </c>
      <c r="E146" s="11" t="s">
        <v>14</v>
      </c>
      <c r="F146" s="12" t="s">
        <v>4</v>
      </c>
      <c r="G146" s="13">
        <v>1.0</v>
      </c>
      <c r="H146" s="14">
        <v>30.0</v>
      </c>
      <c r="I146" s="14">
        <f t="shared" si="1"/>
        <v>30</v>
      </c>
      <c r="J146" s="14"/>
      <c r="K146" s="18"/>
      <c r="L146" s="16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8" t="s">
        <v>154</v>
      </c>
      <c r="C147" s="9" t="s">
        <v>12</v>
      </c>
      <c r="D147" s="48" t="s">
        <v>183</v>
      </c>
      <c r="E147" s="11" t="s">
        <v>14</v>
      </c>
      <c r="F147" s="12" t="s">
        <v>4</v>
      </c>
      <c r="G147" s="13">
        <v>1.0</v>
      </c>
      <c r="H147" s="14">
        <v>170.0</v>
      </c>
      <c r="I147" s="14">
        <f t="shared" si="1"/>
        <v>170</v>
      </c>
      <c r="J147" s="14"/>
      <c r="K147" s="18"/>
      <c r="L147" s="16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8" t="s">
        <v>154</v>
      </c>
      <c r="C148" s="9" t="s">
        <v>36</v>
      </c>
      <c r="D148" s="48" t="s">
        <v>184</v>
      </c>
      <c r="E148" s="11" t="s">
        <v>38</v>
      </c>
      <c r="F148" s="50" t="s">
        <v>185</v>
      </c>
      <c r="G148" s="13">
        <v>2.0</v>
      </c>
      <c r="H148" s="14">
        <v>80.0</v>
      </c>
      <c r="I148" s="14">
        <f t="shared" si="1"/>
        <v>160</v>
      </c>
      <c r="J148" s="14"/>
      <c r="K148" s="15" t="s">
        <v>39</v>
      </c>
      <c r="L148" s="16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8" t="s">
        <v>154</v>
      </c>
      <c r="C149" s="9" t="s">
        <v>12</v>
      </c>
      <c r="D149" s="48" t="s">
        <v>186</v>
      </c>
      <c r="E149" s="11" t="s">
        <v>14</v>
      </c>
      <c r="F149" s="50" t="s">
        <v>187</v>
      </c>
      <c r="G149" s="13">
        <v>6.0</v>
      </c>
      <c r="H149" s="14">
        <v>10.0</v>
      </c>
      <c r="I149" s="14">
        <f t="shared" si="1"/>
        <v>60</v>
      </c>
      <c r="J149" s="14"/>
      <c r="K149" s="18"/>
      <c r="L149" s="1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8" t="s">
        <v>188</v>
      </c>
      <c r="C150" s="9" t="s">
        <v>12</v>
      </c>
      <c r="D150" s="48" t="s">
        <v>46</v>
      </c>
      <c r="E150" s="11" t="s">
        <v>14</v>
      </c>
      <c r="F150" s="12" t="s">
        <v>4</v>
      </c>
      <c r="G150" s="13">
        <v>2.0</v>
      </c>
      <c r="H150" s="14">
        <v>68.0</v>
      </c>
      <c r="I150" s="14">
        <f t="shared" si="1"/>
        <v>136</v>
      </c>
      <c r="J150" s="14"/>
      <c r="K150" s="18"/>
      <c r="L150" s="16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8" t="s">
        <v>188</v>
      </c>
      <c r="C151" s="9"/>
      <c r="D151" s="48" t="s">
        <v>189</v>
      </c>
      <c r="E151" s="11" t="s">
        <v>27</v>
      </c>
      <c r="F151" s="50"/>
      <c r="G151" s="13">
        <v>1.0</v>
      </c>
      <c r="H151" s="14">
        <v>120.0</v>
      </c>
      <c r="I151" s="14">
        <f t="shared" si="1"/>
        <v>120</v>
      </c>
      <c r="J151" s="14"/>
      <c r="K151" s="18"/>
      <c r="L151" s="16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8" t="s">
        <v>188</v>
      </c>
      <c r="C152" s="9" t="s">
        <v>12</v>
      </c>
      <c r="D152" s="48" t="s">
        <v>190</v>
      </c>
      <c r="E152" s="53"/>
      <c r="F152" s="12" t="s">
        <v>4</v>
      </c>
      <c r="G152" s="13">
        <v>1.0</v>
      </c>
      <c r="H152" s="14">
        <v>105.0</v>
      </c>
      <c r="I152" s="14">
        <f t="shared" si="1"/>
        <v>105</v>
      </c>
      <c r="J152" s="14"/>
      <c r="K152" s="18"/>
      <c r="L152" s="1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8" t="s">
        <v>188</v>
      </c>
      <c r="C153" s="9"/>
      <c r="D153" s="48" t="s">
        <v>191</v>
      </c>
      <c r="E153" s="53"/>
      <c r="F153" s="50"/>
      <c r="G153" s="13">
        <v>1.0</v>
      </c>
      <c r="H153" s="14">
        <v>95.0</v>
      </c>
      <c r="I153" s="14">
        <f t="shared" si="1"/>
        <v>95</v>
      </c>
      <c r="J153" s="14"/>
      <c r="K153" s="18"/>
      <c r="L153" s="16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8" t="s">
        <v>188</v>
      </c>
      <c r="C154" s="9" t="s">
        <v>106</v>
      </c>
      <c r="D154" s="48" t="s">
        <v>192</v>
      </c>
      <c r="E154" s="53"/>
      <c r="F154" s="50">
        <v>78524.0</v>
      </c>
      <c r="G154" s="13">
        <v>2.0</v>
      </c>
      <c r="H154" s="14">
        <v>495.0</v>
      </c>
      <c r="I154" s="14">
        <f t="shared" si="1"/>
        <v>990</v>
      </c>
      <c r="J154" s="14"/>
      <c r="K154" s="18"/>
      <c r="L154" s="16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8" t="s">
        <v>188</v>
      </c>
      <c r="C155" s="9" t="s">
        <v>106</v>
      </c>
      <c r="D155" s="48" t="s">
        <v>193</v>
      </c>
      <c r="E155" s="53"/>
      <c r="F155" s="50">
        <v>78525.0</v>
      </c>
      <c r="G155" s="13">
        <v>1.0</v>
      </c>
      <c r="H155" s="14">
        <v>1085.7</v>
      </c>
      <c r="I155" s="14">
        <f t="shared" si="1"/>
        <v>1085.7</v>
      </c>
      <c r="J155" s="14"/>
      <c r="K155" s="18"/>
      <c r="L155" s="16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8" t="s">
        <v>188</v>
      </c>
      <c r="C156" s="9" t="s">
        <v>36</v>
      </c>
      <c r="D156" s="48" t="s">
        <v>135</v>
      </c>
      <c r="E156" s="11" t="s">
        <v>38</v>
      </c>
      <c r="F156" s="50" t="s">
        <v>194</v>
      </c>
      <c r="G156" s="13">
        <v>1.0</v>
      </c>
      <c r="H156" s="14">
        <v>444.0</v>
      </c>
      <c r="I156" s="14">
        <f t="shared" si="1"/>
        <v>444</v>
      </c>
      <c r="J156" s="14"/>
      <c r="K156" s="15" t="s">
        <v>39</v>
      </c>
      <c r="L156" s="16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8" t="s">
        <v>188</v>
      </c>
      <c r="C157" s="9" t="s">
        <v>12</v>
      </c>
      <c r="D157" s="48" t="s">
        <v>195</v>
      </c>
      <c r="E157" s="53"/>
      <c r="F157" s="12" t="s">
        <v>4</v>
      </c>
      <c r="G157" s="13">
        <v>2.0</v>
      </c>
      <c r="H157" s="14">
        <v>26.0</v>
      </c>
      <c r="I157" s="14">
        <f t="shared" si="1"/>
        <v>52</v>
      </c>
      <c r="J157" s="14"/>
      <c r="K157" s="18"/>
      <c r="L157" s="1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8" t="s">
        <v>188</v>
      </c>
      <c r="C158" s="9" t="s">
        <v>93</v>
      </c>
      <c r="D158" s="48" t="s">
        <v>196</v>
      </c>
      <c r="E158" s="11" t="s">
        <v>30</v>
      </c>
      <c r="F158" s="50"/>
      <c r="G158" s="13">
        <v>1.0</v>
      </c>
      <c r="H158" s="14">
        <v>920.0</v>
      </c>
      <c r="I158" s="14">
        <f t="shared" si="1"/>
        <v>920</v>
      </c>
      <c r="J158" s="14"/>
      <c r="K158" s="18"/>
      <c r="L158" s="1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8" t="s">
        <v>188</v>
      </c>
      <c r="C159" s="9"/>
      <c r="D159" s="48" t="s">
        <v>197</v>
      </c>
      <c r="E159" s="53"/>
      <c r="F159" s="50"/>
      <c r="G159" s="13">
        <v>1.0</v>
      </c>
      <c r="H159" s="14">
        <v>100.0</v>
      </c>
      <c r="I159" s="14">
        <f t="shared" si="1"/>
        <v>100</v>
      </c>
      <c r="J159" s="14"/>
      <c r="K159" s="18"/>
      <c r="L159" s="16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8" t="s">
        <v>188</v>
      </c>
      <c r="C160" s="9"/>
      <c r="D160" s="48" t="s">
        <v>198</v>
      </c>
      <c r="E160" s="53"/>
      <c r="F160" s="50"/>
      <c r="G160" s="13">
        <v>1.0</v>
      </c>
      <c r="H160" s="14">
        <v>35.0</v>
      </c>
      <c r="I160" s="14">
        <f t="shared" si="1"/>
        <v>35</v>
      </c>
      <c r="J160" s="14"/>
      <c r="K160" s="18"/>
      <c r="L160" s="16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8" t="s">
        <v>188</v>
      </c>
      <c r="C161" s="9" t="s">
        <v>12</v>
      </c>
      <c r="D161" s="48" t="s">
        <v>199</v>
      </c>
      <c r="E161" s="53"/>
      <c r="F161" s="12" t="s">
        <v>4</v>
      </c>
      <c r="G161" s="13">
        <v>1.0</v>
      </c>
      <c r="H161" s="14">
        <v>192.0</v>
      </c>
      <c r="I161" s="14">
        <f t="shared" si="1"/>
        <v>192</v>
      </c>
      <c r="J161" s="14"/>
      <c r="K161" s="18"/>
      <c r="L161" s="16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8" t="s">
        <v>188</v>
      </c>
      <c r="C162" s="9" t="s">
        <v>12</v>
      </c>
      <c r="D162" s="48" t="s">
        <v>200</v>
      </c>
      <c r="E162" s="53"/>
      <c r="F162" s="12" t="s">
        <v>4</v>
      </c>
      <c r="G162" s="13">
        <v>2.0</v>
      </c>
      <c r="H162" s="14">
        <v>35.0</v>
      </c>
      <c r="I162" s="14">
        <f t="shared" si="1"/>
        <v>70</v>
      </c>
      <c r="J162" s="14"/>
      <c r="K162" s="18"/>
      <c r="L162" s="1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8" t="s">
        <v>188</v>
      </c>
      <c r="C163" s="9" t="s">
        <v>12</v>
      </c>
      <c r="D163" s="48" t="s">
        <v>201</v>
      </c>
      <c r="E163" s="53"/>
      <c r="F163" s="12" t="s">
        <v>4</v>
      </c>
      <c r="G163" s="13">
        <v>1.0</v>
      </c>
      <c r="H163" s="14">
        <v>42.0</v>
      </c>
      <c r="I163" s="14">
        <f t="shared" si="1"/>
        <v>42</v>
      </c>
      <c r="J163" s="14"/>
      <c r="K163" s="18"/>
      <c r="L163" s="1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8" t="s">
        <v>188</v>
      </c>
      <c r="C164" s="9" t="s">
        <v>12</v>
      </c>
      <c r="D164" s="48" t="s">
        <v>202</v>
      </c>
      <c r="E164" s="53"/>
      <c r="F164" s="12" t="s">
        <v>4</v>
      </c>
      <c r="G164" s="13">
        <v>1.0</v>
      </c>
      <c r="H164" s="14">
        <v>30.0</v>
      </c>
      <c r="I164" s="14">
        <f t="shared" si="1"/>
        <v>30</v>
      </c>
      <c r="J164" s="14"/>
      <c r="K164" s="18"/>
      <c r="L164" s="1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8" t="s">
        <v>188</v>
      </c>
      <c r="C165" s="9" t="s">
        <v>12</v>
      </c>
      <c r="D165" s="48" t="s">
        <v>203</v>
      </c>
      <c r="E165" s="53"/>
      <c r="F165" s="12" t="s">
        <v>4</v>
      </c>
      <c r="G165" s="13">
        <v>1.0</v>
      </c>
      <c r="H165" s="14">
        <v>20.0</v>
      </c>
      <c r="I165" s="14">
        <f t="shared" si="1"/>
        <v>20</v>
      </c>
      <c r="J165" s="14"/>
      <c r="K165" s="18"/>
      <c r="L165" s="16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8" t="s">
        <v>188</v>
      </c>
      <c r="C166" s="9" t="s">
        <v>204</v>
      </c>
      <c r="D166" s="48" t="s">
        <v>205</v>
      </c>
      <c r="E166" s="53"/>
      <c r="F166" s="50" t="s">
        <v>206</v>
      </c>
      <c r="G166" s="13">
        <v>1.0</v>
      </c>
      <c r="H166" s="14">
        <v>390.0</v>
      </c>
      <c r="I166" s="14">
        <f t="shared" si="1"/>
        <v>390</v>
      </c>
      <c r="J166" s="14"/>
      <c r="K166" s="18"/>
      <c r="L166" s="1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8" t="s">
        <v>188</v>
      </c>
      <c r="C167" s="9" t="s">
        <v>204</v>
      </c>
      <c r="D167" s="48" t="s">
        <v>207</v>
      </c>
      <c r="E167" s="53"/>
      <c r="F167" s="50" t="s">
        <v>206</v>
      </c>
      <c r="G167" s="13">
        <v>1.0</v>
      </c>
      <c r="H167" s="14">
        <v>160.0</v>
      </c>
      <c r="I167" s="14">
        <f t="shared" si="1"/>
        <v>160</v>
      </c>
      <c r="J167" s="14"/>
      <c r="K167" s="18"/>
      <c r="L167" s="1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8" t="s">
        <v>188</v>
      </c>
      <c r="C168" s="9" t="s">
        <v>204</v>
      </c>
      <c r="D168" s="48" t="s">
        <v>208</v>
      </c>
      <c r="E168" s="53"/>
      <c r="F168" s="50" t="s">
        <v>206</v>
      </c>
      <c r="G168" s="13">
        <v>1.0</v>
      </c>
      <c r="H168" s="14">
        <v>100.0</v>
      </c>
      <c r="I168" s="14">
        <f t="shared" si="1"/>
        <v>100</v>
      </c>
      <c r="J168" s="14"/>
      <c r="K168" s="18"/>
      <c r="L168" s="16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8" t="s">
        <v>188</v>
      </c>
      <c r="C169" s="9" t="s">
        <v>209</v>
      </c>
      <c r="D169" s="48" t="s">
        <v>210</v>
      </c>
      <c r="E169" s="53"/>
      <c r="F169" s="12" t="s">
        <v>4</v>
      </c>
      <c r="G169" s="13">
        <v>2.0</v>
      </c>
      <c r="H169" s="14">
        <v>20.0</v>
      </c>
      <c r="I169" s="14">
        <f t="shared" si="1"/>
        <v>40</v>
      </c>
      <c r="J169" s="14"/>
      <c r="K169" s="18"/>
      <c r="L169" s="16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8" t="s">
        <v>188</v>
      </c>
      <c r="C170" s="9" t="s">
        <v>150</v>
      </c>
      <c r="D170" s="48" t="s">
        <v>211</v>
      </c>
      <c r="E170" s="53"/>
      <c r="F170" s="50"/>
      <c r="G170" s="13">
        <v>1.0</v>
      </c>
      <c r="H170" s="14">
        <v>300.0</v>
      </c>
      <c r="I170" s="14">
        <f t="shared" si="1"/>
        <v>300</v>
      </c>
      <c r="J170" s="14"/>
      <c r="K170" s="18"/>
      <c r="L170" s="16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8" t="s">
        <v>188</v>
      </c>
      <c r="C171" s="9" t="s">
        <v>12</v>
      </c>
      <c r="D171" s="48" t="s">
        <v>152</v>
      </c>
      <c r="E171" s="53"/>
      <c r="F171" s="12" t="s">
        <v>212</v>
      </c>
      <c r="G171" s="13">
        <v>1.0</v>
      </c>
      <c r="H171" s="14">
        <v>18.0</v>
      </c>
      <c r="I171" s="14">
        <f t="shared" si="1"/>
        <v>18</v>
      </c>
      <c r="J171" s="14"/>
      <c r="K171" s="18"/>
      <c r="L171" s="16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8" t="s">
        <v>188</v>
      </c>
      <c r="C172" s="9"/>
      <c r="D172" s="48" t="s">
        <v>213</v>
      </c>
      <c r="E172" s="53"/>
      <c r="F172" s="50"/>
      <c r="G172" s="13">
        <v>1.0</v>
      </c>
      <c r="H172" s="14">
        <v>80.0</v>
      </c>
      <c r="I172" s="14">
        <f t="shared" si="1"/>
        <v>80</v>
      </c>
      <c r="J172" s="14"/>
      <c r="K172" s="18"/>
      <c r="L172" s="16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8" t="s">
        <v>188</v>
      </c>
      <c r="C173" s="9" t="s">
        <v>12</v>
      </c>
      <c r="D173" s="48" t="s">
        <v>214</v>
      </c>
      <c r="E173" s="11" t="s">
        <v>14</v>
      </c>
      <c r="F173" s="12" t="s">
        <v>4</v>
      </c>
      <c r="G173" s="13">
        <v>1.0</v>
      </c>
      <c r="H173" s="14">
        <v>40.0</v>
      </c>
      <c r="I173" s="14">
        <f t="shared" si="1"/>
        <v>40</v>
      </c>
      <c r="J173" s="14"/>
      <c r="K173" s="18"/>
      <c r="L173" s="16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8" t="s">
        <v>188</v>
      </c>
      <c r="C174" s="9"/>
      <c r="D174" s="48" t="s">
        <v>215</v>
      </c>
      <c r="E174" s="11" t="s">
        <v>19</v>
      </c>
      <c r="F174" s="50"/>
      <c r="G174" s="13">
        <v>1.0</v>
      </c>
      <c r="H174" s="14">
        <v>50.0</v>
      </c>
      <c r="I174" s="14">
        <f t="shared" si="1"/>
        <v>50</v>
      </c>
      <c r="J174" s="14"/>
      <c r="K174" s="18"/>
      <c r="L174" s="16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8" t="s">
        <v>188</v>
      </c>
      <c r="C175" s="9" t="s">
        <v>15</v>
      </c>
      <c r="D175" s="48" t="s">
        <v>156</v>
      </c>
      <c r="E175" s="53"/>
      <c r="F175" s="50"/>
      <c r="G175" s="13">
        <v>1.0</v>
      </c>
      <c r="H175" s="14">
        <v>100.0</v>
      </c>
      <c r="I175" s="14">
        <f t="shared" si="1"/>
        <v>100</v>
      </c>
      <c r="J175" s="14"/>
      <c r="K175" s="18"/>
      <c r="L175" s="1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8" t="s">
        <v>216</v>
      </c>
      <c r="C176" s="9" t="s">
        <v>15</v>
      </c>
      <c r="D176" s="48" t="s">
        <v>217</v>
      </c>
      <c r="E176" s="11" t="s">
        <v>14</v>
      </c>
      <c r="F176" s="50"/>
      <c r="G176" s="13">
        <v>2.0</v>
      </c>
      <c r="H176" s="14">
        <v>100.0</v>
      </c>
      <c r="I176" s="14">
        <f t="shared" si="1"/>
        <v>200</v>
      </c>
      <c r="J176" s="14"/>
      <c r="K176" s="18"/>
      <c r="L176" s="16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8" t="s">
        <v>216</v>
      </c>
      <c r="C177" s="9" t="s">
        <v>12</v>
      </c>
      <c r="D177" s="48" t="s">
        <v>218</v>
      </c>
      <c r="E177" s="11" t="s">
        <v>14</v>
      </c>
      <c r="F177" s="50"/>
      <c r="G177" s="13">
        <v>2.0</v>
      </c>
      <c r="H177" s="14">
        <v>5.0</v>
      </c>
      <c r="I177" s="14">
        <f t="shared" si="1"/>
        <v>10</v>
      </c>
      <c r="J177" s="14"/>
      <c r="K177" s="18"/>
      <c r="L177" s="16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8" t="s">
        <v>216</v>
      </c>
      <c r="C178" s="9" t="s">
        <v>12</v>
      </c>
      <c r="D178" s="48" t="s">
        <v>190</v>
      </c>
      <c r="E178" s="11" t="s">
        <v>14</v>
      </c>
      <c r="F178" s="12" t="s">
        <v>4</v>
      </c>
      <c r="G178" s="13">
        <v>1.0</v>
      </c>
      <c r="H178" s="14">
        <v>52.0</v>
      </c>
      <c r="I178" s="14">
        <f t="shared" si="1"/>
        <v>52</v>
      </c>
      <c r="J178" s="14"/>
      <c r="K178" s="18"/>
      <c r="L178" s="16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8" t="s">
        <v>216</v>
      </c>
      <c r="C179" s="9"/>
      <c r="D179" s="48" t="s">
        <v>191</v>
      </c>
      <c r="E179" s="11" t="s">
        <v>27</v>
      </c>
      <c r="F179" s="50"/>
      <c r="G179" s="13">
        <v>1.0</v>
      </c>
      <c r="H179" s="14">
        <v>95.0</v>
      </c>
      <c r="I179" s="14">
        <f t="shared" si="1"/>
        <v>95</v>
      </c>
      <c r="J179" s="14"/>
      <c r="K179" s="18"/>
      <c r="L179" s="16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8" t="s">
        <v>216</v>
      </c>
      <c r="C180" s="9" t="s">
        <v>12</v>
      </c>
      <c r="D180" s="48" t="s">
        <v>219</v>
      </c>
      <c r="E180" s="11" t="s">
        <v>14</v>
      </c>
      <c r="F180" s="50"/>
      <c r="G180" s="13">
        <v>8.0</v>
      </c>
      <c r="H180" s="14">
        <v>5.0</v>
      </c>
      <c r="I180" s="14">
        <f t="shared" si="1"/>
        <v>40</v>
      </c>
      <c r="J180" s="14"/>
      <c r="K180" s="18"/>
      <c r="L180" s="16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8" t="s">
        <v>216</v>
      </c>
      <c r="C181" s="9" t="s">
        <v>28</v>
      </c>
      <c r="D181" s="48" t="s">
        <v>220</v>
      </c>
      <c r="E181" s="11" t="s">
        <v>30</v>
      </c>
      <c r="F181" s="50" t="s">
        <v>134</v>
      </c>
      <c r="G181" s="13">
        <v>1.0</v>
      </c>
      <c r="H181" s="14">
        <v>0.0</v>
      </c>
      <c r="I181" s="14">
        <f t="shared" si="1"/>
        <v>0</v>
      </c>
      <c r="J181" s="14"/>
      <c r="K181" s="18"/>
      <c r="L181" s="16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8" t="s">
        <v>216</v>
      </c>
      <c r="C182" s="9" t="s">
        <v>106</v>
      </c>
      <c r="D182" s="48" t="s">
        <v>192</v>
      </c>
      <c r="E182" s="11" t="s">
        <v>38</v>
      </c>
      <c r="F182" s="50">
        <v>83035.0</v>
      </c>
      <c r="G182" s="13">
        <v>2.0</v>
      </c>
      <c r="H182" s="14">
        <v>283.8</v>
      </c>
      <c r="I182" s="14">
        <f t="shared" si="1"/>
        <v>567.6</v>
      </c>
      <c r="J182" s="14"/>
      <c r="K182" s="18"/>
      <c r="L182" s="1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8" t="s">
        <v>216</v>
      </c>
      <c r="C183" s="9" t="s">
        <v>106</v>
      </c>
      <c r="D183" s="48" t="s">
        <v>193</v>
      </c>
      <c r="E183" s="11" t="s">
        <v>38</v>
      </c>
      <c r="F183" s="50">
        <v>83036.0</v>
      </c>
      <c r="G183" s="13">
        <v>1.0</v>
      </c>
      <c r="H183" s="14">
        <v>739.2</v>
      </c>
      <c r="I183" s="14">
        <f t="shared" si="1"/>
        <v>739.2</v>
      </c>
      <c r="J183" s="14"/>
      <c r="K183" s="18"/>
      <c r="L183" s="16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8" t="s">
        <v>216</v>
      </c>
      <c r="C184" s="9" t="s">
        <v>93</v>
      </c>
      <c r="D184" s="48" t="s">
        <v>221</v>
      </c>
      <c r="E184" s="11" t="s">
        <v>30</v>
      </c>
      <c r="F184" s="50"/>
      <c r="G184" s="13">
        <v>1.0</v>
      </c>
      <c r="H184" s="14">
        <v>300.0</v>
      </c>
      <c r="I184" s="14">
        <f t="shared" si="1"/>
        <v>300</v>
      </c>
      <c r="J184" s="14"/>
      <c r="K184" s="18"/>
      <c r="L184" s="1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8" t="s">
        <v>216</v>
      </c>
      <c r="C185" s="9"/>
      <c r="D185" s="48" t="s">
        <v>197</v>
      </c>
      <c r="E185" s="11" t="s">
        <v>30</v>
      </c>
      <c r="F185" s="50"/>
      <c r="G185" s="13">
        <v>1.0</v>
      </c>
      <c r="H185" s="14">
        <v>80.0</v>
      </c>
      <c r="I185" s="14">
        <f t="shared" si="1"/>
        <v>80</v>
      </c>
      <c r="J185" s="14"/>
      <c r="K185" s="18"/>
      <c r="L185" s="16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8" t="s">
        <v>216</v>
      </c>
      <c r="C186" s="9"/>
      <c r="D186" s="48" t="s">
        <v>198</v>
      </c>
      <c r="E186" s="11" t="s">
        <v>14</v>
      </c>
      <c r="F186" s="50"/>
      <c r="G186" s="13">
        <v>1.0</v>
      </c>
      <c r="H186" s="14">
        <v>35.0</v>
      </c>
      <c r="I186" s="14">
        <f t="shared" si="1"/>
        <v>35</v>
      </c>
      <c r="J186" s="14"/>
      <c r="K186" s="18"/>
      <c r="L186" s="16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8" t="s">
        <v>216</v>
      </c>
      <c r="C187" s="9" t="s">
        <v>12</v>
      </c>
      <c r="D187" s="48" t="s">
        <v>222</v>
      </c>
      <c r="E187" s="11" t="s">
        <v>14</v>
      </c>
      <c r="F187" s="12" t="s">
        <v>4</v>
      </c>
      <c r="G187" s="13">
        <v>2.0</v>
      </c>
      <c r="H187" s="14">
        <v>25.0</v>
      </c>
      <c r="I187" s="14">
        <f t="shared" si="1"/>
        <v>50</v>
      </c>
      <c r="J187" s="14"/>
      <c r="K187" s="18"/>
      <c r="L187" s="1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8" t="s">
        <v>216</v>
      </c>
      <c r="C188" s="9" t="s">
        <v>12</v>
      </c>
      <c r="D188" s="48" t="s">
        <v>223</v>
      </c>
      <c r="E188" s="11" t="s">
        <v>14</v>
      </c>
      <c r="F188" s="12" t="s">
        <v>4</v>
      </c>
      <c r="G188" s="13">
        <v>1.0</v>
      </c>
      <c r="H188" s="14">
        <v>29.99</v>
      </c>
      <c r="I188" s="14">
        <f t="shared" si="1"/>
        <v>29.99</v>
      </c>
      <c r="J188" s="14"/>
      <c r="K188" s="18"/>
      <c r="L188" s="16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8" t="s">
        <v>216</v>
      </c>
      <c r="C189" s="9" t="s">
        <v>12</v>
      </c>
      <c r="D189" s="48" t="s">
        <v>224</v>
      </c>
      <c r="E189" s="11" t="s">
        <v>14</v>
      </c>
      <c r="F189" s="12" t="s">
        <v>4</v>
      </c>
      <c r="G189" s="13">
        <v>1.0</v>
      </c>
      <c r="H189" s="14">
        <v>20.0</v>
      </c>
      <c r="I189" s="14">
        <f t="shared" si="1"/>
        <v>20</v>
      </c>
      <c r="J189" s="14"/>
      <c r="K189" s="18"/>
      <c r="L189" s="16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8" t="s">
        <v>216</v>
      </c>
      <c r="C190" s="9" t="s">
        <v>225</v>
      </c>
      <c r="D190" s="48" t="s">
        <v>226</v>
      </c>
      <c r="E190" s="11" t="s">
        <v>14</v>
      </c>
      <c r="F190" s="50" t="s">
        <v>227</v>
      </c>
      <c r="G190" s="13">
        <v>1.0</v>
      </c>
      <c r="H190" s="14">
        <v>340.0</v>
      </c>
      <c r="I190" s="14">
        <f t="shared" si="1"/>
        <v>340</v>
      </c>
      <c r="J190" s="14"/>
      <c r="K190" s="18"/>
      <c r="L190" s="1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8" t="s">
        <v>216</v>
      </c>
      <c r="C191" s="9" t="s">
        <v>225</v>
      </c>
      <c r="D191" s="48" t="s">
        <v>228</v>
      </c>
      <c r="E191" s="11" t="s">
        <v>14</v>
      </c>
      <c r="F191" s="50" t="s">
        <v>227</v>
      </c>
      <c r="G191" s="13">
        <v>1.0</v>
      </c>
      <c r="H191" s="14">
        <v>80.0</v>
      </c>
      <c r="I191" s="14">
        <f t="shared" si="1"/>
        <v>80</v>
      </c>
      <c r="J191" s="14"/>
      <c r="K191" s="18"/>
      <c r="L191" s="1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8" t="s">
        <v>216</v>
      </c>
      <c r="C192" s="9" t="s">
        <v>225</v>
      </c>
      <c r="D192" s="48" t="s">
        <v>229</v>
      </c>
      <c r="E192" s="11" t="s">
        <v>14</v>
      </c>
      <c r="F192" s="50" t="s">
        <v>227</v>
      </c>
      <c r="G192" s="13">
        <v>1.0</v>
      </c>
      <c r="H192" s="14">
        <v>80.0</v>
      </c>
      <c r="I192" s="14">
        <f t="shared" si="1"/>
        <v>80</v>
      </c>
      <c r="J192" s="14"/>
      <c r="K192" s="18"/>
      <c r="L192" s="1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8" t="s">
        <v>216</v>
      </c>
      <c r="C193" s="9" t="s">
        <v>12</v>
      </c>
      <c r="D193" s="48" t="s">
        <v>230</v>
      </c>
      <c r="E193" s="11" t="s">
        <v>14</v>
      </c>
      <c r="F193" s="12" t="s">
        <v>4</v>
      </c>
      <c r="G193" s="13">
        <v>1.0</v>
      </c>
      <c r="H193" s="14">
        <v>17.0</v>
      </c>
      <c r="I193" s="14">
        <f t="shared" si="1"/>
        <v>17</v>
      </c>
      <c r="J193" s="14"/>
      <c r="K193" s="18"/>
      <c r="L193" s="1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8" t="s">
        <v>216</v>
      </c>
      <c r="C194" s="9" t="s">
        <v>209</v>
      </c>
      <c r="D194" s="48" t="s">
        <v>231</v>
      </c>
      <c r="E194" s="11" t="s">
        <v>14</v>
      </c>
      <c r="F194" s="12" t="s">
        <v>4</v>
      </c>
      <c r="G194" s="13">
        <v>2.0</v>
      </c>
      <c r="H194" s="14">
        <v>11.0</v>
      </c>
      <c r="I194" s="14">
        <f t="shared" si="1"/>
        <v>22</v>
      </c>
      <c r="J194" s="14"/>
      <c r="K194" s="18"/>
      <c r="L194" s="1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8" t="s">
        <v>216</v>
      </c>
      <c r="C195" s="9" t="s">
        <v>15</v>
      </c>
      <c r="D195" s="48" t="s">
        <v>232</v>
      </c>
      <c r="E195" s="11" t="s">
        <v>14</v>
      </c>
      <c r="F195" s="50"/>
      <c r="G195" s="13">
        <v>2.0</v>
      </c>
      <c r="H195" s="14">
        <v>180.0</v>
      </c>
      <c r="I195" s="14">
        <f t="shared" si="1"/>
        <v>360</v>
      </c>
      <c r="J195" s="14"/>
      <c r="K195" s="18"/>
      <c r="L195" s="16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8" t="s">
        <v>216</v>
      </c>
      <c r="C196" s="9"/>
      <c r="D196" s="48" t="s">
        <v>32</v>
      </c>
      <c r="E196" s="11" t="s">
        <v>27</v>
      </c>
      <c r="F196" s="50"/>
      <c r="G196" s="13">
        <v>2.0</v>
      </c>
      <c r="H196" s="14">
        <v>18.0</v>
      </c>
      <c r="I196" s="14">
        <f t="shared" si="1"/>
        <v>36</v>
      </c>
      <c r="J196" s="14"/>
      <c r="K196" s="18"/>
      <c r="L196" s="1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8" t="s">
        <v>216</v>
      </c>
      <c r="C197" s="9" t="s">
        <v>150</v>
      </c>
      <c r="D197" s="48" t="s">
        <v>233</v>
      </c>
      <c r="E197" s="11" t="s">
        <v>14</v>
      </c>
      <c r="F197" s="50"/>
      <c r="G197" s="13">
        <v>1.0</v>
      </c>
      <c r="H197" s="14">
        <v>300.0</v>
      </c>
      <c r="I197" s="14">
        <f t="shared" si="1"/>
        <v>300</v>
      </c>
      <c r="J197" s="14"/>
      <c r="K197" s="18"/>
      <c r="L197" s="16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8" t="s">
        <v>216</v>
      </c>
      <c r="C198" s="9" t="s">
        <v>12</v>
      </c>
      <c r="D198" s="48" t="s">
        <v>152</v>
      </c>
      <c r="E198" s="11" t="s">
        <v>14</v>
      </c>
      <c r="F198" s="12" t="s">
        <v>4</v>
      </c>
      <c r="G198" s="13">
        <v>1.0</v>
      </c>
      <c r="H198" s="14">
        <v>18.0</v>
      </c>
      <c r="I198" s="14">
        <f t="shared" si="1"/>
        <v>18</v>
      </c>
      <c r="J198" s="14"/>
      <c r="K198" s="18"/>
      <c r="L198" s="16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8" t="s">
        <v>216</v>
      </c>
      <c r="C199" s="9"/>
      <c r="D199" s="9" t="s">
        <v>213</v>
      </c>
      <c r="E199" s="11" t="s">
        <v>27</v>
      </c>
      <c r="F199" s="54"/>
      <c r="G199" s="13">
        <v>1.0</v>
      </c>
      <c r="H199" s="14">
        <v>80.0</v>
      </c>
      <c r="I199" s="14">
        <f t="shared" si="1"/>
        <v>80</v>
      </c>
      <c r="J199" s="14"/>
      <c r="K199" s="18"/>
      <c r="L199" s="1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8" t="s">
        <v>234</v>
      </c>
      <c r="C200" s="9" t="s">
        <v>12</v>
      </c>
      <c r="D200" s="48" t="s">
        <v>235</v>
      </c>
      <c r="E200" s="11" t="s">
        <v>14</v>
      </c>
      <c r="F200" s="12" t="s">
        <v>4</v>
      </c>
      <c r="G200" s="13">
        <v>2.0</v>
      </c>
      <c r="H200" s="14">
        <v>26.0</v>
      </c>
      <c r="I200" s="14">
        <f t="shared" si="1"/>
        <v>52</v>
      </c>
      <c r="J200" s="14"/>
      <c r="K200" s="18"/>
      <c r="L200" s="16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8" t="s">
        <v>234</v>
      </c>
      <c r="C201" s="9" t="s">
        <v>12</v>
      </c>
      <c r="D201" s="48" t="s">
        <v>236</v>
      </c>
      <c r="E201" s="11" t="s">
        <v>14</v>
      </c>
      <c r="F201" s="12" t="s">
        <v>4</v>
      </c>
      <c r="G201" s="13">
        <v>2.0</v>
      </c>
      <c r="H201" s="14">
        <v>16.44</v>
      </c>
      <c r="I201" s="14">
        <f t="shared" si="1"/>
        <v>32.88</v>
      </c>
      <c r="J201" s="14"/>
      <c r="K201" s="18"/>
      <c r="L201" s="16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8" t="s">
        <v>234</v>
      </c>
      <c r="C202" s="9" t="s">
        <v>175</v>
      </c>
      <c r="D202" s="48" t="s">
        <v>237</v>
      </c>
      <c r="E202" s="11" t="s">
        <v>177</v>
      </c>
      <c r="F202" s="50"/>
      <c r="G202" s="13">
        <v>1.0</v>
      </c>
      <c r="H202" s="14">
        <v>10500.0</v>
      </c>
      <c r="I202" s="14">
        <f t="shared" si="1"/>
        <v>10500</v>
      </c>
      <c r="J202" s="14"/>
      <c r="K202" s="15" t="s">
        <v>39</v>
      </c>
      <c r="L202" s="16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8" t="s">
        <v>234</v>
      </c>
      <c r="C203" s="9" t="s">
        <v>12</v>
      </c>
      <c r="D203" s="48" t="s">
        <v>238</v>
      </c>
      <c r="E203" s="11" t="s">
        <v>14</v>
      </c>
      <c r="F203" s="50"/>
      <c r="G203" s="13">
        <v>1.0</v>
      </c>
      <c r="H203" s="14">
        <v>200.0</v>
      </c>
      <c r="I203" s="14">
        <f t="shared" si="1"/>
        <v>200</v>
      </c>
      <c r="J203" s="14"/>
      <c r="K203" s="18"/>
      <c r="L203" s="1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8" t="s">
        <v>234</v>
      </c>
      <c r="C204" s="9" t="s">
        <v>12</v>
      </c>
      <c r="D204" s="48" t="s">
        <v>239</v>
      </c>
      <c r="E204" s="11" t="s">
        <v>14</v>
      </c>
      <c r="F204" s="12" t="s">
        <v>4</v>
      </c>
      <c r="G204" s="13">
        <v>1.0</v>
      </c>
      <c r="H204" s="14">
        <v>42.0</v>
      </c>
      <c r="I204" s="14">
        <f t="shared" si="1"/>
        <v>42</v>
      </c>
      <c r="J204" s="14"/>
      <c r="K204" s="18"/>
      <c r="L204" s="1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8" t="s">
        <v>234</v>
      </c>
      <c r="C205" s="9" t="s">
        <v>12</v>
      </c>
      <c r="D205" s="48" t="s">
        <v>240</v>
      </c>
      <c r="E205" s="11" t="s">
        <v>14</v>
      </c>
      <c r="F205" s="12" t="s">
        <v>4</v>
      </c>
      <c r="G205" s="13">
        <v>1.0</v>
      </c>
      <c r="H205" s="14">
        <v>32.0</v>
      </c>
      <c r="I205" s="14">
        <f t="shared" si="1"/>
        <v>32</v>
      </c>
      <c r="J205" s="14"/>
      <c r="K205" s="18"/>
      <c r="L205" s="1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8" t="s">
        <v>234</v>
      </c>
      <c r="C206" s="9" t="s">
        <v>12</v>
      </c>
      <c r="D206" s="48" t="s">
        <v>241</v>
      </c>
      <c r="E206" s="11" t="s">
        <v>14</v>
      </c>
      <c r="F206" s="12" t="s">
        <v>4</v>
      </c>
      <c r="G206" s="13">
        <v>2.0</v>
      </c>
      <c r="H206" s="14">
        <v>19.0</v>
      </c>
      <c r="I206" s="14">
        <f t="shared" si="1"/>
        <v>38</v>
      </c>
      <c r="J206" s="14"/>
      <c r="K206" s="18"/>
      <c r="L206" s="16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8" t="s">
        <v>234</v>
      </c>
      <c r="C207" s="9" t="s">
        <v>12</v>
      </c>
      <c r="D207" s="48" t="s">
        <v>242</v>
      </c>
      <c r="E207" s="11" t="s">
        <v>14</v>
      </c>
      <c r="F207" s="12" t="s">
        <v>4</v>
      </c>
      <c r="G207" s="13">
        <v>2.0</v>
      </c>
      <c r="H207" s="14">
        <v>35.0</v>
      </c>
      <c r="I207" s="14">
        <f t="shared" si="1"/>
        <v>70</v>
      </c>
      <c r="J207" s="14"/>
      <c r="K207" s="18"/>
      <c r="L207" s="16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8" t="s">
        <v>234</v>
      </c>
      <c r="C208" s="9" t="s">
        <v>12</v>
      </c>
      <c r="D208" s="48" t="s">
        <v>243</v>
      </c>
      <c r="E208" s="11" t="s">
        <v>14</v>
      </c>
      <c r="F208" s="12" t="s">
        <v>4</v>
      </c>
      <c r="G208" s="13">
        <v>1.0</v>
      </c>
      <c r="H208" s="14">
        <v>13.0</v>
      </c>
      <c r="I208" s="14">
        <f t="shared" si="1"/>
        <v>13</v>
      </c>
      <c r="J208" s="14"/>
      <c r="K208" s="18"/>
      <c r="L208" s="16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8" t="s">
        <v>234</v>
      </c>
      <c r="C209" s="9" t="s">
        <v>12</v>
      </c>
      <c r="D209" s="48" t="s">
        <v>244</v>
      </c>
      <c r="E209" s="11" t="s">
        <v>14</v>
      </c>
      <c r="F209" s="12" t="s">
        <v>4</v>
      </c>
      <c r="G209" s="13">
        <v>4.0</v>
      </c>
      <c r="H209" s="14">
        <v>50.0</v>
      </c>
      <c r="I209" s="14">
        <f t="shared" si="1"/>
        <v>200</v>
      </c>
      <c r="J209" s="14"/>
      <c r="K209" s="18"/>
      <c r="L209" s="16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8" t="s">
        <v>234</v>
      </c>
      <c r="C210" s="9" t="s">
        <v>12</v>
      </c>
      <c r="D210" s="48" t="s">
        <v>245</v>
      </c>
      <c r="E210" s="11" t="s">
        <v>14</v>
      </c>
      <c r="F210" s="12" t="s">
        <v>4</v>
      </c>
      <c r="G210" s="13">
        <v>4.0</v>
      </c>
      <c r="H210" s="14">
        <v>30.0</v>
      </c>
      <c r="I210" s="14">
        <f t="shared" si="1"/>
        <v>120</v>
      </c>
      <c r="J210" s="14"/>
      <c r="K210" s="18"/>
      <c r="L210" s="1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8" t="s">
        <v>234</v>
      </c>
      <c r="C211" s="9" t="s">
        <v>246</v>
      </c>
      <c r="D211" s="48" t="s">
        <v>247</v>
      </c>
      <c r="E211" s="11" t="s">
        <v>14</v>
      </c>
      <c r="F211" s="12" t="s">
        <v>4</v>
      </c>
      <c r="G211" s="13">
        <v>4.0</v>
      </c>
      <c r="H211" s="14">
        <v>11.0</v>
      </c>
      <c r="I211" s="14">
        <f t="shared" si="1"/>
        <v>44</v>
      </c>
      <c r="J211" s="14"/>
      <c r="K211" s="18"/>
      <c r="L211" s="16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8" t="s">
        <v>234</v>
      </c>
      <c r="C212" s="9" t="s">
        <v>93</v>
      </c>
      <c r="D212" s="48" t="s">
        <v>248</v>
      </c>
      <c r="E212" s="11" t="s">
        <v>30</v>
      </c>
      <c r="F212" s="50"/>
      <c r="G212" s="13">
        <v>1.0</v>
      </c>
      <c r="H212" s="14">
        <v>300.0</v>
      </c>
      <c r="I212" s="14">
        <f t="shared" si="1"/>
        <v>300</v>
      </c>
      <c r="J212" s="14"/>
      <c r="K212" s="18"/>
      <c r="L212" s="16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8" t="s">
        <v>234</v>
      </c>
      <c r="C213" s="9" t="s">
        <v>12</v>
      </c>
      <c r="D213" s="48" t="s">
        <v>249</v>
      </c>
      <c r="E213" s="11" t="s">
        <v>14</v>
      </c>
      <c r="F213" s="12" t="s">
        <v>4</v>
      </c>
      <c r="G213" s="13">
        <v>2.0</v>
      </c>
      <c r="H213" s="14">
        <v>125.0</v>
      </c>
      <c r="I213" s="14">
        <f t="shared" si="1"/>
        <v>250</v>
      </c>
      <c r="J213" s="14"/>
      <c r="K213" s="18"/>
      <c r="L213" s="16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8" t="s">
        <v>234</v>
      </c>
      <c r="C214" s="9" t="s">
        <v>12</v>
      </c>
      <c r="D214" s="48" t="s">
        <v>250</v>
      </c>
      <c r="E214" s="11" t="s">
        <v>14</v>
      </c>
      <c r="F214" s="12" t="s">
        <v>4</v>
      </c>
      <c r="G214" s="13">
        <v>2.0</v>
      </c>
      <c r="H214" s="14">
        <v>17.0</v>
      </c>
      <c r="I214" s="14">
        <f t="shared" si="1"/>
        <v>34</v>
      </c>
      <c r="J214" s="14"/>
      <c r="K214" s="18"/>
      <c r="L214" s="16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8" t="s">
        <v>234</v>
      </c>
      <c r="C215" s="9" t="s">
        <v>150</v>
      </c>
      <c r="D215" s="48" t="s">
        <v>233</v>
      </c>
      <c r="E215" s="11" t="s">
        <v>14</v>
      </c>
      <c r="F215" s="50"/>
      <c r="G215" s="13">
        <v>1.0</v>
      </c>
      <c r="H215" s="14">
        <v>300.0</v>
      </c>
      <c r="I215" s="14">
        <f t="shared" si="1"/>
        <v>300</v>
      </c>
      <c r="J215" s="14"/>
      <c r="K215" s="18"/>
      <c r="L215" s="16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8" t="s">
        <v>234</v>
      </c>
      <c r="C216" s="9" t="s">
        <v>12</v>
      </c>
      <c r="D216" s="48" t="s">
        <v>152</v>
      </c>
      <c r="E216" s="11" t="s">
        <v>14</v>
      </c>
      <c r="F216" s="12" t="s">
        <v>4</v>
      </c>
      <c r="G216" s="13">
        <v>1.0</v>
      </c>
      <c r="H216" s="14">
        <v>18.0</v>
      </c>
      <c r="I216" s="14">
        <f t="shared" si="1"/>
        <v>18</v>
      </c>
      <c r="J216" s="14"/>
      <c r="K216" s="18"/>
      <c r="L216" s="16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55" t="s">
        <v>251</v>
      </c>
      <c r="C217" s="9" t="s">
        <v>15</v>
      </c>
      <c r="D217" s="48" t="s">
        <v>217</v>
      </c>
      <c r="E217" s="11" t="s">
        <v>14</v>
      </c>
      <c r="F217" s="50"/>
      <c r="G217" s="13">
        <v>2.0</v>
      </c>
      <c r="H217" s="14">
        <v>100.0</v>
      </c>
      <c r="I217" s="14">
        <f t="shared" si="1"/>
        <v>200</v>
      </c>
      <c r="J217" s="14"/>
      <c r="K217" s="18"/>
      <c r="L217" s="16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55" t="s">
        <v>251</v>
      </c>
      <c r="C218" s="9" t="s">
        <v>12</v>
      </c>
      <c r="D218" s="48" t="s">
        <v>218</v>
      </c>
      <c r="E218" s="11" t="s">
        <v>14</v>
      </c>
      <c r="F218" s="50"/>
      <c r="G218" s="13">
        <v>2.0</v>
      </c>
      <c r="H218" s="14">
        <v>5.0</v>
      </c>
      <c r="I218" s="14">
        <f t="shared" si="1"/>
        <v>10</v>
      </c>
      <c r="J218" s="14"/>
      <c r="K218" s="18"/>
      <c r="L218" s="16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55" t="s">
        <v>251</v>
      </c>
      <c r="C219" s="9" t="s">
        <v>12</v>
      </c>
      <c r="D219" s="48" t="s">
        <v>190</v>
      </c>
      <c r="E219" s="11" t="s">
        <v>14</v>
      </c>
      <c r="F219" s="12" t="s">
        <v>4</v>
      </c>
      <c r="G219" s="13">
        <v>1.0</v>
      </c>
      <c r="H219" s="14">
        <v>40.0</v>
      </c>
      <c r="I219" s="14">
        <f t="shared" si="1"/>
        <v>40</v>
      </c>
      <c r="J219" s="14"/>
      <c r="K219" s="18"/>
      <c r="L219" s="16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55" t="s">
        <v>251</v>
      </c>
      <c r="C220" s="9"/>
      <c r="D220" s="48" t="s">
        <v>191</v>
      </c>
      <c r="E220" s="11" t="s">
        <v>27</v>
      </c>
      <c r="F220" s="50"/>
      <c r="G220" s="13">
        <v>1.0</v>
      </c>
      <c r="H220" s="14">
        <v>95.0</v>
      </c>
      <c r="I220" s="14">
        <f t="shared" si="1"/>
        <v>95</v>
      </c>
      <c r="J220" s="14"/>
      <c r="K220" s="18"/>
      <c r="L220" s="16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5" t="s">
        <v>251</v>
      </c>
      <c r="C221" s="9" t="s">
        <v>12</v>
      </c>
      <c r="D221" s="48" t="s">
        <v>219</v>
      </c>
      <c r="E221" s="11" t="s">
        <v>14</v>
      </c>
      <c r="F221" s="50"/>
      <c r="G221" s="13">
        <v>6.0</v>
      </c>
      <c r="H221" s="14">
        <v>5.0</v>
      </c>
      <c r="I221" s="14">
        <f t="shared" si="1"/>
        <v>30</v>
      </c>
      <c r="J221" s="14"/>
      <c r="K221" s="18"/>
      <c r="L221" s="16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55" t="s">
        <v>251</v>
      </c>
      <c r="C222" s="9" t="s">
        <v>36</v>
      </c>
      <c r="D222" s="48" t="s">
        <v>220</v>
      </c>
      <c r="E222" s="11" t="s">
        <v>38</v>
      </c>
      <c r="F222" s="50" t="s">
        <v>252</v>
      </c>
      <c r="G222" s="13">
        <v>1.0</v>
      </c>
      <c r="H222" s="14">
        <v>702.0</v>
      </c>
      <c r="I222" s="14">
        <f t="shared" si="1"/>
        <v>702</v>
      </c>
      <c r="J222" s="14"/>
      <c r="K222" s="15" t="s">
        <v>39</v>
      </c>
      <c r="L222" s="16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55" t="s">
        <v>251</v>
      </c>
      <c r="C223" s="9" t="s">
        <v>106</v>
      </c>
      <c r="D223" s="48" t="s">
        <v>192</v>
      </c>
      <c r="E223" s="11" t="s">
        <v>38</v>
      </c>
      <c r="F223" s="50">
        <v>80175.0</v>
      </c>
      <c r="G223" s="13">
        <v>2.0</v>
      </c>
      <c r="H223" s="14">
        <v>224.4</v>
      </c>
      <c r="I223" s="14">
        <f t="shared" si="1"/>
        <v>448.8</v>
      </c>
      <c r="J223" s="14"/>
      <c r="K223" s="18"/>
      <c r="L223" s="16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55" t="s">
        <v>251</v>
      </c>
      <c r="C224" s="9" t="s">
        <v>106</v>
      </c>
      <c r="D224" s="48" t="s">
        <v>193</v>
      </c>
      <c r="E224" s="11" t="s">
        <v>38</v>
      </c>
      <c r="F224" s="50">
        <v>80176.0</v>
      </c>
      <c r="G224" s="13">
        <v>1.0</v>
      </c>
      <c r="H224" s="14">
        <v>765.6</v>
      </c>
      <c r="I224" s="14">
        <f t="shared" si="1"/>
        <v>765.6</v>
      </c>
      <c r="J224" s="14"/>
      <c r="K224" s="18"/>
      <c r="L224" s="16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55" t="s">
        <v>251</v>
      </c>
      <c r="C225" s="9" t="s">
        <v>93</v>
      </c>
      <c r="D225" s="48" t="s">
        <v>221</v>
      </c>
      <c r="E225" s="11" t="s">
        <v>30</v>
      </c>
      <c r="F225" s="50"/>
      <c r="G225" s="13">
        <v>1.0</v>
      </c>
      <c r="H225" s="14">
        <v>805.0</v>
      </c>
      <c r="I225" s="14">
        <f t="shared" si="1"/>
        <v>805</v>
      </c>
      <c r="J225" s="14"/>
      <c r="K225" s="18"/>
      <c r="L225" s="16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55" t="s">
        <v>251</v>
      </c>
      <c r="C226" s="9"/>
      <c r="D226" s="48" t="s">
        <v>197</v>
      </c>
      <c r="E226" s="11" t="s">
        <v>19</v>
      </c>
      <c r="F226" s="50"/>
      <c r="G226" s="13">
        <v>1.0</v>
      </c>
      <c r="H226" s="14">
        <v>80.0</v>
      </c>
      <c r="I226" s="14">
        <f t="shared" si="1"/>
        <v>80</v>
      </c>
      <c r="J226" s="14"/>
      <c r="K226" s="18"/>
      <c r="L226" s="16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55" t="s">
        <v>251</v>
      </c>
      <c r="C227" s="9"/>
      <c r="D227" s="48" t="s">
        <v>198</v>
      </c>
      <c r="E227" s="11" t="s">
        <v>14</v>
      </c>
      <c r="F227" s="50"/>
      <c r="G227" s="13">
        <v>1.0</v>
      </c>
      <c r="H227" s="14">
        <v>35.0</v>
      </c>
      <c r="I227" s="14">
        <f t="shared" si="1"/>
        <v>35</v>
      </c>
      <c r="J227" s="14"/>
      <c r="K227" s="18"/>
      <c r="L227" s="16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55" t="s">
        <v>251</v>
      </c>
      <c r="C228" s="9" t="s">
        <v>12</v>
      </c>
      <c r="D228" s="48" t="s">
        <v>200</v>
      </c>
      <c r="E228" s="11" t="s">
        <v>14</v>
      </c>
      <c r="F228" s="12" t="s">
        <v>4</v>
      </c>
      <c r="G228" s="13">
        <v>2.0</v>
      </c>
      <c r="H228" s="14">
        <v>30.0</v>
      </c>
      <c r="I228" s="14">
        <f t="shared" si="1"/>
        <v>60</v>
      </c>
      <c r="J228" s="14"/>
      <c r="K228" s="18"/>
      <c r="L228" s="16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55" t="s">
        <v>251</v>
      </c>
      <c r="C229" s="9" t="s">
        <v>12</v>
      </c>
      <c r="D229" s="48" t="s">
        <v>201</v>
      </c>
      <c r="E229" s="11" t="s">
        <v>14</v>
      </c>
      <c r="F229" s="12" t="s">
        <v>4</v>
      </c>
      <c r="G229" s="13">
        <v>1.0</v>
      </c>
      <c r="H229" s="14">
        <v>42.0</v>
      </c>
      <c r="I229" s="14">
        <f t="shared" si="1"/>
        <v>42</v>
      </c>
      <c r="J229" s="14"/>
      <c r="K229" s="18"/>
      <c r="L229" s="16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55" t="s">
        <v>251</v>
      </c>
      <c r="C230" s="9" t="s">
        <v>12</v>
      </c>
      <c r="D230" s="48" t="s">
        <v>253</v>
      </c>
      <c r="E230" s="11" t="s">
        <v>14</v>
      </c>
      <c r="F230" s="12" t="s">
        <v>4</v>
      </c>
      <c r="G230" s="13">
        <v>1.0</v>
      </c>
      <c r="H230" s="14">
        <v>20.0</v>
      </c>
      <c r="I230" s="14">
        <f t="shared" si="1"/>
        <v>20</v>
      </c>
      <c r="J230" s="14"/>
      <c r="K230" s="18"/>
      <c r="L230" s="16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55" t="s">
        <v>251</v>
      </c>
      <c r="C231" s="9" t="s">
        <v>12</v>
      </c>
      <c r="D231" s="48" t="s">
        <v>203</v>
      </c>
      <c r="E231" s="11" t="s">
        <v>14</v>
      </c>
      <c r="F231" s="12" t="s">
        <v>4</v>
      </c>
      <c r="G231" s="13">
        <v>1.0</v>
      </c>
      <c r="H231" s="14">
        <v>20.0</v>
      </c>
      <c r="I231" s="14">
        <f t="shared" si="1"/>
        <v>20</v>
      </c>
      <c r="J231" s="14"/>
      <c r="K231" s="18"/>
      <c r="L231" s="16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55" t="s">
        <v>251</v>
      </c>
      <c r="C232" s="9" t="s">
        <v>225</v>
      </c>
      <c r="D232" s="48" t="s">
        <v>205</v>
      </c>
      <c r="E232" s="11" t="s">
        <v>14</v>
      </c>
      <c r="F232" s="50" t="s">
        <v>206</v>
      </c>
      <c r="G232" s="13">
        <v>1.0</v>
      </c>
      <c r="H232" s="14">
        <v>390.0</v>
      </c>
      <c r="I232" s="14">
        <f t="shared" si="1"/>
        <v>390</v>
      </c>
      <c r="J232" s="14"/>
      <c r="K232" s="18"/>
      <c r="L232" s="16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55" t="s">
        <v>251</v>
      </c>
      <c r="C233" s="9" t="s">
        <v>225</v>
      </c>
      <c r="D233" s="48" t="s">
        <v>207</v>
      </c>
      <c r="E233" s="11" t="s">
        <v>14</v>
      </c>
      <c r="F233" s="50" t="s">
        <v>206</v>
      </c>
      <c r="G233" s="13">
        <v>1.0</v>
      </c>
      <c r="H233" s="14">
        <v>160.0</v>
      </c>
      <c r="I233" s="14">
        <f t="shared" si="1"/>
        <v>160</v>
      </c>
      <c r="J233" s="14"/>
      <c r="K233" s="18"/>
      <c r="L233" s="16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55" t="s">
        <v>251</v>
      </c>
      <c r="C234" s="9" t="s">
        <v>209</v>
      </c>
      <c r="D234" s="48" t="s">
        <v>210</v>
      </c>
      <c r="E234" s="11" t="s">
        <v>14</v>
      </c>
      <c r="F234" s="12" t="s">
        <v>4</v>
      </c>
      <c r="G234" s="13">
        <v>2.0</v>
      </c>
      <c r="H234" s="14">
        <v>20.0</v>
      </c>
      <c r="I234" s="14">
        <f t="shared" si="1"/>
        <v>40</v>
      </c>
      <c r="J234" s="14"/>
      <c r="K234" s="18"/>
      <c r="L234" s="16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55" t="s">
        <v>251</v>
      </c>
      <c r="C235" s="9" t="s">
        <v>15</v>
      </c>
      <c r="D235" s="48" t="s">
        <v>232</v>
      </c>
      <c r="E235" s="11" t="s">
        <v>14</v>
      </c>
      <c r="F235" s="50"/>
      <c r="G235" s="13">
        <v>2.0</v>
      </c>
      <c r="H235" s="14">
        <v>180.0</v>
      </c>
      <c r="I235" s="14">
        <f t="shared" si="1"/>
        <v>360</v>
      </c>
      <c r="J235" s="14"/>
      <c r="K235" s="18"/>
      <c r="L235" s="16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55" t="s">
        <v>251</v>
      </c>
      <c r="C236" s="9"/>
      <c r="D236" s="48" t="s">
        <v>32</v>
      </c>
      <c r="E236" s="11" t="s">
        <v>14</v>
      </c>
      <c r="F236" s="50"/>
      <c r="G236" s="13">
        <v>2.0</v>
      </c>
      <c r="H236" s="14">
        <v>18.0</v>
      </c>
      <c r="I236" s="14">
        <f t="shared" si="1"/>
        <v>36</v>
      </c>
      <c r="J236" s="14"/>
      <c r="K236" s="18"/>
      <c r="L236" s="16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55" t="s">
        <v>251</v>
      </c>
      <c r="C237" s="9" t="s">
        <v>150</v>
      </c>
      <c r="D237" s="48" t="s">
        <v>233</v>
      </c>
      <c r="E237" s="11" t="s">
        <v>14</v>
      </c>
      <c r="F237" s="50"/>
      <c r="G237" s="13">
        <v>1.0</v>
      </c>
      <c r="H237" s="14">
        <v>300.0</v>
      </c>
      <c r="I237" s="14">
        <f t="shared" si="1"/>
        <v>300</v>
      </c>
      <c r="J237" s="14"/>
      <c r="K237" s="18"/>
      <c r="L237" s="16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55" t="s">
        <v>251</v>
      </c>
      <c r="C238" s="9" t="s">
        <v>12</v>
      </c>
      <c r="D238" s="48" t="s">
        <v>152</v>
      </c>
      <c r="E238" s="11" t="s">
        <v>14</v>
      </c>
      <c r="F238" s="12" t="s">
        <v>4</v>
      </c>
      <c r="G238" s="13">
        <v>1.0</v>
      </c>
      <c r="H238" s="14">
        <v>15.0</v>
      </c>
      <c r="I238" s="14">
        <f t="shared" si="1"/>
        <v>15</v>
      </c>
      <c r="J238" s="14"/>
      <c r="K238" s="18"/>
      <c r="L238" s="16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55" t="s">
        <v>251</v>
      </c>
      <c r="C239" s="56"/>
      <c r="D239" s="56" t="s">
        <v>213</v>
      </c>
      <c r="E239" s="57" t="s">
        <v>27</v>
      </c>
      <c r="F239" s="58"/>
      <c r="G239" s="59">
        <v>1.0</v>
      </c>
      <c r="H239" s="60">
        <v>80.0</v>
      </c>
      <c r="I239" s="60">
        <f t="shared" si="1"/>
        <v>80</v>
      </c>
      <c r="J239" s="60"/>
      <c r="K239" s="61"/>
      <c r="L239" s="6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55" t="s">
        <v>254</v>
      </c>
      <c r="C240" s="9" t="s">
        <v>12</v>
      </c>
      <c r="D240" s="48" t="s">
        <v>190</v>
      </c>
      <c r="E240" s="11" t="s">
        <v>14</v>
      </c>
      <c r="F240" s="12" t="s">
        <v>4</v>
      </c>
      <c r="G240" s="13">
        <v>1.0</v>
      </c>
      <c r="H240" s="14">
        <v>90.0</v>
      </c>
      <c r="I240" s="14">
        <f t="shared" si="1"/>
        <v>90</v>
      </c>
      <c r="J240" s="14"/>
      <c r="K240" s="18"/>
      <c r="L240" s="16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55" t="s">
        <v>254</v>
      </c>
      <c r="C241" s="9" t="s">
        <v>12</v>
      </c>
      <c r="D241" s="48" t="s">
        <v>219</v>
      </c>
      <c r="E241" s="11" t="s">
        <v>14</v>
      </c>
      <c r="F241" s="50"/>
      <c r="G241" s="13">
        <v>5.0</v>
      </c>
      <c r="H241" s="14">
        <v>5.0</v>
      </c>
      <c r="I241" s="14">
        <f t="shared" si="1"/>
        <v>25</v>
      </c>
      <c r="J241" s="14"/>
      <c r="K241" s="18"/>
      <c r="L241" s="16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8" t="s">
        <v>254</v>
      </c>
      <c r="C242" s="9" t="s">
        <v>175</v>
      </c>
      <c r="D242" s="48" t="s">
        <v>220</v>
      </c>
      <c r="E242" s="11" t="s">
        <v>177</v>
      </c>
      <c r="F242" s="50"/>
      <c r="G242" s="13">
        <v>1.0</v>
      </c>
      <c r="H242" s="14">
        <v>11500.0</v>
      </c>
      <c r="I242" s="14">
        <f t="shared" si="1"/>
        <v>11500</v>
      </c>
      <c r="J242" s="14"/>
      <c r="K242" s="15" t="s">
        <v>39</v>
      </c>
      <c r="L242" s="16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55" t="s">
        <v>254</v>
      </c>
      <c r="C243" s="9"/>
      <c r="D243" s="48" t="s">
        <v>156</v>
      </c>
      <c r="E243" s="11" t="s">
        <v>14</v>
      </c>
      <c r="F243" s="50"/>
      <c r="G243" s="13">
        <v>1.0</v>
      </c>
      <c r="H243" s="14">
        <v>762.0</v>
      </c>
      <c r="I243" s="14">
        <f t="shared" si="1"/>
        <v>762</v>
      </c>
      <c r="J243" s="14"/>
      <c r="K243" s="18"/>
      <c r="L243" s="16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55" t="s">
        <v>254</v>
      </c>
      <c r="C244" s="9" t="s">
        <v>12</v>
      </c>
      <c r="D244" s="48" t="s">
        <v>255</v>
      </c>
      <c r="E244" s="11" t="s">
        <v>14</v>
      </c>
      <c r="F244" s="12" t="s">
        <v>4</v>
      </c>
      <c r="G244" s="13">
        <v>1.0</v>
      </c>
      <c r="H244" s="14">
        <v>25.0</v>
      </c>
      <c r="I244" s="14">
        <f t="shared" si="1"/>
        <v>25</v>
      </c>
      <c r="J244" s="14"/>
      <c r="K244" s="18"/>
      <c r="L244" s="16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55" t="s">
        <v>254</v>
      </c>
      <c r="C245" s="9" t="s">
        <v>12</v>
      </c>
      <c r="D245" s="48" t="s">
        <v>256</v>
      </c>
      <c r="E245" s="11" t="s">
        <v>14</v>
      </c>
      <c r="F245" s="12" t="s">
        <v>4</v>
      </c>
      <c r="G245" s="13">
        <v>1.0</v>
      </c>
      <c r="H245" s="14">
        <v>46.0</v>
      </c>
      <c r="I245" s="14">
        <f t="shared" si="1"/>
        <v>46</v>
      </c>
      <c r="J245" s="14"/>
      <c r="K245" s="18"/>
      <c r="L245" s="16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55" t="s">
        <v>254</v>
      </c>
      <c r="C246" s="9" t="s">
        <v>12</v>
      </c>
      <c r="D246" s="48" t="s">
        <v>257</v>
      </c>
      <c r="E246" s="11" t="s">
        <v>14</v>
      </c>
      <c r="F246" s="12" t="s">
        <v>4</v>
      </c>
      <c r="G246" s="13">
        <v>3.0</v>
      </c>
      <c r="H246" s="14">
        <v>23.0</v>
      </c>
      <c r="I246" s="14">
        <f t="shared" si="1"/>
        <v>69</v>
      </c>
      <c r="J246" s="14"/>
      <c r="K246" s="18"/>
      <c r="L246" s="16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55" t="s">
        <v>254</v>
      </c>
      <c r="C247" s="9" t="s">
        <v>12</v>
      </c>
      <c r="D247" s="48" t="s">
        <v>257</v>
      </c>
      <c r="E247" s="11" t="s">
        <v>14</v>
      </c>
      <c r="F247" s="12" t="s">
        <v>4</v>
      </c>
      <c r="G247" s="13">
        <v>2.0</v>
      </c>
      <c r="H247" s="14">
        <v>23.0</v>
      </c>
      <c r="I247" s="14">
        <f t="shared" si="1"/>
        <v>46</v>
      </c>
      <c r="J247" s="14"/>
      <c r="K247" s="18"/>
      <c r="L247" s="16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55" t="s">
        <v>254</v>
      </c>
      <c r="C248" s="9" t="s">
        <v>12</v>
      </c>
      <c r="D248" s="48" t="s">
        <v>257</v>
      </c>
      <c r="E248" s="11" t="s">
        <v>14</v>
      </c>
      <c r="F248" s="12" t="s">
        <v>4</v>
      </c>
      <c r="G248" s="13">
        <v>2.0</v>
      </c>
      <c r="H248" s="14">
        <v>20.0</v>
      </c>
      <c r="I248" s="14">
        <f t="shared" si="1"/>
        <v>40</v>
      </c>
      <c r="J248" s="14"/>
      <c r="K248" s="18"/>
      <c r="L248" s="16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55" t="s">
        <v>254</v>
      </c>
      <c r="C249" s="9" t="s">
        <v>12</v>
      </c>
      <c r="D249" s="48" t="s">
        <v>258</v>
      </c>
      <c r="E249" s="11" t="s">
        <v>14</v>
      </c>
      <c r="F249" s="12" t="s">
        <v>4</v>
      </c>
      <c r="G249" s="13">
        <v>1.0</v>
      </c>
      <c r="H249" s="14">
        <v>20.0</v>
      </c>
      <c r="I249" s="14">
        <f t="shared" si="1"/>
        <v>20</v>
      </c>
      <c r="J249" s="14"/>
      <c r="K249" s="18"/>
      <c r="L249" s="16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55" t="s">
        <v>254</v>
      </c>
      <c r="C250" s="9" t="s">
        <v>12</v>
      </c>
      <c r="D250" s="48" t="s">
        <v>259</v>
      </c>
      <c r="E250" s="11" t="s">
        <v>14</v>
      </c>
      <c r="F250" s="12" t="s">
        <v>4</v>
      </c>
      <c r="G250" s="13">
        <v>1.0</v>
      </c>
      <c r="H250" s="14">
        <v>7.0</v>
      </c>
      <c r="I250" s="14">
        <f t="shared" si="1"/>
        <v>7</v>
      </c>
      <c r="J250" s="14"/>
      <c r="K250" s="18"/>
      <c r="L250" s="16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55" t="s">
        <v>254</v>
      </c>
      <c r="C251" s="9" t="s">
        <v>12</v>
      </c>
      <c r="D251" s="48" t="s">
        <v>260</v>
      </c>
      <c r="E251" s="11" t="s">
        <v>14</v>
      </c>
      <c r="F251" s="12" t="s">
        <v>4</v>
      </c>
      <c r="G251" s="13">
        <v>2.0</v>
      </c>
      <c r="H251" s="14">
        <v>30.0</v>
      </c>
      <c r="I251" s="14">
        <f t="shared" si="1"/>
        <v>60</v>
      </c>
      <c r="J251" s="14"/>
      <c r="K251" s="18"/>
      <c r="L251" s="16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55" t="s">
        <v>254</v>
      </c>
      <c r="C252" s="9" t="s">
        <v>12</v>
      </c>
      <c r="D252" s="48" t="s">
        <v>244</v>
      </c>
      <c r="E252" s="11" t="s">
        <v>14</v>
      </c>
      <c r="F252" s="12" t="s">
        <v>4</v>
      </c>
      <c r="G252" s="13">
        <v>2.0</v>
      </c>
      <c r="H252" s="14">
        <v>30.0</v>
      </c>
      <c r="I252" s="14">
        <f t="shared" si="1"/>
        <v>60</v>
      </c>
      <c r="J252" s="14"/>
      <c r="K252" s="18"/>
      <c r="L252" s="16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55" t="s">
        <v>254</v>
      </c>
      <c r="C253" s="9" t="s">
        <v>246</v>
      </c>
      <c r="D253" s="48" t="s">
        <v>247</v>
      </c>
      <c r="E253" s="11" t="s">
        <v>14</v>
      </c>
      <c r="F253" s="12" t="s">
        <v>4</v>
      </c>
      <c r="G253" s="13">
        <v>3.0</v>
      </c>
      <c r="H253" s="14">
        <v>11.0</v>
      </c>
      <c r="I253" s="14">
        <f t="shared" si="1"/>
        <v>33</v>
      </c>
      <c r="J253" s="14"/>
      <c r="K253" s="18"/>
      <c r="L253" s="16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55" t="s">
        <v>254</v>
      </c>
      <c r="C254" s="9" t="s">
        <v>12</v>
      </c>
      <c r="D254" s="48" t="s">
        <v>236</v>
      </c>
      <c r="E254" s="11" t="s">
        <v>14</v>
      </c>
      <c r="F254" s="12" t="s">
        <v>4</v>
      </c>
      <c r="G254" s="13">
        <v>2.0</v>
      </c>
      <c r="H254" s="14">
        <v>24.0</v>
      </c>
      <c r="I254" s="14">
        <f t="shared" si="1"/>
        <v>48</v>
      </c>
      <c r="J254" s="14"/>
      <c r="K254" s="18"/>
      <c r="L254" s="16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55" t="s">
        <v>254</v>
      </c>
      <c r="C255" s="9" t="s">
        <v>12</v>
      </c>
      <c r="D255" s="48" t="s">
        <v>261</v>
      </c>
      <c r="E255" s="11" t="s">
        <v>14</v>
      </c>
      <c r="F255" s="12" t="s">
        <v>4</v>
      </c>
      <c r="G255" s="13">
        <v>1.0</v>
      </c>
      <c r="H255" s="14">
        <v>23.0</v>
      </c>
      <c r="I255" s="14">
        <f t="shared" si="1"/>
        <v>23</v>
      </c>
      <c r="J255" s="14"/>
      <c r="K255" s="18"/>
      <c r="L255" s="16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55" t="s">
        <v>254</v>
      </c>
      <c r="C256" s="9" t="s">
        <v>12</v>
      </c>
      <c r="D256" s="48" t="s">
        <v>262</v>
      </c>
      <c r="E256" s="11" t="s">
        <v>14</v>
      </c>
      <c r="F256" s="12" t="s">
        <v>4</v>
      </c>
      <c r="G256" s="13">
        <v>1.0</v>
      </c>
      <c r="H256" s="14">
        <v>30.0</v>
      </c>
      <c r="I256" s="14">
        <f t="shared" si="1"/>
        <v>30</v>
      </c>
      <c r="J256" s="14"/>
      <c r="K256" s="18"/>
      <c r="L256" s="16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55" t="s">
        <v>254</v>
      </c>
      <c r="C257" s="9" t="s">
        <v>12</v>
      </c>
      <c r="D257" s="48" t="s">
        <v>263</v>
      </c>
      <c r="E257" s="11" t="s">
        <v>14</v>
      </c>
      <c r="F257" s="12" t="s">
        <v>4</v>
      </c>
      <c r="G257" s="13">
        <v>1.0</v>
      </c>
      <c r="H257" s="14">
        <v>30.0</v>
      </c>
      <c r="I257" s="14">
        <f t="shared" si="1"/>
        <v>30</v>
      </c>
      <c r="J257" s="14"/>
      <c r="K257" s="18"/>
      <c r="L257" s="16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55" t="s">
        <v>254</v>
      </c>
      <c r="C258" s="9" t="s">
        <v>93</v>
      </c>
      <c r="D258" s="48" t="s">
        <v>248</v>
      </c>
      <c r="E258" s="11" t="s">
        <v>30</v>
      </c>
      <c r="F258" s="50"/>
      <c r="G258" s="13">
        <v>1.0</v>
      </c>
      <c r="H258" s="14">
        <v>300.0</v>
      </c>
      <c r="I258" s="14">
        <f t="shared" si="1"/>
        <v>300</v>
      </c>
      <c r="J258" s="14"/>
      <c r="K258" s="18"/>
      <c r="L258" s="16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55" t="s">
        <v>254</v>
      </c>
      <c r="C259" s="9" t="s">
        <v>93</v>
      </c>
      <c r="D259" s="48" t="s">
        <v>264</v>
      </c>
      <c r="E259" s="11" t="s">
        <v>30</v>
      </c>
      <c r="F259" s="50"/>
      <c r="G259" s="13">
        <v>1.0</v>
      </c>
      <c r="H259" s="14">
        <v>300.0</v>
      </c>
      <c r="I259" s="14">
        <f t="shared" si="1"/>
        <v>300</v>
      </c>
      <c r="J259" s="14"/>
      <c r="K259" s="18"/>
      <c r="L259" s="16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55" t="s">
        <v>254</v>
      </c>
      <c r="C260" s="9" t="s">
        <v>12</v>
      </c>
      <c r="D260" s="48" t="s">
        <v>265</v>
      </c>
      <c r="E260" s="11" t="s">
        <v>14</v>
      </c>
      <c r="F260" s="12" t="s">
        <v>4</v>
      </c>
      <c r="G260" s="13">
        <v>1.0</v>
      </c>
      <c r="H260" s="14">
        <v>105.0</v>
      </c>
      <c r="I260" s="14">
        <f t="shared" si="1"/>
        <v>105</v>
      </c>
      <c r="J260" s="14"/>
      <c r="K260" s="18"/>
      <c r="L260" s="16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55" t="s">
        <v>254</v>
      </c>
      <c r="C261" s="9" t="s">
        <v>12</v>
      </c>
      <c r="D261" s="48" t="s">
        <v>266</v>
      </c>
      <c r="E261" s="11" t="s">
        <v>14</v>
      </c>
      <c r="F261" s="12" t="s">
        <v>4</v>
      </c>
      <c r="G261" s="13">
        <v>1.0</v>
      </c>
      <c r="H261" s="14">
        <v>16.0</v>
      </c>
      <c r="I261" s="14">
        <f t="shared" si="1"/>
        <v>16</v>
      </c>
      <c r="J261" s="14"/>
      <c r="K261" s="18"/>
      <c r="L261" s="16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55" t="s">
        <v>254</v>
      </c>
      <c r="C262" s="9" t="s">
        <v>12</v>
      </c>
      <c r="D262" s="48" t="s">
        <v>249</v>
      </c>
      <c r="E262" s="11" t="s">
        <v>14</v>
      </c>
      <c r="F262" s="12" t="s">
        <v>4</v>
      </c>
      <c r="G262" s="13">
        <v>1.0</v>
      </c>
      <c r="H262" s="14">
        <v>130.0</v>
      </c>
      <c r="I262" s="14">
        <f t="shared" si="1"/>
        <v>130</v>
      </c>
      <c r="J262" s="14"/>
      <c r="K262" s="18"/>
      <c r="L262" s="16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55" t="s">
        <v>254</v>
      </c>
      <c r="C263" s="9" t="s">
        <v>12</v>
      </c>
      <c r="D263" s="48" t="s">
        <v>250</v>
      </c>
      <c r="E263" s="11" t="s">
        <v>14</v>
      </c>
      <c r="F263" s="12" t="s">
        <v>4</v>
      </c>
      <c r="G263" s="13">
        <v>1.0</v>
      </c>
      <c r="H263" s="14">
        <v>17.0</v>
      </c>
      <c r="I263" s="14">
        <f t="shared" si="1"/>
        <v>17</v>
      </c>
      <c r="J263" s="14"/>
      <c r="K263" s="18"/>
      <c r="L263" s="16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55" t="s">
        <v>254</v>
      </c>
      <c r="C264" s="9" t="s">
        <v>150</v>
      </c>
      <c r="D264" s="48" t="s">
        <v>233</v>
      </c>
      <c r="E264" s="11" t="s">
        <v>14</v>
      </c>
      <c r="F264" s="50"/>
      <c r="G264" s="13">
        <v>1.0</v>
      </c>
      <c r="H264" s="14">
        <v>300.0</v>
      </c>
      <c r="I264" s="14">
        <f t="shared" si="1"/>
        <v>300</v>
      </c>
      <c r="J264" s="14"/>
      <c r="K264" s="18"/>
      <c r="L264" s="16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55" t="s">
        <v>254</v>
      </c>
      <c r="C265" s="9" t="s">
        <v>12</v>
      </c>
      <c r="D265" s="48" t="s">
        <v>152</v>
      </c>
      <c r="E265" s="11" t="s">
        <v>14</v>
      </c>
      <c r="F265" s="12" t="s">
        <v>4</v>
      </c>
      <c r="G265" s="13">
        <v>1.0</v>
      </c>
      <c r="H265" s="14">
        <v>18.0</v>
      </c>
      <c r="I265" s="14">
        <f t="shared" si="1"/>
        <v>18</v>
      </c>
      <c r="J265" s="14"/>
      <c r="K265" s="18"/>
      <c r="L265" s="16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55" t="s">
        <v>267</v>
      </c>
      <c r="C266" s="9" t="s">
        <v>15</v>
      </c>
      <c r="D266" s="48" t="s">
        <v>217</v>
      </c>
      <c r="E266" s="11" t="s">
        <v>14</v>
      </c>
      <c r="F266" s="50"/>
      <c r="G266" s="13">
        <v>2.0</v>
      </c>
      <c r="H266" s="14">
        <v>100.0</v>
      </c>
      <c r="I266" s="14">
        <f t="shared" si="1"/>
        <v>200</v>
      </c>
      <c r="J266" s="14"/>
      <c r="K266" s="18"/>
      <c r="L266" s="16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55" t="s">
        <v>267</v>
      </c>
      <c r="C267" s="9" t="s">
        <v>12</v>
      </c>
      <c r="D267" s="48" t="s">
        <v>218</v>
      </c>
      <c r="E267" s="11" t="s">
        <v>14</v>
      </c>
      <c r="F267" s="50"/>
      <c r="G267" s="13">
        <v>2.0</v>
      </c>
      <c r="H267" s="14">
        <v>5.0</v>
      </c>
      <c r="I267" s="14">
        <f t="shared" si="1"/>
        <v>10</v>
      </c>
      <c r="J267" s="14"/>
      <c r="K267" s="18"/>
      <c r="L267" s="16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55" t="s">
        <v>267</v>
      </c>
      <c r="C268" s="9" t="s">
        <v>12</v>
      </c>
      <c r="D268" s="48" t="s">
        <v>190</v>
      </c>
      <c r="E268" s="11" t="s">
        <v>14</v>
      </c>
      <c r="F268" s="12" t="s">
        <v>4</v>
      </c>
      <c r="G268" s="13">
        <v>1.0</v>
      </c>
      <c r="H268" s="14">
        <v>80.0</v>
      </c>
      <c r="I268" s="14">
        <f t="shared" si="1"/>
        <v>80</v>
      </c>
      <c r="J268" s="14"/>
      <c r="K268" s="18"/>
      <c r="L268" s="16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5" t="s">
        <v>267</v>
      </c>
      <c r="C269" s="9"/>
      <c r="D269" s="48" t="s">
        <v>191</v>
      </c>
      <c r="E269" s="11" t="s">
        <v>27</v>
      </c>
      <c r="F269" s="50"/>
      <c r="G269" s="13">
        <v>1.0</v>
      </c>
      <c r="H269" s="14">
        <v>95.0</v>
      </c>
      <c r="I269" s="14">
        <f t="shared" si="1"/>
        <v>95</v>
      </c>
      <c r="J269" s="14"/>
      <c r="K269" s="18"/>
      <c r="L269" s="16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5" t="s">
        <v>267</v>
      </c>
      <c r="C270" s="9" t="s">
        <v>106</v>
      </c>
      <c r="D270" s="48" t="s">
        <v>192</v>
      </c>
      <c r="E270" s="11" t="s">
        <v>38</v>
      </c>
      <c r="F270" s="50">
        <v>81306.0</v>
      </c>
      <c r="G270" s="13">
        <v>2.0</v>
      </c>
      <c r="H270" s="14">
        <v>250.8</v>
      </c>
      <c r="I270" s="14">
        <f t="shared" si="1"/>
        <v>501.6</v>
      </c>
      <c r="J270" s="14"/>
      <c r="K270" s="18"/>
      <c r="L270" s="16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5" t="s">
        <v>267</v>
      </c>
      <c r="C271" s="9" t="s">
        <v>106</v>
      </c>
      <c r="D271" s="48" t="s">
        <v>193</v>
      </c>
      <c r="E271" s="11" t="s">
        <v>38</v>
      </c>
      <c r="F271" s="50">
        <v>81308.0</v>
      </c>
      <c r="G271" s="13">
        <v>1.0</v>
      </c>
      <c r="H271" s="14">
        <v>785.4</v>
      </c>
      <c r="I271" s="14">
        <f t="shared" si="1"/>
        <v>785.4</v>
      </c>
      <c r="J271" s="14"/>
      <c r="K271" s="18"/>
      <c r="L271" s="16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55" t="s">
        <v>267</v>
      </c>
      <c r="C272" s="9" t="s">
        <v>93</v>
      </c>
      <c r="D272" s="48" t="s">
        <v>221</v>
      </c>
      <c r="E272" s="11" t="s">
        <v>30</v>
      </c>
      <c r="F272" s="50"/>
      <c r="G272" s="13">
        <v>1.0</v>
      </c>
      <c r="H272" s="14">
        <v>506.0</v>
      </c>
      <c r="I272" s="14">
        <f t="shared" si="1"/>
        <v>506</v>
      </c>
      <c r="J272" s="14"/>
      <c r="K272" s="18"/>
      <c r="L272" s="16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55" t="s">
        <v>267</v>
      </c>
      <c r="C273" s="9"/>
      <c r="D273" s="48" t="s">
        <v>197</v>
      </c>
      <c r="E273" s="11" t="s">
        <v>30</v>
      </c>
      <c r="F273" s="50"/>
      <c r="G273" s="13">
        <v>1.0</v>
      </c>
      <c r="H273" s="14">
        <v>80.0</v>
      </c>
      <c r="I273" s="14">
        <f t="shared" si="1"/>
        <v>80</v>
      </c>
      <c r="J273" s="14"/>
      <c r="K273" s="18"/>
      <c r="L273" s="16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55" t="s">
        <v>267</v>
      </c>
      <c r="C274" s="9"/>
      <c r="D274" s="48" t="s">
        <v>198</v>
      </c>
      <c r="E274" s="11" t="s">
        <v>14</v>
      </c>
      <c r="F274" s="50"/>
      <c r="G274" s="13">
        <v>1.0</v>
      </c>
      <c r="H274" s="14">
        <v>35.0</v>
      </c>
      <c r="I274" s="14">
        <f t="shared" si="1"/>
        <v>35</v>
      </c>
      <c r="J274" s="14"/>
      <c r="K274" s="18"/>
      <c r="L274" s="16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55" t="s">
        <v>267</v>
      </c>
      <c r="C275" s="9" t="s">
        <v>12</v>
      </c>
      <c r="D275" s="48" t="s">
        <v>200</v>
      </c>
      <c r="E275" s="11" t="s">
        <v>14</v>
      </c>
      <c r="F275" s="12" t="s">
        <v>4</v>
      </c>
      <c r="G275" s="13">
        <v>2.0</v>
      </c>
      <c r="H275" s="14">
        <v>30.0</v>
      </c>
      <c r="I275" s="14">
        <f t="shared" si="1"/>
        <v>60</v>
      </c>
      <c r="J275" s="14"/>
      <c r="K275" s="18"/>
      <c r="L275" s="16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55" t="s">
        <v>267</v>
      </c>
      <c r="C276" s="9" t="s">
        <v>12</v>
      </c>
      <c r="D276" s="48" t="s">
        <v>201</v>
      </c>
      <c r="E276" s="11" t="s">
        <v>14</v>
      </c>
      <c r="F276" s="12" t="s">
        <v>4</v>
      </c>
      <c r="G276" s="13">
        <v>1.0</v>
      </c>
      <c r="H276" s="14">
        <v>42.0</v>
      </c>
      <c r="I276" s="14">
        <f t="shared" si="1"/>
        <v>42</v>
      </c>
      <c r="J276" s="14"/>
      <c r="K276" s="18"/>
      <c r="L276" s="16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55" t="s">
        <v>267</v>
      </c>
      <c r="C277" s="9" t="s">
        <v>12</v>
      </c>
      <c r="D277" s="48" t="s">
        <v>253</v>
      </c>
      <c r="E277" s="11" t="s">
        <v>14</v>
      </c>
      <c r="F277" s="12" t="s">
        <v>4</v>
      </c>
      <c r="G277" s="13">
        <v>1.0</v>
      </c>
      <c r="H277" s="14">
        <v>20.0</v>
      </c>
      <c r="I277" s="14">
        <f t="shared" si="1"/>
        <v>20</v>
      </c>
      <c r="J277" s="14"/>
      <c r="K277" s="18"/>
      <c r="L277" s="16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5" t="s">
        <v>267</v>
      </c>
      <c r="C278" s="9" t="s">
        <v>12</v>
      </c>
      <c r="D278" s="48" t="s">
        <v>203</v>
      </c>
      <c r="E278" s="11" t="s">
        <v>14</v>
      </c>
      <c r="F278" s="12" t="s">
        <v>4</v>
      </c>
      <c r="G278" s="13">
        <v>1.0</v>
      </c>
      <c r="H278" s="14">
        <v>20.0</v>
      </c>
      <c r="I278" s="14">
        <f t="shared" si="1"/>
        <v>20</v>
      </c>
      <c r="J278" s="14"/>
      <c r="K278" s="18"/>
      <c r="L278" s="16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5" t="s">
        <v>267</v>
      </c>
      <c r="C279" s="9" t="s">
        <v>225</v>
      </c>
      <c r="D279" s="48" t="s">
        <v>205</v>
      </c>
      <c r="E279" s="11" t="s">
        <v>14</v>
      </c>
      <c r="F279" s="50" t="s">
        <v>206</v>
      </c>
      <c r="G279" s="13">
        <v>1.0</v>
      </c>
      <c r="H279" s="14">
        <v>390.0</v>
      </c>
      <c r="I279" s="14">
        <f t="shared" si="1"/>
        <v>390</v>
      </c>
      <c r="J279" s="14"/>
      <c r="K279" s="18"/>
      <c r="L279" s="16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5" t="s">
        <v>267</v>
      </c>
      <c r="C280" s="9" t="s">
        <v>225</v>
      </c>
      <c r="D280" s="48" t="s">
        <v>207</v>
      </c>
      <c r="E280" s="11" t="s">
        <v>14</v>
      </c>
      <c r="F280" s="50" t="s">
        <v>206</v>
      </c>
      <c r="G280" s="13">
        <v>1.0</v>
      </c>
      <c r="H280" s="14">
        <v>160.0</v>
      </c>
      <c r="I280" s="14">
        <f t="shared" si="1"/>
        <v>160</v>
      </c>
      <c r="J280" s="14"/>
      <c r="K280" s="18"/>
      <c r="L280" s="16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5" t="s">
        <v>267</v>
      </c>
      <c r="C281" s="9" t="s">
        <v>225</v>
      </c>
      <c r="D281" s="48" t="s">
        <v>208</v>
      </c>
      <c r="E281" s="11" t="s">
        <v>14</v>
      </c>
      <c r="F281" s="50" t="s">
        <v>206</v>
      </c>
      <c r="G281" s="13">
        <v>1.0</v>
      </c>
      <c r="H281" s="14">
        <v>100.0</v>
      </c>
      <c r="I281" s="14">
        <f t="shared" si="1"/>
        <v>100</v>
      </c>
      <c r="J281" s="14"/>
      <c r="K281" s="18"/>
      <c r="L281" s="16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55" t="s">
        <v>267</v>
      </c>
      <c r="C282" s="9" t="s">
        <v>209</v>
      </c>
      <c r="D282" s="48" t="s">
        <v>210</v>
      </c>
      <c r="E282" s="11" t="s">
        <v>14</v>
      </c>
      <c r="F282" s="12" t="s">
        <v>4</v>
      </c>
      <c r="G282" s="13">
        <v>2.0</v>
      </c>
      <c r="H282" s="14">
        <v>20.0</v>
      </c>
      <c r="I282" s="14">
        <f t="shared" si="1"/>
        <v>40</v>
      </c>
      <c r="J282" s="14"/>
      <c r="K282" s="18"/>
      <c r="L282" s="16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55" t="s">
        <v>267</v>
      </c>
      <c r="C283" s="9" t="s">
        <v>15</v>
      </c>
      <c r="D283" s="48" t="s">
        <v>232</v>
      </c>
      <c r="E283" s="11" t="s">
        <v>14</v>
      </c>
      <c r="F283" s="50"/>
      <c r="G283" s="13">
        <v>2.0</v>
      </c>
      <c r="H283" s="14">
        <v>180.0</v>
      </c>
      <c r="I283" s="14">
        <f t="shared" si="1"/>
        <v>360</v>
      </c>
      <c r="J283" s="14"/>
      <c r="K283" s="18"/>
      <c r="L283" s="16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55" t="s">
        <v>267</v>
      </c>
      <c r="C284" s="9"/>
      <c r="D284" s="48" t="s">
        <v>32</v>
      </c>
      <c r="E284" s="11" t="s">
        <v>27</v>
      </c>
      <c r="F284" s="50"/>
      <c r="G284" s="13">
        <v>2.0</v>
      </c>
      <c r="H284" s="14">
        <v>18.0</v>
      </c>
      <c r="I284" s="14">
        <f t="shared" si="1"/>
        <v>36</v>
      </c>
      <c r="J284" s="14"/>
      <c r="K284" s="18"/>
      <c r="L284" s="16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55" t="s">
        <v>267</v>
      </c>
      <c r="C285" s="9" t="s">
        <v>150</v>
      </c>
      <c r="D285" s="48" t="s">
        <v>233</v>
      </c>
      <c r="E285" s="11" t="s">
        <v>14</v>
      </c>
      <c r="F285" s="50"/>
      <c r="G285" s="13">
        <v>1.0</v>
      </c>
      <c r="H285" s="14">
        <v>300.0</v>
      </c>
      <c r="I285" s="14">
        <f t="shared" si="1"/>
        <v>300</v>
      </c>
      <c r="J285" s="14"/>
      <c r="K285" s="18"/>
      <c r="L285" s="16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55" t="s">
        <v>267</v>
      </c>
      <c r="C286" s="9" t="s">
        <v>12</v>
      </c>
      <c r="D286" s="48" t="s">
        <v>152</v>
      </c>
      <c r="E286" s="11" t="s">
        <v>14</v>
      </c>
      <c r="F286" s="12" t="s">
        <v>4</v>
      </c>
      <c r="G286" s="13">
        <v>1.0</v>
      </c>
      <c r="H286" s="14">
        <v>15.0</v>
      </c>
      <c r="I286" s="14">
        <f t="shared" si="1"/>
        <v>15</v>
      </c>
      <c r="J286" s="14"/>
      <c r="K286" s="18"/>
      <c r="L286" s="16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55" t="s">
        <v>267</v>
      </c>
      <c r="C287" s="9"/>
      <c r="D287" s="48" t="s">
        <v>213</v>
      </c>
      <c r="E287" s="11" t="s">
        <v>27</v>
      </c>
      <c r="F287" s="50"/>
      <c r="G287" s="13">
        <v>1.0</v>
      </c>
      <c r="H287" s="14">
        <v>80.0</v>
      </c>
      <c r="I287" s="14">
        <f t="shared" si="1"/>
        <v>80</v>
      </c>
      <c r="J287" s="14"/>
      <c r="K287" s="18"/>
      <c r="L287" s="16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55" t="s">
        <v>267</v>
      </c>
      <c r="C288" s="9" t="s">
        <v>12</v>
      </c>
      <c r="D288" s="48" t="s">
        <v>214</v>
      </c>
      <c r="E288" s="11" t="s">
        <v>14</v>
      </c>
      <c r="F288" s="12" t="s">
        <v>4</v>
      </c>
      <c r="G288" s="13">
        <v>2.0</v>
      </c>
      <c r="H288" s="14">
        <v>40.0</v>
      </c>
      <c r="I288" s="14">
        <f t="shared" si="1"/>
        <v>80</v>
      </c>
      <c r="J288" s="14"/>
      <c r="K288" s="18"/>
      <c r="L288" s="16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55" t="s">
        <v>267</v>
      </c>
      <c r="C289" s="9"/>
      <c r="D289" s="48" t="s">
        <v>215</v>
      </c>
      <c r="E289" s="11" t="s">
        <v>19</v>
      </c>
      <c r="F289" s="17" t="s">
        <v>4</v>
      </c>
      <c r="G289" s="63">
        <v>2.0</v>
      </c>
      <c r="H289" s="51">
        <v>50.0</v>
      </c>
      <c r="I289" s="14">
        <f t="shared" si="1"/>
        <v>100</v>
      </c>
      <c r="J289" s="14"/>
      <c r="K289" s="18"/>
      <c r="L289" s="16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8" t="s">
        <v>268</v>
      </c>
      <c r="C290" s="9" t="s">
        <v>175</v>
      </c>
      <c r="D290" s="48" t="s">
        <v>269</v>
      </c>
      <c r="E290" s="11" t="s">
        <v>177</v>
      </c>
      <c r="F290" s="50"/>
      <c r="G290" s="13">
        <v>1.0</v>
      </c>
      <c r="H290" s="14">
        <v>10000.0</v>
      </c>
      <c r="I290" s="14">
        <f t="shared" si="1"/>
        <v>10000</v>
      </c>
      <c r="J290" s="14"/>
      <c r="K290" s="15" t="s">
        <v>39</v>
      </c>
      <c r="L290" s="16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55" t="s">
        <v>268</v>
      </c>
      <c r="C291" s="10"/>
      <c r="D291" s="48" t="s">
        <v>156</v>
      </c>
      <c r="E291" s="11" t="s">
        <v>14</v>
      </c>
      <c r="F291" s="50"/>
      <c r="G291" s="13">
        <v>1.0</v>
      </c>
      <c r="H291" s="14">
        <v>343.0</v>
      </c>
      <c r="I291" s="14">
        <f t="shared" si="1"/>
        <v>343</v>
      </c>
      <c r="J291" s="14"/>
      <c r="K291" s="18"/>
      <c r="L291" s="16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55" t="s">
        <v>268</v>
      </c>
      <c r="C292" s="10" t="s">
        <v>164</v>
      </c>
      <c r="D292" s="48" t="s">
        <v>270</v>
      </c>
      <c r="E292" s="11" t="s">
        <v>14</v>
      </c>
      <c r="F292" s="50" t="s">
        <v>271</v>
      </c>
      <c r="G292" s="13">
        <v>1.0</v>
      </c>
      <c r="H292" s="14">
        <v>55.0</v>
      </c>
      <c r="I292" s="14">
        <f t="shared" si="1"/>
        <v>55</v>
      </c>
      <c r="J292" s="14"/>
      <c r="K292" s="18"/>
      <c r="L292" s="16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55" t="s">
        <v>268</v>
      </c>
      <c r="C293" s="10" t="s">
        <v>164</v>
      </c>
      <c r="D293" s="48" t="s">
        <v>272</v>
      </c>
      <c r="E293" s="11" t="s">
        <v>14</v>
      </c>
      <c r="F293" s="50" t="s">
        <v>271</v>
      </c>
      <c r="G293" s="13">
        <v>1.0</v>
      </c>
      <c r="H293" s="14">
        <v>30.0</v>
      </c>
      <c r="I293" s="14">
        <f t="shared" si="1"/>
        <v>30</v>
      </c>
      <c r="J293" s="14"/>
      <c r="K293" s="18"/>
      <c r="L293" s="16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55" t="s">
        <v>268</v>
      </c>
      <c r="C294" s="10" t="s">
        <v>164</v>
      </c>
      <c r="D294" s="48" t="s">
        <v>273</v>
      </c>
      <c r="E294" s="11" t="s">
        <v>14</v>
      </c>
      <c r="F294" s="50" t="s">
        <v>271</v>
      </c>
      <c r="G294" s="13">
        <v>1.0</v>
      </c>
      <c r="H294" s="14">
        <v>50.0</v>
      </c>
      <c r="I294" s="14">
        <f t="shared" si="1"/>
        <v>50</v>
      </c>
      <c r="J294" s="14"/>
      <c r="K294" s="18"/>
      <c r="L294" s="16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55" t="s">
        <v>268</v>
      </c>
      <c r="C295" s="10" t="s">
        <v>12</v>
      </c>
      <c r="D295" s="48" t="s">
        <v>274</v>
      </c>
      <c r="E295" s="11" t="s">
        <v>14</v>
      </c>
      <c r="F295" s="12" t="s">
        <v>4</v>
      </c>
      <c r="G295" s="13">
        <v>1.0</v>
      </c>
      <c r="H295" s="14">
        <v>16.0</v>
      </c>
      <c r="I295" s="14">
        <f t="shared" si="1"/>
        <v>16</v>
      </c>
      <c r="J295" s="14"/>
      <c r="K295" s="18"/>
      <c r="L295" s="16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55" t="s">
        <v>268</v>
      </c>
      <c r="C296" s="10" t="s">
        <v>12</v>
      </c>
      <c r="D296" s="48" t="s">
        <v>275</v>
      </c>
      <c r="E296" s="11" t="s">
        <v>14</v>
      </c>
      <c r="F296" s="12" t="s">
        <v>4</v>
      </c>
      <c r="G296" s="13">
        <v>1.0</v>
      </c>
      <c r="H296" s="14">
        <v>18.0</v>
      </c>
      <c r="I296" s="14">
        <f t="shared" si="1"/>
        <v>18</v>
      </c>
      <c r="J296" s="14"/>
      <c r="K296" s="18"/>
      <c r="L296" s="16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55" t="s">
        <v>268</v>
      </c>
      <c r="C297" s="10" t="s">
        <v>12</v>
      </c>
      <c r="D297" s="48" t="s">
        <v>276</v>
      </c>
      <c r="E297" s="11" t="s">
        <v>14</v>
      </c>
      <c r="F297" s="12" t="s">
        <v>4</v>
      </c>
      <c r="G297" s="13">
        <v>1.0</v>
      </c>
      <c r="H297" s="14">
        <v>18.0</v>
      </c>
      <c r="I297" s="14">
        <f t="shared" si="1"/>
        <v>18</v>
      </c>
      <c r="J297" s="14"/>
      <c r="K297" s="18"/>
      <c r="L297" s="16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55" t="s">
        <v>268</v>
      </c>
      <c r="C298" s="9" t="s">
        <v>277</v>
      </c>
      <c r="D298" s="48" t="s">
        <v>278</v>
      </c>
      <c r="E298" s="11" t="s">
        <v>14</v>
      </c>
      <c r="F298" s="50"/>
      <c r="G298" s="13">
        <v>1.0</v>
      </c>
      <c r="H298" s="14">
        <v>1000.0</v>
      </c>
      <c r="I298" s="14">
        <f t="shared" si="1"/>
        <v>1000</v>
      </c>
      <c r="J298" s="14"/>
      <c r="K298" s="18"/>
      <c r="L298" s="16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55" t="s">
        <v>268</v>
      </c>
      <c r="C299" s="9" t="s">
        <v>12</v>
      </c>
      <c r="D299" s="48" t="s">
        <v>279</v>
      </c>
      <c r="E299" s="11" t="s">
        <v>14</v>
      </c>
      <c r="F299" s="12" t="s">
        <v>4</v>
      </c>
      <c r="G299" s="13">
        <v>1.0</v>
      </c>
      <c r="H299" s="14">
        <v>130.0</v>
      </c>
      <c r="I299" s="14">
        <f t="shared" si="1"/>
        <v>130</v>
      </c>
      <c r="J299" s="14"/>
      <c r="K299" s="18"/>
      <c r="L299" s="16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55" t="s">
        <v>268</v>
      </c>
      <c r="C300" s="9" t="s">
        <v>280</v>
      </c>
      <c r="D300" s="48" t="s">
        <v>281</v>
      </c>
      <c r="E300" s="11" t="s">
        <v>14</v>
      </c>
      <c r="F300" s="50" t="s">
        <v>282</v>
      </c>
      <c r="G300" s="13">
        <v>1.0</v>
      </c>
      <c r="H300" s="14">
        <v>300.0</v>
      </c>
      <c r="I300" s="14">
        <f t="shared" si="1"/>
        <v>300</v>
      </c>
      <c r="J300" s="14"/>
      <c r="K300" s="18"/>
      <c r="L300" s="16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55" t="s">
        <v>268</v>
      </c>
      <c r="C301" s="9" t="s">
        <v>12</v>
      </c>
      <c r="D301" s="48" t="s">
        <v>283</v>
      </c>
      <c r="E301" s="11" t="s">
        <v>14</v>
      </c>
      <c r="F301" s="12" t="s">
        <v>4</v>
      </c>
      <c r="G301" s="13">
        <v>1.0</v>
      </c>
      <c r="H301" s="14">
        <v>19.97</v>
      </c>
      <c r="I301" s="14">
        <f t="shared" si="1"/>
        <v>19.97</v>
      </c>
      <c r="J301" s="14"/>
      <c r="K301" s="18"/>
      <c r="L301" s="16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55" t="s">
        <v>268</v>
      </c>
      <c r="C302" s="9" t="s">
        <v>12</v>
      </c>
      <c r="D302" s="48" t="s">
        <v>284</v>
      </c>
      <c r="E302" s="11" t="s">
        <v>14</v>
      </c>
      <c r="F302" s="12" t="s">
        <v>4</v>
      </c>
      <c r="G302" s="13">
        <v>4.0</v>
      </c>
      <c r="H302" s="14">
        <v>67.0</v>
      </c>
      <c r="I302" s="14">
        <f t="shared" si="1"/>
        <v>268</v>
      </c>
      <c r="J302" s="14"/>
      <c r="K302" s="18"/>
      <c r="L302" s="16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5" t="s">
        <v>268</v>
      </c>
      <c r="C303" s="9" t="s">
        <v>246</v>
      </c>
      <c r="D303" s="48" t="s">
        <v>247</v>
      </c>
      <c r="E303" s="11" t="s">
        <v>14</v>
      </c>
      <c r="F303" s="12" t="s">
        <v>4</v>
      </c>
      <c r="G303" s="13">
        <v>4.0</v>
      </c>
      <c r="H303" s="14">
        <v>11.0</v>
      </c>
      <c r="I303" s="14">
        <f t="shared" si="1"/>
        <v>44</v>
      </c>
      <c r="J303" s="14"/>
      <c r="K303" s="18"/>
      <c r="L303" s="16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55" t="s">
        <v>268</v>
      </c>
      <c r="C304" s="9" t="s">
        <v>285</v>
      </c>
      <c r="D304" s="48" t="s">
        <v>286</v>
      </c>
      <c r="E304" s="11" t="s">
        <v>14</v>
      </c>
      <c r="F304" s="50" t="s">
        <v>271</v>
      </c>
      <c r="G304" s="13">
        <v>5.0</v>
      </c>
      <c r="H304" s="14">
        <v>25.0</v>
      </c>
      <c r="I304" s="14">
        <f t="shared" si="1"/>
        <v>125</v>
      </c>
      <c r="J304" s="14"/>
      <c r="K304" s="18"/>
      <c r="L304" s="16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55" t="s">
        <v>268</v>
      </c>
      <c r="C305" s="9" t="s">
        <v>93</v>
      </c>
      <c r="D305" s="48" t="s">
        <v>248</v>
      </c>
      <c r="E305" s="11" t="s">
        <v>30</v>
      </c>
      <c r="F305" s="50"/>
      <c r="G305" s="13">
        <v>1.0</v>
      </c>
      <c r="H305" s="14">
        <v>300.0</v>
      </c>
      <c r="I305" s="14">
        <f t="shared" si="1"/>
        <v>300</v>
      </c>
      <c r="J305" s="14"/>
      <c r="K305" s="18"/>
      <c r="L305" s="16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55" t="s">
        <v>268</v>
      </c>
      <c r="C306" s="64" t="s">
        <v>12</v>
      </c>
      <c r="D306" s="65" t="s">
        <v>249</v>
      </c>
      <c r="E306" s="66" t="s">
        <v>14</v>
      </c>
      <c r="F306" s="12" t="s">
        <v>4</v>
      </c>
      <c r="G306" s="67">
        <v>2.0</v>
      </c>
      <c r="H306" s="68">
        <v>140.0</v>
      </c>
      <c r="I306" s="14">
        <f t="shared" si="1"/>
        <v>280</v>
      </c>
      <c r="J306" s="68"/>
      <c r="K306" s="69"/>
      <c r="L306" s="70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55" t="s">
        <v>268</v>
      </c>
      <c r="C307" s="56" t="s">
        <v>12</v>
      </c>
      <c r="D307" s="71" t="s">
        <v>250</v>
      </c>
      <c r="E307" s="57" t="s">
        <v>14</v>
      </c>
      <c r="F307" s="12" t="s">
        <v>4</v>
      </c>
      <c r="G307" s="59">
        <v>2.0</v>
      </c>
      <c r="H307" s="60">
        <v>19.0</v>
      </c>
      <c r="I307" s="14">
        <f t="shared" si="1"/>
        <v>38</v>
      </c>
      <c r="J307" s="60"/>
      <c r="K307" s="61"/>
      <c r="L307" s="6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55" t="s">
        <v>268</v>
      </c>
      <c r="C308" s="64" t="s">
        <v>150</v>
      </c>
      <c r="D308" s="65" t="s">
        <v>233</v>
      </c>
      <c r="E308" s="66" t="s">
        <v>14</v>
      </c>
      <c r="F308" s="50"/>
      <c r="G308" s="67">
        <v>1.0</v>
      </c>
      <c r="H308" s="68">
        <v>300.0</v>
      </c>
      <c r="I308" s="14">
        <f t="shared" si="1"/>
        <v>300</v>
      </c>
      <c r="J308" s="68"/>
      <c r="K308" s="69"/>
      <c r="L308" s="70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55" t="s">
        <v>268</v>
      </c>
      <c r="C309" s="56" t="s">
        <v>12</v>
      </c>
      <c r="D309" s="71" t="s">
        <v>152</v>
      </c>
      <c r="E309" s="57" t="s">
        <v>14</v>
      </c>
      <c r="F309" s="12" t="s">
        <v>4</v>
      </c>
      <c r="G309" s="59">
        <v>1.0</v>
      </c>
      <c r="H309" s="60">
        <v>19.0</v>
      </c>
      <c r="I309" s="14">
        <f t="shared" si="1"/>
        <v>19</v>
      </c>
      <c r="J309" s="60"/>
      <c r="K309" s="61"/>
      <c r="L309" s="6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55" t="s">
        <v>287</v>
      </c>
      <c r="C310" s="64" t="s">
        <v>15</v>
      </c>
      <c r="D310" s="65" t="s">
        <v>217</v>
      </c>
      <c r="E310" s="66" t="s">
        <v>14</v>
      </c>
      <c r="F310" s="50"/>
      <c r="G310" s="67">
        <v>2.0</v>
      </c>
      <c r="H310" s="68">
        <v>100.0</v>
      </c>
      <c r="I310" s="14">
        <f t="shared" si="1"/>
        <v>200</v>
      </c>
      <c r="J310" s="68"/>
      <c r="K310" s="69"/>
      <c r="L310" s="70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55" t="s">
        <v>287</v>
      </c>
      <c r="C311" s="56" t="s">
        <v>12</v>
      </c>
      <c r="D311" s="71" t="s">
        <v>288</v>
      </c>
      <c r="E311" s="57" t="s">
        <v>14</v>
      </c>
      <c r="F311" s="50"/>
      <c r="G311" s="59">
        <v>2.0</v>
      </c>
      <c r="H311" s="60">
        <v>5.0</v>
      </c>
      <c r="I311" s="14">
        <f t="shared" si="1"/>
        <v>10</v>
      </c>
      <c r="J311" s="60"/>
      <c r="K311" s="61"/>
      <c r="L311" s="6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55" t="s">
        <v>287</v>
      </c>
      <c r="C312" s="64" t="s">
        <v>12</v>
      </c>
      <c r="D312" s="65" t="s">
        <v>190</v>
      </c>
      <c r="E312" s="66" t="s">
        <v>14</v>
      </c>
      <c r="F312" s="12" t="s">
        <v>4</v>
      </c>
      <c r="G312" s="67">
        <v>1.0</v>
      </c>
      <c r="H312" s="68">
        <v>45.0</v>
      </c>
      <c r="I312" s="14">
        <f t="shared" si="1"/>
        <v>45</v>
      </c>
      <c r="J312" s="68"/>
      <c r="K312" s="69"/>
      <c r="L312" s="70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55" t="s">
        <v>287</v>
      </c>
      <c r="C313" s="56"/>
      <c r="D313" s="71" t="s">
        <v>191</v>
      </c>
      <c r="E313" s="57" t="s">
        <v>27</v>
      </c>
      <c r="F313" s="50"/>
      <c r="G313" s="59">
        <v>1.0</v>
      </c>
      <c r="H313" s="60">
        <v>95.0</v>
      </c>
      <c r="I313" s="14">
        <f t="shared" si="1"/>
        <v>95</v>
      </c>
      <c r="J313" s="60"/>
      <c r="K313" s="61"/>
      <c r="L313" s="6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55" t="s">
        <v>287</v>
      </c>
      <c r="C314" s="64" t="s">
        <v>12</v>
      </c>
      <c r="D314" s="65" t="s">
        <v>219</v>
      </c>
      <c r="E314" s="66" t="s">
        <v>14</v>
      </c>
      <c r="F314" s="50"/>
      <c r="G314" s="67">
        <v>8.0</v>
      </c>
      <c r="H314" s="68">
        <v>5.0</v>
      </c>
      <c r="I314" s="14">
        <f t="shared" si="1"/>
        <v>40</v>
      </c>
      <c r="J314" s="68"/>
      <c r="K314" s="69"/>
      <c r="L314" s="70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55" t="s">
        <v>287</v>
      </c>
      <c r="C315" s="56" t="s">
        <v>28</v>
      </c>
      <c r="D315" s="71" t="s">
        <v>220</v>
      </c>
      <c r="E315" s="57" t="s">
        <v>30</v>
      </c>
      <c r="F315" s="50" t="s">
        <v>134</v>
      </c>
      <c r="G315" s="59">
        <v>1.0</v>
      </c>
      <c r="H315" s="60">
        <v>0.0</v>
      </c>
      <c r="I315" s="14">
        <f t="shared" si="1"/>
        <v>0</v>
      </c>
      <c r="J315" s="60"/>
      <c r="K315" s="61"/>
      <c r="L315" s="6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55" t="s">
        <v>287</v>
      </c>
      <c r="C316" s="64" t="s">
        <v>106</v>
      </c>
      <c r="D316" s="65" t="s">
        <v>192</v>
      </c>
      <c r="E316" s="66" t="s">
        <v>38</v>
      </c>
      <c r="F316" s="50">
        <v>78842.0</v>
      </c>
      <c r="G316" s="67">
        <v>2.0</v>
      </c>
      <c r="H316" s="68">
        <v>270.6</v>
      </c>
      <c r="I316" s="14">
        <f t="shared" si="1"/>
        <v>541.2</v>
      </c>
      <c r="J316" s="68"/>
      <c r="K316" s="69"/>
      <c r="L316" s="70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5" t="s">
        <v>287</v>
      </c>
      <c r="C317" s="56" t="s">
        <v>106</v>
      </c>
      <c r="D317" s="71" t="s">
        <v>193</v>
      </c>
      <c r="E317" s="57" t="s">
        <v>38</v>
      </c>
      <c r="F317" s="50">
        <v>78843.0</v>
      </c>
      <c r="G317" s="59">
        <v>1.0</v>
      </c>
      <c r="H317" s="60">
        <v>798.6</v>
      </c>
      <c r="I317" s="14">
        <f t="shared" si="1"/>
        <v>798.6</v>
      </c>
      <c r="J317" s="60"/>
      <c r="K317" s="61"/>
      <c r="L317" s="6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55" t="s">
        <v>287</v>
      </c>
      <c r="C318" s="64" t="s">
        <v>93</v>
      </c>
      <c r="D318" s="65" t="s">
        <v>221</v>
      </c>
      <c r="E318" s="66" t="s">
        <v>30</v>
      </c>
      <c r="F318" s="50"/>
      <c r="G318" s="67">
        <v>1.0</v>
      </c>
      <c r="H318" s="68">
        <v>300.0</v>
      </c>
      <c r="I318" s="14">
        <f t="shared" si="1"/>
        <v>300</v>
      </c>
      <c r="J318" s="68"/>
      <c r="K318" s="69"/>
      <c r="L318" s="70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55" t="s">
        <v>287</v>
      </c>
      <c r="C319" s="56"/>
      <c r="D319" s="71" t="s">
        <v>197</v>
      </c>
      <c r="E319" s="57" t="s">
        <v>30</v>
      </c>
      <c r="F319" s="50"/>
      <c r="G319" s="59">
        <v>1.0</v>
      </c>
      <c r="H319" s="60">
        <v>80.0</v>
      </c>
      <c r="I319" s="14">
        <f t="shared" si="1"/>
        <v>80</v>
      </c>
      <c r="J319" s="60"/>
      <c r="K319" s="61"/>
      <c r="L319" s="6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55" t="s">
        <v>287</v>
      </c>
      <c r="C320" s="64"/>
      <c r="D320" s="65" t="s">
        <v>198</v>
      </c>
      <c r="E320" s="66" t="s">
        <v>14</v>
      </c>
      <c r="F320" s="50"/>
      <c r="G320" s="67">
        <v>1.0</v>
      </c>
      <c r="H320" s="68">
        <v>35.0</v>
      </c>
      <c r="I320" s="14">
        <f t="shared" si="1"/>
        <v>35</v>
      </c>
      <c r="J320" s="68"/>
      <c r="K320" s="69"/>
      <c r="L320" s="70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55" t="s">
        <v>287</v>
      </c>
      <c r="C321" s="56" t="s">
        <v>12</v>
      </c>
      <c r="D321" s="71" t="s">
        <v>200</v>
      </c>
      <c r="E321" s="57" t="s">
        <v>14</v>
      </c>
      <c r="F321" s="12" t="s">
        <v>4</v>
      </c>
      <c r="G321" s="59">
        <v>2.0</v>
      </c>
      <c r="H321" s="60">
        <v>30.0</v>
      </c>
      <c r="I321" s="14">
        <f t="shared" si="1"/>
        <v>60</v>
      </c>
      <c r="J321" s="60"/>
      <c r="K321" s="61"/>
      <c r="L321" s="6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55" t="s">
        <v>287</v>
      </c>
      <c r="C322" s="64" t="s">
        <v>12</v>
      </c>
      <c r="D322" s="65" t="s">
        <v>201</v>
      </c>
      <c r="E322" s="66" t="s">
        <v>14</v>
      </c>
      <c r="F322" s="12" t="s">
        <v>4</v>
      </c>
      <c r="G322" s="67">
        <v>1.0</v>
      </c>
      <c r="H322" s="68">
        <v>42.0</v>
      </c>
      <c r="I322" s="14">
        <f t="shared" si="1"/>
        <v>42</v>
      </c>
      <c r="J322" s="68"/>
      <c r="K322" s="69"/>
      <c r="L322" s="70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55" t="s">
        <v>287</v>
      </c>
      <c r="C323" s="56" t="s">
        <v>12</v>
      </c>
      <c r="D323" s="71" t="s">
        <v>202</v>
      </c>
      <c r="E323" s="57" t="s">
        <v>14</v>
      </c>
      <c r="F323" s="12" t="s">
        <v>4</v>
      </c>
      <c r="G323" s="59">
        <v>1.0</v>
      </c>
      <c r="H323" s="60">
        <v>20.0</v>
      </c>
      <c r="I323" s="14">
        <f t="shared" si="1"/>
        <v>20</v>
      </c>
      <c r="J323" s="60"/>
      <c r="K323" s="61"/>
      <c r="L323" s="6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55" t="s">
        <v>287</v>
      </c>
      <c r="C324" s="64" t="s">
        <v>12</v>
      </c>
      <c r="D324" s="65" t="s">
        <v>203</v>
      </c>
      <c r="E324" s="66" t="s">
        <v>14</v>
      </c>
      <c r="F324" s="12" t="s">
        <v>4</v>
      </c>
      <c r="G324" s="67">
        <v>1.0</v>
      </c>
      <c r="H324" s="68">
        <v>20.0</v>
      </c>
      <c r="I324" s="14">
        <f t="shared" si="1"/>
        <v>20</v>
      </c>
      <c r="J324" s="68"/>
      <c r="K324" s="69"/>
      <c r="L324" s="70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55" t="s">
        <v>287</v>
      </c>
      <c r="C325" s="56" t="s">
        <v>204</v>
      </c>
      <c r="D325" s="71" t="s">
        <v>205</v>
      </c>
      <c r="E325" s="57" t="s">
        <v>14</v>
      </c>
      <c r="F325" s="50" t="s">
        <v>206</v>
      </c>
      <c r="G325" s="59">
        <v>1.0</v>
      </c>
      <c r="H325" s="60">
        <v>390.0</v>
      </c>
      <c r="I325" s="14">
        <f t="shared" si="1"/>
        <v>390</v>
      </c>
      <c r="J325" s="60"/>
      <c r="K325" s="61"/>
      <c r="L325" s="6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55" t="s">
        <v>287</v>
      </c>
      <c r="C326" s="64" t="s">
        <v>204</v>
      </c>
      <c r="D326" s="65" t="s">
        <v>207</v>
      </c>
      <c r="E326" s="66" t="s">
        <v>14</v>
      </c>
      <c r="F326" s="50" t="s">
        <v>206</v>
      </c>
      <c r="G326" s="67">
        <v>1.0</v>
      </c>
      <c r="H326" s="68">
        <v>160.0</v>
      </c>
      <c r="I326" s="14">
        <f t="shared" si="1"/>
        <v>160</v>
      </c>
      <c r="J326" s="68"/>
      <c r="K326" s="69"/>
      <c r="L326" s="70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55" t="s">
        <v>287</v>
      </c>
      <c r="C327" s="56" t="s">
        <v>204</v>
      </c>
      <c r="D327" s="71" t="s">
        <v>208</v>
      </c>
      <c r="E327" s="57" t="s">
        <v>14</v>
      </c>
      <c r="F327" s="50" t="s">
        <v>206</v>
      </c>
      <c r="G327" s="59">
        <v>1.0</v>
      </c>
      <c r="H327" s="60">
        <v>100.0</v>
      </c>
      <c r="I327" s="14">
        <f t="shared" si="1"/>
        <v>100</v>
      </c>
      <c r="J327" s="60"/>
      <c r="K327" s="61"/>
      <c r="L327" s="6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55" t="s">
        <v>287</v>
      </c>
      <c r="C328" s="64" t="s">
        <v>209</v>
      </c>
      <c r="D328" s="65" t="s">
        <v>210</v>
      </c>
      <c r="E328" s="66" t="s">
        <v>14</v>
      </c>
      <c r="F328" s="12" t="s">
        <v>4</v>
      </c>
      <c r="G328" s="67">
        <v>2.0</v>
      </c>
      <c r="H328" s="68">
        <v>20.0</v>
      </c>
      <c r="I328" s="14">
        <f t="shared" si="1"/>
        <v>40</v>
      </c>
      <c r="J328" s="68"/>
      <c r="K328" s="69"/>
      <c r="L328" s="70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55" t="s">
        <v>287</v>
      </c>
      <c r="C329" s="56" t="s">
        <v>15</v>
      </c>
      <c r="D329" s="71" t="s">
        <v>232</v>
      </c>
      <c r="E329" s="57" t="s">
        <v>14</v>
      </c>
      <c r="F329" s="50"/>
      <c r="G329" s="59">
        <v>2.0</v>
      </c>
      <c r="H329" s="60">
        <v>180.0</v>
      </c>
      <c r="I329" s="14">
        <f t="shared" si="1"/>
        <v>360</v>
      </c>
      <c r="J329" s="60"/>
      <c r="K329" s="61"/>
      <c r="L329" s="6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55" t="s">
        <v>287</v>
      </c>
      <c r="C330" s="64"/>
      <c r="D330" s="65" t="s">
        <v>32</v>
      </c>
      <c r="E330" s="66" t="s">
        <v>27</v>
      </c>
      <c r="F330" s="50"/>
      <c r="G330" s="67">
        <v>2.0</v>
      </c>
      <c r="H330" s="68">
        <v>18.0</v>
      </c>
      <c r="I330" s="14">
        <f t="shared" si="1"/>
        <v>36</v>
      </c>
      <c r="J330" s="68"/>
      <c r="K330" s="69"/>
      <c r="L330" s="70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55" t="s">
        <v>287</v>
      </c>
      <c r="C331" s="56" t="s">
        <v>150</v>
      </c>
      <c r="D331" s="71" t="s">
        <v>233</v>
      </c>
      <c r="E331" s="57" t="s">
        <v>14</v>
      </c>
      <c r="F331" s="50"/>
      <c r="G331" s="59">
        <v>1.0</v>
      </c>
      <c r="H331" s="60">
        <v>300.0</v>
      </c>
      <c r="I331" s="14">
        <f t="shared" si="1"/>
        <v>300</v>
      </c>
      <c r="J331" s="60"/>
      <c r="K331" s="61"/>
      <c r="L331" s="6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55" t="s">
        <v>287</v>
      </c>
      <c r="C332" s="64" t="s">
        <v>12</v>
      </c>
      <c r="D332" s="65" t="s">
        <v>152</v>
      </c>
      <c r="E332" s="66" t="s">
        <v>14</v>
      </c>
      <c r="F332" s="12" t="s">
        <v>4</v>
      </c>
      <c r="G332" s="67">
        <v>1.0</v>
      </c>
      <c r="H332" s="68">
        <v>15.0</v>
      </c>
      <c r="I332" s="14">
        <f t="shared" si="1"/>
        <v>15</v>
      </c>
      <c r="J332" s="68"/>
      <c r="K332" s="69"/>
      <c r="L332" s="70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55" t="s">
        <v>287</v>
      </c>
      <c r="C333" s="56"/>
      <c r="D333" s="71" t="s">
        <v>213</v>
      </c>
      <c r="E333" s="57" t="s">
        <v>27</v>
      </c>
      <c r="F333" s="50"/>
      <c r="G333" s="59">
        <v>1.0</v>
      </c>
      <c r="H333" s="60">
        <v>80.0</v>
      </c>
      <c r="I333" s="14">
        <f t="shared" si="1"/>
        <v>80</v>
      </c>
      <c r="J333" s="60"/>
      <c r="K333" s="61"/>
      <c r="L333" s="6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72" t="s">
        <v>289</v>
      </c>
      <c r="C334" s="64" t="s">
        <v>12</v>
      </c>
      <c r="D334" s="65" t="s">
        <v>219</v>
      </c>
      <c r="E334" s="66" t="s">
        <v>14</v>
      </c>
      <c r="F334" s="50"/>
      <c r="G334" s="67">
        <v>2.0</v>
      </c>
      <c r="H334" s="68">
        <v>5.0</v>
      </c>
      <c r="I334" s="14">
        <f t="shared" si="1"/>
        <v>10</v>
      </c>
      <c r="J334" s="68"/>
      <c r="K334" s="69"/>
      <c r="L334" s="70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72" t="s">
        <v>289</v>
      </c>
      <c r="C335" s="56" t="s">
        <v>12</v>
      </c>
      <c r="D335" s="71" t="s">
        <v>258</v>
      </c>
      <c r="E335" s="57" t="s">
        <v>14</v>
      </c>
      <c r="F335" s="12" t="s">
        <v>4</v>
      </c>
      <c r="G335" s="59">
        <v>1.0</v>
      </c>
      <c r="H335" s="60">
        <v>60.0</v>
      </c>
      <c r="I335" s="14">
        <f t="shared" si="1"/>
        <v>60</v>
      </c>
      <c r="J335" s="60"/>
      <c r="K335" s="61"/>
      <c r="L335" s="6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72" t="s">
        <v>289</v>
      </c>
      <c r="C336" s="64" t="s">
        <v>12</v>
      </c>
      <c r="D336" s="65" t="s">
        <v>290</v>
      </c>
      <c r="E336" s="66" t="s">
        <v>14</v>
      </c>
      <c r="F336" s="12" t="s">
        <v>4</v>
      </c>
      <c r="G336" s="67">
        <v>1.0</v>
      </c>
      <c r="H336" s="68">
        <v>38.0</v>
      </c>
      <c r="I336" s="14">
        <f t="shared" si="1"/>
        <v>38</v>
      </c>
      <c r="J336" s="68"/>
      <c r="K336" s="69"/>
      <c r="L336" s="70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72" t="s">
        <v>289</v>
      </c>
      <c r="C337" s="56" t="s">
        <v>12</v>
      </c>
      <c r="D337" s="71" t="s">
        <v>291</v>
      </c>
      <c r="E337" s="57" t="s">
        <v>14</v>
      </c>
      <c r="F337" s="12" t="s">
        <v>4</v>
      </c>
      <c r="G337" s="59">
        <v>1.0</v>
      </c>
      <c r="H337" s="60">
        <v>45.0</v>
      </c>
      <c r="I337" s="14">
        <f t="shared" si="1"/>
        <v>45</v>
      </c>
      <c r="J337" s="60"/>
      <c r="K337" s="61"/>
      <c r="L337" s="6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72" t="s">
        <v>289</v>
      </c>
      <c r="C338" s="64" t="s">
        <v>12</v>
      </c>
      <c r="D338" s="65" t="s">
        <v>292</v>
      </c>
      <c r="E338" s="66" t="s">
        <v>14</v>
      </c>
      <c r="F338" s="12" t="s">
        <v>4</v>
      </c>
      <c r="G338" s="67">
        <v>1.0</v>
      </c>
      <c r="H338" s="68">
        <v>38.0</v>
      </c>
      <c r="I338" s="14">
        <f t="shared" si="1"/>
        <v>38</v>
      </c>
      <c r="J338" s="68"/>
      <c r="K338" s="69"/>
      <c r="L338" s="70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72" t="s">
        <v>289</v>
      </c>
      <c r="C339" s="56" t="s">
        <v>12</v>
      </c>
      <c r="D339" s="71" t="s">
        <v>293</v>
      </c>
      <c r="E339" s="57" t="s">
        <v>14</v>
      </c>
      <c r="F339" s="12" t="s">
        <v>4</v>
      </c>
      <c r="G339" s="59">
        <v>1.0</v>
      </c>
      <c r="H339" s="60">
        <v>35.0</v>
      </c>
      <c r="I339" s="14">
        <f t="shared" si="1"/>
        <v>35</v>
      </c>
      <c r="J339" s="60"/>
      <c r="K339" s="61"/>
      <c r="L339" s="6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8" t="s">
        <v>289</v>
      </c>
      <c r="C340" s="9" t="s">
        <v>175</v>
      </c>
      <c r="D340" s="48" t="s">
        <v>237</v>
      </c>
      <c r="E340" s="11" t="s">
        <v>177</v>
      </c>
      <c r="F340" s="50"/>
      <c r="G340" s="13">
        <v>1.0</v>
      </c>
      <c r="H340" s="14">
        <v>11000.0</v>
      </c>
      <c r="I340" s="14">
        <f t="shared" si="1"/>
        <v>11000</v>
      </c>
      <c r="J340" s="14"/>
      <c r="K340" s="15" t="s">
        <v>39</v>
      </c>
      <c r="L340" s="16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72" t="s">
        <v>289</v>
      </c>
      <c r="C341" s="56" t="s">
        <v>294</v>
      </c>
      <c r="D341" s="71" t="s">
        <v>295</v>
      </c>
      <c r="E341" s="57" t="s">
        <v>38</v>
      </c>
      <c r="F341" s="50">
        <v>212423.0</v>
      </c>
      <c r="G341" s="59">
        <v>1.0</v>
      </c>
      <c r="H341" s="60">
        <v>271.2</v>
      </c>
      <c r="I341" s="14">
        <f t="shared" si="1"/>
        <v>271.2</v>
      </c>
      <c r="J341" s="60"/>
      <c r="K341" s="61"/>
      <c r="L341" s="6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72" t="s">
        <v>289</v>
      </c>
      <c r="C342" s="64" t="s">
        <v>12</v>
      </c>
      <c r="D342" s="65" t="s">
        <v>296</v>
      </c>
      <c r="E342" s="66" t="s">
        <v>14</v>
      </c>
      <c r="F342" s="12" t="s">
        <v>4</v>
      </c>
      <c r="G342" s="67">
        <v>4.0</v>
      </c>
      <c r="H342" s="68">
        <v>55.0</v>
      </c>
      <c r="I342" s="14">
        <f t="shared" si="1"/>
        <v>220</v>
      </c>
      <c r="J342" s="68"/>
      <c r="K342" s="69"/>
      <c r="L342" s="70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72" t="s">
        <v>289</v>
      </c>
      <c r="C343" s="56" t="s">
        <v>12</v>
      </c>
      <c r="D343" s="71" t="s">
        <v>245</v>
      </c>
      <c r="E343" s="57" t="s">
        <v>14</v>
      </c>
      <c r="F343" s="12" t="s">
        <v>4</v>
      </c>
      <c r="G343" s="59">
        <v>4.0</v>
      </c>
      <c r="H343" s="60">
        <v>25.0</v>
      </c>
      <c r="I343" s="14">
        <f t="shared" si="1"/>
        <v>100</v>
      </c>
      <c r="J343" s="60"/>
      <c r="K343" s="61"/>
      <c r="L343" s="6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72" t="s">
        <v>289</v>
      </c>
      <c r="C344" s="64" t="s">
        <v>246</v>
      </c>
      <c r="D344" s="65" t="s">
        <v>247</v>
      </c>
      <c r="E344" s="66" t="s">
        <v>14</v>
      </c>
      <c r="F344" s="12" t="s">
        <v>4</v>
      </c>
      <c r="G344" s="67">
        <v>8.0</v>
      </c>
      <c r="H344" s="68">
        <v>11.0</v>
      </c>
      <c r="I344" s="14">
        <f t="shared" si="1"/>
        <v>88</v>
      </c>
      <c r="J344" s="68"/>
      <c r="K344" s="69"/>
      <c r="L344" s="70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72" t="s">
        <v>289</v>
      </c>
      <c r="C345" s="56" t="s">
        <v>12</v>
      </c>
      <c r="D345" s="71" t="s">
        <v>236</v>
      </c>
      <c r="E345" s="57" t="s">
        <v>14</v>
      </c>
      <c r="F345" s="12" t="s">
        <v>4</v>
      </c>
      <c r="G345" s="59">
        <v>2.0</v>
      </c>
      <c r="H345" s="60">
        <v>26.0</v>
      </c>
      <c r="I345" s="14">
        <f t="shared" si="1"/>
        <v>52</v>
      </c>
      <c r="J345" s="60"/>
      <c r="K345" s="61"/>
      <c r="L345" s="6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72" t="s">
        <v>289</v>
      </c>
      <c r="C346" s="64" t="s">
        <v>12</v>
      </c>
      <c r="D346" s="65" t="s">
        <v>297</v>
      </c>
      <c r="E346" s="66" t="s">
        <v>14</v>
      </c>
      <c r="F346" s="12" t="s">
        <v>4</v>
      </c>
      <c r="G346" s="67">
        <v>1.0</v>
      </c>
      <c r="H346" s="68">
        <v>15.0</v>
      </c>
      <c r="I346" s="14">
        <f t="shared" si="1"/>
        <v>15</v>
      </c>
      <c r="J346" s="68"/>
      <c r="K346" s="69"/>
      <c r="L346" s="70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72" t="s">
        <v>289</v>
      </c>
      <c r="C347" s="56" t="s">
        <v>12</v>
      </c>
      <c r="D347" s="71" t="s">
        <v>298</v>
      </c>
      <c r="E347" s="57" t="s">
        <v>14</v>
      </c>
      <c r="F347" s="12" t="s">
        <v>4</v>
      </c>
      <c r="G347" s="59">
        <v>1.0</v>
      </c>
      <c r="H347" s="60">
        <v>15.0</v>
      </c>
      <c r="I347" s="14">
        <f t="shared" si="1"/>
        <v>15</v>
      </c>
      <c r="J347" s="60"/>
      <c r="K347" s="61"/>
      <c r="L347" s="6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72" t="s">
        <v>289</v>
      </c>
      <c r="C348" s="64" t="s">
        <v>12</v>
      </c>
      <c r="D348" s="65" t="s">
        <v>299</v>
      </c>
      <c r="E348" s="66" t="s">
        <v>14</v>
      </c>
      <c r="F348" s="12" t="s">
        <v>4</v>
      </c>
      <c r="G348" s="67">
        <v>1.0</v>
      </c>
      <c r="H348" s="68">
        <v>22.0</v>
      </c>
      <c r="I348" s="14">
        <f t="shared" si="1"/>
        <v>22</v>
      </c>
      <c r="J348" s="68"/>
      <c r="K348" s="69"/>
      <c r="L348" s="70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72" t="s">
        <v>289</v>
      </c>
      <c r="C349" s="56" t="s">
        <v>12</v>
      </c>
      <c r="D349" s="71" t="s">
        <v>155</v>
      </c>
      <c r="E349" s="57" t="s">
        <v>14</v>
      </c>
      <c r="F349" s="12" t="s">
        <v>4</v>
      </c>
      <c r="G349" s="59">
        <v>1.0</v>
      </c>
      <c r="H349" s="60">
        <v>48.0</v>
      </c>
      <c r="I349" s="14">
        <f t="shared" si="1"/>
        <v>48</v>
      </c>
      <c r="J349" s="60"/>
      <c r="K349" s="61"/>
      <c r="L349" s="6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72" t="s">
        <v>289</v>
      </c>
      <c r="C350" s="64" t="s">
        <v>93</v>
      </c>
      <c r="D350" s="65" t="s">
        <v>248</v>
      </c>
      <c r="E350" s="66" t="s">
        <v>30</v>
      </c>
      <c r="F350" s="50"/>
      <c r="G350" s="67">
        <v>1.0</v>
      </c>
      <c r="H350" s="68">
        <v>300.0</v>
      </c>
      <c r="I350" s="14">
        <f t="shared" si="1"/>
        <v>300</v>
      </c>
      <c r="J350" s="68"/>
      <c r="K350" s="69"/>
      <c r="L350" s="70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72" t="s">
        <v>289</v>
      </c>
      <c r="C351" s="56" t="s">
        <v>12</v>
      </c>
      <c r="D351" s="71" t="s">
        <v>249</v>
      </c>
      <c r="E351" s="57" t="s">
        <v>14</v>
      </c>
      <c r="F351" s="12" t="s">
        <v>4</v>
      </c>
      <c r="G351" s="59">
        <v>2.0</v>
      </c>
      <c r="H351" s="60">
        <v>100.0</v>
      </c>
      <c r="I351" s="14">
        <f t="shared" si="1"/>
        <v>200</v>
      </c>
      <c r="J351" s="60"/>
      <c r="K351" s="61"/>
      <c r="L351" s="6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72" t="s">
        <v>289</v>
      </c>
      <c r="C352" s="64" t="s">
        <v>12</v>
      </c>
      <c r="D352" s="65" t="s">
        <v>250</v>
      </c>
      <c r="E352" s="66" t="s">
        <v>14</v>
      </c>
      <c r="F352" s="12" t="s">
        <v>4</v>
      </c>
      <c r="G352" s="67">
        <v>2.0</v>
      </c>
      <c r="H352" s="68">
        <v>16.0</v>
      </c>
      <c r="I352" s="14">
        <f t="shared" si="1"/>
        <v>32</v>
      </c>
      <c r="J352" s="68"/>
      <c r="K352" s="69"/>
      <c r="L352" s="70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72" t="s">
        <v>289</v>
      </c>
      <c r="C353" s="56" t="s">
        <v>150</v>
      </c>
      <c r="D353" s="71" t="s">
        <v>233</v>
      </c>
      <c r="E353" s="57" t="s">
        <v>14</v>
      </c>
      <c r="F353" s="50"/>
      <c r="G353" s="59">
        <v>1.0</v>
      </c>
      <c r="H353" s="60">
        <v>300.0</v>
      </c>
      <c r="I353" s="14">
        <f t="shared" si="1"/>
        <v>300</v>
      </c>
      <c r="J353" s="60"/>
      <c r="K353" s="61"/>
      <c r="L353" s="6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72" t="s">
        <v>289</v>
      </c>
      <c r="C354" s="64" t="s">
        <v>150</v>
      </c>
      <c r="D354" s="65" t="s">
        <v>300</v>
      </c>
      <c r="E354" s="66" t="s">
        <v>14</v>
      </c>
      <c r="F354" s="50"/>
      <c r="G354" s="67">
        <v>1.0</v>
      </c>
      <c r="H354" s="68">
        <v>120.0</v>
      </c>
      <c r="I354" s="14">
        <f t="shared" si="1"/>
        <v>120</v>
      </c>
      <c r="J354" s="68"/>
      <c r="K354" s="69"/>
      <c r="L354" s="70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72" t="s">
        <v>289</v>
      </c>
      <c r="C355" s="56" t="s">
        <v>301</v>
      </c>
      <c r="D355" s="71" t="s">
        <v>302</v>
      </c>
      <c r="E355" s="57" t="s">
        <v>14</v>
      </c>
      <c r="F355" s="50"/>
      <c r="G355" s="59">
        <v>1.0</v>
      </c>
      <c r="H355" s="60">
        <v>220.0</v>
      </c>
      <c r="I355" s="14">
        <f t="shared" si="1"/>
        <v>220</v>
      </c>
      <c r="J355" s="60"/>
      <c r="K355" s="61"/>
      <c r="L355" s="6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72" t="s">
        <v>289</v>
      </c>
      <c r="C356" s="64" t="s">
        <v>12</v>
      </c>
      <c r="D356" s="65" t="s">
        <v>152</v>
      </c>
      <c r="E356" s="66" t="s">
        <v>14</v>
      </c>
      <c r="F356" s="12" t="s">
        <v>4</v>
      </c>
      <c r="G356" s="67">
        <v>1.0</v>
      </c>
      <c r="H356" s="68">
        <v>15.0</v>
      </c>
      <c r="I356" s="14">
        <f t="shared" si="1"/>
        <v>15</v>
      </c>
      <c r="J356" s="68"/>
      <c r="K356" s="69"/>
      <c r="L356" s="70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73" t="s">
        <v>303</v>
      </c>
      <c r="C357" s="56" t="s">
        <v>12</v>
      </c>
      <c r="D357" s="71" t="s">
        <v>304</v>
      </c>
      <c r="E357" s="74"/>
      <c r="F357" s="12" t="s">
        <v>4</v>
      </c>
      <c r="G357" s="59">
        <v>1.0</v>
      </c>
      <c r="H357" s="60">
        <v>15.0</v>
      </c>
      <c r="I357" s="14">
        <f t="shared" si="1"/>
        <v>15</v>
      </c>
      <c r="J357" s="60"/>
      <c r="K357" s="61"/>
      <c r="L357" s="6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73" t="s">
        <v>303</v>
      </c>
      <c r="C358" s="64" t="s">
        <v>12</v>
      </c>
      <c r="D358" s="65" t="s">
        <v>305</v>
      </c>
      <c r="E358" s="75"/>
      <c r="F358" s="12" t="s">
        <v>4</v>
      </c>
      <c r="G358" s="67">
        <v>1.0</v>
      </c>
      <c r="H358" s="68">
        <v>6.0</v>
      </c>
      <c r="I358" s="14">
        <f t="shared" si="1"/>
        <v>6</v>
      </c>
      <c r="J358" s="68"/>
      <c r="K358" s="69"/>
      <c r="L358" s="70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73" t="s">
        <v>303</v>
      </c>
      <c r="C359" s="56" t="s">
        <v>12</v>
      </c>
      <c r="D359" s="71" t="s">
        <v>306</v>
      </c>
      <c r="E359" s="74"/>
      <c r="F359" s="12" t="s">
        <v>4</v>
      </c>
      <c r="G359" s="59">
        <v>1.0</v>
      </c>
      <c r="H359" s="60">
        <v>16.0</v>
      </c>
      <c r="I359" s="14">
        <f t="shared" si="1"/>
        <v>16</v>
      </c>
      <c r="J359" s="60"/>
      <c r="K359" s="61"/>
      <c r="L359" s="6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73" t="s">
        <v>303</v>
      </c>
      <c r="C360" s="64" t="s">
        <v>12</v>
      </c>
      <c r="D360" s="65" t="s">
        <v>307</v>
      </c>
      <c r="E360" s="75"/>
      <c r="F360" s="12" t="s">
        <v>4</v>
      </c>
      <c r="G360" s="67">
        <v>1.0</v>
      </c>
      <c r="H360" s="68">
        <v>7.0</v>
      </c>
      <c r="I360" s="14">
        <f t="shared" si="1"/>
        <v>7</v>
      </c>
      <c r="J360" s="68"/>
      <c r="K360" s="69"/>
      <c r="L360" s="70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73" t="s">
        <v>303</v>
      </c>
      <c r="C361" s="56" t="s">
        <v>308</v>
      </c>
      <c r="D361" s="71" t="s">
        <v>309</v>
      </c>
      <c r="E361" s="74"/>
      <c r="F361" s="12" t="s">
        <v>4</v>
      </c>
      <c r="G361" s="59">
        <v>2.0</v>
      </c>
      <c r="H361" s="60">
        <v>2.0</v>
      </c>
      <c r="I361" s="14">
        <f t="shared" si="1"/>
        <v>4</v>
      </c>
      <c r="J361" s="60"/>
      <c r="K361" s="61"/>
      <c r="L361" s="6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73" t="s">
        <v>303</v>
      </c>
      <c r="C362" s="64" t="s">
        <v>308</v>
      </c>
      <c r="D362" s="65" t="s">
        <v>310</v>
      </c>
      <c r="E362" s="75"/>
      <c r="F362" s="12" t="s">
        <v>212</v>
      </c>
      <c r="G362" s="67">
        <v>2.0</v>
      </c>
      <c r="H362" s="68">
        <v>19.99</v>
      </c>
      <c r="I362" s="14">
        <f t="shared" si="1"/>
        <v>39.98</v>
      </c>
      <c r="J362" s="68"/>
      <c r="K362" s="69"/>
      <c r="L362" s="70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73" t="s">
        <v>303</v>
      </c>
      <c r="C363" s="56" t="s">
        <v>15</v>
      </c>
      <c r="D363" s="71" t="s">
        <v>311</v>
      </c>
      <c r="E363" s="74"/>
      <c r="F363" s="50"/>
      <c r="G363" s="59">
        <v>2.0</v>
      </c>
      <c r="H363" s="60">
        <v>35.0</v>
      </c>
      <c r="I363" s="14">
        <f t="shared" si="1"/>
        <v>70</v>
      </c>
      <c r="J363" s="60"/>
      <c r="K363" s="61"/>
      <c r="L363" s="6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73" t="s">
        <v>303</v>
      </c>
      <c r="C364" s="64"/>
      <c r="D364" s="65" t="s">
        <v>32</v>
      </c>
      <c r="E364" s="75"/>
      <c r="F364" s="50"/>
      <c r="G364" s="67">
        <v>4.0</v>
      </c>
      <c r="H364" s="68">
        <v>18.0</v>
      </c>
      <c r="I364" s="14">
        <f t="shared" si="1"/>
        <v>72</v>
      </c>
      <c r="J364" s="68"/>
      <c r="K364" s="69"/>
      <c r="L364" s="70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73" t="s">
        <v>303</v>
      </c>
      <c r="C365" s="56" t="s">
        <v>12</v>
      </c>
      <c r="D365" s="71" t="s">
        <v>312</v>
      </c>
      <c r="E365" s="74"/>
      <c r="F365" s="12" t="s">
        <v>168</v>
      </c>
      <c r="G365" s="59">
        <v>2.0</v>
      </c>
      <c r="H365" s="60">
        <v>15.0</v>
      </c>
      <c r="I365" s="14">
        <f t="shared" si="1"/>
        <v>30</v>
      </c>
      <c r="J365" s="60"/>
      <c r="K365" s="61"/>
      <c r="L365" s="6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73" t="s">
        <v>303</v>
      </c>
      <c r="C366" s="64" t="s">
        <v>15</v>
      </c>
      <c r="D366" s="65" t="s">
        <v>313</v>
      </c>
      <c r="E366" s="75"/>
      <c r="F366" s="50"/>
      <c r="G366" s="67">
        <v>2.0</v>
      </c>
      <c r="H366" s="68">
        <v>15.0</v>
      </c>
      <c r="I366" s="14">
        <f t="shared" si="1"/>
        <v>30</v>
      </c>
      <c r="J366" s="68"/>
      <c r="K366" s="69"/>
      <c r="L366" s="70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73" t="s">
        <v>303</v>
      </c>
      <c r="C367" s="56" t="s">
        <v>15</v>
      </c>
      <c r="D367" s="71" t="s">
        <v>314</v>
      </c>
      <c r="E367" s="74"/>
      <c r="F367" s="50"/>
      <c r="G367" s="59">
        <v>2.0</v>
      </c>
      <c r="H367" s="60">
        <v>15.0</v>
      </c>
      <c r="I367" s="14">
        <f t="shared" si="1"/>
        <v>30</v>
      </c>
      <c r="J367" s="60"/>
      <c r="K367" s="61"/>
      <c r="L367" s="6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73" t="s">
        <v>303</v>
      </c>
      <c r="C368" s="64" t="s">
        <v>12</v>
      </c>
      <c r="D368" s="65" t="s">
        <v>315</v>
      </c>
      <c r="E368" s="75"/>
      <c r="F368" s="12" t="s">
        <v>4</v>
      </c>
      <c r="G368" s="67">
        <v>2.0</v>
      </c>
      <c r="H368" s="68">
        <v>9.59</v>
      </c>
      <c r="I368" s="14">
        <f t="shared" si="1"/>
        <v>19.18</v>
      </c>
      <c r="J368" s="68"/>
      <c r="K368" s="69"/>
      <c r="L368" s="70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73" t="s">
        <v>303</v>
      </c>
      <c r="C369" s="56" t="s">
        <v>12</v>
      </c>
      <c r="D369" s="71" t="s">
        <v>316</v>
      </c>
      <c r="E369" s="74"/>
      <c r="F369" s="12" t="s">
        <v>4</v>
      </c>
      <c r="G369" s="59">
        <v>1.0</v>
      </c>
      <c r="H369" s="60">
        <v>22.94</v>
      </c>
      <c r="I369" s="14">
        <f t="shared" si="1"/>
        <v>22.94</v>
      </c>
      <c r="J369" s="60"/>
      <c r="K369" s="61"/>
      <c r="L369" s="6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73" t="s">
        <v>303</v>
      </c>
      <c r="C370" s="64" t="s">
        <v>15</v>
      </c>
      <c r="D370" s="65" t="s">
        <v>317</v>
      </c>
      <c r="E370" s="75"/>
      <c r="F370" s="50"/>
      <c r="G370" s="67">
        <v>2.0</v>
      </c>
      <c r="H370" s="68">
        <v>23.0</v>
      </c>
      <c r="I370" s="14">
        <f t="shared" si="1"/>
        <v>46</v>
      </c>
      <c r="J370" s="68"/>
      <c r="K370" s="69"/>
      <c r="L370" s="70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73" t="s">
        <v>303</v>
      </c>
      <c r="C371" s="56" t="s">
        <v>246</v>
      </c>
      <c r="D371" s="71" t="s">
        <v>318</v>
      </c>
      <c r="E371" s="74"/>
      <c r="F371" s="50"/>
      <c r="G371" s="59">
        <v>7.0</v>
      </c>
      <c r="H371" s="60">
        <v>27.99</v>
      </c>
      <c r="I371" s="14">
        <f t="shared" si="1"/>
        <v>195.93</v>
      </c>
      <c r="J371" s="60"/>
      <c r="K371" s="61"/>
      <c r="L371" s="6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73" t="s">
        <v>303</v>
      </c>
      <c r="C372" s="64" t="s">
        <v>246</v>
      </c>
      <c r="D372" s="65" t="s">
        <v>319</v>
      </c>
      <c r="E372" s="75"/>
      <c r="F372" s="50"/>
      <c r="G372" s="67">
        <v>3.0</v>
      </c>
      <c r="H372" s="68">
        <v>18.99</v>
      </c>
      <c r="I372" s="14">
        <f t="shared" si="1"/>
        <v>56.97</v>
      </c>
      <c r="J372" s="68"/>
      <c r="K372" s="69"/>
      <c r="L372" s="70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73" t="s">
        <v>303</v>
      </c>
      <c r="C373" s="56" t="s">
        <v>246</v>
      </c>
      <c r="D373" s="71" t="s">
        <v>320</v>
      </c>
      <c r="E373" s="74"/>
      <c r="F373" s="50"/>
      <c r="G373" s="59">
        <v>2.0</v>
      </c>
      <c r="H373" s="60">
        <v>13.99</v>
      </c>
      <c r="I373" s="14">
        <f t="shared" si="1"/>
        <v>27.98</v>
      </c>
      <c r="J373" s="60"/>
      <c r="K373" s="61"/>
      <c r="L373" s="6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73" t="s">
        <v>303</v>
      </c>
      <c r="C374" s="64" t="s">
        <v>246</v>
      </c>
      <c r="D374" s="65" t="s">
        <v>321</v>
      </c>
      <c r="E374" s="75"/>
      <c r="F374" s="50"/>
      <c r="G374" s="67">
        <v>10.0</v>
      </c>
      <c r="H374" s="68">
        <v>25.0</v>
      </c>
      <c r="I374" s="14">
        <f t="shared" si="1"/>
        <v>250</v>
      </c>
      <c r="J374" s="68"/>
      <c r="K374" s="69"/>
      <c r="L374" s="70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73" t="s">
        <v>303</v>
      </c>
      <c r="C375" s="56" t="s">
        <v>12</v>
      </c>
      <c r="D375" s="71" t="s">
        <v>322</v>
      </c>
      <c r="E375" s="74"/>
      <c r="F375" s="12" t="s">
        <v>4</v>
      </c>
      <c r="G375" s="59">
        <v>2.0</v>
      </c>
      <c r="H375" s="60">
        <v>30.0</v>
      </c>
      <c r="I375" s="14">
        <f t="shared" si="1"/>
        <v>60</v>
      </c>
      <c r="J375" s="60"/>
      <c r="K375" s="61"/>
      <c r="L375" s="6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73" t="s">
        <v>303</v>
      </c>
      <c r="C376" s="64"/>
      <c r="D376" s="65" t="s">
        <v>323</v>
      </c>
      <c r="E376" s="75"/>
      <c r="F376" s="76"/>
      <c r="G376" s="67">
        <v>4.0</v>
      </c>
      <c r="H376" s="68">
        <v>25.0</v>
      </c>
      <c r="I376" s="14">
        <f t="shared" si="1"/>
        <v>100</v>
      </c>
      <c r="J376" s="68"/>
      <c r="K376" s="69"/>
      <c r="L376" s="70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73" t="s">
        <v>324</v>
      </c>
      <c r="C377" s="56" t="s">
        <v>12</v>
      </c>
      <c r="D377" s="71" t="s">
        <v>304</v>
      </c>
      <c r="E377" s="57" t="s">
        <v>14</v>
      </c>
      <c r="F377" s="77" t="s">
        <v>4</v>
      </c>
      <c r="G377" s="59">
        <v>1.0</v>
      </c>
      <c r="H377" s="60">
        <v>23.0</v>
      </c>
      <c r="I377" s="14">
        <f t="shared" si="1"/>
        <v>23</v>
      </c>
      <c r="J377" s="60"/>
      <c r="K377" s="61"/>
      <c r="L377" s="6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73" t="s">
        <v>324</v>
      </c>
      <c r="C378" s="64" t="s">
        <v>12</v>
      </c>
      <c r="D378" s="65" t="s">
        <v>305</v>
      </c>
      <c r="E378" s="66" t="s">
        <v>14</v>
      </c>
      <c r="F378" s="78" t="s">
        <v>4</v>
      </c>
      <c r="G378" s="67">
        <v>1.0</v>
      </c>
      <c r="H378" s="68">
        <v>6.0</v>
      </c>
      <c r="I378" s="14">
        <f t="shared" si="1"/>
        <v>6</v>
      </c>
      <c r="J378" s="68"/>
      <c r="K378" s="69"/>
      <c r="L378" s="70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73" t="s">
        <v>324</v>
      </c>
      <c r="C379" s="56" t="s">
        <v>12</v>
      </c>
      <c r="D379" s="71" t="s">
        <v>306</v>
      </c>
      <c r="E379" s="57" t="s">
        <v>14</v>
      </c>
      <c r="F379" s="77" t="s">
        <v>4</v>
      </c>
      <c r="G379" s="59">
        <v>1.0</v>
      </c>
      <c r="H379" s="60">
        <v>16.0</v>
      </c>
      <c r="I379" s="14">
        <f t="shared" si="1"/>
        <v>16</v>
      </c>
      <c r="J379" s="60"/>
      <c r="K379" s="61"/>
      <c r="L379" s="6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73" t="s">
        <v>324</v>
      </c>
      <c r="C380" s="64" t="s">
        <v>12</v>
      </c>
      <c r="D380" s="65" t="s">
        <v>307</v>
      </c>
      <c r="E380" s="66" t="s">
        <v>14</v>
      </c>
      <c r="F380" s="78" t="s">
        <v>4</v>
      </c>
      <c r="G380" s="67">
        <v>1.0</v>
      </c>
      <c r="H380" s="68">
        <v>7.0</v>
      </c>
      <c r="I380" s="14">
        <f t="shared" si="1"/>
        <v>7</v>
      </c>
      <c r="J380" s="68"/>
      <c r="K380" s="69"/>
      <c r="L380" s="70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73" t="s">
        <v>324</v>
      </c>
      <c r="C381" s="56" t="s">
        <v>308</v>
      </c>
      <c r="D381" s="71" t="s">
        <v>309</v>
      </c>
      <c r="E381" s="57" t="s">
        <v>14</v>
      </c>
      <c r="F381" s="77" t="s">
        <v>4</v>
      </c>
      <c r="G381" s="59">
        <v>4.0</v>
      </c>
      <c r="H381" s="60">
        <v>2.0</v>
      </c>
      <c r="I381" s="14">
        <f t="shared" si="1"/>
        <v>8</v>
      </c>
      <c r="J381" s="60"/>
      <c r="K381" s="61"/>
      <c r="L381" s="6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73" t="s">
        <v>324</v>
      </c>
      <c r="C382" s="64" t="s">
        <v>308</v>
      </c>
      <c r="D382" s="65" t="s">
        <v>310</v>
      </c>
      <c r="E382" s="66" t="s">
        <v>14</v>
      </c>
      <c r="F382" s="78" t="s">
        <v>4</v>
      </c>
      <c r="G382" s="67">
        <v>4.0</v>
      </c>
      <c r="H382" s="68">
        <v>19.99</v>
      </c>
      <c r="I382" s="68">
        <f t="shared" si="1"/>
        <v>79.96</v>
      </c>
      <c r="J382" s="68"/>
      <c r="K382" s="69"/>
      <c r="L382" s="70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73" t="s">
        <v>324</v>
      </c>
      <c r="C383" s="56" t="s">
        <v>15</v>
      </c>
      <c r="D383" s="71" t="s">
        <v>311</v>
      </c>
      <c r="E383" s="57" t="s">
        <v>14</v>
      </c>
      <c r="F383" s="58"/>
      <c r="G383" s="59">
        <v>4.0</v>
      </c>
      <c r="H383" s="60">
        <v>35.0</v>
      </c>
      <c r="I383" s="60">
        <f t="shared" si="1"/>
        <v>140</v>
      </c>
      <c r="J383" s="60"/>
      <c r="K383" s="61"/>
      <c r="L383" s="6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73" t="s">
        <v>324</v>
      </c>
      <c r="C384" s="64"/>
      <c r="D384" s="65" t="s">
        <v>32</v>
      </c>
      <c r="E384" s="66" t="s">
        <v>27</v>
      </c>
      <c r="F384" s="76"/>
      <c r="G384" s="67">
        <v>8.0</v>
      </c>
      <c r="H384" s="68">
        <v>18.0</v>
      </c>
      <c r="I384" s="68">
        <f t="shared" si="1"/>
        <v>144</v>
      </c>
      <c r="J384" s="68"/>
      <c r="K384" s="69"/>
      <c r="L384" s="70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73" t="s">
        <v>324</v>
      </c>
      <c r="C385" s="56" t="s">
        <v>12</v>
      </c>
      <c r="D385" s="71" t="s">
        <v>312</v>
      </c>
      <c r="E385" s="57" t="s">
        <v>14</v>
      </c>
      <c r="F385" s="77" t="s">
        <v>4</v>
      </c>
      <c r="G385" s="59">
        <v>4.0</v>
      </c>
      <c r="H385" s="60">
        <v>15.0</v>
      </c>
      <c r="I385" s="60">
        <f t="shared" si="1"/>
        <v>60</v>
      </c>
      <c r="J385" s="60"/>
      <c r="K385" s="61"/>
      <c r="L385" s="6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73" t="s">
        <v>324</v>
      </c>
      <c r="C386" s="64" t="s">
        <v>15</v>
      </c>
      <c r="D386" s="65" t="s">
        <v>313</v>
      </c>
      <c r="E386" s="66" t="s">
        <v>14</v>
      </c>
      <c r="F386" s="76"/>
      <c r="G386" s="67">
        <v>8.0</v>
      </c>
      <c r="H386" s="68">
        <v>15.0</v>
      </c>
      <c r="I386" s="68">
        <f t="shared" si="1"/>
        <v>120</v>
      </c>
      <c r="J386" s="68"/>
      <c r="K386" s="69"/>
      <c r="L386" s="70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73" t="s">
        <v>324</v>
      </c>
      <c r="C387" s="56" t="s">
        <v>15</v>
      </c>
      <c r="D387" s="71" t="s">
        <v>314</v>
      </c>
      <c r="E387" s="57" t="s">
        <v>14</v>
      </c>
      <c r="F387" s="58"/>
      <c r="G387" s="59">
        <v>8.0</v>
      </c>
      <c r="H387" s="60">
        <v>15.0</v>
      </c>
      <c r="I387" s="60">
        <f t="shared" si="1"/>
        <v>120</v>
      </c>
      <c r="J387" s="60"/>
      <c r="K387" s="61"/>
      <c r="L387" s="6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73" t="s">
        <v>324</v>
      </c>
      <c r="C388" s="64" t="s">
        <v>12</v>
      </c>
      <c r="D388" s="65" t="s">
        <v>315</v>
      </c>
      <c r="E388" s="66" t="s">
        <v>14</v>
      </c>
      <c r="F388" s="78" t="s">
        <v>4</v>
      </c>
      <c r="G388" s="67">
        <v>4.0</v>
      </c>
      <c r="H388" s="68">
        <v>9.59</v>
      </c>
      <c r="I388" s="68">
        <f t="shared" si="1"/>
        <v>38.36</v>
      </c>
      <c r="J388" s="68"/>
      <c r="K388" s="69"/>
      <c r="L388" s="70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73" t="s">
        <v>324</v>
      </c>
      <c r="C389" s="56"/>
      <c r="D389" s="71" t="s">
        <v>325</v>
      </c>
      <c r="E389" s="57" t="s">
        <v>14</v>
      </c>
      <c r="F389" s="58" t="s">
        <v>326</v>
      </c>
      <c r="G389" s="59">
        <v>1.0</v>
      </c>
      <c r="H389" s="60">
        <v>10.0</v>
      </c>
      <c r="I389" s="60">
        <f t="shared" si="1"/>
        <v>10</v>
      </c>
      <c r="J389" s="60"/>
      <c r="K389" s="61"/>
      <c r="L389" s="6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73" t="s">
        <v>324</v>
      </c>
      <c r="C390" s="64" t="s">
        <v>15</v>
      </c>
      <c r="D390" s="65" t="s">
        <v>317</v>
      </c>
      <c r="E390" s="66" t="s">
        <v>14</v>
      </c>
      <c r="F390" s="76"/>
      <c r="G390" s="67">
        <v>8.0</v>
      </c>
      <c r="H390" s="68">
        <v>23.0</v>
      </c>
      <c r="I390" s="68">
        <f t="shared" si="1"/>
        <v>184</v>
      </c>
      <c r="J390" s="68"/>
      <c r="K390" s="69"/>
      <c r="L390" s="70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73" t="s">
        <v>324</v>
      </c>
      <c r="C391" s="56" t="s">
        <v>12</v>
      </c>
      <c r="D391" s="71" t="s">
        <v>322</v>
      </c>
      <c r="E391" s="57" t="s">
        <v>14</v>
      </c>
      <c r="F391" s="77" t="s">
        <v>4</v>
      </c>
      <c r="G391" s="59">
        <v>4.0</v>
      </c>
      <c r="H391" s="60">
        <v>30.0</v>
      </c>
      <c r="I391" s="60">
        <f t="shared" si="1"/>
        <v>120</v>
      </c>
      <c r="J391" s="60"/>
      <c r="K391" s="61"/>
      <c r="L391" s="6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73" t="s">
        <v>324</v>
      </c>
      <c r="C392" s="64"/>
      <c r="D392" s="65" t="s">
        <v>323</v>
      </c>
      <c r="E392" s="66" t="s">
        <v>27</v>
      </c>
      <c r="F392" s="76"/>
      <c r="G392" s="67">
        <v>8.0</v>
      </c>
      <c r="H392" s="68">
        <v>25.0</v>
      </c>
      <c r="I392" s="68">
        <f t="shared" si="1"/>
        <v>200</v>
      </c>
      <c r="J392" s="68"/>
      <c r="K392" s="69"/>
      <c r="L392" s="70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79" t="s">
        <v>327</v>
      </c>
      <c r="C393" s="56" t="s">
        <v>15</v>
      </c>
      <c r="D393" s="71" t="s">
        <v>309</v>
      </c>
      <c r="E393" s="57" t="s">
        <v>14</v>
      </c>
      <c r="F393" s="58"/>
      <c r="G393" s="59">
        <v>1.0</v>
      </c>
      <c r="H393" s="60">
        <v>7.0</v>
      </c>
      <c r="I393" s="60">
        <f t="shared" si="1"/>
        <v>7</v>
      </c>
      <c r="J393" s="60"/>
      <c r="K393" s="61"/>
      <c r="L393" s="6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79" t="s">
        <v>327</v>
      </c>
      <c r="C394" s="64" t="s">
        <v>15</v>
      </c>
      <c r="D394" s="65" t="s">
        <v>310</v>
      </c>
      <c r="E394" s="66" t="s">
        <v>14</v>
      </c>
      <c r="F394" s="76"/>
      <c r="G394" s="67">
        <v>1.0</v>
      </c>
      <c r="H394" s="68">
        <v>26.0</v>
      </c>
      <c r="I394" s="68">
        <f t="shared" si="1"/>
        <v>26</v>
      </c>
      <c r="J394" s="68"/>
      <c r="K394" s="69"/>
      <c r="L394" s="70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79" t="s">
        <v>327</v>
      </c>
      <c r="C395" s="56" t="s">
        <v>15</v>
      </c>
      <c r="D395" s="71" t="s">
        <v>232</v>
      </c>
      <c r="E395" s="57" t="s">
        <v>14</v>
      </c>
      <c r="F395" s="58"/>
      <c r="G395" s="59">
        <v>1.0</v>
      </c>
      <c r="H395" s="60">
        <v>180.0</v>
      </c>
      <c r="I395" s="60">
        <f t="shared" si="1"/>
        <v>180</v>
      </c>
      <c r="J395" s="60"/>
      <c r="K395" s="61"/>
      <c r="L395" s="6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79" t="s">
        <v>327</v>
      </c>
      <c r="C396" s="64"/>
      <c r="D396" s="65" t="s">
        <v>32</v>
      </c>
      <c r="E396" s="66" t="s">
        <v>27</v>
      </c>
      <c r="F396" s="76"/>
      <c r="G396" s="67">
        <v>1.0</v>
      </c>
      <c r="H396" s="68">
        <v>18.0</v>
      </c>
      <c r="I396" s="68">
        <f t="shared" si="1"/>
        <v>18</v>
      </c>
      <c r="J396" s="68"/>
      <c r="K396" s="69"/>
      <c r="L396" s="70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79" t="s">
        <v>327</v>
      </c>
      <c r="C397" s="56" t="s">
        <v>15</v>
      </c>
      <c r="D397" s="71" t="s">
        <v>313</v>
      </c>
      <c r="E397" s="57" t="s">
        <v>14</v>
      </c>
      <c r="F397" s="58"/>
      <c r="G397" s="59">
        <v>1.0</v>
      </c>
      <c r="H397" s="60">
        <v>15.0</v>
      </c>
      <c r="I397" s="60">
        <f t="shared" si="1"/>
        <v>15</v>
      </c>
      <c r="J397" s="60"/>
      <c r="K397" s="61"/>
      <c r="L397" s="6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79" t="s">
        <v>327</v>
      </c>
      <c r="C398" s="64" t="s">
        <v>12</v>
      </c>
      <c r="D398" s="65" t="s">
        <v>315</v>
      </c>
      <c r="E398" s="66" t="s">
        <v>14</v>
      </c>
      <c r="F398" s="78" t="s">
        <v>4</v>
      </c>
      <c r="G398" s="67">
        <v>1.0</v>
      </c>
      <c r="H398" s="68">
        <v>9.0</v>
      </c>
      <c r="I398" s="68">
        <f t="shared" si="1"/>
        <v>9</v>
      </c>
      <c r="J398" s="68"/>
      <c r="K398" s="69"/>
      <c r="L398" s="70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79" t="s">
        <v>327</v>
      </c>
      <c r="C399" s="56" t="s">
        <v>15</v>
      </c>
      <c r="D399" s="71" t="s">
        <v>317</v>
      </c>
      <c r="E399" s="57" t="s">
        <v>14</v>
      </c>
      <c r="F399" s="58"/>
      <c r="G399" s="59">
        <v>1.0</v>
      </c>
      <c r="H399" s="60">
        <v>23.0</v>
      </c>
      <c r="I399" s="60">
        <f t="shared" si="1"/>
        <v>23</v>
      </c>
      <c r="J399" s="60"/>
      <c r="K399" s="61"/>
      <c r="L399" s="6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79" t="s">
        <v>327</v>
      </c>
      <c r="C400" s="64" t="s">
        <v>12</v>
      </c>
      <c r="D400" s="65" t="s">
        <v>328</v>
      </c>
      <c r="E400" s="66" t="s">
        <v>14</v>
      </c>
      <c r="F400" s="78" t="s">
        <v>4</v>
      </c>
      <c r="G400" s="67">
        <v>1.0</v>
      </c>
      <c r="H400" s="68">
        <v>14.0</v>
      </c>
      <c r="I400" s="68">
        <f t="shared" si="1"/>
        <v>14</v>
      </c>
      <c r="J400" s="68"/>
      <c r="K400" s="69"/>
      <c r="L400" s="70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79" t="s">
        <v>327</v>
      </c>
      <c r="C401" s="56" t="s">
        <v>15</v>
      </c>
      <c r="D401" s="71" t="s">
        <v>329</v>
      </c>
      <c r="E401" s="57" t="s">
        <v>14</v>
      </c>
      <c r="F401" s="58"/>
      <c r="G401" s="59">
        <v>1.0</v>
      </c>
      <c r="H401" s="60">
        <v>100.0</v>
      </c>
      <c r="I401" s="60">
        <f t="shared" si="1"/>
        <v>100</v>
      </c>
      <c r="J401" s="60"/>
      <c r="K401" s="61"/>
      <c r="L401" s="6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79" t="s">
        <v>327</v>
      </c>
      <c r="C402" s="64" t="s">
        <v>12</v>
      </c>
      <c r="D402" s="65" t="s">
        <v>18</v>
      </c>
      <c r="E402" s="66" t="s">
        <v>14</v>
      </c>
      <c r="F402" s="78" t="s">
        <v>4</v>
      </c>
      <c r="G402" s="67">
        <v>1.0</v>
      </c>
      <c r="H402" s="68">
        <v>99.0</v>
      </c>
      <c r="I402" s="68">
        <f t="shared" si="1"/>
        <v>99</v>
      </c>
      <c r="J402" s="68"/>
      <c r="K402" s="69"/>
      <c r="L402" s="70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79" t="s">
        <v>327</v>
      </c>
      <c r="C403" s="56" t="s">
        <v>330</v>
      </c>
      <c r="D403" s="71" t="s">
        <v>331</v>
      </c>
      <c r="E403" s="57" t="s">
        <v>14</v>
      </c>
      <c r="F403" s="77" t="s">
        <v>4</v>
      </c>
      <c r="G403" s="59">
        <v>1.0</v>
      </c>
      <c r="H403" s="60">
        <v>400.0</v>
      </c>
      <c r="I403" s="60">
        <f t="shared" si="1"/>
        <v>400</v>
      </c>
      <c r="J403" s="60"/>
      <c r="K403" s="61"/>
      <c r="L403" s="6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79" t="s">
        <v>327</v>
      </c>
      <c r="C404" s="64"/>
      <c r="D404" s="65" t="s">
        <v>332</v>
      </c>
      <c r="E404" s="66" t="s">
        <v>27</v>
      </c>
      <c r="F404" s="76"/>
      <c r="G404" s="67">
        <v>1.0</v>
      </c>
      <c r="H404" s="68">
        <v>200.0</v>
      </c>
      <c r="I404" s="68">
        <f t="shared" si="1"/>
        <v>200</v>
      </c>
      <c r="J404" s="68"/>
      <c r="K404" s="69"/>
      <c r="L404" s="70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79" t="s">
        <v>327</v>
      </c>
      <c r="C405" s="56" t="s">
        <v>333</v>
      </c>
      <c r="D405" s="71" t="s">
        <v>334</v>
      </c>
      <c r="E405" s="57" t="s">
        <v>96</v>
      </c>
      <c r="F405" s="58"/>
      <c r="G405" s="59">
        <v>1.0</v>
      </c>
      <c r="H405" s="60">
        <v>40.0</v>
      </c>
      <c r="I405" s="60">
        <f t="shared" si="1"/>
        <v>40</v>
      </c>
      <c r="J405" s="60"/>
      <c r="K405" s="61"/>
      <c r="L405" s="6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79" t="s">
        <v>327</v>
      </c>
      <c r="C406" s="64" t="s">
        <v>144</v>
      </c>
      <c r="D406" s="65" t="s">
        <v>335</v>
      </c>
      <c r="E406" s="66" t="s">
        <v>14</v>
      </c>
      <c r="F406" s="78" t="s">
        <v>4</v>
      </c>
      <c r="G406" s="67">
        <v>1.0</v>
      </c>
      <c r="H406" s="68">
        <v>35.0</v>
      </c>
      <c r="I406" s="68">
        <f t="shared" si="1"/>
        <v>35</v>
      </c>
      <c r="J406" s="68"/>
      <c r="K406" s="69"/>
      <c r="L406" s="70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73" t="s">
        <v>336</v>
      </c>
      <c r="C407" s="56" t="s">
        <v>12</v>
      </c>
      <c r="D407" s="71" t="s">
        <v>337</v>
      </c>
      <c r="E407" s="57" t="s">
        <v>14</v>
      </c>
      <c r="F407" s="77" t="s">
        <v>4</v>
      </c>
      <c r="G407" s="59">
        <v>2.0</v>
      </c>
      <c r="H407" s="60">
        <v>16.0</v>
      </c>
      <c r="I407" s="60">
        <f t="shared" si="1"/>
        <v>32</v>
      </c>
      <c r="J407" s="60"/>
      <c r="K407" s="61"/>
      <c r="L407" s="6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73" t="s">
        <v>336</v>
      </c>
      <c r="C408" s="64" t="s">
        <v>12</v>
      </c>
      <c r="D408" s="65" t="s">
        <v>338</v>
      </c>
      <c r="E408" s="66" t="s">
        <v>14</v>
      </c>
      <c r="F408" s="78" t="s">
        <v>4</v>
      </c>
      <c r="G408" s="67">
        <v>2.0</v>
      </c>
      <c r="H408" s="68">
        <v>27.0</v>
      </c>
      <c r="I408" s="68">
        <f t="shared" si="1"/>
        <v>54</v>
      </c>
      <c r="J408" s="68"/>
      <c r="K408" s="69"/>
      <c r="L408" s="70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73" t="s">
        <v>336</v>
      </c>
      <c r="C409" s="56" t="s">
        <v>12</v>
      </c>
      <c r="D409" s="71" t="s">
        <v>339</v>
      </c>
      <c r="E409" s="57" t="s">
        <v>14</v>
      </c>
      <c r="F409" s="77" t="s">
        <v>4</v>
      </c>
      <c r="G409" s="59">
        <v>2.0</v>
      </c>
      <c r="H409" s="60">
        <v>8.0</v>
      </c>
      <c r="I409" s="60">
        <f t="shared" si="1"/>
        <v>16</v>
      </c>
      <c r="J409" s="60"/>
      <c r="K409" s="61"/>
      <c r="L409" s="6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73" t="s">
        <v>336</v>
      </c>
      <c r="C410" s="64" t="s">
        <v>12</v>
      </c>
      <c r="D410" s="65" t="s">
        <v>339</v>
      </c>
      <c r="E410" s="66" t="s">
        <v>14</v>
      </c>
      <c r="F410" s="78" t="s">
        <v>4</v>
      </c>
      <c r="G410" s="67">
        <v>2.0</v>
      </c>
      <c r="H410" s="68">
        <v>18.0</v>
      </c>
      <c r="I410" s="68">
        <f t="shared" si="1"/>
        <v>36</v>
      </c>
      <c r="J410" s="68"/>
      <c r="K410" s="69"/>
      <c r="L410" s="70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73" t="s">
        <v>336</v>
      </c>
      <c r="C411" s="56" t="s">
        <v>12</v>
      </c>
      <c r="D411" s="71" t="s">
        <v>340</v>
      </c>
      <c r="E411" s="57" t="s">
        <v>14</v>
      </c>
      <c r="F411" s="77" t="s">
        <v>4</v>
      </c>
      <c r="G411" s="59">
        <v>1.0</v>
      </c>
      <c r="H411" s="60">
        <v>27.0</v>
      </c>
      <c r="I411" s="60">
        <f t="shared" si="1"/>
        <v>27</v>
      </c>
      <c r="J411" s="60"/>
      <c r="K411" s="61"/>
      <c r="L411" s="6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73" t="s">
        <v>336</v>
      </c>
      <c r="C412" s="64" t="s">
        <v>341</v>
      </c>
      <c r="D412" s="65" t="s">
        <v>342</v>
      </c>
      <c r="E412" s="66" t="s">
        <v>38</v>
      </c>
      <c r="F412" s="80"/>
      <c r="G412" s="67">
        <v>1.0</v>
      </c>
      <c r="H412" s="68">
        <v>450.0</v>
      </c>
      <c r="I412" s="68">
        <f t="shared" si="1"/>
        <v>450</v>
      </c>
      <c r="J412" s="68"/>
      <c r="K412" s="69"/>
      <c r="L412" s="70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73" t="s">
        <v>336</v>
      </c>
      <c r="C413" s="56" t="s">
        <v>15</v>
      </c>
      <c r="D413" s="71" t="s">
        <v>343</v>
      </c>
      <c r="E413" s="57" t="s">
        <v>14</v>
      </c>
      <c r="F413" s="81"/>
      <c r="G413" s="59">
        <v>2.0</v>
      </c>
      <c r="H413" s="60">
        <v>50.0</v>
      </c>
      <c r="I413" s="60">
        <f t="shared" si="1"/>
        <v>100</v>
      </c>
      <c r="J413" s="60"/>
      <c r="K413" s="61"/>
      <c r="L413" s="6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73" t="s">
        <v>336</v>
      </c>
      <c r="C414" s="64" t="s">
        <v>15</v>
      </c>
      <c r="D414" s="65" t="s">
        <v>344</v>
      </c>
      <c r="E414" s="66" t="s">
        <v>14</v>
      </c>
      <c r="F414" s="80"/>
      <c r="G414" s="67">
        <v>1.0</v>
      </c>
      <c r="H414" s="68">
        <v>100.0</v>
      </c>
      <c r="I414" s="68">
        <f t="shared" si="1"/>
        <v>100</v>
      </c>
      <c r="J414" s="68"/>
      <c r="K414" s="69"/>
      <c r="L414" s="70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73" t="s">
        <v>336</v>
      </c>
      <c r="C415" s="56" t="s">
        <v>345</v>
      </c>
      <c r="D415" s="71" t="s">
        <v>346</v>
      </c>
      <c r="E415" s="57" t="s">
        <v>38</v>
      </c>
      <c r="F415" s="77" t="s">
        <v>4</v>
      </c>
      <c r="G415" s="59">
        <v>2.0</v>
      </c>
      <c r="H415" s="60">
        <v>452.0</v>
      </c>
      <c r="I415" s="60">
        <f t="shared" si="1"/>
        <v>904</v>
      </c>
      <c r="J415" s="60"/>
      <c r="K415" s="61"/>
      <c r="L415" s="6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73" t="s">
        <v>336</v>
      </c>
      <c r="C416" s="64" t="s">
        <v>347</v>
      </c>
      <c r="D416" s="65" t="s">
        <v>348</v>
      </c>
      <c r="E416" s="66" t="s">
        <v>38</v>
      </c>
      <c r="F416" s="78" t="s">
        <v>4</v>
      </c>
      <c r="G416" s="67">
        <v>1.0</v>
      </c>
      <c r="H416" s="68">
        <v>1120.0</v>
      </c>
      <c r="I416" s="68">
        <f t="shared" si="1"/>
        <v>1120</v>
      </c>
      <c r="J416" s="68"/>
      <c r="K416" s="69"/>
      <c r="L416" s="70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73" t="s">
        <v>336</v>
      </c>
      <c r="C417" s="56" t="s">
        <v>12</v>
      </c>
      <c r="D417" s="71" t="s">
        <v>349</v>
      </c>
      <c r="E417" s="57" t="s">
        <v>96</v>
      </c>
      <c r="F417" s="77" t="s">
        <v>4</v>
      </c>
      <c r="G417" s="59">
        <v>2.0</v>
      </c>
      <c r="H417" s="60">
        <v>150.0</v>
      </c>
      <c r="I417" s="60">
        <f t="shared" si="1"/>
        <v>300</v>
      </c>
      <c r="J417" s="60"/>
      <c r="K417" s="61"/>
      <c r="L417" s="6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73" t="s">
        <v>336</v>
      </c>
      <c r="C418" s="64"/>
      <c r="D418" s="65" t="s">
        <v>350</v>
      </c>
      <c r="E418" s="66" t="s">
        <v>27</v>
      </c>
      <c r="F418" s="80"/>
      <c r="G418" s="67">
        <v>1.0</v>
      </c>
      <c r="H418" s="68">
        <v>100.0</v>
      </c>
      <c r="I418" s="68">
        <f t="shared" si="1"/>
        <v>100</v>
      </c>
      <c r="J418" s="68"/>
      <c r="K418" s="69"/>
      <c r="L418" s="70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73" t="s">
        <v>336</v>
      </c>
      <c r="C419" s="56" t="s">
        <v>12</v>
      </c>
      <c r="D419" s="71" t="s">
        <v>351</v>
      </c>
      <c r="E419" s="57" t="s">
        <v>96</v>
      </c>
      <c r="F419" s="77" t="s">
        <v>4</v>
      </c>
      <c r="G419" s="59">
        <v>1.0</v>
      </c>
      <c r="H419" s="60">
        <v>50.0</v>
      </c>
      <c r="I419" s="60">
        <f t="shared" si="1"/>
        <v>50</v>
      </c>
      <c r="J419" s="60"/>
      <c r="K419" s="61"/>
      <c r="L419" s="6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73" t="s">
        <v>336</v>
      </c>
      <c r="C420" s="64"/>
      <c r="D420" s="65" t="s">
        <v>352</v>
      </c>
      <c r="E420" s="66" t="s">
        <v>27</v>
      </c>
      <c r="F420" s="80"/>
      <c r="G420" s="67">
        <v>2.0</v>
      </c>
      <c r="H420" s="68">
        <v>95.0</v>
      </c>
      <c r="I420" s="68">
        <f t="shared" si="1"/>
        <v>190</v>
      </c>
      <c r="J420" s="68"/>
      <c r="K420" s="69"/>
      <c r="L420" s="70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73" t="s">
        <v>336</v>
      </c>
      <c r="C421" s="56" t="s">
        <v>333</v>
      </c>
      <c r="D421" s="71" t="s">
        <v>353</v>
      </c>
      <c r="E421" s="57" t="s">
        <v>96</v>
      </c>
      <c r="F421" s="77" t="s">
        <v>4</v>
      </c>
      <c r="G421" s="59">
        <v>2.0</v>
      </c>
      <c r="H421" s="60">
        <v>170.0</v>
      </c>
      <c r="I421" s="60">
        <f t="shared" si="1"/>
        <v>340</v>
      </c>
      <c r="J421" s="60"/>
      <c r="K421" s="61"/>
      <c r="L421" s="6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73" t="s">
        <v>336</v>
      </c>
      <c r="C422" s="64"/>
      <c r="D422" s="65" t="s">
        <v>354</v>
      </c>
      <c r="E422" s="66" t="s">
        <v>27</v>
      </c>
      <c r="F422" s="80"/>
      <c r="G422" s="67">
        <v>2.0</v>
      </c>
      <c r="H422" s="68">
        <v>95.0</v>
      </c>
      <c r="I422" s="68">
        <f t="shared" si="1"/>
        <v>190</v>
      </c>
      <c r="J422" s="68"/>
      <c r="K422" s="69"/>
      <c r="L422" s="70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73" t="s">
        <v>336</v>
      </c>
      <c r="C423" s="56" t="s">
        <v>246</v>
      </c>
      <c r="D423" s="71" t="s">
        <v>355</v>
      </c>
      <c r="E423" s="57" t="s">
        <v>14</v>
      </c>
      <c r="F423" s="77" t="s">
        <v>4</v>
      </c>
      <c r="G423" s="59">
        <v>1.0</v>
      </c>
      <c r="H423" s="60">
        <v>30.0</v>
      </c>
      <c r="I423" s="60">
        <f t="shared" si="1"/>
        <v>30</v>
      </c>
      <c r="J423" s="60"/>
      <c r="K423" s="61"/>
      <c r="L423" s="6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73" t="s">
        <v>336</v>
      </c>
      <c r="C424" s="64" t="s">
        <v>246</v>
      </c>
      <c r="D424" s="65" t="s">
        <v>355</v>
      </c>
      <c r="E424" s="66" t="s">
        <v>14</v>
      </c>
      <c r="F424" s="78" t="s">
        <v>4</v>
      </c>
      <c r="G424" s="67">
        <v>1.0</v>
      </c>
      <c r="H424" s="68">
        <v>20.0</v>
      </c>
      <c r="I424" s="68">
        <f t="shared" si="1"/>
        <v>20</v>
      </c>
      <c r="J424" s="68"/>
      <c r="K424" s="69"/>
      <c r="L424" s="70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73" t="s">
        <v>336</v>
      </c>
      <c r="C425" s="56" t="s">
        <v>356</v>
      </c>
      <c r="D425" s="71" t="s">
        <v>357</v>
      </c>
      <c r="E425" s="57" t="s">
        <v>30</v>
      </c>
      <c r="F425" s="81"/>
      <c r="G425" s="59">
        <v>1.0</v>
      </c>
      <c r="H425" s="60">
        <v>6000.0</v>
      </c>
      <c r="I425" s="60">
        <f t="shared" si="1"/>
        <v>6000</v>
      </c>
      <c r="J425" s="60"/>
      <c r="K425" s="61"/>
      <c r="L425" s="6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73" t="s">
        <v>336</v>
      </c>
      <c r="C426" s="64" t="s">
        <v>345</v>
      </c>
      <c r="D426" s="65" t="s">
        <v>358</v>
      </c>
      <c r="E426" s="66" t="s">
        <v>38</v>
      </c>
      <c r="F426" s="78" t="s">
        <v>4</v>
      </c>
      <c r="G426" s="67">
        <v>1.0</v>
      </c>
      <c r="H426" s="68">
        <v>230.0</v>
      </c>
      <c r="I426" s="68">
        <f t="shared" si="1"/>
        <v>230</v>
      </c>
      <c r="J426" s="68"/>
      <c r="K426" s="69"/>
      <c r="L426" s="70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73" t="s">
        <v>336</v>
      </c>
      <c r="C427" s="56" t="s">
        <v>12</v>
      </c>
      <c r="D427" s="71" t="s">
        <v>359</v>
      </c>
      <c r="E427" s="57" t="s">
        <v>96</v>
      </c>
      <c r="F427" s="77" t="s">
        <v>4</v>
      </c>
      <c r="G427" s="59">
        <v>4.0</v>
      </c>
      <c r="H427" s="60">
        <v>14.0</v>
      </c>
      <c r="I427" s="60">
        <f t="shared" si="1"/>
        <v>56</v>
      </c>
      <c r="J427" s="60"/>
      <c r="K427" s="61"/>
      <c r="L427" s="6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73" t="s">
        <v>336</v>
      </c>
      <c r="C428" s="64" t="s">
        <v>12</v>
      </c>
      <c r="D428" s="65" t="s">
        <v>360</v>
      </c>
      <c r="E428" s="66" t="s">
        <v>14</v>
      </c>
      <c r="F428" s="78" t="s">
        <v>4</v>
      </c>
      <c r="G428" s="67">
        <v>1.0</v>
      </c>
      <c r="H428" s="68">
        <v>44.0</v>
      </c>
      <c r="I428" s="68">
        <f t="shared" si="1"/>
        <v>44</v>
      </c>
      <c r="J428" s="68"/>
      <c r="K428" s="69"/>
      <c r="L428" s="70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73" t="s">
        <v>336</v>
      </c>
      <c r="C429" s="56"/>
      <c r="D429" s="71" t="s">
        <v>361</v>
      </c>
      <c r="E429" s="57" t="s">
        <v>27</v>
      </c>
      <c r="F429" s="81"/>
      <c r="G429" s="59">
        <v>1.0</v>
      </c>
      <c r="H429" s="60">
        <v>100.0</v>
      </c>
      <c r="I429" s="60">
        <f t="shared" si="1"/>
        <v>100</v>
      </c>
      <c r="J429" s="60"/>
      <c r="K429" s="61"/>
      <c r="L429" s="6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82" t="s">
        <v>362</v>
      </c>
      <c r="C430" s="64" t="s">
        <v>12</v>
      </c>
      <c r="D430" s="65" t="s">
        <v>363</v>
      </c>
      <c r="E430" s="66" t="s">
        <v>38</v>
      </c>
      <c r="F430" s="78" t="s">
        <v>4</v>
      </c>
      <c r="G430" s="67">
        <v>1.0</v>
      </c>
      <c r="H430" s="68">
        <v>85.0</v>
      </c>
      <c r="I430" s="68">
        <f t="shared" si="1"/>
        <v>85</v>
      </c>
      <c r="J430" s="68"/>
      <c r="K430" s="69"/>
      <c r="L430" s="70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82" t="s">
        <v>362</v>
      </c>
      <c r="C431" s="56" t="s">
        <v>12</v>
      </c>
      <c r="D431" s="71" t="s">
        <v>364</v>
      </c>
      <c r="E431" s="57" t="s">
        <v>14</v>
      </c>
      <c r="F431" s="77" t="s">
        <v>4</v>
      </c>
      <c r="G431" s="59">
        <v>1.0</v>
      </c>
      <c r="H431" s="60">
        <v>130.0</v>
      </c>
      <c r="I431" s="60">
        <f t="shared" si="1"/>
        <v>130</v>
      </c>
      <c r="J431" s="60"/>
      <c r="K431" s="61"/>
      <c r="L431" s="6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82" t="s">
        <v>362</v>
      </c>
      <c r="C432" s="64" t="s">
        <v>150</v>
      </c>
      <c r="D432" s="65" t="s">
        <v>365</v>
      </c>
      <c r="E432" s="66" t="s">
        <v>14</v>
      </c>
      <c r="F432" s="78" t="s">
        <v>4</v>
      </c>
      <c r="G432" s="67">
        <v>1.0</v>
      </c>
      <c r="H432" s="68">
        <v>350.0</v>
      </c>
      <c r="I432" s="68">
        <f t="shared" si="1"/>
        <v>350</v>
      </c>
      <c r="J432" s="68"/>
      <c r="K432" s="69"/>
      <c r="L432" s="70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82" t="s">
        <v>362</v>
      </c>
      <c r="C433" s="56" t="s">
        <v>12</v>
      </c>
      <c r="D433" s="71" t="s">
        <v>366</v>
      </c>
      <c r="E433" s="57" t="s">
        <v>14</v>
      </c>
      <c r="F433" s="77" t="s">
        <v>4</v>
      </c>
      <c r="G433" s="59">
        <v>1.0</v>
      </c>
      <c r="H433" s="60">
        <v>19.97</v>
      </c>
      <c r="I433" s="60">
        <f t="shared" si="1"/>
        <v>19.97</v>
      </c>
      <c r="J433" s="60"/>
      <c r="K433" s="61"/>
      <c r="L433" s="6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82" t="s">
        <v>362</v>
      </c>
      <c r="C434" s="64" t="s">
        <v>12</v>
      </c>
      <c r="D434" s="65" t="s">
        <v>367</v>
      </c>
      <c r="E434" s="66" t="s">
        <v>14</v>
      </c>
      <c r="F434" s="78" t="s">
        <v>4</v>
      </c>
      <c r="G434" s="67">
        <v>1.0</v>
      </c>
      <c r="H434" s="68">
        <v>600.0</v>
      </c>
      <c r="I434" s="68">
        <f t="shared" si="1"/>
        <v>600</v>
      </c>
      <c r="J434" s="68"/>
      <c r="K434" s="69"/>
      <c r="L434" s="70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82" t="s">
        <v>362</v>
      </c>
      <c r="C435" s="56" t="s">
        <v>12</v>
      </c>
      <c r="D435" s="71" t="s">
        <v>368</v>
      </c>
      <c r="E435" s="57" t="s">
        <v>96</v>
      </c>
      <c r="F435" s="77" t="s">
        <v>4</v>
      </c>
      <c r="G435" s="59">
        <v>1.0</v>
      </c>
      <c r="H435" s="60">
        <v>370.0</v>
      </c>
      <c r="I435" s="60">
        <f t="shared" si="1"/>
        <v>370</v>
      </c>
      <c r="J435" s="60"/>
      <c r="K435" s="61"/>
      <c r="L435" s="6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82" t="s">
        <v>362</v>
      </c>
      <c r="C436" s="64" t="s">
        <v>12</v>
      </c>
      <c r="D436" s="65" t="s">
        <v>369</v>
      </c>
      <c r="E436" s="66" t="s">
        <v>96</v>
      </c>
      <c r="F436" s="78" t="s">
        <v>4</v>
      </c>
      <c r="G436" s="67">
        <v>1.0</v>
      </c>
      <c r="H436" s="68">
        <v>110.0</v>
      </c>
      <c r="I436" s="68">
        <f t="shared" si="1"/>
        <v>110</v>
      </c>
      <c r="J436" s="68"/>
      <c r="K436" s="69"/>
      <c r="L436" s="70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82" t="s">
        <v>362</v>
      </c>
      <c r="C437" s="56" t="s">
        <v>370</v>
      </c>
      <c r="D437" s="71" t="s">
        <v>371</v>
      </c>
      <c r="E437" s="57" t="s">
        <v>96</v>
      </c>
      <c r="F437" s="77" t="s">
        <v>4</v>
      </c>
      <c r="G437" s="59">
        <v>1.0</v>
      </c>
      <c r="H437" s="60">
        <v>60.0</v>
      </c>
      <c r="I437" s="60">
        <f t="shared" si="1"/>
        <v>60</v>
      </c>
      <c r="J437" s="60"/>
      <c r="K437" s="61"/>
      <c r="L437" s="6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82" t="s">
        <v>362</v>
      </c>
      <c r="C438" s="64" t="s">
        <v>372</v>
      </c>
      <c r="D438" s="65" t="s">
        <v>373</v>
      </c>
      <c r="E438" s="66" t="s">
        <v>96</v>
      </c>
      <c r="F438" s="78" t="s">
        <v>4</v>
      </c>
      <c r="G438" s="67">
        <v>1.0</v>
      </c>
      <c r="H438" s="68">
        <v>200.0</v>
      </c>
      <c r="I438" s="68">
        <f t="shared" si="1"/>
        <v>200</v>
      </c>
      <c r="J438" s="68"/>
      <c r="K438" s="69"/>
      <c r="L438" s="70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82" t="s">
        <v>362</v>
      </c>
      <c r="C439" s="56" t="s">
        <v>12</v>
      </c>
      <c r="D439" s="71" t="s">
        <v>374</v>
      </c>
      <c r="E439" s="57" t="s">
        <v>14</v>
      </c>
      <c r="F439" s="77" t="s">
        <v>4</v>
      </c>
      <c r="G439" s="59">
        <v>4.0</v>
      </c>
      <c r="H439" s="60">
        <v>29.0</v>
      </c>
      <c r="I439" s="60">
        <f t="shared" si="1"/>
        <v>116</v>
      </c>
      <c r="J439" s="60"/>
      <c r="K439" s="61"/>
      <c r="L439" s="6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82" t="s">
        <v>362</v>
      </c>
      <c r="C440" s="64" t="s">
        <v>150</v>
      </c>
      <c r="D440" s="65" t="s">
        <v>375</v>
      </c>
      <c r="E440" s="66" t="s">
        <v>14</v>
      </c>
      <c r="F440" s="80"/>
      <c r="G440" s="67">
        <v>2.0</v>
      </c>
      <c r="H440" s="68">
        <v>560.0</v>
      </c>
      <c r="I440" s="68">
        <f t="shared" si="1"/>
        <v>1120</v>
      </c>
      <c r="J440" s="68"/>
      <c r="K440" s="69"/>
      <c r="L440" s="70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82" t="s">
        <v>362</v>
      </c>
      <c r="C441" s="56" t="s">
        <v>150</v>
      </c>
      <c r="D441" s="71" t="s">
        <v>376</v>
      </c>
      <c r="E441" s="57" t="s">
        <v>14</v>
      </c>
      <c r="F441" s="81"/>
      <c r="G441" s="59">
        <v>2.0</v>
      </c>
      <c r="H441" s="60">
        <v>300.0</v>
      </c>
      <c r="I441" s="60">
        <f t="shared" si="1"/>
        <v>600</v>
      </c>
      <c r="J441" s="60"/>
      <c r="K441" s="61"/>
      <c r="L441" s="6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82" t="s">
        <v>362</v>
      </c>
      <c r="C442" s="64" t="s">
        <v>150</v>
      </c>
      <c r="D442" s="65" t="s">
        <v>377</v>
      </c>
      <c r="E442" s="66" t="s">
        <v>14</v>
      </c>
      <c r="F442" s="80"/>
      <c r="G442" s="67">
        <v>2.0</v>
      </c>
      <c r="H442" s="68">
        <v>69.99</v>
      </c>
      <c r="I442" s="68">
        <f t="shared" si="1"/>
        <v>139.98</v>
      </c>
      <c r="J442" s="68"/>
      <c r="K442" s="69"/>
      <c r="L442" s="70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82" t="s">
        <v>362</v>
      </c>
      <c r="C443" s="56" t="s">
        <v>12</v>
      </c>
      <c r="D443" s="71" t="s">
        <v>378</v>
      </c>
      <c r="E443" s="57" t="s">
        <v>14</v>
      </c>
      <c r="F443" s="77" t="s">
        <v>4</v>
      </c>
      <c r="G443" s="59">
        <v>4.0</v>
      </c>
      <c r="H443" s="60">
        <v>70.0</v>
      </c>
      <c r="I443" s="60">
        <f t="shared" si="1"/>
        <v>280</v>
      </c>
      <c r="J443" s="60"/>
      <c r="K443" s="61"/>
      <c r="L443" s="6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82" t="s">
        <v>362</v>
      </c>
      <c r="C444" s="64" t="s">
        <v>379</v>
      </c>
      <c r="D444" s="65" t="s">
        <v>286</v>
      </c>
      <c r="E444" s="66" t="s">
        <v>14</v>
      </c>
      <c r="F444" s="80"/>
      <c r="G444" s="67">
        <v>5.0</v>
      </c>
      <c r="H444" s="68">
        <v>25.0</v>
      </c>
      <c r="I444" s="68">
        <f t="shared" si="1"/>
        <v>125</v>
      </c>
      <c r="J444" s="68"/>
      <c r="K444" s="69"/>
      <c r="L444" s="70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82" t="s">
        <v>362</v>
      </c>
      <c r="C445" s="56"/>
      <c r="D445" s="71" t="s">
        <v>380</v>
      </c>
      <c r="E445" s="57" t="s">
        <v>96</v>
      </c>
      <c r="F445" s="81"/>
      <c r="G445" s="59">
        <v>1.0</v>
      </c>
      <c r="H445" s="60">
        <v>500.0</v>
      </c>
      <c r="I445" s="60">
        <f t="shared" si="1"/>
        <v>500</v>
      </c>
      <c r="J445" s="60"/>
      <c r="K445" s="61"/>
      <c r="L445" s="6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82" t="s">
        <v>362</v>
      </c>
      <c r="C446" s="64" t="s">
        <v>12</v>
      </c>
      <c r="D446" s="65" t="s">
        <v>381</v>
      </c>
      <c r="E446" s="66" t="s">
        <v>14</v>
      </c>
      <c r="F446" s="80" t="s">
        <v>382</v>
      </c>
      <c r="G446" s="67">
        <v>2.0</v>
      </c>
      <c r="H446" s="68">
        <v>12.0</v>
      </c>
      <c r="I446" s="68">
        <f t="shared" si="1"/>
        <v>24</v>
      </c>
      <c r="J446" s="68"/>
      <c r="K446" s="69"/>
      <c r="L446" s="70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82" t="s">
        <v>362</v>
      </c>
      <c r="C447" s="56" t="s">
        <v>383</v>
      </c>
      <c r="D447" s="71" t="s">
        <v>384</v>
      </c>
      <c r="E447" s="57" t="s">
        <v>19</v>
      </c>
      <c r="F447" s="81"/>
      <c r="G447" s="59">
        <v>1.0</v>
      </c>
      <c r="H447" s="60">
        <v>956.0</v>
      </c>
      <c r="I447" s="60">
        <f t="shared" si="1"/>
        <v>956</v>
      </c>
      <c r="J447" s="60"/>
      <c r="K447" s="61"/>
      <c r="L447" s="6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82" t="s">
        <v>362</v>
      </c>
      <c r="C448" s="64" t="s">
        <v>383</v>
      </c>
      <c r="D448" s="65" t="s">
        <v>385</v>
      </c>
      <c r="E448" s="66" t="s">
        <v>19</v>
      </c>
      <c r="F448" s="80"/>
      <c r="G448" s="67">
        <v>1.0</v>
      </c>
      <c r="H448" s="68">
        <v>900.0</v>
      </c>
      <c r="I448" s="68">
        <f t="shared" si="1"/>
        <v>900</v>
      </c>
      <c r="J448" s="68"/>
      <c r="K448" s="69"/>
      <c r="L448" s="70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82" t="s">
        <v>362</v>
      </c>
      <c r="C449" s="56" t="s">
        <v>12</v>
      </c>
      <c r="D449" s="71" t="s">
        <v>152</v>
      </c>
      <c r="E449" s="57" t="s">
        <v>14</v>
      </c>
      <c r="F449" s="77" t="s">
        <v>4</v>
      </c>
      <c r="G449" s="59">
        <v>2.0</v>
      </c>
      <c r="H449" s="60">
        <v>14.0</v>
      </c>
      <c r="I449" s="60">
        <f t="shared" si="1"/>
        <v>28</v>
      </c>
      <c r="J449" s="60"/>
      <c r="K449" s="61"/>
      <c r="L449" s="6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8" t="s">
        <v>362</v>
      </c>
      <c r="C450" s="9" t="s">
        <v>175</v>
      </c>
      <c r="D450" s="48" t="s">
        <v>386</v>
      </c>
      <c r="E450" s="11" t="s">
        <v>177</v>
      </c>
      <c r="F450" s="50"/>
      <c r="G450" s="13">
        <v>1.0</v>
      </c>
      <c r="H450" s="14">
        <v>12000.0</v>
      </c>
      <c r="I450" s="14">
        <f t="shared" si="1"/>
        <v>12000</v>
      </c>
      <c r="J450" s="14"/>
      <c r="K450" s="15" t="s">
        <v>39</v>
      </c>
      <c r="L450" s="16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8" t="s">
        <v>362</v>
      </c>
      <c r="C451" s="9"/>
      <c r="D451" s="48" t="s">
        <v>387</v>
      </c>
      <c r="E451" s="11" t="s">
        <v>177</v>
      </c>
      <c r="F451" s="50"/>
      <c r="G451" s="13">
        <v>1.0</v>
      </c>
      <c r="H451" s="14">
        <v>4500.0</v>
      </c>
      <c r="I451" s="14">
        <f t="shared" si="1"/>
        <v>4500</v>
      </c>
      <c r="J451" s="14"/>
      <c r="K451" s="15"/>
      <c r="L451" s="16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73" t="s">
        <v>388</v>
      </c>
      <c r="C452" s="64" t="s">
        <v>28</v>
      </c>
      <c r="D452" s="65" t="s">
        <v>389</v>
      </c>
      <c r="E452" s="66" t="s">
        <v>30</v>
      </c>
      <c r="F452" s="80"/>
      <c r="G452" s="67">
        <v>1.0</v>
      </c>
      <c r="H452" s="68">
        <v>22388.74</v>
      </c>
      <c r="I452" s="68">
        <f t="shared" si="1"/>
        <v>22388.74</v>
      </c>
      <c r="J452" s="68"/>
      <c r="K452" s="69"/>
      <c r="L452" s="70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73" t="s">
        <v>388</v>
      </c>
      <c r="C453" s="56" t="s">
        <v>390</v>
      </c>
      <c r="D453" s="71" t="s">
        <v>391</v>
      </c>
      <c r="E453" s="57" t="s">
        <v>388</v>
      </c>
      <c r="F453" s="81"/>
      <c r="G453" s="59">
        <v>1.0</v>
      </c>
      <c r="H453" s="60">
        <v>3800.0</v>
      </c>
      <c r="I453" s="60">
        <f t="shared" si="1"/>
        <v>3800</v>
      </c>
      <c r="J453" s="60"/>
      <c r="K453" s="61"/>
      <c r="L453" s="6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73" t="s">
        <v>388</v>
      </c>
      <c r="C454" s="64"/>
      <c r="D454" s="65" t="s">
        <v>392</v>
      </c>
      <c r="E454" s="66" t="s">
        <v>27</v>
      </c>
      <c r="F454" s="80"/>
      <c r="G454" s="67">
        <v>4.0</v>
      </c>
      <c r="H454" s="68">
        <v>300.0</v>
      </c>
      <c r="I454" s="68">
        <f t="shared" si="1"/>
        <v>1200</v>
      </c>
      <c r="J454" s="68"/>
      <c r="K454" s="69"/>
      <c r="L454" s="70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73" t="s">
        <v>388</v>
      </c>
      <c r="C455" s="56"/>
      <c r="D455" s="71" t="s">
        <v>393</v>
      </c>
      <c r="E455" s="57" t="s">
        <v>96</v>
      </c>
      <c r="F455" s="81"/>
      <c r="G455" s="59">
        <v>1.0</v>
      </c>
      <c r="H455" s="60">
        <v>4000.0</v>
      </c>
      <c r="I455" s="60">
        <f t="shared" si="1"/>
        <v>4000</v>
      </c>
      <c r="J455" s="60"/>
      <c r="K455" s="61"/>
      <c r="L455" s="6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73" t="s">
        <v>388</v>
      </c>
      <c r="C456" s="64"/>
      <c r="D456" s="65" t="s">
        <v>394</v>
      </c>
      <c r="E456" s="66" t="s">
        <v>27</v>
      </c>
      <c r="F456" s="80"/>
      <c r="G456" s="67">
        <v>1.0</v>
      </c>
      <c r="H456" s="68">
        <v>250.0</v>
      </c>
      <c r="I456" s="68">
        <f t="shared" si="1"/>
        <v>250</v>
      </c>
      <c r="J456" s="68"/>
      <c r="K456" s="69"/>
      <c r="L456" s="70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73" t="s">
        <v>388</v>
      </c>
      <c r="C457" s="56" t="s">
        <v>93</v>
      </c>
      <c r="D457" s="71" t="s">
        <v>395</v>
      </c>
      <c r="E457" s="57" t="s">
        <v>30</v>
      </c>
      <c r="F457" s="81"/>
      <c r="G457" s="59">
        <v>1.0</v>
      </c>
      <c r="H457" s="60">
        <v>400.0</v>
      </c>
      <c r="I457" s="60">
        <f t="shared" si="1"/>
        <v>400</v>
      </c>
      <c r="J457" s="60"/>
      <c r="K457" s="61"/>
      <c r="L457" s="6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73" t="s">
        <v>388</v>
      </c>
      <c r="C458" s="64" t="s">
        <v>396</v>
      </c>
      <c r="D458" s="65" t="s">
        <v>397</v>
      </c>
      <c r="E458" s="66" t="s">
        <v>388</v>
      </c>
      <c r="F458" s="80"/>
      <c r="G458" s="67">
        <v>1.0</v>
      </c>
      <c r="H458" s="68">
        <v>350.0</v>
      </c>
      <c r="I458" s="68">
        <f t="shared" si="1"/>
        <v>350</v>
      </c>
      <c r="J458" s="68"/>
      <c r="K458" s="69"/>
      <c r="L458" s="70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73" t="s">
        <v>388</v>
      </c>
      <c r="C459" s="56" t="s">
        <v>20</v>
      </c>
      <c r="D459" s="71" t="s">
        <v>398</v>
      </c>
      <c r="E459" s="57" t="s">
        <v>388</v>
      </c>
      <c r="F459" s="81"/>
      <c r="G459" s="59">
        <v>1.0</v>
      </c>
      <c r="H459" s="60">
        <v>400.0</v>
      </c>
      <c r="I459" s="60">
        <f t="shared" si="1"/>
        <v>400</v>
      </c>
      <c r="J459" s="60"/>
      <c r="K459" s="61"/>
      <c r="L459" s="6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73" t="s">
        <v>388</v>
      </c>
      <c r="C460" s="64" t="s">
        <v>399</v>
      </c>
      <c r="D460" s="65" t="s">
        <v>400</v>
      </c>
      <c r="E460" s="66" t="s">
        <v>388</v>
      </c>
      <c r="F460" s="80"/>
      <c r="G460" s="67">
        <v>1.0</v>
      </c>
      <c r="H460" s="68">
        <v>500.0</v>
      </c>
      <c r="I460" s="68">
        <f t="shared" si="1"/>
        <v>500</v>
      </c>
      <c r="J460" s="68"/>
      <c r="K460" s="69"/>
      <c r="L460" s="70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73" t="s">
        <v>388</v>
      </c>
      <c r="C461" s="56" t="s">
        <v>401</v>
      </c>
      <c r="D461" s="71" t="s">
        <v>402</v>
      </c>
      <c r="E461" s="57" t="s">
        <v>388</v>
      </c>
      <c r="F461" s="81"/>
      <c r="G461" s="59">
        <v>1.0</v>
      </c>
      <c r="H461" s="60">
        <v>1300.0</v>
      </c>
      <c r="I461" s="60">
        <f t="shared" si="1"/>
        <v>1300</v>
      </c>
      <c r="J461" s="60"/>
      <c r="K461" s="61"/>
      <c r="L461" s="6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73" t="s">
        <v>388</v>
      </c>
      <c r="C462" s="64" t="s">
        <v>403</v>
      </c>
      <c r="D462" s="65" t="s">
        <v>404</v>
      </c>
      <c r="E462" s="66" t="s">
        <v>388</v>
      </c>
      <c r="F462" s="80"/>
      <c r="G462" s="67">
        <v>1.0</v>
      </c>
      <c r="H462" s="68">
        <v>500.0</v>
      </c>
      <c r="I462" s="68">
        <f t="shared" si="1"/>
        <v>500</v>
      </c>
      <c r="J462" s="68"/>
      <c r="K462" s="69"/>
      <c r="L462" s="70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73" t="s">
        <v>388</v>
      </c>
      <c r="C463" s="56"/>
      <c r="D463" s="71" t="s">
        <v>405</v>
      </c>
      <c r="E463" s="57" t="s">
        <v>388</v>
      </c>
      <c r="F463" s="81"/>
      <c r="G463" s="59">
        <v>1.0</v>
      </c>
      <c r="H463" s="60">
        <v>0.0</v>
      </c>
      <c r="I463" s="60">
        <f t="shared" si="1"/>
        <v>0</v>
      </c>
      <c r="J463" s="60"/>
      <c r="K463" s="61"/>
      <c r="L463" s="6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73" t="s">
        <v>388</v>
      </c>
      <c r="C464" s="64"/>
      <c r="D464" s="65" t="s">
        <v>406</v>
      </c>
      <c r="E464" s="66" t="s">
        <v>388</v>
      </c>
      <c r="F464" s="80" t="s">
        <v>407</v>
      </c>
      <c r="G464" s="67">
        <v>1.0</v>
      </c>
      <c r="H464" s="68">
        <v>0.0</v>
      </c>
      <c r="I464" s="68">
        <f t="shared" si="1"/>
        <v>0</v>
      </c>
      <c r="J464" s="68"/>
      <c r="K464" s="69"/>
      <c r="L464" s="70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73" t="s">
        <v>388</v>
      </c>
      <c r="C465" s="56" t="s">
        <v>408</v>
      </c>
      <c r="D465" s="71" t="s">
        <v>409</v>
      </c>
      <c r="E465" s="57" t="s">
        <v>388</v>
      </c>
      <c r="F465" s="81"/>
      <c r="G465" s="59">
        <v>1.0</v>
      </c>
      <c r="H465" s="60">
        <v>0.0</v>
      </c>
      <c r="I465" s="60">
        <f t="shared" si="1"/>
        <v>0</v>
      </c>
      <c r="J465" s="60"/>
      <c r="K465" s="61"/>
      <c r="L465" s="6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73" t="s">
        <v>388</v>
      </c>
      <c r="C466" s="64"/>
      <c r="D466" s="65" t="s">
        <v>410</v>
      </c>
      <c r="E466" s="66" t="s">
        <v>388</v>
      </c>
      <c r="F466" s="80"/>
      <c r="G466" s="67">
        <v>1.0</v>
      </c>
      <c r="H466" s="68">
        <v>0.0</v>
      </c>
      <c r="I466" s="68">
        <f t="shared" si="1"/>
        <v>0</v>
      </c>
      <c r="J466" s="68"/>
      <c r="K466" s="69"/>
      <c r="L466" s="70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73" t="s">
        <v>388</v>
      </c>
      <c r="C467" s="56"/>
      <c r="D467" s="71" t="s">
        <v>411</v>
      </c>
      <c r="E467" s="57" t="s">
        <v>388</v>
      </c>
      <c r="F467" s="81"/>
      <c r="G467" s="59">
        <v>1.0</v>
      </c>
      <c r="H467" s="60">
        <v>0.0</v>
      </c>
      <c r="I467" s="60">
        <f t="shared" si="1"/>
        <v>0</v>
      </c>
      <c r="J467" s="60"/>
      <c r="K467" s="61"/>
      <c r="L467" s="6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73" t="s">
        <v>388</v>
      </c>
      <c r="C468" s="83"/>
      <c r="D468" s="84" t="s">
        <v>412</v>
      </c>
      <c r="E468" s="85" t="s">
        <v>388</v>
      </c>
      <c r="F468" s="86"/>
      <c r="G468" s="87">
        <v>1.0</v>
      </c>
      <c r="H468" s="88">
        <v>0.0</v>
      </c>
      <c r="I468" s="88">
        <f t="shared" si="1"/>
        <v>0</v>
      </c>
      <c r="J468" s="88"/>
      <c r="K468" s="89"/>
      <c r="L468" s="90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91"/>
      <c r="C469" s="1"/>
      <c r="D469" s="1"/>
      <c r="E469" s="9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91"/>
      <c r="C470" s="1"/>
      <c r="D470" s="1"/>
      <c r="E470" s="9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91"/>
      <c r="C471" s="1"/>
      <c r="D471" s="1"/>
      <c r="E471" s="9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91"/>
      <c r="C472" s="1"/>
      <c r="D472" s="1"/>
      <c r="E472" s="9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91"/>
      <c r="C473" s="1"/>
      <c r="D473" s="1"/>
      <c r="E473" s="9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91"/>
      <c r="C474" s="1"/>
      <c r="D474" s="1"/>
      <c r="E474" s="9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91"/>
      <c r="C475" s="1"/>
      <c r="D475" s="1"/>
      <c r="E475" s="9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91"/>
      <c r="C476" s="1"/>
      <c r="D476" s="1"/>
      <c r="E476" s="9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91"/>
      <c r="C477" s="1"/>
      <c r="D477" s="1"/>
      <c r="E477" s="9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91"/>
      <c r="C478" s="1"/>
      <c r="D478" s="1"/>
      <c r="E478" s="9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91"/>
      <c r="C479" s="1"/>
      <c r="D479" s="1"/>
      <c r="E479" s="9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91"/>
      <c r="C480" s="1"/>
      <c r="D480" s="1"/>
      <c r="E480" s="9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91"/>
      <c r="C481" s="1"/>
      <c r="D481" s="1"/>
      <c r="E481" s="9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91"/>
      <c r="C482" s="1"/>
      <c r="D482" s="1"/>
      <c r="E482" s="9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91"/>
      <c r="C483" s="1"/>
      <c r="D483" s="1"/>
      <c r="E483" s="9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91"/>
      <c r="C484" s="1"/>
      <c r="D484" s="1"/>
      <c r="E484" s="9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91"/>
      <c r="C485" s="1"/>
      <c r="D485" s="1"/>
      <c r="E485" s="9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91"/>
      <c r="C486" s="1"/>
      <c r="D486" s="1"/>
      <c r="E486" s="9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91"/>
      <c r="C487" s="1"/>
      <c r="D487" s="1"/>
      <c r="E487" s="9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91"/>
      <c r="C488" s="1"/>
      <c r="D488" s="1"/>
      <c r="E488" s="9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91"/>
      <c r="C489" s="1"/>
      <c r="D489" s="1"/>
      <c r="E489" s="9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91"/>
      <c r="C490" s="1"/>
      <c r="D490" s="1"/>
      <c r="E490" s="9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91"/>
      <c r="C491" s="1"/>
      <c r="D491" s="1"/>
      <c r="E491" s="9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91"/>
      <c r="C492" s="1"/>
      <c r="D492" s="1"/>
      <c r="E492" s="9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91"/>
      <c r="C493" s="1"/>
      <c r="D493" s="1"/>
      <c r="E493" s="9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91"/>
      <c r="C494" s="1"/>
      <c r="D494" s="1"/>
      <c r="E494" s="9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91"/>
      <c r="C495" s="1"/>
      <c r="D495" s="1"/>
      <c r="E495" s="9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91"/>
      <c r="C496" s="1"/>
      <c r="D496" s="1"/>
      <c r="E496" s="9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91"/>
      <c r="C497" s="1"/>
      <c r="D497" s="1"/>
      <c r="E497" s="9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91"/>
      <c r="C498" s="1"/>
      <c r="D498" s="1"/>
      <c r="E498" s="9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91"/>
      <c r="C499" s="1"/>
      <c r="D499" s="1"/>
      <c r="E499" s="9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91"/>
      <c r="C500" s="1"/>
      <c r="D500" s="1"/>
      <c r="E500" s="9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91"/>
      <c r="C501" s="1"/>
      <c r="D501" s="1"/>
      <c r="E501" s="9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91"/>
      <c r="C502" s="1"/>
      <c r="D502" s="1"/>
      <c r="E502" s="9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91"/>
      <c r="C503" s="1"/>
      <c r="D503" s="1"/>
      <c r="E503" s="9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91"/>
      <c r="C504" s="1"/>
      <c r="D504" s="1"/>
      <c r="E504" s="9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91"/>
      <c r="C505" s="1"/>
      <c r="D505" s="1"/>
      <c r="E505" s="9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91"/>
      <c r="C506" s="1"/>
      <c r="D506" s="1"/>
      <c r="E506" s="9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91"/>
      <c r="C507" s="1"/>
      <c r="D507" s="1"/>
      <c r="E507" s="9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91"/>
      <c r="C508" s="1"/>
      <c r="D508" s="1"/>
      <c r="E508" s="9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91"/>
      <c r="C509" s="1"/>
      <c r="D509" s="1"/>
      <c r="E509" s="9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91"/>
      <c r="C510" s="1"/>
      <c r="D510" s="1"/>
      <c r="E510" s="9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91"/>
      <c r="C511" s="1"/>
      <c r="D511" s="1"/>
      <c r="E511" s="9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91"/>
      <c r="C512" s="1"/>
      <c r="D512" s="1"/>
      <c r="E512" s="9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91"/>
      <c r="C513" s="1"/>
      <c r="D513" s="1"/>
      <c r="E513" s="9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91"/>
      <c r="C514" s="1"/>
      <c r="D514" s="1"/>
      <c r="E514" s="9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91"/>
      <c r="C515" s="1"/>
      <c r="D515" s="1"/>
      <c r="E515" s="9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91"/>
      <c r="C516" s="1"/>
      <c r="D516" s="1"/>
      <c r="E516" s="9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91"/>
      <c r="C517" s="1"/>
      <c r="D517" s="1"/>
      <c r="E517" s="9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91"/>
      <c r="C518" s="1"/>
      <c r="D518" s="1"/>
      <c r="E518" s="9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91"/>
      <c r="C519" s="1"/>
      <c r="D519" s="1"/>
      <c r="E519" s="9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91"/>
      <c r="C520" s="1"/>
      <c r="D520" s="1"/>
      <c r="E520" s="9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91"/>
      <c r="C521" s="1"/>
      <c r="D521" s="1"/>
      <c r="E521" s="9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91"/>
      <c r="C522" s="1"/>
      <c r="D522" s="1"/>
      <c r="E522" s="9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91"/>
      <c r="C523" s="1"/>
      <c r="D523" s="1"/>
      <c r="E523" s="9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91"/>
      <c r="C524" s="1"/>
      <c r="D524" s="1"/>
      <c r="E524" s="9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91"/>
      <c r="C525" s="1"/>
      <c r="D525" s="1"/>
      <c r="E525" s="9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91"/>
      <c r="C526" s="1"/>
      <c r="D526" s="1"/>
      <c r="E526" s="9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91"/>
      <c r="C527" s="1"/>
      <c r="D527" s="1"/>
      <c r="E527" s="9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91"/>
      <c r="C528" s="1"/>
      <c r="D528" s="1"/>
      <c r="E528" s="9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91"/>
      <c r="C529" s="1"/>
      <c r="D529" s="1"/>
      <c r="E529" s="9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91"/>
      <c r="C530" s="1"/>
      <c r="D530" s="1"/>
      <c r="E530" s="9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91"/>
      <c r="C531" s="1"/>
      <c r="D531" s="1"/>
      <c r="E531" s="9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91"/>
      <c r="C532" s="1"/>
      <c r="D532" s="1"/>
      <c r="E532" s="9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91"/>
      <c r="C533" s="1"/>
      <c r="D533" s="1"/>
      <c r="E533" s="9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91"/>
      <c r="C534" s="1"/>
      <c r="D534" s="1"/>
      <c r="E534" s="9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91"/>
      <c r="C535" s="1"/>
      <c r="D535" s="1"/>
      <c r="E535" s="9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91"/>
      <c r="C536" s="1"/>
      <c r="D536" s="1"/>
      <c r="E536" s="9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91"/>
      <c r="C537" s="1"/>
      <c r="D537" s="1"/>
      <c r="E537" s="9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91"/>
      <c r="C538" s="1"/>
      <c r="D538" s="1"/>
      <c r="E538" s="9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91"/>
      <c r="C539" s="1"/>
      <c r="D539" s="1"/>
      <c r="E539" s="9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91"/>
      <c r="C540" s="1"/>
      <c r="D540" s="1"/>
      <c r="E540" s="9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91"/>
      <c r="C541" s="1"/>
      <c r="D541" s="1"/>
      <c r="E541" s="9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91"/>
      <c r="C542" s="1"/>
      <c r="D542" s="1"/>
      <c r="E542" s="9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91"/>
      <c r="C543" s="1"/>
      <c r="D543" s="1"/>
      <c r="E543" s="9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91"/>
      <c r="C544" s="1"/>
      <c r="D544" s="1"/>
      <c r="E544" s="9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91"/>
      <c r="C545" s="1"/>
      <c r="D545" s="1"/>
      <c r="E545" s="9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91"/>
      <c r="C546" s="1"/>
      <c r="D546" s="1"/>
      <c r="E546" s="9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91"/>
      <c r="C547" s="1"/>
      <c r="D547" s="1"/>
      <c r="E547" s="9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91"/>
      <c r="C548" s="1"/>
      <c r="D548" s="1"/>
      <c r="E548" s="9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91"/>
      <c r="C549" s="1"/>
      <c r="D549" s="1"/>
      <c r="E549" s="9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91"/>
      <c r="C550" s="1"/>
      <c r="D550" s="1"/>
      <c r="E550" s="9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91"/>
      <c r="C551" s="1"/>
      <c r="D551" s="1"/>
      <c r="E551" s="9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91"/>
      <c r="C552" s="1"/>
      <c r="D552" s="1"/>
      <c r="E552" s="9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91"/>
      <c r="C553" s="1"/>
      <c r="D553" s="1"/>
      <c r="E553" s="9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91"/>
      <c r="C554" s="1"/>
      <c r="D554" s="1"/>
      <c r="E554" s="9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91"/>
      <c r="C555" s="1"/>
      <c r="D555" s="1"/>
      <c r="E555" s="9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91"/>
      <c r="C556" s="1"/>
      <c r="D556" s="1"/>
      <c r="E556" s="9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91"/>
      <c r="C557" s="1"/>
      <c r="D557" s="1"/>
      <c r="E557" s="9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91"/>
      <c r="C558" s="1"/>
      <c r="D558" s="1"/>
      <c r="E558" s="9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91"/>
      <c r="C559" s="1"/>
      <c r="D559" s="1"/>
      <c r="E559" s="9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91"/>
      <c r="C560" s="1"/>
      <c r="D560" s="1"/>
      <c r="E560" s="9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91"/>
      <c r="C561" s="1"/>
      <c r="D561" s="1"/>
      <c r="E561" s="9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91"/>
      <c r="C562" s="1"/>
      <c r="D562" s="1"/>
      <c r="E562" s="9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91"/>
      <c r="C563" s="1"/>
      <c r="D563" s="1"/>
      <c r="E563" s="9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91"/>
      <c r="C564" s="1"/>
      <c r="D564" s="1"/>
      <c r="E564" s="9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91"/>
      <c r="C565" s="1"/>
      <c r="D565" s="1"/>
      <c r="E565" s="9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91"/>
      <c r="C566" s="1"/>
      <c r="D566" s="1"/>
      <c r="E566" s="9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91"/>
      <c r="C567" s="1"/>
      <c r="D567" s="1"/>
      <c r="E567" s="9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91"/>
      <c r="C568" s="1"/>
      <c r="D568" s="1"/>
      <c r="E568" s="9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91"/>
      <c r="C569" s="1"/>
      <c r="D569" s="1"/>
      <c r="E569" s="9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91"/>
      <c r="C570" s="1"/>
      <c r="D570" s="1"/>
      <c r="E570" s="9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91"/>
      <c r="C571" s="1"/>
      <c r="D571" s="1"/>
      <c r="E571" s="9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91"/>
      <c r="C572" s="1"/>
      <c r="D572" s="1"/>
      <c r="E572" s="9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91"/>
      <c r="C573" s="1"/>
      <c r="D573" s="1"/>
      <c r="E573" s="9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91"/>
      <c r="C574" s="1"/>
      <c r="D574" s="1"/>
      <c r="E574" s="9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91"/>
      <c r="C575" s="1"/>
      <c r="D575" s="1"/>
      <c r="E575" s="9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91"/>
      <c r="C576" s="1"/>
      <c r="D576" s="1"/>
      <c r="E576" s="9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91"/>
      <c r="C577" s="1"/>
      <c r="D577" s="1"/>
      <c r="E577" s="9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91"/>
      <c r="C578" s="1"/>
      <c r="D578" s="1"/>
      <c r="E578" s="9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91"/>
      <c r="C579" s="1"/>
      <c r="D579" s="1"/>
      <c r="E579" s="9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91"/>
      <c r="C580" s="1"/>
      <c r="D580" s="1"/>
      <c r="E580" s="9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91"/>
      <c r="C581" s="1"/>
      <c r="D581" s="1"/>
      <c r="E581" s="9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91"/>
      <c r="C582" s="1"/>
      <c r="D582" s="1"/>
      <c r="E582" s="9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91"/>
      <c r="C583" s="1"/>
      <c r="D583" s="1"/>
      <c r="E583" s="9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91"/>
      <c r="C584" s="1"/>
      <c r="D584" s="1"/>
      <c r="E584" s="9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91"/>
      <c r="C585" s="1"/>
      <c r="D585" s="1"/>
      <c r="E585" s="9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91"/>
      <c r="C586" s="1"/>
      <c r="D586" s="1"/>
      <c r="E586" s="9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91"/>
      <c r="C587" s="1"/>
      <c r="D587" s="1"/>
      <c r="E587" s="9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91"/>
      <c r="C588" s="1"/>
      <c r="D588" s="1"/>
      <c r="E588" s="9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91"/>
      <c r="C589" s="1"/>
      <c r="D589" s="1"/>
      <c r="E589" s="9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91"/>
      <c r="C590" s="1"/>
      <c r="D590" s="1"/>
      <c r="E590" s="9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91"/>
      <c r="C591" s="1"/>
      <c r="D591" s="1"/>
      <c r="E591" s="9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91"/>
      <c r="C592" s="1"/>
      <c r="D592" s="1"/>
      <c r="E592" s="9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91"/>
      <c r="C593" s="1"/>
      <c r="D593" s="1"/>
      <c r="E593" s="9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91"/>
      <c r="C594" s="1"/>
      <c r="D594" s="1"/>
      <c r="E594" s="9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91"/>
      <c r="C595" s="1"/>
      <c r="D595" s="1"/>
      <c r="E595" s="9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91"/>
      <c r="C596" s="1"/>
      <c r="D596" s="1"/>
      <c r="E596" s="9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91"/>
      <c r="C597" s="1"/>
      <c r="D597" s="1"/>
      <c r="E597" s="9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91"/>
      <c r="C598" s="1"/>
      <c r="D598" s="1"/>
      <c r="E598" s="9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91"/>
      <c r="C599" s="1"/>
      <c r="D599" s="1"/>
      <c r="E599" s="9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91"/>
      <c r="C600" s="1"/>
      <c r="D600" s="1"/>
      <c r="E600" s="9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91"/>
      <c r="C601" s="1"/>
      <c r="D601" s="1"/>
      <c r="E601" s="9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91"/>
      <c r="C602" s="1"/>
      <c r="D602" s="1"/>
      <c r="E602" s="9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91"/>
      <c r="C603" s="1"/>
      <c r="D603" s="1"/>
      <c r="E603" s="9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91"/>
      <c r="C604" s="1"/>
      <c r="D604" s="1"/>
      <c r="E604" s="9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91"/>
      <c r="C605" s="1"/>
      <c r="D605" s="1"/>
      <c r="E605" s="9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91"/>
      <c r="C606" s="1"/>
      <c r="D606" s="1"/>
      <c r="E606" s="9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91"/>
      <c r="C607" s="1"/>
      <c r="D607" s="1"/>
      <c r="E607" s="9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91"/>
      <c r="C608" s="1"/>
      <c r="D608" s="1"/>
      <c r="E608" s="9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91"/>
      <c r="C609" s="1"/>
      <c r="D609" s="1"/>
      <c r="E609" s="9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91"/>
      <c r="C610" s="1"/>
      <c r="D610" s="1"/>
      <c r="E610" s="9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91"/>
      <c r="C611" s="1"/>
      <c r="D611" s="1"/>
      <c r="E611" s="9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91"/>
      <c r="C612" s="1"/>
      <c r="D612" s="1"/>
      <c r="E612" s="9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91"/>
      <c r="C613" s="1"/>
      <c r="D613" s="1"/>
      <c r="E613" s="9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91"/>
      <c r="C614" s="1"/>
      <c r="D614" s="1"/>
      <c r="E614" s="9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91"/>
      <c r="C615" s="1"/>
      <c r="D615" s="1"/>
      <c r="E615" s="9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91"/>
      <c r="C616" s="1"/>
      <c r="D616" s="1"/>
      <c r="E616" s="9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91"/>
      <c r="C617" s="1"/>
      <c r="D617" s="1"/>
      <c r="E617" s="9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91"/>
      <c r="C618" s="1"/>
      <c r="D618" s="1"/>
      <c r="E618" s="9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91"/>
      <c r="C619" s="1"/>
      <c r="D619" s="1"/>
      <c r="E619" s="9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91"/>
      <c r="C620" s="1"/>
      <c r="D620" s="1"/>
      <c r="E620" s="9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91"/>
      <c r="C621" s="1"/>
      <c r="D621" s="1"/>
      <c r="E621" s="9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91"/>
      <c r="C622" s="1"/>
      <c r="D622" s="1"/>
      <c r="E622" s="9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91"/>
      <c r="C623" s="1"/>
      <c r="D623" s="1"/>
      <c r="E623" s="9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91"/>
      <c r="C624" s="1"/>
      <c r="D624" s="1"/>
      <c r="E624" s="9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91"/>
      <c r="C625" s="1"/>
      <c r="D625" s="1"/>
      <c r="E625" s="9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91"/>
      <c r="C626" s="1"/>
      <c r="D626" s="1"/>
      <c r="E626" s="9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91"/>
      <c r="C627" s="1"/>
      <c r="D627" s="1"/>
      <c r="E627" s="9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91"/>
      <c r="C628" s="1"/>
      <c r="D628" s="1"/>
      <c r="E628" s="9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91"/>
      <c r="C629" s="1"/>
      <c r="D629" s="1"/>
      <c r="E629" s="9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91"/>
      <c r="C630" s="1"/>
      <c r="D630" s="1"/>
      <c r="E630" s="9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91"/>
      <c r="C631" s="1"/>
      <c r="D631" s="1"/>
      <c r="E631" s="9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91"/>
      <c r="C632" s="1"/>
      <c r="D632" s="1"/>
      <c r="E632" s="9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91"/>
      <c r="C633" s="1"/>
      <c r="D633" s="1"/>
      <c r="E633" s="9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91"/>
      <c r="C634" s="1"/>
      <c r="D634" s="1"/>
      <c r="E634" s="9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91"/>
      <c r="C635" s="1"/>
      <c r="D635" s="1"/>
      <c r="E635" s="9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91"/>
      <c r="C636" s="1"/>
      <c r="D636" s="1"/>
      <c r="E636" s="9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91"/>
      <c r="C637" s="1"/>
      <c r="D637" s="1"/>
      <c r="E637" s="9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91"/>
      <c r="C638" s="1"/>
      <c r="D638" s="1"/>
      <c r="E638" s="9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91"/>
      <c r="C639" s="1"/>
      <c r="D639" s="1"/>
      <c r="E639" s="9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91"/>
      <c r="C640" s="1"/>
      <c r="D640" s="1"/>
      <c r="E640" s="9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91"/>
      <c r="C641" s="1"/>
      <c r="D641" s="1"/>
      <c r="E641" s="9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91"/>
      <c r="C642" s="1"/>
      <c r="D642" s="1"/>
      <c r="E642" s="9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91"/>
      <c r="C643" s="1"/>
      <c r="D643" s="1"/>
      <c r="E643" s="9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91"/>
      <c r="C644" s="1"/>
      <c r="D644" s="1"/>
      <c r="E644" s="9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91"/>
      <c r="C645" s="1"/>
      <c r="D645" s="1"/>
      <c r="E645" s="9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91"/>
      <c r="C646" s="1"/>
      <c r="D646" s="1"/>
      <c r="E646" s="9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91"/>
      <c r="C647" s="1"/>
      <c r="D647" s="1"/>
      <c r="E647" s="9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91"/>
      <c r="C648" s="1"/>
      <c r="D648" s="1"/>
      <c r="E648" s="9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91"/>
      <c r="C649" s="1"/>
      <c r="D649" s="1"/>
      <c r="E649" s="9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91"/>
      <c r="C650" s="1"/>
      <c r="D650" s="1"/>
      <c r="E650" s="9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91"/>
      <c r="C651" s="1"/>
      <c r="D651" s="1"/>
      <c r="E651" s="9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91"/>
      <c r="C652" s="1"/>
      <c r="D652" s="1"/>
      <c r="E652" s="9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91"/>
      <c r="C653" s="1"/>
      <c r="D653" s="1"/>
      <c r="E653" s="9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91"/>
      <c r="C654" s="1"/>
      <c r="D654" s="1"/>
      <c r="E654" s="9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91"/>
      <c r="C655" s="1"/>
      <c r="D655" s="1"/>
      <c r="E655" s="9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91"/>
      <c r="C656" s="1"/>
      <c r="D656" s="1"/>
      <c r="E656" s="9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91"/>
      <c r="C657" s="1"/>
      <c r="D657" s="1"/>
      <c r="E657" s="9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91"/>
      <c r="C658" s="1"/>
      <c r="D658" s="1"/>
      <c r="E658" s="9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91"/>
      <c r="C659" s="1"/>
      <c r="D659" s="1"/>
      <c r="E659" s="9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91"/>
      <c r="C660" s="1"/>
      <c r="D660" s="1"/>
      <c r="E660" s="9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91"/>
      <c r="C661" s="1"/>
      <c r="D661" s="1"/>
      <c r="E661" s="9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91"/>
      <c r="C662" s="1"/>
      <c r="D662" s="1"/>
      <c r="E662" s="9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91"/>
      <c r="C663" s="1"/>
      <c r="D663" s="1"/>
      <c r="E663" s="9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91"/>
      <c r="C664" s="1"/>
      <c r="D664" s="1"/>
      <c r="E664" s="9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91"/>
      <c r="C665" s="1"/>
      <c r="D665" s="1"/>
      <c r="E665" s="9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91"/>
      <c r="C666" s="1"/>
      <c r="D666" s="1"/>
      <c r="E666" s="9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91"/>
      <c r="C667" s="1"/>
      <c r="D667" s="1"/>
      <c r="E667" s="9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91"/>
      <c r="C668" s="1"/>
      <c r="D668" s="1"/>
      <c r="E668" s="9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91"/>
      <c r="C669" s="1"/>
      <c r="D669" s="1"/>
      <c r="E669" s="9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91"/>
      <c r="C670" s="1"/>
      <c r="D670" s="1"/>
      <c r="E670" s="9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91"/>
      <c r="C671" s="1"/>
      <c r="D671" s="1"/>
      <c r="E671" s="9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91"/>
      <c r="C672" s="1"/>
      <c r="D672" s="1"/>
      <c r="E672" s="9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91"/>
      <c r="C673" s="1"/>
      <c r="D673" s="1"/>
      <c r="E673" s="9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91"/>
      <c r="C674" s="1"/>
      <c r="D674" s="1"/>
      <c r="E674" s="9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91"/>
      <c r="C675" s="1"/>
      <c r="D675" s="1"/>
      <c r="E675" s="9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91"/>
      <c r="C676" s="1"/>
      <c r="D676" s="1"/>
      <c r="E676" s="9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91"/>
      <c r="C677" s="1"/>
      <c r="D677" s="1"/>
      <c r="E677" s="9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91"/>
      <c r="C678" s="1"/>
      <c r="D678" s="1"/>
      <c r="E678" s="9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91"/>
      <c r="C679" s="1"/>
      <c r="D679" s="1"/>
      <c r="E679" s="9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91"/>
      <c r="C680" s="1"/>
      <c r="D680" s="1"/>
      <c r="E680" s="9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91"/>
      <c r="C681" s="1"/>
      <c r="D681" s="1"/>
      <c r="E681" s="9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91"/>
      <c r="C682" s="1"/>
      <c r="D682" s="1"/>
      <c r="E682" s="9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91"/>
      <c r="C683" s="1"/>
      <c r="D683" s="1"/>
      <c r="E683" s="9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91"/>
      <c r="C684" s="1"/>
      <c r="D684" s="1"/>
      <c r="E684" s="9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91"/>
      <c r="C685" s="1"/>
      <c r="D685" s="1"/>
      <c r="E685" s="9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91"/>
      <c r="C686" s="1"/>
      <c r="D686" s="1"/>
      <c r="E686" s="9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91"/>
      <c r="C687" s="1"/>
      <c r="D687" s="1"/>
      <c r="E687" s="9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91"/>
      <c r="C688" s="1"/>
      <c r="D688" s="1"/>
      <c r="E688" s="9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91"/>
      <c r="C689" s="1"/>
      <c r="D689" s="1"/>
      <c r="E689" s="9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91"/>
      <c r="C690" s="1"/>
      <c r="D690" s="1"/>
      <c r="E690" s="9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91"/>
      <c r="C691" s="1"/>
      <c r="D691" s="1"/>
      <c r="E691" s="9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91"/>
      <c r="C692" s="1"/>
      <c r="D692" s="1"/>
      <c r="E692" s="9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91"/>
      <c r="C693" s="1"/>
      <c r="D693" s="1"/>
      <c r="E693" s="9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91"/>
      <c r="C694" s="1"/>
      <c r="D694" s="1"/>
      <c r="E694" s="9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91"/>
      <c r="C695" s="1"/>
      <c r="D695" s="1"/>
      <c r="E695" s="9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91"/>
      <c r="C696" s="1"/>
      <c r="D696" s="1"/>
      <c r="E696" s="9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91"/>
      <c r="C697" s="1"/>
      <c r="D697" s="1"/>
      <c r="E697" s="9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91"/>
      <c r="C698" s="1"/>
      <c r="D698" s="1"/>
      <c r="E698" s="9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91"/>
      <c r="C699" s="1"/>
      <c r="D699" s="1"/>
      <c r="E699" s="9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91"/>
      <c r="C700" s="1"/>
      <c r="D700" s="1"/>
      <c r="E700" s="9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91"/>
      <c r="C701" s="1"/>
      <c r="D701" s="1"/>
      <c r="E701" s="9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91"/>
      <c r="C702" s="1"/>
      <c r="D702" s="1"/>
      <c r="E702" s="9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91"/>
      <c r="C703" s="1"/>
      <c r="D703" s="1"/>
      <c r="E703" s="9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91"/>
      <c r="C704" s="1"/>
      <c r="D704" s="1"/>
      <c r="E704" s="9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91"/>
      <c r="C705" s="1"/>
      <c r="D705" s="1"/>
      <c r="E705" s="9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91"/>
      <c r="C706" s="1"/>
      <c r="D706" s="1"/>
      <c r="E706" s="9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91"/>
      <c r="C707" s="1"/>
      <c r="D707" s="1"/>
      <c r="E707" s="9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91"/>
      <c r="C708" s="1"/>
      <c r="D708" s="1"/>
      <c r="E708" s="9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91"/>
      <c r="C709" s="1"/>
      <c r="D709" s="1"/>
      <c r="E709" s="9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91"/>
      <c r="C710" s="1"/>
      <c r="D710" s="1"/>
      <c r="E710" s="9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91"/>
      <c r="C711" s="1"/>
      <c r="D711" s="1"/>
      <c r="E711" s="9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91"/>
      <c r="C712" s="1"/>
      <c r="D712" s="1"/>
      <c r="E712" s="9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91"/>
      <c r="C713" s="1"/>
      <c r="D713" s="1"/>
      <c r="E713" s="9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91"/>
      <c r="C714" s="1"/>
      <c r="D714" s="1"/>
      <c r="E714" s="9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91"/>
      <c r="C715" s="1"/>
      <c r="D715" s="1"/>
      <c r="E715" s="9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91"/>
      <c r="C716" s="1"/>
      <c r="D716" s="1"/>
      <c r="E716" s="9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91"/>
      <c r="C717" s="1"/>
      <c r="D717" s="1"/>
      <c r="E717" s="9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91"/>
      <c r="C718" s="1"/>
      <c r="D718" s="1"/>
      <c r="E718" s="9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91"/>
      <c r="C719" s="1"/>
      <c r="D719" s="1"/>
      <c r="E719" s="9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91"/>
      <c r="C720" s="1"/>
      <c r="D720" s="1"/>
      <c r="E720" s="9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91"/>
      <c r="C721" s="1"/>
      <c r="D721" s="1"/>
      <c r="E721" s="9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91"/>
      <c r="C722" s="1"/>
      <c r="D722" s="1"/>
      <c r="E722" s="9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91"/>
      <c r="C723" s="1"/>
      <c r="D723" s="1"/>
      <c r="E723" s="9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91"/>
      <c r="C724" s="1"/>
      <c r="D724" s="1"/>
      <c r="E724" s="9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91"/>
      <c r="C725" s="1"/>
      <c r="D725" s="1"/>
      <c r="E725" s="9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91"/>
      <c r="C726" s="1"/>
      <c r="D726" s="1"/>
      <c r="E726" s="9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91"/>
      <c r="C727" s="1"/>
      <c r="D727" s="1"/>
      <c r="E727" s="9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91"/>
      <c r="C728" s="1"/>
      <c r="D728" s="1"/>
      <c r="E728" s="9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91"/>
      <c r="C729" s="1"/>
      <c r="D729" s="1"/>
      <c r="E729" s="9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91"/>
      <c r="C730" s="1"/>
      <c r="D730" s="1"/>
      <c r="E730" s="9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91"/>
      <c r="C731" s="1"/>
      <c r="D731" s="1"/>
      <c r="E731" s="9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91"/>
      <c r="C732" s="1"/>
      <c r="D732" s="1"/>
      <c r="E732" s="9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91"/>
      <c r="C733" s="1"/>
      <c r="D733" s="1"/>
      <c r="E733" s="9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91"/>
      <c r="C734" s="1"/>
      <c r="D734" s="1"/>
      <c r="E734" s="9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91"/>
      <c r="C735" s="1"/>
      <c r="D735" s="1"/>
      <c r="E735" s="9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91"/>
      <c r="C736" s="1"/>
      <c r="D736" s="1"/>
      <c r="E736" s="9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91"/>
      <c r="C737" s="1"/>
      <c r="D737" s="1"/>
      <c r="E737" s="9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91"/>
      <c r="C738" s="1"/>
      <c r="D738" s="1"/>
      <c r="E738" s="9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91"/>
      <c r="C739" s="1"/>
      <c r="D739" s="1"/>
      <c r="E739" s="9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91"/>
      <c r="C740" s="1"/>
      <c r="D740" s="1"/>
      <c r="E740" s="9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91"/>
      <c r="C741" s="1"/>
      <c r="D741" s="1"/>
      <c r="E741" s="9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91"/>
      <c r="C742" s="1"/>
      <c r="D742" s="1"/>
      <c r="E742" s="9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91"/>
      <c r="C743" s="1"/>
      <c r="D743" s="1"/>
      <c r="E743" s="9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91"/>
      <c r="C744" s="1"/>
      <c r="D744" s="1"/>
      <c r="E744" s="9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91"/>
      <c r="C745" s="1"/>
      <c r="D745" s="1"/>
      <c r="E745" s="9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91"/>
      <c r="C746" s="1"/>
      <c r="D746" s="1"/>
      <c r="E746" s="9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91"/>
      <c r="C747" s="1"/>
      <c r="D747" s="1"/>
      <c r="E747" s="9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91"/>
      <c r="C748" s="1"/>
      <c r="D748" s="1"/>
      <c r="E748" s="9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91"/>
      <c r="C749" s="1"/>
      <c r="D749" s="1"/>
      <c r="E749" s="9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91"/>
      <c r="C750" s="1"/>
      <c r="D750" s="1"/>
      <c r="E750" s="9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91"/>
      <c r="C751" s="1"/>
      <c r="D751" s="1"/>
      <c r="E751" s="9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91"/>
      <c r="C752" s="1"/>
      <c r="D752" s="1"/>
      <c r="E752" s="9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91"/>
      <c r="C753" s="1"/>
      <c r="D753" s="1"/>
      <c r="E753" s="9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91"/>
      <c r="C754" s="1"/>
      <c r="D754" s="1"/>
      <c r="E754" s="9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91"/>
      <c r="C755" s="1"/>
      <c r="D755" s="1"/>
      <c r="E755" s="9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91"/>
      <c r="C756" s="1"/>
      <c r="D756" s="1"/>
      <c r="E756" s="9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91"/>
      <c r="C757" s="1"/>
      <c r="D757" s="1"/>
      <c r="E757" s="9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91"/>
      <c r="C758" s="1"/>
      <c r="D758" s="1"/>
      <c r="E758" s="9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91"/>
      <c r="C759" s="1"/>
      <c r="D759" s="1"/>
      <c r="E759" s="9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91"/>
      <c r="C760" s="1"/>
      <c r="D760" s="1"/>
      <c r="E760" s="9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91"/>
      <c r="C761" s="1"/>
      <c r="D761" s="1"/>
      <c r="E761" s="9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91"/>
      <c r="C762" s="1"/>
      <c r="D762" s="1"/>
      <c r="E762" s="9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91"/>
      <c r="C763" s="1"/>
      <c r="D763" s="1"/>
      <c r="E763" s="9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91"/>
      <c r="C764" s="1"/>
      <c r="D764" s="1"/>
      <c r="E764" s="9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91"/>
      <c r="C765" s="1"/>
      <c r="D765" s="1"/>
      <c r="E765" s="9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91"/>
      <c r="C766" s="1"/>
      <c r="D766" s="1"/>
      <c r="E766" s="9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91"/>
      <c r="C767" s="1"/>
      <c r="D767" s="1"/>
      <c r="E767" s="9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91"/>
      <c r="C768" s="1"/>
      <c r="D768" s="1"/>
      <c r="E768" s="9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91"/>
      <c r="C769" s="1"/>
      <c r="D769" s="1"/>
      <c r="E769" s="9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91"/>
      <c r="C770" s="1"/>
      <c r="D770" s="1"/>
      <c r="E770" s="9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91"/>
      <c r="C771" s="1"/>
      <c r="D771" s="1"/>
      <c r="E771" s="9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91"/>
      <c r="C772" s="1"/>
      <c r="D772" s="1"/>
      <c r="E772" s="9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91"/>
      <c r="C773" s="1"/>
      <c r="D773" s="1"/>
      <c r="E773" s="9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91"/>
      <c r="C774" s="1"/>
      <c r="D774" s="1"/>
      <c r="E774" s="9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91"/>
      <c r="C775" s="1"/>
      <c r="D775" s="1"/>
      <c r="E775" s="9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91"/>
      <c r="C776" s="1"/>
      <c r="D776" s="1"/>
      <c r="E776" s="9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91"/>
      <c r="C777" s="1"/>
      <c r="D777" s="1"/>
      <c r="E777" s="9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91"/>
      <c r="C778" s="1"/>
      <c r="D778" s="1"/>
      <c r="E778" s="9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91"/>
      <c r="C779" s="1"/>
      <c r="D779" s="1"/>
      <c r="E779" s="9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91"/>
      <c r="C780" s="1"/>
      <c r="D780" s="1"/>
      <c r="E780" s="9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91"/>
      <c r="C781" s="1"/>
      <c r="D781" s="1"/>
      <c r="E781" s="9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91"/>
      <c r="C782" s="1"/>
      <c r="D782" s="1"/>
      <c r="E782" s="9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91"/>
      <c r="C783" s="1"/>
      <c r="D783" s="1"/>
      <c r="E783" s="9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91"/>
      <c r="C784" s="1"/>
      <c r="D784" s="1"/>
      <c r="E784" s="9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91"/>
      <c r="C785" s="1"/>
      <c r="D785" s="1"/>
      <c r="E785" s="9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91"/>
      <c r="C786" s="1"/>
      <c r="D786" s="1"/>
      <c r="E786" s="9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91"/>
      <c r="C787" s="1"/>
      <c r="D787" s="1"/>
      <c r="E787" s="9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91"/>
      <c r="C788" s="1"/>
      <c r="D788" s="1"/>
      <c r="E788" s="9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91"/>
      <c r="C789" s="1"/>
      <c r="D789" s="1"/>
      <c r="E789" s="9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91"/>
      <c r="C790" s="1"/>
      <c r="D790" s="1"/>
      <c r="E790" s="9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91"/>
      <c r="C791" s="1"/>
      <c r="D791" s="1"/>
      <c r="E791" s="9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91"/>
      <c r="C792" s="1"/>
      <c r="D792" s="1"/>
      <c r="E792" s="9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91"/>
      <c r="C793" s="1"/>
      <c r="D793" s="1"/>
      <c r="E793" s="9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91"/>
      <c r="C794" s="1"/>
      <c r="D794" s="1"/>
      <c r="E794" s="9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91"/>
      <c r="C795" s="1"/>
      <c r="D795" s="1"/>
      <c r="E795" s="9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91"/>
      <c r="C796" s="1"/>
      <c r="D796" s="1"/>
      <c r="E796" s="9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91"/>
      <c r="C797" s="1"/>
      <c r="D797" s="1"/>
      <c r="E797" s="9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91"/>
      <c r="C798" s="1"/>
      <c r="D798" s="1"/>
      <c r="E798" s="9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91"/>
      <c r="C799" s="1"/>
      <c r="D799" s="1"/>
      <c r="E799" s="9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91"/>
      <c r="C800" s="1"/>
      <c r="D800" s="1"/>
      <c r="E800" s="9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91"/>
      <c r="C801" s="1"/>
      <c r="D801" s="1"/>
      <c r="E801" s="9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91"/>
      <c r="C802" s="1"/>
      <c r="D802" s="1"/>
      <c r="E802" s="9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91"/>
      <c r="C803" s="1"/>
      <c r="D803" s="1"/>
      <c r="E803" s="9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91"/>
      <c r="C804" s="1"/>
      <c r="D804" s="1"/>
      <c r="E804" s="9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91"/>
      <c r="C805" s="1"/>
      <c r="D805" s="1"/>
      <c r="E805" s="9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91"/>
      <c r="C806" s="1"/>
      <c r="D806" s="1"/>
      <c r="E806" s="9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91"/>
      <c r="C807" s="1"/>
      <c r="D807" s="1"/>
      <c r="E807" s="9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91"/>
      <c r="C808" s="1"/>
      <c r="D808" s="1"/>
      <c r="E808" s="9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91"/>
      <c r="C809" s="1"/>
      <c r="D809" s="1"/>
      <c r="E809" s="9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91"/>
      <c r="C810" s="1"/>
      <c r="D810" s="1"/>
      <c r="E810" s="9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91"/>
      <c r="C811" s="1"/>
      <c r="D811" s="1"/>
      <c r="E811" s="9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91"/>
      <c r="C812" s="1"/>
      <c r="D812" s="1"/>
      <c r="E812" s="9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91"/>
      <c r="C813" s="1"/>
      <c r="D813" s="1"/>
      <c r="E813" s="9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91"/>
      <c r="C814" s="1"/>
      <c r="D814" s="1"/>
      <c r="E814" s="9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91"/>
      <c r="C815" s="1"/>
      <c r="D815" s="1"/>
      <c r="E815" s="9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91"/>
      <c r="C816" s="1"/>
      <c r="D816" s="1"/>
      <c r="E816" s="9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91"/>
      <c r="C817" s="1"/>
      <c r="D817" s="1"/>
      <c r="E817" s="9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91"/>
      <c r="C818" s="1"/>
      <c r="D818" s="1"/>
      <c r="E818" s="9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91"/>
      <c r="C819" s="1"/>
      <c r="D819" s="1"/>
      <c r="E819" s="9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91"/>
      <c r="C820" s="1"/>
      <c r="D820" s="1"/>
      <c r="E820" s="9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91"/>
      <c r="C821" s="1"/>
      <c r="D821" s="1"/>
      <c r="E821" s="9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91"/>
      <c r="C822" s="1"/>
      <c r="D822" s="1"/>
      <c r="E822" s="9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91"/>
      <c r="C823" s="1"/>
      <c r="D823" s="1"/>
      <c r="E823" s="9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91"/>
      <c r="C824" s="1"/>
      <c r="D824" s="1"/>
      <c r="E824" s="9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91"/>
      <c r="C825" s="1"/>
      <c r="D825" s="1"/>
      <c r="E825" s="9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91"/>
      <c r="C826" s="1"/>
      <c r="D826" s="1"/>
      <c r="E826" s="9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91"/>
      <c r="C827" s="1"/>
      <c r="D827" s="1"/>
      <c r="E827" s="9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91"/>
      <c r="C828" s="1"/>
      <c r="D828" s="1"/>
      <c r="E828" s="9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91"/>
      <c r="C829" s="1"/>
      <c r="D829" s="1"/>
      <c r="E829" s="9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91"/>
      <c r="C830" s="1"/>
      <c r="D830" s="1"/>
      <c r="E830" s="9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91"/>
      <c r="C831" s="1"/>
      <c r="D831" s="1"/>
      <c r="E831" s="9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91"/>
      <c r="C832" s="1"/>
      <c r="D832" s="1"/>
      <c r="E832" s="9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91"/>
      <c r="C833" s="1"/>
      <c r="D833" s="1"/>
      <c r="E833" s="9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91"/>
      <c r="C834" s="1"/>
      <c r="D834" s="1"/>
      <c r="E834" s="9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91"/>
      <c r="C835" s="1"/>
      <c r="D835" s="1"/>
      <c r="E835" s="9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91"/>
      <c r="C836" s="1"/>
      <c r="D836" s="1"/>
      <c r="E836" s="9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91"/>
      <c r="C837" s="1"/>
      <c r="D837" s="1"/>
      <c r="E837" s="9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91"/>
      <c r="C838" s="1"/>
      <c r="D838" s="1"/>
      <c r="E838" s="9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91"/>
      <c r="C839" s="1"/>
      <c r="D839" s="1"/>
      <c r="E839" s="9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91"/>
      <c r="C840" s="1"/>
      <c r="D840" s="1"/>
      <c r="E840" s="9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91"/>
      <c r="C841" s="1"/>
      <c r="D841" s="1"/>
      <c r="E841" s="9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91"/>
      <c r="C842" s="1"/>
      <c r="D842" s="1"/>
      <c r="E842" s="9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91"/>
      <c r="C843" s="1"/>
      <c r="D843" s="1"/>
      <c r="E843" s="9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91"/>
      <c r="C844" s="1"/>
      <c r="D844" s="1"/>
      <c r="E844" s="9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91"/>
      <c r="C845" s="1"/>
      <c r="D845" s="1"/>
      <c r="E845" s="9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91"/>
      <c r="C846" s="1"/>
      <c r="D846" s="1"/>
      <c r="E846" s="9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91"/>
      <c r="C847" s="1"/>
      <c r="D847" s="1"/>
      <c r="E847" s="9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91"/>
      <c r="C848" s="1"/>
      <c r="D848" s="1"/>
      <c r="E848" s="9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91"/>
      <c r="C849" s="1"/>
      <c r="D849" s="1"/>
      <c r="E849" s="9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91"/>
      <c r="C850" s="1"/>
      <c r="D850" s="1"/>
      <c r="E850" s="9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91"/>
      <c r="C851" s="1"/>
      <c r="D851" s="1"/>
      <c r="E851" s="9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91"/>
      <c r="C852" s="1"/>
      <c r="D852" s="1"/>
      <c r="E852" s="9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91"/>
      <c r="C853" s="1"/>
      <c r="D853" s="1"/>
      <c r="E853" s="9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91"/>
      <c r="C854" s="1"/>
      <c r="D854" s="1"/>
      <c r="E854" s="9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91"/>
      <c r="C855" s="1"/>
      <c r="D855" s="1"/>
      <c r="E855" s="9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91"/>
      <c r="C856" s="1"/>
      <c r="D856" s="1"/>
      <c r="E856" s="9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91"/>
      <c r="C857" s="1"/>
      <c r="D857" s="1"/>
      <c r="E857" s="9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91"/>
      <c r="C858" s="1"/>
      <c r="D858" s="1"/>
      <c r="E858" s="9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91"/>
      <c r="C859" s="1"/>
      <c r="D859" s="1"/>
      <c r="E859" s="9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91"/>
      <c r="C860" s="1"/>
      <c r="D860" s="1"/>
      <c r="E860" s="9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91"/>
      <c r="C861" s="1"/>
      <c r="D861" s="1"/>
      <c r="E861" s="9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91"/>
      <c r="C862" s="1"/>
      <c r="D862" s="1"/>
      <c r="E862" s="9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91"/>
      <c r="C863" s="1"/>
      <c r="D863" s="1"/>
      <c r="E863" s="9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91"/>
      <c r="C864" s="1"/>
      <c r="D864" s="1"/>
      <c r="E864" s="9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91"/>
      <c r="C865" s="1"/>
      <c r="D865" s="1"/>
      <c r="E865" s="9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91"/>
      <c r="C866" s="1"/>
      <c r="D866" s="1"/>
      <c r="E866" s="9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91"/>
      <c r="C867" s="1"/>
      <c r="D867" s="1"/>
      <c r="E867" s="9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91"/>
      <c r="C868" s="1"/>
      <c r="D868" s="1"/>
      <c r="E868" s="9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91"/>
      <c r="C869" s="1"/>
      <c r="D869" s="1"/>
      <c r="E869" s="9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91"/>
      <c r="C870" s="1"/>
      <c r="D870" s="1"/>
      <c r="E870" s="9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91"/>
      <c r="C871" s="1"/>
      <c r="D871" s="1"/>
      <c r="E871" s="9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91"/>
      <c r="C872" s="1"/>
      <c r="D872" s="1"/>
      <c r="E872" s="9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91"/>
      <c r="C873" s="1"/>
      <c r="D873" s="1"/>
      <c r="E873" s="9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91"/>
      <c r="C874" s="1"/>
      <c r="D874" s="1"/>
      <c r="E874" s="9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91"/>
      <c r="C875" s="1"/>
      <c r="D875" s="1"/>
      <c r="E875" s="9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91"/>
      <c r="C876" s="1"/>
      <c r="D876" s="1"/>
      <c r="E876" s="9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91"/>
      <c r="C877" s="1"/>
      <c r="D877" s="1"/>
      <c r="E877" s="9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91"/>
      <c r="C878" s="1"/>
      <c r="D878" s="1"/>
      <c r="E878" s="9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91"/>
      <c r="C879" s="1"/>
      <c r="D879" s="1"/>
      <c r="E879" s="9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91"/>
      <c r="C880" s="1"/>
      <c r="D880" s="1"/>
      <c r="E880" s="9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91"/>
      <c r="C881" s="1"/>
      <c r="D881" s="1"/>
      <c r="E881" s="9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91"/>
      <c r="C882" s="1"/>
      <c r="D882" s="1"/>
      <c r="E882" s="9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91"/>
      <c r="C883" s="1"/>
      <c r="D883" s="1"/>
      <c r="E883" s="9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91"/>
      <c r="C884" s="1"/>
      <c r="D884" s="1"/>
      <c r="E884" s="9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91"/>
      <c r="C885" s="1"/>
      <c r="D885" s="1"/>
      <c r="E885" s="9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91"/>
      <c r="C886" s="1"/>
      <c r="D886" s="1"/>
      <c r="E886" s="9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91"/>
      <c r="C887" s="1"/>
      <c r="D887" s="1"/>
      <c r="E887" s="9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91"/>
      <c r="C888" s="1"/>
      <c r="D888" s="1"/>
      <c r="E888" s="9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91"/>
      <c r="C889" s="1"/>
      <c r="D889" s="1"/>
      <c r="E889" s="9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91"/>
      <c r="C890" s="1"/>
      <c r="D890" s="1"/>
      <c r="E890" s="9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91"/>
      <c r="C891" s="1"/>
      <c r="D891" s="1"/>
      <c r="E891" s="9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91"/>
      <c r="C892" s="1"/>
      <c r="D892" s="1"/>
      <c r="E892" s="9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91"/>
      <c r="C893" s="1"/>
      <c r="D893" s="1"/>
      <c r="E893" s="9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91"/>
      <c r="C894" s="1"/>
      <c r="D894" s="1"/>
      <c r="E894" s="9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91"/>
      <c r="C895" s="1"/>
      <c r="D895" s="1"/>
      <c r="E895" s="9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91"/>
      <c r="C896" s="1"/>
      <c r="D896" s="1"/>
      <c r="E896" s="9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91"/>
      <c r="C897" s="1"/>
      <c r="D897" s="1"/>
      <c r="E897" s="9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91"/>
      <c r="C898" s="1"/>
      <c r="D898" s="1"/>
      <c r="E898" s="9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91"/>
      <c r="C899" s="1"/>
      <c r="D899" s="1"/>
      <c r="E899" s="9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91"/>
      <c r="C900" s="1"/>
      <c r="D900" s="1"/>
      <c r="E900" s="9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91"/>
      <c r="C901" s="1"/>
      <c r="D901" s="1"/>
      <c r="E901" s="9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91"/>
      <c r="C902" s="1"/>
      <c r="D902" s="1"/>
      <c r="E902" s="9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91"/>
      <c r="C903" s="1"/>
      <c r="D903" s="1"/>
      <c r="E903" s="9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91"/>
      <c r="C904" s="1"/>
      <c r="D904" s="1"/>
      <c r="E904" s="9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91"/>
      <c r="C905" s="1"/>
      <c r="D905" s="1"/>
      <c r="E905" s="9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91"/>
      <c r="C906" s="1"/>
      <c r="D906" s="1"/>
      <c r="E906" s="9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91"/>
      <c r="C907" s="1"/>
      <c r="D907" s="1"/>
      <c r="E907" s="9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91"/>
      <c r="C908" s="1"/>
      <c r="D908" s="1"/>
      <c r="E908" s="9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91"/>
      <c r="C909" s="1"/>
      <c r="D909" s="1"/>
      <c r="E909" s="9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91"/>
      <c r="C910" s="1"/>
      <c r="D910" s="1"/>
      <c r="E910" s="9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91"/>
      <c r="C911" s="1"/>
      <c r="D911" s="1"/>
      <c r="E911" s="9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91"/>
      <c r="C912" s="1"/>
      <c r="D912" s="1"/>
      <c r="E912" s="9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91"/>
      <c r="C913" s="1"/>
      <c r="D913" s="1"/>
      <c r="E913" s="9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91"/>
      <c r="C914" s="1"/>
      <c r="D914" s="1"/>
      <c r="E914" s="9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91"/>
      <c r="C915" s="1"/>
      <c r="D915" s="1"/>
      <c r="E915" s="9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91"/>
      <c r="C916" s="1"/>
      <c r="D916" s="1"/>
      <c r="E916" s="9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91"/>
      <c r="C917" s="1"/>
      <c r="D917" s="1"/>
      <c r="E917" s="9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91"/>
      <c r="C918" s="1"/>
      <c r="D918" s="1"/>
      <c r="E918" s="9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91"/>
      <c r="C919" s="1"/>
      <c r="D919" s="1"/>
      <c r="E919" s="9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91"/>
      <c r="C920" s="1"/>
      <c r="D920" s="1"/>
      <c r="E920" s="9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91"/>
      <c r="C921" s="1"/>
      <c r="D921" s="1"/>
      <c r="E921" s="9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91"/>
      <c r="C922" s="1"/>
      <c r="D922" s="1"/>
      <c r="E922" s="9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91"/>
      <c r="C923" s="1"/>
      <c r="D923" s="1"/>
      <c r="E923" s="9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91"/>
      <c r="C924" s="1"/>
      <c r="D924" s="1"/>
      <c r="E924" s="9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91"/>
      <c r="C925" s="1"/>
      <c r="D925" s="1"/>
      <c r="E925" s="9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91"/>
      <c r="C926" s="1"/>
      <c r="D926" s="1"/>
      <c r="E926" s="9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91"/>
      <c r="C927" s="1"/>
      <c r="D927" s="1"/>
      <c r="E927" s="9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91"/>
      <c r="C928" s="1"/>
      <c r="D928" s="1"/>
      <c r="E928" s="9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91"/>
      <c r="C929" s="1"/>
      <c r="D929" s="1"/>
      <c r="E929" s="9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91"/>
      <c r="C930" s="1"/>
      <c r="D930" s="1"/>
      <c r="E930" s="9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91"/>
      <c r="C931" s="1"/>
      <c r="D931" s="1"/>
      <c r="E931" s="9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91"/>
      <c r="C932" s="1"/>
      <c r="D932" s="1"/>
      <c r="E932" s="9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91"/>
      <c r="C933" s="1"/>
      <c r="D933" s="1"/>
      <c r="E933" s="9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91"/>
      <c r="C934" s="1"/>
      <c r="D934" s="1"/>
      <c r="E934" s="9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91"/>
      <c r="C935" s="1"/>
      <c r="D935" s="1"/>
      <c r="E935" s="9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91"/>
      <c r="C936" s="1"/>
      <c r="D936" s="1"/>
      <c r="E936" s="9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91"/>
      <c r="C937" s="1"/>
      <c r="D937" s="1"/>
      <c r="E937" s="9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91"/>
      <c r="C938" s="1"/>
      <c r="D938" s="1"/>
      <c r="E938" s="9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91"/>
      <c r="C939" s="1"/>
      <c r="D939" s="1"/>
      <c r="E939" s="9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91"/>
      <c r="C940" s="1"/>
      <c r="D940" s="1"/>
      <c r="E940" s="9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91"/>
      <c r="C941" s="1"/>
      <c r="D941" s="1"/>
      <c r="E941" s="9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91"/>
      <c r="C942" s="1"/>
      <c r="D942" s="1"/>
      <c r="E942" s="9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91"/>
      <c r="C943" s="1"/>
      <c r="D943" s="1"/>
      <c r="E943" s="9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91"/>
      <c r="C944" s="1"/>
      <c r="D944" s="1"/>
      <c r="E944" s="9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91"/>
      <c r="C945" s="1"/>
      <c r="D945" s="1"/>
      <c r="E945" s="9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91"/>
      <c r="C946" s="1"/>
      <c r="D946" s="1"/>
      <c r="E946" s="9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91"/>
      <c r="C947" s="1"/>
      <c r="D947" s="1"/>
      <c r="E947" s="9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91"/>
      <c r="C948" s="1"/>
      <c r="D948" s="1"/>
      <c r="E948" s="9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91"/>
      <c r="C949" s="1"/>
      <c r="D949" s="1"/>
      <c r="E949" s="9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91"/>
      <c r="C950" s="1"/>
      <c r="D950" s="1"/>
      <c r="E950" s="9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91"/>
      <c r="C951" s="1"/>
      <c r="D951" s="1"/>
      <c r="E951" s="9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91"/>
      <c r="C952" s="1"/>
      <c r="D952" s="1"/>
      <c r="E952" s="9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91"/>
      <c r="C953" s="1"/>
      <c r="D953" s="1"/>
      <c r="E953" s="9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91"/>
      <c r="C954" s="1"/>
      <c r="D954" s="1"/>
      <c r="E954" s="9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91"/>
      <c r="C955" s="1"/>
      <c r="D955" s="1"/>
      <c r="E955" s="9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91"/>
      <c r="C956" s="1"/>
      <c r="D956" s="1"/>
      <c r="E956" s="9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91"/>
      <c r="C957" s="1"/>
      <c r="D957" s="1"/>
      <c r="E957" s="9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91"/>
      <c r="C958" s="1"/>
      <c r="D958" s="1"/>
      <c r="E958" s="9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91"/>
      <c r="C959" s="1"/>
      <c r="D959" s="1"/>
      <c r="E959" s="9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91"/>
      <c r="C960" s="1"/>
      <c r="D960" s="1"/>
      <c r="E960" s="9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91"/>
      <c r="C961" s="1"/>
      <c r="D961" s="1"/>
      <c r="E961" s="9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91"/>
      <c r="C962" s="1"/>
      <c r="D962" s="1"/>
      <c r="E962" s="9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91"/>
      <c r="C963" s="1"/>
      <c r="D963" s="1"/>
      <c r="E963" s="9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91"/>
      <c r="C964" s="1"/>
      <c r="D964" s="1"/>
      <c r="E964" s="9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91"/>
      <c r="C965" s="1"/>
      <c r="D965" s="1"/>
      <c r="E965" s="9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91"/>
      <c r="C966" s="1"/>
      <c r="D966" s="1"/>
      <c r="E966" s="9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91"/>
      <c r="C967" s="1"/>
      <c r="D967" s="1"/>
      <c r="E967" s="9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91"/>
      <c r="C968" s="1"/>
      <c r="D968" s="1"/>
      <c r="E968" s="9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91"/>
      <c r="C969" s="1"/>
      <c r="D969" s="1"/>
      <c r="E969" s="9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91"/>
      <c r="C970" s="1"/>
      <c r="D970" s="1"/>
      <c r="E970" s="9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91"/>
      <c r="C971" s="1"/>
      <c r="D971" s="1"/>
      <c r="E971" s="9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91"/>
      <c r="C972" s="1"/>
      <c r="D972" s="1"/>
      <c r="E972" s="9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91"/>
      <c r="C973" s="1"/>
      <c r="D973" s="1"/>
      <c r="E973" s="9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91"/>
      <c r="C974" s="1"/>
      <c r="D974" s="1"/>
      <c r="E974" s="9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91"/>
      <c r="C975" s="1"/>
      <c r="D975" s="1"/>
      <c r="E975" s="9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91"/>
      <c r="C976" s="1"/>
      <c r="D976" s="1"/>
      <c r="E976" s="9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91"/>
      <c r="C977" s="1"/>
      <c r="D977" s="1"/>
      <c r="E977" s="9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91"/>
      <c r="C978" s="1"/>
      <c r="D978" s="1"/>
      <c r="E978" s="9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91"/>
      <c r="C979" s="1"/>
      <c r="D979" s="1"/>
      <c r="E979" s="9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91"/>
      <c r="C980" s="1"/>
      <c r="D980" s="1"/>
      <c r="E980" s="9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91"/>
      <c r="C981" s="1"/>
      <c r="D981" s="1"/>
      <c r="E981" s="9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91"/>
      <c r="C982" s="1"/>
      <c r="D982" s="1"/>
      <c r="E982" s="9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91"/>
      <c r="C983" s="1"/>
      <c r="D983" s="1"/>
      <c r="E983" s="9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91"/>
      <c r="C984" s="1"/>
      <c r="D984" s="1"/>
      <c r="E984" s="9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91"/>
      <c r="C985" s="1"/>
      <c r="D985" s="1"/>
      <c r="E985" s="9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91"/>
      <c r="C986" s="1"/>
      <c r="D986" s="1"/>
      <c r="E986" s="9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91"/>
      <c r="C987" s="1"/>
      <c r="D987" s="1"/>
      <c r="E987" s="9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91"/>
      <c r="C988" s="1"/>
      <c r="D988" s="1"/>
      <c r="E988" s="9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91"/>
      <c r="C989" s="1"/>
      <c r="D989" s="1"/>
      <c r="E989" s="9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91"/>
      <c r="C990" s="1"/>
      <c r="D990" s="1"/>
      <c r="E990" s="9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91"/>
      <c r="C991" s="1"/>
      <c r="D991" s="1"/>
      <c r="E991" s="9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91"/>
      <c r="C992" s="1"/>
      <c r="D992" s="1"/>
      <c r="E992" s="9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91"/>
      <c r="C993" s="1"/>
      <c r="D993" s="1"/>
      <c r="E993" s="9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91"/>
      <c r="C994" s="1"/>
      <c r="D994" s="1"/>
      <c r="E994" s="9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91"/>
      <c r="C995" s="1"/>
      <c r="D995" s="1"/>
      <c r="E995" s="9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91"/>
      <c r="C996" s="1"/>
      <c r="D996" s="1"/>
      <c r="E996" s="9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91"/>
      <c r="C997" s="1"/>
      <c r="D997" s="1"/>
      <c r="E997" s="9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91"/>
      <c r="C998" s="1"/>
      <c r="D998" s="1"/>
      <c r="E998" s="9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91"/>
      <c r="C999" s="1"/>
      <c r="D999" s="1"/>
      <c r="E999" s="9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91"/>
      <c r="C1000" s="1"/>
      <c r="D1000" s="1"/>
      <c r="E1000" s="9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91"/>
      <c r="C1001" s="1"/>
      <c r="D1001" s="1"/>
      <c r="E1001" s="9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91"/>
      <c r="C1002" s="1"/>
      <c r="D1002" s="1"/>
      <c r="E1002" s="9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91"/>
      <c r="C1003" s="1"/>
      <c r="D1003" s="1"/>
      <c r="E1003" s="9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91"/>
      <c r="C1004" s="1"/>
      <c r="D1004" s="1"/>
      <c r="E1004" s="9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91"/>
      <c r="C1005" s="1"/>
      <c r="D1005" s="1"/>
      <c r="E1005" s="9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91"/>
      <c r="C1006" s="1"/>
      <c r="D1006" s="1"/>
      <c r="E1006" s="92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91"/>
      <c r="C1007" s="1"/>
      <c r="D1007" s="1"/>
      <c r="E1007" s="92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91"/>
      <c r="C1008" s="1"/>
      <c r="D1008" s="1"/>
      <c r="E1008" s="92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conditionalFormatting sqref="B13:B392 C13:E305 F13:F375 G13:H305 I13:I381 J13:J305 K13:K451 L13:L305 C340:E340 G340:H340 J340 L340 B450:J451 L450:L451">
    <cfRule type="expression" dxfId="0" priority="1">
      <formula>$K13="COMPRADO"</formula>
    </cfRule>
  </conditionalFormatting>
  <conditionalFormatting sqref="B13:B392 C13:E305 F13:F375 G13:H305 I13:I381 J13:J305 K13:K451 L13:L305 C340:E340 G340:H340 J340 L340 B450:J451 L450:L451">
    <cfRule type="expression" dxfId="1" priority="2">
      <formula>$K13="ENTREGUE"</formula>
    </cfRule>
  </conditionalFormatting>
  <conditionalFormatting sqref="B13:B392 C13:E305 F13:F375 G13:H305 I13:I381 J13:J305 K13:K451 L13:L305 C340:E340 G340:H340 J340 L340 B450:J451 L450:L451">
    <cfRule type="expression" dxfId="2" priority="3">
      <formula>$K13="A COMPRAR"</formula>
    </cfRule>
  </conditionalFormatting>
  <conditionalFormatting sqref="B13:B392 C13:E305 F13:F375 G13:H305 I13:I381 J13:J305 K13:K451 L13:L305 C340:E340 G340:H340 J340 L340 B450:J451 L450:L451">
    <cfRule type="expression" dxfId="3" priority="4">
      <formula>$K13="WAREHOUSE"</formula>
    </cfRule>
  </conditionalFormatting>
  <conditionalFormatting sqref="B13:B392 C13:E305 F13:F375 G13:H305 I13:I381 J13:J305 K13:K451 L13:L305 C340:E340 G340:H340 J340 L340 B450:J451 L450:L451">
    <cfRule type="expression" dxfId="4" priority="5">
      <formula>$K13="TROCA"</formula>
    </cfRule>
  </conditionalFormatting>
  <conditionalFormatting sqref="B13:B392 C13:E305 F13:F375 G13:H305 I13:I381 J13:J305 K13:K451 L13:L305 C340:E340 G340:H340 J340 L340 B450:J451 L450:L451">
    <cfRule type="expression" dxfId="5" priority="6">
      <formula>$K13="RECOMPRA"</formula>
    </cfRule>
  </conditionalFormatting>
  <dataValidations>
    <dataValidation type="list" allowBlank="1" sqref="E13:E468">
      <formula1>"CONSTRUÇÃO,MÃO DE OBRA,PRODUTOS,MÃO DE OBRA G,MÓVEIS,EXTRAS,FIXOS,PACOTES,PACOTES TEMATICOS"</formula1>
    </dataValidation>
    <dataValidation type="custom" allowBlank="1" showDropDown="1" sqref="L13:L468">
      <formula1>AND(ISNUMBER(L13),(NOT(OR(NOT(ISERROR(DATEVALUE(L13))), AND(ISNUMBER(L13), LEFT(CELL("format", L13))="D")))))</formula1>
    </dataValidation>
    <dataValidation type="custom" allowBlank="1" showDropDown="1" sqref="G13:J468">
      <formula1>AND(ISNUMBER(G13),(NOT(OR(NOT(ISERROR(DATEVALUE(G13))), AND(ISNUMBER(G13), LEFT(CELL("format", G13))="D")))))</formula1>
    </dataValidation>
    <dataValidation allowBlank="1" showDropDown="1" sqref="D13:D468"/>
    <dataValidation type="list" allowBlank="1" showErrorMessage="1" sqref="K13:K468">
      <formula1>"COMPRADO,ENTREGUE,A COMPRAR,WAREHOUSE,TROCA,RECOMPRA"</formula1>
    </dataValidation>
  </dataValidations>
  <hyperlinks>
    <hyperlink r:id="rId1" ref="F13"/>
    <hyperlink r:id="rId2" ref="F18"/>
    <hyperlink r:id="rId3" ref="F66"/>
    <hyperlink r:id="rId4" ref="F67"/>
    <hyperlink r:id="rId5" ref="F68"/>
    <hyperlink r:id="rId6" ref="F69"/>
    <hyperlink r:id="rId7" ref="F70"/>
    <hyperlink r:id="rId8" ref="F71"/>
    <hyperlink r:id="rId9" ref="F72"/>
    <hyperlink r:id="rId10" ref="F87"/>
    <hyperlink r:id="rId11" ref="F90"/>
    <hyperlink r:id="rId12" ref="F92"/>
    <hyperlink r:id="rId13" ref="F101"/>
    <hyperlink r:id="rId14" ref="F105"/>
    <hyperlink r:id="rId15" ref="F112"/>
    <hyperlink r:id="rId16" ref="F117"/>
    <hyperlink r:id="rId17" ref="F118"/>
    <hyperlink r:id="rId18" ref="F120"/>
    <hyperlink r:id="rId19" ref="F121"/>
    <hyperlink r:id="rId20" ref="F122"/>
    <hyperlink r:id="rId21" ref="F124"/>
    <hyperlink r:id="rId22" ref="F125"/>
    <hyperlink r:id="rId23" ref="F126"/>
    <hyperlink r:id="rId24" ref="F127"/>
    <hyperlink r:id="rId25" ref="F128"/>
    <hyperlink r:id="rId26" ref="F129"/>
    <hyperlink r:id="rId27" ref="F130"/>
    <hyperlink r:id="rId28" ref="F131"/>
    <hyperlink r:id="rId29" ref="F132"/>
    <hyperlink r:id="rId30" ref="F133"/>
    <hyperlink r:id="rId31" ref="F134"/>
    <hyperlink r:id="rId32" ref="F135"/>
    <hyperlink r:id="rId33" ref="F136"/>
    <hyperlink r:id="rId34" ref="F137"/>
    <hyperlink r:id="rId35" ref="F138"/>
    <hyperlink r:id="rId36" ref="F139"/>
    <hyperlink r:id="rId37" ref="F146"/>
    <hyperlink r:id="rId38" ref="F147"/>
    <hyperlink r:id="rId39" ref="F150"/>
    <hyperlink r:id="rId40" ref="F152"/>
    <hyperlink r:id="rId41" ref="F157"/>
    <hyperlink r:id="rId42" ref="F161"/>
    <hyperlink r:id="rId43" ref="F162"/>
    <hyperlink r:id="rId44" ref="F163"/>
    <hyperlink r:id="rId45" ref="F164"/>
    <hyperlink r:id="rId46" ref="F165"/>
    <hyperlink r:id="rId47" ref="F169"/>
    <hyperlink r:id="rId48" ref="F171"/>
    <hyperlink r:id="rId49" ref="F173"/>
    <hyperlink r:id="rId50" ref="F178"/>
    <hyperlink r:id="rId51" ref="F187"/>
    <hyperlink r:id="rId52" ref="F188"/>
    <hyperlink r:id="rId53" ref="F189"/>
    <hyperlink r:id="rId54" ref="F193"/>
    <hyperlink r:id="rId55" ref="F194"/>
    <hyperlink r:id="rId56" ref="F198"/>
    <hyperlink r:id="rId57" ref="F200"/>
    <hyperlink r:id="rId58" ref="F201"/>
    <hyperlink r:id="rId59" ref="F204"/>
    <hyperlink r:id="rId60" ref="F205"/>
    <hyperlink r:id="rId61" ref="F206"/>
    <hyperlink r:id="rId62" ref="F207"/>
    <hyperlink r:id="rId63" ref="F208"/>
    <hyperlink r:id="rId64" ref="F209"/>
    <hyperlink r:id="rId65" ref="F210"/>
    <hyperlink r:id="rId66" ref="F211"/>
    <hyperlink r:id="rId67" ref="F213"/>
    <hyperlink r:id="rId68" ref="F214"/>
    <hyperlink r:id="rId69" ref="F216"/>
    <hyperlink r:id="rId70" ref="F219"/>
    <hyperlink r:id="rId71" ref="F228"/>
    <hyperlink r:id="rId72" ref="F229"/>
    <hyperlink r:id="rId73" ref="F230"/>
    <hyperlink r:id="rId74" ref="F231"/>
    <hyperlink r:id="rId75" ref="F234"/>
    <hyperlink r:id="rId76" ref="F238"/>
    <hyperlink r:id="rId77" ref="F240"/>
    <hyperlink r:id="rId78" ref="F244"/>
    <hyperlink r:id="rId79" ref="F245"/>
    <hyperlink r:id="rId80" ref="F246"/>
    <hyperlink r:id="rId81" ref="F247"/>
    <hyperlink r:id="rId82" ref="F248"/>
    <hyperlink r:id="rId83" ref="F249"/>
    <hyperlink r:id="rId84" ref="F250"/>
    <hyperlink r:id="rId85" ref="F251"/>
    <hyperlink r:id="rId86" ref="F252"/>
    <hyperlink r:id="rId87" ref="F253"/>
    <hyperlink r:id="rId88" ref="F254"/>
    <hyperlink r:id="rId89" ref="F255"/>
    <hyperlink r:id="rId90" ref="F256"/>
    <hyperlink r:id="rId91" ref="F257"/>
    <hyperlink r:id="rId92" ref="F260"/>
    <hyperlink r:id="rId93" ref="F261"/>
    <hyperlink r:id="rId94" ref="F262"/>
    <hyperlink r:id="rId95" ref="F263"/>
    <hyperlink r:id="rId96" ref="F265"/>
    <hyperlink r:id="rId97" ref="F268"/>
    <hyperlink r:id="rId98" ref="F275"/>
    <hyperlink r:id="rId99" ref="F276"/>
    <hyperlink r:id="rId100" ref="F277"/>
    <hyperlink r:id="rId101" ref="F278"/>
    <hyperlink r:id="rId102" ref="F282"/>
    <hyperlink r:id="rId103" ref="F286"/>
    <hyperlink r:id="rId104" ref="F288"/>
    <hyperlink r:id="rId105" ref="F295"/>
    <hyperlink r:id="rId106" ref="F296"/>
    <hyperlink r:id="rId107" ref="F297"/>
    <hyperlink r:id="rId108" ref="F299"/>
    <hyperlink r:id="rId109" ref="F301"/>
    <hyperlink r:id="rId110" ref="F302"/>
    <hyperlink r:id="rId111" ref="F303"/>
    <hyperlink r:id="rId112" ref="F306"/>
    <hyperlink r:id="rId113" ref="F307"/>
    <hyperlink r:id="rId114" ref="F309"/>
    <hyperlink r:id="rId115" ref="F312"/>
    <hyperlink r:id="rId116" ref="F321"/>
    <hyperlink r:id="rId117" ref="F322"/>
    <hyperlink r:id="rId118" ref="F323"/>
    <hyperlink r:id="rId119" ref="F324"/>
    <hyperlink r:id="rId120" ref="F328"/>
    <hyperlink r:id="rId121" ref="F332"/>
    <hyperlink r:id="rId122" ref="F335"/>
    <hyperlink r:id="rId123" ref="F336"/>
    <hyperlink r:id="rId124" ref="F337"/>
    <hyperlink r:id="rId125" ref="F338"/>
    <hyperlink r:id="rId126" ref="F339"/>
    <hyperlink r:id="rId127" ref="F342"/>
    <hyperlink r:id="rId128" ref="F343"/>
    <hyperlink r:id="rId129" ref="F344"/>
    <hyperlink r:id="rId130" ref="F345"/>
    <hyperlink r:id="rId131" ref="F346"/>
    <hyperlink r:id="rId132" ref="F347"/>
    <hyperlink r:id="rId133" ref="F348"/>
    <hyperlink r:id="rId134" ref="F349"/>
    <hyperlink r:id="rId135" ref="F351"/>
    <hyperlink r:id="rId136" ref="F352"/>
    <hyperlink r:id="rId137" ref="F356"/>
    <hyperlink r:id="rId138" ref="F357"/>
    <hyperlink r:id="rId139" ref="F358"/>
    <hyperlink r:id="rId140" ref="F359"/>
    <hyperlink r:id="rId141" ref="F360"/>
    <hyperlink r:id="rId142" ref="F361"/>
    <hyperlink r:id="rId143" ref="F362"/>
    <hyperlink r:id="rId144" ref="F365"/>
    <hyperlink r:id="rId145" ref="F368"/>
    <hyperlink r:id="rId146" ref="F369"/>
    <hyperlink r:id="rId147" ref="F375"/>
    <hyperlink r:id="rId148" ref="F377"/>
    <hyperlink r:id="rId149" ref="F378"/>
    <hyperlink r:id="rId150" ref="F379"/>
    <hyperlink r:id="rId151" ref="F380"/>
    <hyperlink r:id="rId152" ref="F381"/>
    <hyperlink r:id="rId153" ref="F382"/>
    <hyperlink r:id="rId154" ref="F385"/>
    <hyperlink r:id="rId155" ref="F388"/>
    <hyperlink r:id="rId156" ref="F391"/>
    <hyperlink r:id="rId157" ref="F398"/>
    <hyperlink r:id="rId158" ref="F400"/>
    <hyperlink r:id="rId159" ref="F402"/>
    <hyperlink r:id="rId160" ref="F403"/>
    <hyperlink r:id="rId161" ref="F406"/>
    <hyperlink r:id="rId162" ref="F407"/>
    <hyperlink r:id="rId163" ref="F408"/>
    <hyperlink r:id="rId164" ref="F409"/>
    <hyperlink r:id="rId165" ref="F410"/>
    <hyperlink r:id="rId166" ref="F411"/>
    <hyperlink r:id="rId167" ref="F415"/>
    <hyperlink r:id="rId168" ref="F416"/>
    <hyperlink r:id="rId169" ref="F417"/>
    <hyperlink r:id="rId170" ref="F419"/>
    <hyperlink r:id="rId171" ref="F421"/>
    <hyperlink r:id="rId172" ref="F423"/>
    <hyperlink r:id="rId173" ref="F424"/>
    <hyperlink r:id="rId174" ref="F426"/>
    <hyperlink r:id="rId175" ref="F427"/>
    <hyperlink r:id="rId176" ref="F428"/>
    <hyperlink r:id="rId177" ref="F430"/>
    <hyperlink r:id="rId178" ref="F431"/>
    <hyperlink r:id="rId179" ref="F432"/>
    <hyperlink r:id="rId180" ref="F433"/>
    <hyperlink r:id="rId181" ref="F434"/>
    <hyperlink r:id="rId182" ref="F435"/>
    <hyperlink r:id="rId183" ref="F436"/>
    <hyperlink r:id="rId184" ref="F437"/>
    <hyperlink r:id="rId185" ref="F438"/>
    <hyperlink r:id="rId186" ref="F439"/>
    <hyperlink r:id="rId187" ref="F443"/>
    <hyperlink r:id="rId188" ref="F449"/>
  </hyperlinks>
  <drawing r:id="rId189"/>
  <tableParts count="1">
    <tablePart r:id="rId19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2025-03-19T18:42:01Z</dcterms:created>
  <dc:creator>Appenin Cabinets</dc:creator>
</cp:coreProperties>
</file>