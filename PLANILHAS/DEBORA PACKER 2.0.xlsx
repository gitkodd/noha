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1" sheetId="1" r:id="rId4"/>
    <sheet state="visible" name="Tabela dinâmica 16" sheetId="2" r:id="rId5"/>
    <sheet state="hidden" name="DASH BOARD" sheetId="3" r:id="rId6"/>
  </sheets>
  <definedNames>
    <definedName hidden="1" localSheetId="0" name="_xlnm._FilterDatabase">'BD1'!$B$12:$L$285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OSjsUaUueSiYisExuct/IGu9P4qxoZOski36Rsfetmg="/>
    </ext>
  </extLst>
</workbook>
</file>

<file path=xl/sharedStrings.xml><?xml version="1.0" encoding="utf-8"?>
<sst xmlns="http://schemas.openxmlformats.org/spreadsheetml/2006/main" count="1574" uniqueCount="356">
  <si>
    <t xml:space="preserve">  </t>
  </si>
  <si>
    <t>Ambiente</t>
  </si>
  <si>
    <t>Company</t>
  </si>
  <si>
    <t>Product</t>
  </si>
  <si>
    <t>Category</t>
  </si>
  <si>
    <t>LINK</t>
  </si>
  <si>
    <t>Qty</t>
  </si>
  <si>
    <t>Unit Cost Price</t>
  </si>
  <si>
    <t>Price Cost</t>
  </si>
  <si>
    <t>Actual Cost</t>
  </si>
  <si>
    <t>STATUS</t>
  </si>
  <si>
    <t>Comentarios</t>
  </si>
  <si>
    <t>FOYER</t>
  </si>
  <si>
    <t>Amazon</t>
  </si>
  <si>
    <t>Lampada Arandela</t>
  </si>
  <si>
    <t>CONSTRUÇÃO</t>
  </si>
  <si>
    <t>ENTREGUE</t>
  </si>
  <si>
    <t>EQUIPE NOHA</t>
  </si>
  <si>
    <t>Instalação Arandela</t>
  </si>
  <si>
    <t>FIXOS</t>
  </si>
  <si>
    <t>Mão de Obra Boserie + pintura</t>
  </si>
  <si>
    <t>Material Boiserie + Pintura</t>
  </si>
  <si>
    <t>Capacho de Porta</t>
  </si>
  <si>
    <t>PRODUTOS</t>
  </si>
  <si>
    <t>COMPRADO</t>
  </si>
  <si>
    <t>VIG</t>
  </si>
  <si>
    <t>Console</t>
  </si>
  <si>
    <t>MÓVEIS</t>
  </si>
  <si>
    <t>Home goods</t>
  </si>
  <si>
    <t>Deco</t>
  </si>
  <si>
    <t>DECORAÇÃO</t>
  </si>
  <si>
    <t>Espelho</t>
  </si>
  <si>
    <t>Instalação de espelho</t>
  </si>
  <si>
    <t>Filtro Ar</t>
  </si>
  <si>
    <t>Checar Modelo</t>
  </si>
  <si>
    <t>Arandela</t>
  </si>
  <si>
    <t>KITCHEN Dormem 14 pessoas</t>
  </si>
  <si>
    <t>Utensilios Set</t>
  </si>
  <si>
    <t>Bandejas de Aluminio Grande Pack 2</t>
  </si>
  <si>
    <t>Meridian</t>
  </si>
  <si>
    <t>Banqueta</t>
  </si>
  <si>
    <t>395Cream-C</t>
  </si>
  <si>
    <t>Cafeteira</t>
  </si>
  <si>
    <t>Chaleira</t>
  </si>
  <si>
    <t>Coaster Set Pack 16</t>
  </si>
  <si>
    <t>Colher de Pau</t>
  </si>
  <si>
    <t xml:space="preserve">Pendente </t>
  </si>
  <si>
    <t>Lampada pendente</t>
  </si>
  <si>
    <t>Instalação de pendentes</t>
  </si>
  <si>
    <t>Home Goods</t>
  </si>
  <si>
    <t>Copo de medida</t>
  </si>
  <si>
    <t>Copos para piscina Pack 16</t>
  </si>
  <si>
    <t>Escorredor de Macarrao</t>
  </si>
  <si>
    <t>Fruteira</t>
  </si>
  <si>
    <t>Jarras para Sucos</t>
  </si>
  <si>
    <t>Jogo americano Pack 8</t>
  </si>
  <si>
    <t>Jogo de Copos Grandes Pack 8</t>
  </si>
  <si>
    <t>Jogo De Facas</t>
  </si>
  <si>
    <t>Costco</t>
  </si>
  <si>
    <t>Jogo de Panelas</t>
  </si>
  <si>
    <t>Jogo de Pratos Pack 4</t>
  </si>
  <si>
    <t>Jogo de talheres Pack 12</t>
  </si>
  <si>
    <t>Liquidificador</t>
  </si>
  <si>
    <t>Luvas para Forno</t>
  </si>
  <si>
    <t>Panos de Pratos</t>
  </si>
  <si>
    <t>Porta Talheres</t>
  </si>
  <si>
    <t>Saca Rolhas</t>
  </si>
  <si>
    <t>Saladeira Grande</t>
  </si>
  <si>
    <t>Suporte papel toalha</t>
  </si>
  <si>
    <t>Tabua de Cortar</t>
  </si>
  <si>
    <t>Taças para Vinho</t>
  </si>
  <si>
    <t>Tostadeira</t>
  </si>
  <si>
    <t>Tuppleware</t>
  </si>
  <si>
    <t>Taça de Champagne</t>
  </si>
  <si>
    <t>Tampa para Microondas</t>
  </si>
  <si>
    <t>LAUNDRY</t>
  </si>
  <si>
    <t>Aspirador de Pó</t>
  </si>
  <si>
    <t>Desentupidor</t>
  </si>
  <si>
    <t>Ferro de Passar</t>
  </si>
  <si>
    <t>MOP</t>
  </si>
  <si>
    <t>Pá e Escova</t>
  </si>
  <si>
    <t>Tábua de Passar</t>
  </si>
  <si>
    <t xml:space="preserve">Vassoura </t>
  </si>
  <si>
    <t>DINNING ROOM</t>
  </si>
  <si>
    <t>Polyanna</t>
  </si>
  <si>
    <t>Cortina sem BK (Medida*2.3)</t>
  </si>
  <si>
    <t>CORTINA</t>
  </si>
  <si>
    <t>VALOR PACK TOTAL DINING</t>
  </si>
  <si>
    <t>Pendente Dining</t>
  </si>
  <si>
    <t>Instalação pendente Dining</t>
  </si>
  <si>
    <t>Lampada p Luminaria p Dining</t>
  </si>
  <si>
    <t>Spot para sala de jantar</t>
  </si>
  <si>
    <t>Instalação spot até 5 spots</t>
  </si>
  <si>
    <t>Quadro</t>
  </si>
  <si>
    <t>Instalacao de quadro</t>
  </si>
  <si>
    <t xml:space="preserve">Espelho </t>
  </si>
  <si>
    <t>o mesmo do foyer</t>
  </si>
  <si>
    <t>Foi alterado para Amazon</t>
  </si>
  <si>
    <t>Decoracao mesa jantar</t>
  </si>
  <si>
    <t>Chairs</t>
  </si>
  <si>
    <t>381Cream-SC</t>
  </si>
  <si>
    <t>Mesa de Jantar</t>
  </si>
  <si>
    <t>LIVING ROOM</t>
  </si>
  <si>
    <t>Coffee Table</t>
  </si>
  <si>
    <t>Puff</t>
  </si>
  <si>
    <t>105Green</t>
  </si>
  <si>
    <t>DECOR INGRID</t>
  </si>
  <si>
    <t>Decoração Painel Living p/ nicho</t>
  </si>
  <si>
    <t>Appenin</t>
  </si>
  <si>
    <t>Marcenaria</t>
  </si>
  <si>
    <t>MARCENARIA</t>
  </si>
  <si>
    <t xml:space="preserve">Pack </t>
  </si>
  <si>
    <t xml:space="preserve">Sofa </t>
  </si>
  <si>
    <t>141Beige-S140</t>
  </si>
  <si>
    <t>Poltrona</t>
  </si>
  <si>
    <t>Almofadas de Decoração</t>
  </si>
  <si>
    <t>Laurent Rugs</t>
  </si>
  <si>
    <t>Tapete 10x14</t>
  </si>
  <si>
    <t>Walmart</t>
  </si>
  <si>
    <t>TV 75"</t>
  </si>
  <si>
    <t>LG</t>
  </si>
  <si>
    <t>Wall Mount</t>
  </si>
  <si>
    <t>B001OCY3RY</t>
  </si>
  <si>
    <t>Cover Plate</t>
  </si>
  <si>
    <t>B07CRWD8DZ</t>
  </si>
  <si>
    <t>Remoção Persiana</t>
  </si>
  <si>
    <t>Fechamento de janela</t>
  </si>
  <si>
    <t>Wayfair</t>
  </si>
  <si>
    <t>Planta</t>
  </si>
  <si>
    <t>Led e Reator Painel PVC</t>
  </si>
  <si>
    <t>Foi adicionado essa liha - Nao estava provisionado</t>
  </si>
  <si>
    <t xml:space="preserve">LOFT </t>
  </si>
  <si>
    <t>Tv Stand</t>
  </si>
  <si>
    <t>https://www.wayfair.com/furniture/pdp/latitude-run-modern-4-door-tv-stand-storage-credenza-w113822445.html?piid=826973710&amp;auctionId=9b7905bf-0d8c-47cd-8814-a8c1034415c4&amp;adTypeId=1&amp;hmns=v2%7E0vFEEaWCJ2Tb_MNP3vw-bbGUVwZGWloNo5goPs_og0oHchNTkaBqHdiVRhiw7VoQ0vtWAJHtUGff-0kE3fpYZbDzN2anmjJ4qpY-eM2JOWmskyAj6sp1Tp3NcGfb_zYr3KtXT4a6G1rK7BULg6wERtDoRRaui0UR3aZJC9fqWwcgXqX9OwOo92lw7v86RfKpIFWwsXUCs74oC7y9LF7vvkBhg9MXNobQSjra2BM-mb9mHvaiZjOYx15A2t5ff56fJwGwuiRrurJ7WejsLwm46TURyaY-RaCiaxv48zpP_qRTJMT6OizGl1t-mMsLLp3JE3PTgU4FtucqCL6LTWnU5tqXPHum2GJ0qIsreav0CjyFjzllqoFyRaKaMWerzmF4z_JXBsf2ThbYlgFOwZ01fJChGEbE_wQbyPBcBs7uOUbg32s749kgbeyFLGuqjSg%7EWh1HuSku1RlJX7drSFvCCiE6tm9IW7drJivbH0Be4AImaIUFIDjOakxLt2tINdofOFqza0hbtwUnPdtqTFu3a0g1wQUsU7MsJzTQCS462mpMXrdrSDnRCixas25IW7cfOzzDakzaCWNDL8QfMlqzl7ekSBknL81jWBraDjoy1ApnFdIcFwLYGSM_wwggWrNrSFu3Hyw02mNHLMAcZizWEi463hlmONgGJy7FB0DT3x88K8RRZ3TAHD91wAoxPdYCOnXUBCV00R46Nd4fPSnSRDg_x0QkOsMCPC7TDmUpwgVlNtgPLSnZRj862wU9L5ofPnbEHyk100Y_MsMDZWiaDzo6wA46KJoNJymaGDwi2wI7M5oHIS3eBS92xQQnNpoYPDTFCi8-mhx5aoNZeGiAWXt13x8lN94IKSu2b0hbt2svN9YNSV-3a0hb1AMpPbZvSFu3az8_z1pJX7drSFvHBiA3tm9IW7drOzjFHElfHG1IW8QIOjO2b4hYt2s7ONYcSV8cbUhbxAgpM7Zv2Fi3azs41A9JX69rSFvECDg_tm9QW7drLCvPGUlftmtIW8ECOzq2b0hbt2s-MsACSV_ebEhbwQIgPrZv3Vi3ayoz2w5JX7ZrSFvBBCQ-tm9QW7drKjrTG0lft2tIW8QOIT-_W3FigFguOIdYfT3WWitr0VpxP9NYZT-CXnl2g1NxOZpSfW6BRipq0wh4bYRTKz7TDys31BNJX1xqSFvUBysitm-6WrdrKzfDGUlftmtIW9UIIDq2b0lbt2sqN9IdSV_ka0hb</t>
  </si>
  <si>
    <t>Luminaria</t>
  </si>
  <si>
    <t>https://www.amazon.com/dp/B09YHWY5LB/ref=sspa_dk_detail_right_aax_0?sp_csd=d2lkZ2V0TmFtZT1zcF9kZXRhaWxfcmlnaHRfc2hhcmVk&amp;th=1</t>
  </si>
  <si>
    <t>Sofa</t>
  </si>
  <si>
    <t>141Beige-Sec5D</t>
  </si>
  <si>
    <t>Almofada Sofa</t>
  </si>
  <si>
    <t>Pollyana</t>
  </si>
  <si>
    <t>https://www.walmart.com/search?q=tv%2075%20inch&amp;typeahead=tv%2075</t>
  </si>
  <si>
    <t>Instalação Wall Mount</t>
  </si>
  <si>
    <t>Wallpaper Material</t>
  </si>
  <si>
    <t>CONFERIR MEDIDA</t>
  </si>
  <si>
    <t>Instalacão Wallpaper</t>
  </si>
  <si>
    <t>PAPEL DE PAREDE</t>
  </si>
  <si>
    <t>PAGUEI JUNTO TOTAL $840</t>
  </si>
  <si>
    <t>Decor</t>
  </si>
  <si>
    <t xml:space="preserve">Luminaria de chão </t>
  </si>
  <si>
    <t>Trendy Rugs</t>
  </si>
  <si>
    <t>Tapete 9x12</t>
  </si>
  <si>
    <t xml:space="preserve"> Bedroom Suite Master king BEGE</t>
  </si>
  <si>
    <t>Abajur</t>
  </si>
  <si>
    <t>https://www.amazon.com/dp/B0CG5YPJ7C/ref=sspa_dk_detail_2?pd_rd_i=B0CG5YPJ7C&amp;pd_rd_w=nWsRX&amp;content-id=amzn1.sym.386c274b-4bfe-4421-9052-a1a56db557ab&amp;pf_rd_p=386c274b-4bfe-4421-9052-a1a56db557ab&amp;pf_rd_r=8CC5QFMG5PZ9NP510MXH&amp;pd_rd_wg=nkRLR&amp;pd_rd_r=55cdfeb2-7370-4963-87a8-8afaf3031ed3&amp;sp_csd=d2lkZ2V0TmFtZT1zcF9kZXRhaWxfdGhlbWF0aWM&amp;th=1</t>
  </si>
  <si>
    <t>Instalação Luminária</t>
  </si>
  <si>
    <t>Lampada para Luminaria</t>
  </si>
  <si>
    <t>Bed</t>
  </si>
  <si>
    <t>FlynnCream-K</t>
  </si>
  <si>
    <t>Night Stand</t>
  </si>
  <si>
    <t>81223|81223A</t>
  </si>
  <si>
    <t>Dresser</t>
  </si>
  <si>
    <t>Banco</t>
  </si>
  <si>
    <t>443Cream</t>
  </si>
  <si>
    <t>Cabides</t>
  </si>
  <si>
    <t>Cortina COM BK (medida*2.3)</t>
  </si>
  <si>
    <t>Lençol Extra King</t>
  </si>
  <si>
    <t>Quilt King</t>
  </si>
  <si>
    <t xml:space="preserve">Manta King </t>
  </si>
  <si>
    <t>Mattress Protector King</t>
  </si>
  <si>
    <t>Vanderlei</t>
  </si>
  <si>
    <t>Mattress King</t>
  </si>
  <si>
    <t>COLCHÃO/VANDERLEI</t>
  </si>
  <si>
    <t>KING</t>
  </si>
  <si>
    <t>Mattress Box King</t>
  </si>
  <si>
    <t>Sams</t>
  </si>
  <si>
    <t>Pillow King</t>
  </si>
  <si>
    <t>Hotel Collection King</t>
  </si>
  <si>
    <t>Estoque</t>
  </si>
  <si>
    <t>Instalação Espelho</t>
  </si>
  <si>
    <t>TV 50"</t>
  </si>
  <si>
    <t>Wall Mart</t>
  </si>
  <si>
    <t>Eletric Extension</t>
  </si>
  <si>
    <t>Cabo HDMI</t>
  </si>
  <si>
    <t>cover plate</t>
  </si>
  <si>
    <t>Boiserie Material</t>
  </si>
  <si>
    <t>Boiserie Mao de obra + pintura</t>
  </si>
  <si>
    <t xml:space="preserve"> Bedroom Inferior 02 King BEGE</t>
  </si>
  <si>
    <t>Lampadas de Abajour</t>
  </si>
  <si>
    <t>Spot Central</t>
  </si>
  <si>
    <t>B07HKTGGP4</t>
  </si>
  <si>
    <t>Valor Total Bed 3</t>
  </si>
  <si>
    <t>Instalação spot central</t>
  </si>
  <si>
    <t>AsherCognac-K</t>
  </si>
  <si>
    <t>NAO PRECISOU</t>
  </si>
  <si>
    <t>Quadros</t>
  </si>
  <si>
    <t>Instalação Quadros</t>
  </si>
  <si>
    <t xml:space="preserve">TV 43" </t>
  </si>
  <si>
    <t xml:space="preserve"> Bedroom 03 King</t>
  </si>
  <si>
    <t>INGRID</t>
  </si>
  <si>
    <t>Valor p o Bed 2 - Irá sobrar 4</t>
  </si>
  <si>
    <t>ArborCream-K</t>
  </si>
  <si>
    <t>Bedroom 03 King</t>
  </si>
  <si>
    <t xml:space="preserve">Pes para os moveis </t>
  </si>
  <si>
    <t>Adicionei a linha - nao estava previsto</t>
  </si>
  <si>
    <t>Manta King Cinza</t>
  </si>
  <si>
    <t>TV 43"</t>
  </si>
  <si>
    <t xml:space="preserve"> Bedroom 04 Harry Potter Full</t>
  </si>
  <si>
    <t>Wudson</t>
  </si>
  <si>
    <t>Bed Full harry potter</t>
  </si>
  <si>
    <t>PACOTES TEMATICOS</t>
  </si>
  <si>
    <t>Arandela Cama</t>
  </si>
  <si>
    <t>Arandela Loja</t>
  </si>
  <si>
    <t>Chapeu</t>
  </si>
  <si>
    <t>Velas</t>
  </si>
  <si>
    <t>Vidros</t>
  </si>
  <si>
    <t>Bola Magica</t>
  </si>
  <si>
    <t>Caldeirao</t>
  </si>
  <si>
    <t>Coruja</t>
  </si>
  <si>
    <t>Oculos e gravata</t>
  </si>
  <si>
    <t>Livro</t>
  </si>
  <si>
    <t>Gaiola</t>
  </si>
  <si>
    <t xml:space="preserve">Conforter </t>
  </si>
  <si>
    <t>Sams Club</t>
  </si>
  <si>
    <t>Pillow Standard</t>
  </si>
  <si>
    <t>Serta Standard</t>
  </si>
  <si>
    <t>Cortina COM BK( Medida*2.3)</t>
  </si>
  <si>
    <t>Mattress Full</t>
  </si>
  <si>
    <t>Mattress Protector Full</t>
  </si>
  <si>
    <t>TV 32"</t>
  </si>
  <si>
    <t>WUDSON</t>
  </si>
  <si>
    <t>Bedroom 05 Toy Story Full</t>
  </si>
  <si>
    <t>Bed Full Toy Story</t>
  </si>
  <si>
    <t>PACOTE WUDSON</t>
  </si>
  <si>
    <t>Lampada Jumbo</t>
  </si>
  <si>
    <t>https://www.amazon.com/Zinus-Mattress-Fiberglass-Pressure-Certified/dp/B0CKYZHV5D/ref=sr_1_4?crid=R2KBWECPLR1D&amp;dib=eyJ2IjoiMSJ9.DO_w8f1J0X5rYl6o_167bA.5L6sTViIMXQq_i1bQ9Lm0xbGhWOrDnoypudsHdxyrx8&amp;dib_tag=se&amp;keywords=B0CKYZHV5D&amp;qid=1744320428&amp;s=home-garden&amp;sprefix=b0ckyzhv5d%2Cgarden%2C129&amp;sr=1-4&amp;th=1</t>
  </si>
  <si>
    <t>https://www.amazon.com/dp/B00MW50754/ref=twister_B0CYCRVKD1?_encoding=UTF8&amp;th=1</t>
  </si>
  <si>
    <t>https://www.amazon.com/PERLESMITH-Bracket-Profile-Design-Plasma/dp/B07P72ZB37/ref=sr_1_4_sspa?crid=IU5OHSOFDQLA&amp;dib=eyJ2IjoiMSJ9.nk-D2udx-nUGyMe1PtqHiA.uuH2UkILjzoxXzLf6PQhFBcQ3CsT1Y7jX4Z8ubW49f0&amp;dib_tag=se&amp;keywords=B001OCY3RY&amp;qid=1745718416&amp;sprefix=b001ocy3ry%2Caps%2C96&amp;sr=8-4-spons&amp;sp_csd=d2lkZ2V0TmFtZT1zcF9tdGY&amp;th=1</t>
  </si>
  <si>
    <t>Slide</t>
  </si>
  <si>
    <t>Adicionado essa linha - nao foi  colocado na planilha</t>
  </si>
  <si>
    <t>GAME ROOM - MARIO</t>
  </si>
  <si>
    <t>Arcade Mario</t>
  </si>
  <si>
    <t>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</t>
  </si>
  <si>
    <t>Monitor para arcade</t>
  </si>
  <si>
    <t>https://www.walmart.com/ip/Memzuoix-TMDTMD24S1-Ultra-thin-24inch-100Hz-Computer-Monitor-FHD-1080P-LCD/3972343768?classType=VARIANT&amp;adsRedirect=true</t>
  </si>
  <si>
    <t>Suporte TV Arcade</t>
  </si>
  <si>
    <t>https://www.amazon.com/Orienttvbracket-Bracket-Position-Plasma-100x100mm/dp/B071VCYBXW/ref=sr_1_3?dib=eyJ2IjoiMSJ9.wZfsgyj-9ngqAyMTXxe_6XU2ujndttDv6QSHA9QYhOR_9augEPsdWb6_hU4RFpbrEbUpjUe4zqTRz_8IulZzGk1iFDpx1iVWk4ygqCB_C3gFMKylHJKOmlbuFScxODhwoQwT2k2_YDAyZC7DxJ0FiDKqSd76qsfyOm7SAgcFb-HRz6jFl3mXB-4iHYo9vVfl5bY99U7W-ypEHtnzSKIa8c2cMyuHJQLIldOcq6kWQEc.xXXnB3N-gRR0p52c0IO1gPjy9s-Mfs_sBadX5QucPtg&amp;dib_tag=se&amp;keywords=monitor+wall+mount&amp;qid=1761928210&amp;sr=8-3</t>
  </si>
  <si>
    <t>Hockey Table</t>
  </si>
  <si>
    <t>https://www.amazon.com/Triumph-Interactive-Featuring-All-Rail-Lighting/dp/B01MREOEQ4/ref=sr_1_8?crid=14PVZOXRUROLE&amp;dib=eyJ2IjoiMSJ9.hBaDXBvTc5D57f8x9CtVyLHEjFKCf7tc4NfCKwCHaRHoa_NH9JNQ05owJIxZijICeuyP1mPgmJWz9MnuJ2BDPnOj4C4MBcv-CpBq59HiqDq4Ra-hcrG7L7RsxcFawDe1O5_-DRCXRT4DwBUUU7yFqDaV_0hK9dQVhjX7sfgPgQ0WWGv_6F7F_L_9D1BIufDS7KF_s3jWCyQq6M7Q38YCZ73EHQTBX0wLHYFXsXAx2nvgCqPQqjr7k1aQXIJqdomX71o07lA08ubt7yynKTIocLAm5qwauBWqIRLeCQIm_kQ.8wcBiB_RTb11rCwlqvQXmpbXfM_zRNncgIAS3uDnNwE&amp;dib_tag=se&amp;keywords=air+hockey&amp;qid=1758672365&amp;s=sporting-goods&amp;sprefix=air+hockey%2Csporting%2C97&amp;sr=1-8</t>
  </si>
  <si>
    <t>BestBuy</t>
  </si>
  <si>
    <t>Video Game - PS5</t>
  </si>
  <si>
    <t xml:space="preserve">TV 50" </t>
  </si>
  <si>
    <t>https://www.walmart.com/ip/50-HISENSE-4K-GOOGLE-TV/17309421750?classType=REGULAR&amp;athbdg=L1103&amp;from=/search</t>
  </si>
  <si>
    <t>https://www.amazon.com/gp/product/B07P72ZB37/ref=ppx_yo_dt_b_search_asin_title?ie=UTF8&amp;th=11</t>
  </si>
  <si>
    <t>Controle de Video Game</t>
  </si>
  <si>
    <t xml:space="preserve">Game Chair </t>
  </si>
  <si>
    <t>https://www.amazon.com/dp/B07KJYY9BD/ref=sspa_dk_detail_6?pf_rd_p=f2f1cf8f-cab4-44dc-82ba-0ca811fb90cc&amp;pf_rd_r=Z0QJPQHWB0P1PTZNDQPB&amp;pd_rd_wg=K6lk6&amp;pd_rd_w=XkjwE&amp;content-id=amzn1.sym.f2f1cf8f-cab4-44dc-82ba-0ca811fb90cc&amp;pd_rd_r=7b7b1efe-455c-4bb3-b108-b29cc3799140&amp;sp_csd=d2lkZ2V0TmFtZT1zcF9kZXRhaWxfdGhlbWF0aWM&amp;th=1</t>
  </si>
  <si>
    <t>Mario Plush</t>
  </si>
  <si>
    <t>Yoshi Plush</t>
  </si>
  <si>
    <t>Reatores</t>
  </si>
  <si>
    <t>Diego</t>
  </si>
  <si>
    <t>Ar Condicionado Kit</t>
  </si>
  <si>
    <t>AR CONDICIONADO</t>
  </si>
  <si>
    <t>Instalacao de Ar Condicionado</t>
  </si>
  <si>
    <t>Game room - Material e Mao de Obra</t>
  </si>
  <si>
    <t>BATHROOM SINGLE 3</t>
  </si>
  <si>
    <t>ikea</t>
  </si>
  <si>
    <t>Lixinho</t>
  </si>
  <si>
    <t>Ikea</t>
  </si>
  <si>
    <t>Toilet Brush</t>
  </si>
  <si>
    <t>https://www.ikea.com/us/en/p/bolmen-toilet-brush-holder-white-40574435/</t>
  </si>
  <si>
    <t>Secador de Cabelo</t>
  </si>
  <si>
    <t>https://www.amazon.com/Conair-Keeper-Folding-Handle-Retractable/dp/B009ZPMPGI/ref=sr_1_9?crid=2CE0HPZNMSLFV&amp;dib=eyJ2IjoiMSJ9.6DKfbuoovGf_DtXnueXwGgIUyPUzYev1oxnfzKDdmiuoC1kB7IHVdawft_dqC4kQT1KrzJu0aUpX9JA9WfbBNW9Acne0yPCRjvXobzmKDVD0hpjlXU3d11zXZahIprZuGpHjymDrD0Ay2ytqffVPdx9e7gy2va79XWQ553mrNy5RRiHdVC59hzBKp2NMoZ9uklnu_R0JRPHiDe5NBSeX_wWC-IhBqYIEHA-6kP_1BswqsP9C-tGjZxgAJfhLtgzxZLR05fGj-YIcz8X8kda_Dv4LpjJvtGGrCV3RLwWDJaU.H7AdKgjLH6WXckHS_EZJlJBZRwcx_3sKT4iGhvEZLio&amp;dib_tag=se&amp;keywords=Compact+Hair+Dryer&amp;qid=1759541675&amp;sprefix=compact+hair+dryer%2Caps%2C135&amp;sr=8-9</t>
  </si>
  <si>
    <t>Soap Dispenser</t>
  </si>
  <si>
    <t>Tooth Brush Holder</t>
  </si>
  <si>
    <t>Suporte de Toalha</t>
  </si>
  <si>
    <t>https://www.amazon.com/Zitalupy-T-Shape-Towel-Rack-Countertop/dp/B0D232RB1V/ref=sr_1_3?crid=V7SJXAXA7XU7&amp;dib=eyJ2IjoiMSJ9.uJASzIuTkOKswAQDAkkmbQ.FeAbjlXHxFSTbp328KskjhqF_wZjSeyyQz8Z03zeYis&amp;dib_tag=se&amp;keywords=B0D232RB1V&amp;qid=1744320760&amp;sprefix=b0d232rb1v%2Caps%2C107&amp;sr=8-3&amp;th=1</t>
  </si>
  <si>
    <t>Tapetes Kit</t>
  </si>
  <si>
    <t>Toalhas Grande - 6pk</t>
  </si>
  <si>
    <t>Todas as toalhas inclusive Piscina</t>
  </si>
  <si>
    <t>Toalhas Media - 12pk</t>
  </si>
  <si>
    <t>Valor Total Toalhas Grandes</t>
  </si>
  <si>
    <t>Toalhas Pequena - 24pk</t>
  </si>
  <si>
    <t>Toalha de Piscina - Individual</t>
  </si>
  <si>
    <t>BATHROOM DUPLO 2</t>
  </si>
  <si>
    <t>IKEA</t>
  </si>
  <si>
    <t>https://www.ikea.com/us/en/p/snoerpa-pedal-bin-stainless-steel-10511208/</t>
  </si>
  <si>
    <t>B0D232RB1V</t>
  </si>
  <si>
    <t>LANAI</t>
  </si>
  <si>
    <t>Paulo Barbosa</t>
  </si>
  <si>
    <t>Tela de Privacidade</t>
  </si>
  <si>
    <t>TELA DE PRIVACIDADE</t>
  </si>
  <si>
    <t>Almofada espreguicadeira Pack 2 Pillow Cover</t>
  </si>
  <si>
    <t>https://www.amazon.com/Textile-Outdoor-Waterproof-Farmhouse-Decorative/dp/B0CTG5BSVQ/ref=sims_dp_d_dex_ai_rank_model_1_d_v1_d_sccl_1_5/147-1871314-7552764?pd_rd_w=ea5wA&amp;content-id=amzn1.sym.da0b205c-8cc7-4a8d-9d0a-8ed3705890a2&amp;pf_rd_p=da0b205c-8cc7-4a8d-9d0a-8ed3705890a2&amp;pf_rd_r=AE3NQ6JPNADEZ2BPZS95&amp;pd_rd_wg=b6MBA&amp;pd_rd_r=166cc4c1-e216-4c03-9789-80faed6c407c&amp;pd_rd_i=B0CTG5BSVQ&amp;th=1</t>
  </si>
  <si>
    <t>Nao foi comprado</t>
  </si>
  <si>
    <t>Pillow Insert 12x20 Pack 2</t>
  </si>
  <si>
    <t>https://www.amazon.com/MIULEE-Outdoor-Waterproof-Hypoallergenic-Furniture/dp/B08MV1DBTD/ref=pd_bxgy_d_sccl_1/147-1871314-7552764?pd_rd_w=synkD&amp;content-id=amzn1.sym.de9a1315-b9df-4c24-863c-7afcb2e4cc0a&amp;pf_rd_p=de9a1315-b9df-4c24-863c-7afcb2e4cc0a&amp;pf_rd_r=QBKAEB90FPHVA3ZZA3PC&amp;pd_rd_wg=dO2sL&amp;pd_rd_r=63a311df-2253-48ae-848f-1e8145dec998&amp;pd_rd_i=B08MV1DBTD&amp;th=1</t>
  </si>
  <si>
    <t>Deco Mesa jantar</t>
  </si>
  <si>
    <t>Decor lanai</t>
  </si>
  <si>
    <t>Espreguicadeira Pack 2</t>
  </si>
  <si>
    <t>https://www.wayfair.com/outdoor/pdp/ebern-designs-patio-metal-reclining-chaise-lounge-set-w111014874.html?piid=278952009</t>
  </si>
  <si>
    <t>Mesa de jantar com cadeiras</t>
  </si>
  <si>
    <t>https://www.wayfair.com/outdoor/pdp/ebern-designs-theanna-rectangular-6-person-5906-long-dining-set-w009391601.html?piid=1952973249</t>
  </si>
  <si>
    <t>Refletores 2 Pack</t>
  </si>
  <si>
    <t>B07P6QXB66</t>
  </si>
  <si>
    <t>Refletores Instalação</t>
  </si>
  <si>
    <t>Ventilador</t>
  </si>
  <si>
    <t>Ventilador Instalação</t>
  </si>
  <si>
    <t>Bóias para piscina</t>
  </si>
  <si>
    <t>https://www.amazon.com/Inflatable-Colorful-FlyfreeU-Changing-Floaties/dp/B0BW83TD8Q/ref=sxin_16_pa_sp_search_thematic_sspa?content-id=amzn1.sym.27b41115-b206-47c3-8621-713097e8442c%3Aamzn1.sym.27b41115-b206-47c3-8621-713097e8442c&amp;crid=1WE4IAP1VOGJQ&amp;cv_ct_cx=boia+de+piscina&amp;keywords=boia+de+piscina&amp;pd_rd_i=B0BW83TD8Q&amp;pd_rd_r=a9a13afc-e30c-427c-bdb4-99e432aa6314&amp;pd_rd_w=N4UKf&amp;pd_rd_wg=i7iwO&amp;pf_rd_p=27b41115-b206-47c3-8621-713097e8442c&amp;pf_rd_r=7EN30CY25PR8X8127R6Q&amp;qid=1735356170&amp;sbo=RZvfv%2F%2FHxDF%2BO5021pAnSA%3D%3D&amp;sprefix=boia+de+piscina%2Caps%2C152&amp;sr=1-2-6024b2a3-78e4-4fed-8fed-e1613be3bcce-spons&amp;sp_csd=d2lkZ2V0TmFtZT1zcF9zZWFyY2hfdGhlbWF0aWM&amp;psc=1</t>
  </si>
  <si>
    <t>https://www.amazon.com/dp/B0721468V1/ref=sspa_dk_detail_6?pd_rd_i=B0721468V1&amp;pd_rd_w=Zb3wK&amp;content-id=amzn1.sym.386c274b-4bfe-4421-9052-a1a56db557ab&amp;pf_rd_p=386c274b-4bfe-4421-9052-a1a56db557ab&amp;pf_rd_r=3GF65BZANGN5WW0TQC9M&amp;pd_rd_wg=UBdi2&amp;pd_rd_r=9979f7c5-2fb0-4d1c-b252-cbcc8ebd5106&amp;s=sporting-goods&amp;sp_csd=d2lkZ2V0TmFtZT1zcF9kZXRhaWxfdGhlbWF0aWM&amp;th=1</t>
  </si>
  <si>
    <t>Lowes</t>
  </si>
  <si>
    <t>Churrasqueira</t>
  </si>
  <si>
    <t>https://www.lowes.com/pd/Char-Broil-CB-4-Burner-SS-Cabinet/5002180643</t>
  </si>
  <si>
    <t>Comprei na Wayfair</t>
  </si>
  <si>
    <t>Propane</t>
  </si>
  <si>
    <t>EXTRAS</t>
  </si>
  <si>
    <t>Marcenaria Pack</t>
  </si>
  <si>
    <t>407 Decor</t>
  </si>
  <si>
    <t xml:space="preserve">Painel Ripado - Material </t>
  </si>
  <si>
    <t>PVC</t>
  </si>
  <si>
    <t xml:space="preserve">Arvore de Natal </t>
  </si>
  <si>
    <t>NAO PREVISTO</t>
  </si>
  <si>
    <t xml:space="preserve">Painel Ripado - Instalação </t>
  </si>
  <si>
    <t xml:space="preserve">Lixo </t>
  </si>
  <si>
    <t>Material de obra</t>
  </si>
  <si>
    <t>Vanderlei - Colchao</t>
  </si>
  <si>
    <t xml:space="preserve">Shipping </t>
  </si>
  <si>
    <t>Gio</t>
  </si>
  <si>
    <t>Tapetes e Shipping Moveis Vig</t>
  </si>
  <si>
    <t>Instalação Cortina</t>
  </si>
  <si>
    <t>Juliana Villa Party</t>
  </si>
  <si>
    <t>Café</t>
  </si>
  <si>
    <t>CAFÉ</t>
  </si>
  <si>
    <t>Publix</t>
  </si>
  <si>
    <t>Mercado</t>
  </si>
  <si>
    <t>MERCADO</t>
  </si>
  <si>
    <t>Fotografo</t>
  </si>
  <si>
    <t>Foto e Video 9BED</t>
  </si>
  <si>
    <t>FOTOGRÁFO</t>
  </si>
  <si>
    <t>Limpeza e Inventario 10BED</t>
  </si>
  <si>
    <t>LIMPEZA</t>
  </si>
  <si>
    <t xml:space="preserve">Personagem </t>
  </si>
  <si>
    <t>PERSONAGEM</t>
  </si>
  <si>
    <t>SAMUEL</t>
  </si>
  <si>
    <t>PAGAMENTO FIXO SAMUEL</t>
  </si>
  <si>
    <t>VINICIUS</t>
  </si>
  <si>
    <t>PAGAMENTO FIXO VINICIUS</t>
  </si>
  <si>
    <t>LOWES</t>
  </si>
  <si>
    <t>BOX</t>
  </si>
  <si>
    <t>INSTALAÇÃO BOXES</t>
  </si>
  <si>
    <t>DAMPSTER</t>
  </si>
  <si>
    <t xml:space="preserve">DECORAÇÃO ARVORE </t>
  </si>
  <si>
    <t>FECHAMENTO JANELA SUÍTE</t>
  </si>
  <si>
    <t>SUM de Price Cost</t>
  </si>
  <si>
    <t>SUM de Actual Cost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</si>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</sst>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&quot;$&quot;#,##0.00_);[Red]\(&quot;$&quot;#,##0.00\)"/>
    <numFmt numFmtId="167" formatCode="&quot;R$&quot;#,##0.00"/>
  </numFmts>
  <fonts count="23">
    <font>
      <sz val="11.0"/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Roboto"/>
    </font>
    <font>
      <b/>
      <sz val="10.0"/>
      <color rgb="FFFFFFFF"/>
      <name val="Arial"/>
    </font>
    <font>
      <sz val="11.0"/>
      <color theme="1"/>
      <name val="Aptos Narrow"/>
    </font>
    <font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434343"/>
      <name val="Arial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color theme="1"/>
      <name val="Aptos Narrow"/>
      <scheme val="minor"/>
    </font>
    <font>
      <sz val="11.0"/>
      <color rgb="FF000000"/>
      <name val="Arial"/>
    </font>
    <font>
      <u/>
      <sz val="10.0"/>
      <color rgb="FF0000FF"/>
      <name val="Arial"/>
    </font>
    <font>
      <b/>
      <color rgb="FFFFFFFF"/>
      <name val="Arial"/>
    </font>
    <font>
      <u/>
      <color rgb="FF1155CC"/>
      <name val="Arial"/>
    </font>
    <font>
      <color rgb="FF333333"/>
      <name val="Arial"/>
    </font>
    <font>
      <u/>
      <color rgb="FF0000FF"/>
      <name val="Roboto"/>
    </font>
    <font>
      <color rgb="FF000000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EEEEE"/>
        <bgColor rgb="FFEEEEEE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0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ill="1" applyFont="1">
      <alignment horizontal="left" shrinkToFit="0" vertical="center" wrapText="0"/>
    </xf>
    <xf borderId="3" fillId="0" fontId="4" numFmtId="0" xfId="0" applyAlignment="1" applyBorder="1" applyFont="1">
      <alignment shrinkToFit="0" vertical="bottom" wrapText="0"/>
    </xf>
    <xf borderId="4" fillId="0" fontId="4" numFmtId="164" xfId="0" applyAlignment="1" applyBorder="1" applyFont="1" applyNumberFormat="1">
      <alignment shrinkToFit="0" vertical="bottom" wrapText="0"/>
    </xf>
    <xf borderId="4" fillId="3" fontId="4" numFmtId="0" xfId="0" applyAlignment="1" applyBorder="1" applyFill="1" applyFont="1">
      <alignment readingOrder="0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165" xfId="0" applyAlignment="1" applyBorder="1" applyFont="1" applyNumberFormat="1">
      <alignment shrinkToFit="0" vertical="bottom" wrapText="0"/>
    </xf>
    <xf borderId="4" fillId="4" fontId="3" numFmtId="165" xfId="0" applyAlignment="1" applyBorder="1" applyFill="1" applyFont="1" applyNumberFormat="1">
      <alignment readingOrder="0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4" fillId="4" fontId="7" numFmtId="166" xfId="0" applyAlignment="1" applyBorder="1" applyFont="1" applyNumberFormat="1">
      <alignment shrinkToFit="0" vertical="center" wrapText="0"/>
    </xf>
    <xf borderId="3" fillId="0" fontId="4" numFmtId="0" xfId="0" applyAlignment="1" applyBorder="1" applyFont="1">
      <alignment readingOrder="0"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4" fontId="3" numFmtId="165" xfId="0" applyAlignment="1" applyBorder="1" applyFont="1" applyNumberFormat="1">
      <alignment shrinkToFit="0" vertical="center" wrapText="1"/>
    </xf>
    <xf borderId="4" fillId="5" fontId="3" numFmtId="165" xfId="0" applyAlignment="1" applyBorder="1" applyFill="1" applyFont="1" applyNumberFormat="1">
      <alignment shrinkToFit="0" vertical="center" wrapText="1"/>
    </xf>
    <xf borderId="4" fillId="5" fontId="3" numFmtId="0" xfId="0" applyAlignment="1" applyBorder="1" applyFont="1">
      <alignment readingOrder="0" shrinkToFit="0" vertical="center" wrapText="1"/>
    </xf>
    <xf borderId="4" fillId="5" fontId="3" numFmtId="166" xfId="0" applyAlignment="1" applyBorder="1" applyFont="1" applyNumberFormat="1">
      <alignment horizontal="center" shrinkToFit="0" vertical="center" wrapText="1"/>
    </xf>
    <xf borderId="4" fillId="6" fontId="7" numFmtId="165" xfId="0" applyAlignment="1" applyBorder="1" applyFill="1" applyFont="1" applyNumberFormat="1">
      <alignment shrinkToFit="0" vertical="center" wrapText="0"/>
    </xf>
    <xf borderId="4" fillId="6" fontId="8" numFmtId="0" xfId="0" applyAlignment="1" applyBorder="1" applyFont="1">
      <alignment readingOrder="0" shrinkToFit="0" vertical="center" wrapText="0"/>
    </xf>
    <xf borderId="4" fillId="6" fontId="7" numFmtId="166" xfId="0" applyAlignment="1" applyBorder="1" applyFont="1" applyNumberFormat="1">
      <alignment shrinkToFit="0" vertical="center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4" fontId="8" numFmtId="166" xfId="0" applyAlignment="1" applyBorder="1" applyFont="1" applyNumberFormat="1">
      <alignment shrinkToFit="0" vertical="center" wrapText="0"/>
    </xf>
    <xf borderId="4" fillId="6" fontId="8" numFmtId="165" xfId="0" applyAlignment="1" applyBorder="1" applyFont="1" applyNumberFormat="1">
      <alignment readingOrder="0" shrinkToFit="0" vertical="center" wrapText="0"/>
    </xf>
    <xf borderId="4" fillId="0" fontId="4" numFmtId="164" xfId="0" applyAlignment="1" applyBorder="1" applyFont="1" applyNumberFormat="1">
      <alignment horizontal="right" shrinkToFit="0" vertical="bottom" wrapText="0"/>
    </xf>
    <xf borderId="4" fillId="0" fontId="10" numFmtId="0" xfId="0" applyAlignment="1" applyBorder="1" applyFont="1">
      <alignment horizontal="center" readingOrder="0" shrinkToFit="0" vertical="bottom" wrapText="1"/>
    </xf>
    <xf borderId="4" fillId="4" fontId="7" numFmtId="166" xfId="0" applyAlignment="1" applyBorder="1" applyFont="1" applyNumberForma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4" fillId="7" fontId="4" numFmtId="164" xfId="0" applyAlignment="1" applyBorder="1" applyFill="1" applyFont="1" applyNumberFormat="1">
      <alignment shrinkToFit="0" vertical="bottom" wrapText="0"/>
    </xf>
    <xf borderId="4" fillId="7" fontId="4" numFmtId="0" xfId="0" applyAlignment="1" applyBorder="1" applyFont="1">
      <alignment readingOrder="0" shrinkToFit="0" vertical="bottom" wrapText="0"/>
    </xf>
    <xf borderId="4" fillId="7" fontId="4" numFmtId="0" xfId="0" applyAlignment="1" applyBorder="1" applyFont="1">
      <alignment horizontal="center" readingOrder="0" shrinkToFit="0" vertical="bottom" wrapText="0"/>
    </xf>
    <xf borderId="4" fillId="7" fontId="4" numFmtId="0" xfId="0" applyAlignment="1" applyBorder="1" applyFont="1">
      <alignment readingOrder="0" shrinkToFit="0" vertical="bottom" wrapText="0"/>
    </xf>
    <xf borderId="4" fillId="7" fontId="4" numFmtId="164" xfId="0" applyAlignment="1" applyBorder="1" applyFont="1" applyNumberFormat="1">
      <alignment horizontal="right" shrinkToFit="0" vertical="bottom" wrapText="0"/>
    </xf>
    <xf borderId="4" fillId="7" fontId="4" numFmtId="165" xfId="0" applyAlignment="1" applyBorder="1" applyFont="1" applyNumberFormat="1">
      <alignment readingOrder="0" shrinkToFit="0" vertical="bottom" wrapText="0"/>
    </xf>
    <xf borderId="4" fillId="7" fontId="3" numFmtId="165" xfId="0" applyAlignment="1" applyBorder="1" applyFont="1" applyNumberFormat="1">
      <alignment readingOrder="0" shrinkToFit="0" vertical="center" wrapText="1"/>
    </xf>
    <xf borderId="4" fillId="7" fontId="3" numFmtId="0" xfId="0" applyAlignment="1" applyBorder="1" applyFont="1">
      <alignment readingOrder="0" shrinkToFit="0" vertical="center" wrapText="1"/>
    </xf>
    <xf borderId="4" fillId="7" fontId="8" numFmtId="166" xfId="0" applyAlignment="1" applyBorder="1" applyFont="1" applyNumberFormat="1">
      <alignment readingOrder="0" shrinkToFit="0" vertical="center" wrapText="0"/>
    </xf>
    <xf borderId="3" fillId="0" fontId="4" numFmtId="164" xfId="0" applyAlignment="1" applyBorder="1" applyFont="1" applyNumberFormat="1">
      <alignment shrinkToFit="0" vertical="bottom" wrapText="0"/>
    </xf>
    <xf borderId="4" fillId="0" fontId="4" numFmtId="165" xfId="0" applyAlignment="1" applyBorder="1" applyFont="1" applyNumberFormat="1">
      <alignment horizontal="right" shrinkToFit="0" vertical="bottom" wrapText="0"/>
    </xf>
    <xf borderId="3" fillId="0" fontId="4" numFmtId="164" xfId="0" applyAlignment="1" applyBorder="1" applyFont="1" applyNumberFormat="1">
      <alignment readingOrder="0" shrinkToFit="0" vertical="bottom" wrapText="0"/>
    </xf>
    <xf borderId="2" fillId="2" fontId="6" numFmtId="0" xfId="0" applyAlignment="1" applyBorder="1" applyFont="1">
      <alignment horizontal="left" readingOrder="0" shrinkToFit="0" vertical="center" wrapText="0"/>
    </xf>
    <xf borderId="4" fillId="0" fontId="4" numFmtId="164" xfId="0" applyAlignment="1" applyBorder="1" applyFont="1" applyNumberFormat="1">
      <alignment readingOrder="0" shrinkToFit="0" vertical="bottom" wrapText="0"/>
    </xf>
    <xf borderId="4" fillId="4" fontId="8" numFmtId="166" xfId="0" applyAlignment="1" applyBorder="1" applyFont="1" applyNumberFormat="1">
      <alignment readingOrder="0" shrinkToFit="0" vertical="center" wrapText="0"/>
    </xf>
    <xf borderId="4" fillId="6" fontId="4" numFmtId="164" xfId="0" applyAlignment="1" applyBorder="1" applyFont="1" applyNumberFormat="1">
      <alignment shrinkToFit="0" vertical="bottom" wrapText="1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0" fontId="4" numFmtId="164" xfId="0" applyAlignment="1" applyBorder="1" applyFont="1" applyNumberFormat="1">
      <alignment shrinkToFit="0" vertical="bottom" wrapText="1"/>
    </xf>
    <xf borderId="4" fillId="0" fontId="13" numFmtId="0" xfId="0" applyAlignment="1" applyBorder="1" applyFont="1">
      <alignment horizontal="center" shrinkToFit="0" vertical="bottom" wrapText="0"/>
    </xf>
    <xf borderId="4" fillId="0" fontId="4" numFmtId="165" xfId="0" applyAlignment="1" applyBorder="1" applyFont="1" applyNumberFormat="1">
      <alignment readingOrder="0" shrinkToFit="0" vertical="bottom" wrapText="0"/>
    </xf>
    <xf borderId="6" fillId="5" fontId="8" numFmtId="166" xfId="0" applyAlignment="1" applyBorder="1" applyFont="1" applyNumberFormat="1">
      <alignment readingOrder="0" shrinkToFit="0" vertical="center" wrapText="0"/>
    </xf>
    <xf borderId="4" fillId="0" fontId="14" numFmtId="0" xfId="0" applyAlignment="1" applyBorder="1" applyFont="1">
      <alignment horizontal="center" shrinkToFit="0" vertical="bottom" wrapText="0"/>
    </xf>
    <xf borderId="4" fillId="0" fontId="15" numFmtId="165" xfId="0" applyAlignment="1" applyBorder="1" applyFont="1" applyNumberFormat="1">
      <alignment shrinkToFit="0" vertical="center" wrapText="0"/>
    </xf>
    <xf borderId="4" fillId="4" fontId="3" numFmtId="164" xfId="0" applyAlignment="1" applyBorder="1" applyFont="1" applyNumberFormat="1">
      <alignment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4" fillId="4" fontId="3" numFmtId="164" xfId="0" applyAlignment="1" applyBorder="1" applyFont="1" applyNumberFormat="1">
      <alignment horizontal="center" shrinkToFit="0" vertical="center" wrapText="1"/>
    </xf>
    <xf borderId="4" fillId="4" fontId="3" numFmtId="0" xfId="0" applyAlignment="1" applyBorder="1" applyFont="1">
      <alignment shrinkToFit="0" vertical="center" wrapText="1"/>
    </xf>
    <xf borderId="0" fillId="8" fontId="16" numFmtId="0" xfId="0" applyAlignment="1" applyFill="1" applyFont="1">
      <alignment horizontal="center" readingOrder="0" shrinkToFit="0" vertical="center" wrapText="0"/>
    </xf>
    <xf borderId="2" fillId="9" fontId="6" numFmtId="0" xfId="0" applyAlignment="1" applyBorder="1" applyFill="1" applyFont="1">
      <alignment horizontal="left" shrinkToFit="0" vertical="center" wrapText="0"/>
    </xf>
    <xf borderId="3" fillId="9" fontId="4" numFmtId="0" xfId="0" applyAlignment="1" applyBorder="1" applyFont="1">
      <alignment shrinkToFit="0" vertical="bottom" wrapText="0"/>
    </xf>
    <xf borderId="4" fillId="9" fontId="4" numFmtId="164" xfId="0" applyAlignment="1" applyBorder="1" applyFont="1" applyNumberFormat="1">
      <alignment shrinkToFit="0" vertical="bottom" wrapText="1"/>
    </xf>
    <xf borderId="4" fillId="9" fontId="4" numFmtId="0" xfId="0" applyAlignment="1" applyBorder="1" applyFont="1">
      <alignment readingOrder="0" shrinkToFit="0" vertical="bottom" wrapText="0"/>
    </xf>
    <xf borderId="4" fillId="9" fontId="4" numFmtId="0" xfId="0" applyAlignment="1" applyBorder="1" applyFont="1">
      <alignment horizontal="center" shrinkToFit="0" vertical="bottom" wrapText="0"/>
    </xf>
    <xf borderId="4" fillId="9" fontId="4" numFmtId="0" xfId="0" applyAlignment="1" applyBorder="1" applyFont="1">
      <alignment shrinkToFit="0" vertical="bottom" wrapText="0"/>
    </xf>
    <xf borderId="4" fillId="9" fontId="4" numFmtId="164" xfId="0" applyAlignment="1" applyBorder="1" applyFont="1" applyNumberFormat="1">
      <alignment horizontal="right" shrinkToFit="0" vertical="bottom" wrapText="0"/>
    </xf>
    <xf borderId="4" fillId="9" fontId="4" numFmtId="165" xfId="0" applyAlignment="1" applyBorder="1" applyFont="1" applyNumberFormat="1">
      <alignment shrinkToFit="0" vertical="bottom" wrapText="0"/>
    </xf>
    <xf borderId="4" fillId="4" fontId="3" numFmtId="0" xfId="0" applyAlignment="1" applyBorder="1" applyFont="1">
      <alignment shrinkToFit="0" vertical="center" wrapText="1"/>
    </xf>
    <xf borderId="4" fillId="0" fontId="4" numFmtId="164" xfId="0" applyAlignment="1" applyBorder="1" applyFont="1" applyNumberFormat="1">
      <alignment readingOrder="0" shrinkToFit="0" vertical="bottom" wrapText="1"/>
    </xf>
    <xf borderId="3" fillId="0" fontId="4" numFmtId="167" xfId="0" applyAlignment="1" applyBorder="1" applyFont="1" applyNumberFormat="1">
      <alignment shrinkToFit="0" vertical="bottom" wrapText="0"/>
    </xf>
    <xf borderId="4" fillId="10" fontId="4" numFmtId="0" xfId="0" applyAlignment="1" applyBorder="1" applyFill="1" applyFont="1">
      <alignment shrinkToFit="0" vertical="bottom" wrapText="0"/>
    </xf>
    <xf borderId="4" fillId="10" fontId="4" numFmtId="164" xfId="0" applyAlignment="1" applyBorder="1" applyFont="1" applyNumberFormat="1">
      <alignment horizontal="right" shrinkToFit="0" vertical="bottom" wrapText="0"/>
    </xf>
    <xf borderId="4" fillId="10" fontId="4" numFmtId="165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horizontal="right" shrinkToFit="0" vertical="bottom" wrapText="0"/>
    </xf>
    <xf borderId="4" fillId="0" fontId="4" numFmtId="165" xfId="0" applyAlignment="1" applyBorder="1" applyFont="1" applyNumberFormat="1">
      <alignment shrinkToFit="0" vertical="bottom" wrapText="0"/>
    </xf>
    <xf borderId="4" fillId="10" fontId="4" numFmtId="165" xfId="0" applyAlignment="1" applyBorder="1" applyFont="1" applyNumberFormat="1">
      <alignment horizontal="right" shrinkToFit="0" vertical="bottom" wrapText="0"/>
    </xf>
    <xf borderId="0" fillId="0" fontId="15" numFmtId="0" xfId="0" applyAlignment="1" applyFont="1">
      <alignment shrinkToFit="0" vertical="center" wrapText="0"/>
    </xf>
    <xf borderId="5" fillId="0" fontId="17" numFmtId="0" xfId="0" applyAlignment="1" applyBorder="1" applyFont="1">
      <alignment horizontal="center" readingOrder="0" shrinkToFit="0" vertical="center" wrapText="0"/>
    </xf>
    <xf borderId="2" fillId="2" fontId="18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right" readingOrder="0" shrinkToFit="0" vertical="bottom" wrapText="0"/>
    </xf>
    <xf borderId="4" fillId="0" fontId="4" numFmtId="165" xfId="0" applyAlignment="1" applyBorder="1" applyFont="1" applyNumberFormat="1">
      <alignment horizontal="right" readingOrder="0" shrinkToFit="0" vertical="bottom" wrapText="0"/>
    </xf>
    <xf borderId="3" fillId="4" fontId="4" numFmtId="164" xfId="0" applyAlignment="1" applyBorder="1" applyFont="1" applyNumberFormat="1">
      <alignment shrinkToFit="0" vertical="bottom" wrapText="0"/>
    </xf>
    <xf borderId="4" fillId="4" fontId="4" numFmtId="164" xfId="0" applyAlignment="1" applyBorder="1" applyFont="1" applyNumberFormat="1">
      <alignment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4" fontId="19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right" shrinkToFit="0" vertical="bottom" wrapText="0"/>
    </xf>
    <xf borderId="4" fillId="4" fontId="4" numFmtId="165" xfId="0" applyAlignment="1" applyBorder="1" applyFont="1" applyNumberFormat="1">
      <alignment horizontal="right" shrinkToFit="0" vertical="bottom" wrapText="0"/>
    </xf>
    <xf borderId="4" fillId="4" fontId="4" numFmtId="165" xfId="0" applyAlignment="1" applyBorder="1" applyFont="1" applyNumberFormat="1">
      <alignment shrinkToFit="0" vertical="bottom" wrapText="0"/>
    </xf>
    <xf borderId="4" fillId="4" fontId="3" numFmtId="165" xfId="0" applyAlignment="1" applyBorder="1" applyFont="1" applyNumberFormat="1">
      <alignment readingOrder="0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4" fillId="4" fontId="7" numFmtId="166" xfId="0" applyAlignment="1" applyBorder="1" applyFont="1" applyNumberFormat="1">
      <alignment shrinkToFit="0" vertical="center" wrapText="0"/>
    </xf>
    <xf borderId="2" fillId="4" fontId="18" numFmtId="0" xfId="0" applyAlignment="1" applyBorder="1" applyFont="1">
      <alignment horizontal="left" shrinkToFit="0" vertical="center" wrapText="0"/>
    </xf>
    <xf borderId="4" fillId="4" fontId="4" numFmtId="0" xfId="0" applyAlignment="1" applyBorder="1" applyFont="1">
      <alignment horizontal="center" shrinkToFit="0" vertical="bottom" wrapText="0"/>
    </xf>
    <xf borderId="4" fillId="0" fontId="20" numFmtId="164" xfId="0" applyAlignment="1" applyBorder="1" applyFont="1" applyNumberFormat="1">
      <alignment shrinkToFit="0" vertical="bottom" wrapText="0"/>
    </xf>
    <xf borderId="4" fillId="0" fontId="20" numFmtId="0" xfId="0" applyAlignment="1" applyBorder="1" applyFont="1">
      <alignment horizontal="right" shrinkToFit="0" vertical="bottom" wrapText="0"/>
    </xf>
    <xf borderId="4" fillId="0" fontId="20" numFmtId="164" xfId="0" applyAlignment="1" applyBorder="1" applyFont="1" applyNumberFormat="1">
      <alignment horizontal="right" shrinkToFit="0" vertical="bottom" wrapText="0"/>
    </xf>
    <xf borderId="0" fillId="0" fontId="21" numFmtId="0" xfId="0" applyAlignment="1" applyFont="1">
      <alignment horizontal="center" readingOrder="0" shrinkToFit="0" vertical="center" wrapText="0"/>
    </xf>
    <xf borderId="7" fillId="2" fontId="6" numFmtId="0" xfId="0" applyAlignment="1" applyBorder="1" applyFont="1">
      <alignment horizontal="left" shrinkToFit="0" vertical="center" wrapText="0"/>
    </xf>
    <xf borderId="8" fillId="0" fontId="4" numFmtId="0" xfId="0" applyAlignment="1" applyBorder="1" applyFont="1">
      <alignment shrinkToFit="0" vertical="bottom" wrapText="0"/>
    </xf>
    <xf borderId="9" fillId="0" fontId="4" numFmtId="164" xfId="0" applyAlignment="1" applyBorder="1" applyFont="1" applyNumberFormat="1">
      <alignment shrinkToFit="0" vertical="bottom" wrapText="0"/>
    </xf>
    <xf borderId="9" fillId="3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horizontal="center" shrinkToFit="0" vertical="bottom" wrapText="0"/>
    </xf>
    <xf borderId="9" fillId="0" fontId="4" numFmtId="0" xfId="0" applyAlignment="1" applyBorder="1" applyFont="1">
      <alignment shrinkToFit="0" vertical="bottom" wrapText="0"/>
    </xf>
    <xf borderId="9" fillId="0" fontId="4" numFmtId="164" xfId="0" applyAlignment="1" applyBorder="1" applyFont="1" applyNumberFormat="1">
      <alignment horizontal="right" shrinkToFit="0" vertical="bottom" wrapText="0"/>
    </xf>
    <xf borderId="9" fillId="0" fontId="4" numFmtId="165" xfId="0" applyAlignment="1" applyBorder="1" applyFont="1" applyNumberFormat="1">
      <alignment shrinkToFit="0" vertical="bottom" wrapText="0"/>
    </xf>
    <xf borderId="9" fillId="4" fontId="3" numFmtId="165" xfId="0" applyAlignment="1" applyBorder="1" applyFont="1" applyNumberFormat="1">
      <alignment shrinkToFit="0" vertical="center" wrapText="1"/>
    </xf>
    <xf borderId="9" fillId="4" fontId="3" numFmtId="0" xfId="0" applyAlignment="1" applyBorder="1" applyFont="1">
      <alignment shrinkToFit="0" vertical="center" wrapText="1"/>
    </xf>
    <xf borderId="9" fillId="4" fontId="7" numFmtId="166" xfId="0" applyAlignment="1" applyBorder="1" applyFont="1" applyNumberFormat="1">
      <alignment shrinkToFit="0" vertical="center" wrapText="0"/>
    </xf>
    <xf borderId="6" fillId="5" fontId="6" numFmtId="0" xfId="0" applyAlignment="1" applyBorder="1" applyFont="1">
      <alignment horizontal="left" shrinkToFit="0" vertical="center" wrapText="0"/>
    </xf>
    <xf borderId="6" fillId="5" fontId="4" numFmtId="0" xfId="0" applyAlignment="1" applyBorder="1" applyFont="1">
      <alignment readingOrder="0" shrinkToFit="0" vertical="bottom" wrapText="0"/>
    </xf>
    <xf borderId="6" fillId="5" fontId="4" numFmtId="164" xfId="0" applyAlignment="1" applyBorder="1" applyFont="1" applyNumberFormat="1">
      <alignment readingOrder="0" shrinkToFit="0" vertical="bottom" wrapText="0"/>
    </xf>
    <xf borderId="6" fillId="5" fontId="4" numFmtId="0" xfId="0" applyAlignment="1" applyBorder="1" applyFont="1">
      <alignment readingOrder="0" shrinkToFit="0" vertical="bottom" wrapText="0"/>
    </xf>
    <xf borderId="6" fillId="5" fontId="4" numFmtId="0" xfId="0" applyAlignment="1" applyBorder="1" applyFont="1">
      <alignment horizontal="center" shrinkToFit="0" vertical="bottom" wrapText="0"/>
    </xf>
    <xf borderId="6" fillId="5" fontId="4" numFmtId="0" xfId="0" applyAlignment="1" applyBorder="1" applyFont="1">
      <alignment readingOrder="0" shrinkToFit="0" vertical="bottom" wrapText="0"/>
    </xf>
    <xf borderId="6" fillId="5" fontId="4" numFmtId="164" xfId="0" applyAlignment="1" applyBorder="1" applyFont="1" applyNumberFormat="1">
      <alignment horizontal="right" shrinkToFit="0" vertical="bottom" wrapText="0"/>
    </xf>
    <xf borderId="6" fillId="5" fontId="4" numFmtId="165" xfId="0" applyAlignment="1" applyBorder="1" applyFont="1" applyNumberFormat="1">
      <alignment shrinkToFit="0" vertical="bottom" wrapText="0"/>
    </xf>
    <xf borderId="6" fillId="5" fontId="3" numFmtId="165" xfId="0" applyAlignment="1" applyBorder="1" applyFont="1" applyNumberFormat="1">
      <alignment readingOrder="0" shrinkToFit="0" vertical="center" wrapText="1"/>
    </xf>
    <xf borderId="6" fillId="5" fontId="3" numFmtId="0" xfId="0" applyAlignment="1" applyBorder="1" applyFont="1">
      <alignment readingOrder="0" shrinkToFit="0" vertical="center" wrapText="1"/>
    </xf>
    <xf borderId="6" fillId="5" fontId="7" numFmtId="166" xfId="0" applyAlignment="1" applyBorder="1" applyFont="1" applyNumberFormat="1">
      <alignment shrinkToFit="0" vertical="center" wrapText="0"/>
    </xf>
    <xf borderId="6" fillId="4" fontId="4" numFmtId="0" xfId="0" applyAlignment="1" applyBorder="1" applyFont="1">
      <alignment readingOrder="0" shrinkToFit="0" vertical="bottom" wrapText="0"/>
    </xf>
    <xf borderId="6" fillId="4" fontId="4" numFmtId="164" xfId="0" applyAlignment="1" applyBorder="1" applyFont="1" applyNumberFormat="1">
      <alignment readingOrder="0" shrinkToFit="0" vertical="bottom" wrapText="0"/>
    </xf>
    <xf borderId="6" fillId="4" fontId="4" numFmtId="0" xfId="0" applyAlignment="1" applyBorder="1" applyFont="1">
      <alignment readingOrder="0" shrinkToFit="0" vertical="bottom" wrapText="0"/>
    </xf>
    <xf borderId="6" fillId="4" fontId="4" numFmtId="0" xfId="0" applyAlignment="1" applyBorder="1" applyFont="1">
      <alignment horizontal="center" shrinkToFit="0" vertical="bottom" wrapText="0"/>
    </xf>
    <xf borderId="6" fillId="4" fontId="4" numFmtId="0" xfId="0" applyAlignment="1" applyBorder="1" applyFont="1">
      <alignment readingOrder="0" shrinkToFit="0" vertical="bottom" wrapText="0"/>
    </xf>
    <xf borderId="6" fillId="4" fontId="4" numFmtId="164" xfId="0" applyAlignment="1" applyBorder="1" applyFont="1" applyNumberFormat="1">
      <alignment horizontal="right" shrinkToFit="0" vertical="bottom" wrapText="0"/>
    </xf>
    <xf borderId="6" fillId="4" fontId="4" numFmtId="165" xfId="0" applyAlignment="1" applyBorder="1" applyFont="1" applyNumberFormat="1">
      <alignment readingOrder="0" shrinkToFit="0" vertical="bottom" wrapText="0"/>
    </xf>
    <xf borderId="6" fillId="4" fontId="3" numFmtId="165" xfId="0" applyAlignment="1" applyBorder="1" applyFont="1" applyNumberFormat="1">
      <alignment readingOrder="0" shrinkToFit="0" vertical="center" wrapText="1"/>
    </xf>
    <xf borderId="6" fillId="4" fontId="3" numFmtId="0" xfId="0" applyAlignment="1" applyBorder="1" applyFont="1">
      <alignment readingOrder="0" shrinkToFit="0" vertical="center" wrapText="1"/>
    </xf>
    <xf borderId="6" fillId="4" fontId="7" numFmtId="166" xfId="0" applyAlignment="1" applyBorder="1" applyFont="1" applyNumberFormat="1">
      <alignment shrinkToFit="0" vertical="center" wrapText="0"/>
    </xf>
    <xf borderId="6" fillId="5" fontId="6" numFmtId="0" xfId="0" applyAlignment="1" applyBorder="1" applyFont="1">
      <alignment horizontal="left" readingOrder="0" shrinkToFit="0" vertical="center" wrapText="0"/>
    </xf>
    <xf borderId="6" fillId="5" fontId="4" numFmtId="165" xfId="0" applyAlignment="1" applyBorder="1" applyFont="1" applyNumberFormat="1">
      <alignment horizontal="right" shrinkToFit="0" vertical="bottom" wrapText="0"/>
    </xf>
    <xf borderId="6" fillId="5" fontId="4" numFmtId="165" xfId="0" applyAlignment="1" applyBorder="1" applyFont="1" applyNumberFormat="1">
      <alignment readingOrder="0" shrinkToFit="0" vertical="bottom" wrapText="0"/>
    </xf>
    <xf borderId="6" fillId="5" fontId="8" numFmtId="166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5" numFmtId="0" xfId="0" applyFont="1"/>
    <xf borderId="0" fillId="0" fontId="22" numFmtId="0" xfId="0" applyFont="1"/>
    <xf borderId="0" fillId="0" fontId="15" numFmtId="165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010101"/>
          <bgColor rgb="FF01010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10101"/>
        </left>
        <right style="thin">
          <color rgb="FF010101"/>
        </right>
        <top style="thin">
          <color rgb="FF010101"/>
        </top>
        <bottom style="thin">
          <color rgb="FF010101"/>
        </bottom>
      </border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4" pivot="0" name="B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57875" cy="2114550"/>
    <xdr:sp>
      <xdr:nvSpPr>
        <xdr:cNvPr id="3" name="Shape 3"/>
        <xdr:cNvSpPr/>
      </xdr:nvSpPr>
      <xdr:spPr>
        <a:xfrm>
          <a:off x="1697925" y="2765588"/>
          <a:ext cx="7296150" cy="2028825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Arial"/>
            <a:buNone/>
          </a:pPr>
          <a:r>
            <a:rPr b="1" lang="en-US" sz="2400" u="sng">
              <a:solidFill>
                <a:srgbClr val="FFFFFF"/>
              </a:solidFill>
            </a:rPr>
            <a:t>PROJETO - REUNION</a:t>
          </a:r>
          <a:endParaRPr b="1" sz="18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Arial"/>
            <a:buNone/>
          </a:pPr>
          <a:r>
            <a:rPr lang="en-US" sz="1800">
              <a:solidFill>
                <a:srgbClr val="FFFFFF"/>
              </a:solidFill>
            </a:rPr>
            <a:t>CLIENTE: DEBORA PACKER</a:t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Arial"/>
            <a:buNone/>
          </a:pPr>
          <a:r>
            <a:rPr lang="en-US" sz="1800">
              <a:solidFill>
                <a:srgbClr val="FFFFFF"/>
              </a:solidFill>
              <a:highlight>
                <a:srgbClr val="FF0000"/>
              </a:highlight>
            </a:rPr>
            <a:t>PRAZO DE ENTREGA: 22 DE DEZEMBRO DE 2025</a:t>
          </a:r>
          <a:endParaRPr sz="1800">
            <a:solidFill>
              <a:srgbClr val="FFFFFF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2:L285" sheet="BD1"/>
  </cacheSource>
  <cacheFields>
    <cacheField name="Ambiente" numFmtId="0">
      <sharedItems>
        <s v="FOYER"/>
        <s v="KITCHEN Dormem 14 pessoas"/>
        <s v="LAUNDRY"/>
        <s v="DINNING ROOM"/>
        <s v="LIVING ROOM"/>
        <s v="LOFT "/>
        <s v=" Bedroom Suite Master king BEGE"/>
        <s v=" Bedroom Inferior 02 King BEGE"/>
        <s v=" Bedroom 03 King"/>
        <s v="Bedroom 03 King"/>
        <s v=" Bedroom 04 Harry Potter Full"/>
        <s v="Bedroom 05 Toy Story Full"/>
        <s v="GAME ROOM - MARIO"/>
        <s v="BATHROOM SINGLE 3"/>
        <s v="BATHROOM DUPLO 2"/>
        <s v="LANAI"/>
        <s v="EXTRAS"/>
      </sharedItems>
    </cacheField>
    <cacheField name="Company" numFmtId="0">
      <sharedItems containsBlank="1">
        <s v="Amazon"/>
        <s v="EQUIPE NOHA"/>
        <s v="VIG"/>
        <s v="Home goods"/>
        <s v="Meridian"/>
        <s v="Costco"/>
        <s v="Polyanna"/>
        <m/>
        <s v="DECOR INGRID"/>
        <s v="Appenin"/>
        <s v="Laurent Rugs"/>
        <s v="Walmart"/>
        <s v="Wayfair"/>
        <s v="Pollyana"/>
        <s v="Trendy Rugs"/>
        <s v="Vanderlei"/>
        <s v="Sams"/>
        <s v="Wall Mart"/>
        <s v="INGRID"/>
        <s v="Wudson"/>
        <s v="Sams Club"/>
        <s v="BestBuy"/>
        <s v="Diego"/>
        <s v="ikea"/>
        <s v="Paulo Barbosa"/>
        <s v="Lowes"/>
        <s v="407 Decor"/>
        <s v="Vanderlei - Colchao"/>
        <s v="Gio"/>
        <s v="Juliana Villa Party"/>
        <s v="Publix"/>
        <s v="Fotografo"/>
        <s v="SAMUEL"/>
        <s v="VINICIUS"/>
      </sharedItems>
    </cacheField>
    <cacheField name="Product" numFmtId="164">
      <sharedItems>
        <s v="Lampada Arandela"/>
        <s v="Instalação Arandela"/>
        <s v="Mão de Obra Boserie + pintura"/>
        <s v="Material Boiserie + Pintura"/>
        <s v="Capacho de Porta"/>
        <s v="Console"/>
        <s v="Deco"/>
        <s v="Espelho"/>
        <s v="Instalação de espelho"/>
        <s v="Filtro Ar"/>
        <s v="Arandela"/>
        <s v="Utensilios Set"/>
        <s v="Bandejas de Aluminio Grande Pack 2"/>
        <s v="Banqueta"/>
        <s v="Cafeteira"/>
        <s v="Chaleira"/>
        <s v="Coaster Set Pack 16"/>
        <s v="Colher de Pau"/>
        <s v="Pendente "/>
        <s v="Lampada pendente"/>
        <s v="Instalação de pendentes"/>
        <s v="Copo de medida"/>
        <s v="Copos para piscina Pack 16"/>
        <s v="Escorredor de Macarrao"/>
        <s v="Fruteira"/>
        <s v="Jarras para Sucos"/>
        <s v="Jogo americano Pack 8"/>
        <s v="Jogo de Copos Grandes Pack 8"/>
        <s v="Jogo De Facas"/>
        <s v="Jogo de Panelas"/>
        <s v="Jogo de Pratos Pack 4"/>
        <s v="Jogo de talheres Pack 12"/>
        <s v="Liquidificador"/>
        <s v="Luvas para Forno"/>
        <s v="Panos de Pratos"/>
        <s v="Porta Talheres"/>
        <s v="Saca Rolhas"/>
        <s v="Saladeira Grande"/>
        <s v="Suporte papel toalha"/>
        <s v="Tabua de Cortar"/>
        <s v="Taças para Vinho"/>
        <s v="Tostadeira"/>
        <s v="Tuppleware"/>
        <s v="Taça de Champagne"/>
        <s v="Tampa para Microondas"/>
        <s v="Aspirador de Pó"/>
        <s v="Desentupidor"/>
        <s v="Ferro de Passar"/>
        <s v="MOP"/>
        <s v="Pá e Escova"/>
        <s v="Tábua de Passar"/>
        <s v="Vassoura "/>
        <s v="Cortina sem BK (Medida*2.3)"/>
        <s v="Pendente Dining"/>
        <s v="Instalação pendente Dining"/>
        <s v="Lampada p Luminaria p Dining"/>
        <s v="Spot para sala de jantar"/>
        <s v="Instalação spot até 5 spots"/>
        <s v="Quadro"/>
        <s v="Instalacao de quadro"/>
        <s v="Espelho "/>
        <s v="Decoracao mesa jantar"/>
        <s v="Chairs"/>
        <s v="Mesa de Jantar"/>
        <s v="Coffee Table"/>
        <s v="Puff"/>
        <s v="Decoração Painel Living p/ nicho"/>
        <s v="Marcenaria"/>
        <s v="Sofa "/>
        <s v="Poltrona"/>
        <s v="Almofadas de Decoração"/>
        <s v="Tapete 10x14"/>
        <s v="TV 75&quot;"/>
        <s v="Wall Mount"/>
        <s v="Cover Plate"/>
        <s v="Remoção Persiana"/>
        <s v="Fechamento de janela"/>
        <s v="Planta"/>
        <s v="Led e Reator Painel PVC"/>
        <s v="Tv Stand"/>
        <s v="Luminaria"/>
        <s v="Sofa"/>
        <s v="Almofada Sofa"/>
        <s v="Instalação Wall Mount"/>
        <s v="Wallpaper Material"/>
        <s v="Instalacão Wallpaper"/>
        <s v="Decor"/>
        <s v="Luminaria de chão "/>
        <s v="Tapete 9x12"/>
        <s v="Abajur"/>
        <s v="Instalação Luminária"/>
        <s v="Lampada para Luminaria"/>
        <s v="Bed"/>
        <s v="Night Stand"/>
        <s v="Dresser"/>
        <s v="Banco"/>
        <s v="Cabides"/>
        <s v="Cortina COM BK (medida*2.3)"/>
        <s v="Lençol Extra King"/>
        <s v="Quilt King"/>
        <s v="Manta King "/>
        <s v="Mattress Protector King"/>
        <s v="Mattress King"/>
        <s v="Mattress Box King"/>
        <s v="Pillow King"/>
        <s v="Instalação Espelho"/>
        <s v="TV 50&quot;"/>
        <s v="Eletric Extension"/>
        <s v="Boiserie Material"/>
        <s v="Boiserie Mao de obra + pintura"/>
        <s v="Lampadas de Abajour"/>
        <s v="Spot Central"/>
        <s v="Instalação spot central"/>
        <s v="Quadros"/>
        <s v="Instalação Quadros"/>
        <s v="TV 43&quot; "/>
        <s v="Pes para os moveis "/>
        <s v="Manta King Cinza"/>
        <s v="TV 43&quot;"/>
        <s v="Bed Full harry potter"/>
        <s v="Arandela Cama"/>
        <s v="Arandela Loja"/>
        <s v="Chapeu"/>
        <s v="Velas"/>
        <s v="Vidros"/>
        <s v="Bola Magica"/>
        <s v="Caldeirao"/>
        <s v="Coruja"/>
        <s v="Oculos e gravata"/>
        <s v="Livro"/>
        <s v="Gaiola"/>
        <s v="Conforter "/>
        <s v="Pillow Standard"/>
        <s v="Cortina COM BK( Medida*2.3)"/>
        <s v="Mattress Full"/>
        <s v="Mattress Protector Full"/>
        <s v="TV 32&quot;"/>
        <s v="Bed Full Toy Story"/>
        <s v="Lampada Jumbo"/>
        <s v="Slide"/>
        <s v="Arcade Mario"/>
        <s v="Monitor para arcade"/>
        <s v="Suporte TV Arcade"/>
        <s v="Hockey Table"/>
        <s v="Video Game - PS5"/>
        <s v="TV 50&quot; "/>
        <s v="Controle de Video Game"/>
        <s v="Game Chair "/>
        <s v="Mario Plush"/>
        <s v="Yoshi Plush"/>
        <s v="Reatores"/>
        <s v="Ar Condicionado Kit"/>
        <s v="Instalacao de Ar Condicionado"/>
        <s v="Game room - Material e Mao de Obra"/>
        <s v="Lixinho"/>
        <s v="Toilet Brush"/>
        <s v="Secador de Cabelo"/>
        <s v="Soap Dispenser"/>
        <s v="Tooth Brush Holder"/>
        <s v="Suporte de Toalha"/>
        <s v="Tapetes Kit"/>
        <s v="Toalhas Grande - 6pk"/>
        <s v="Toalhas Media - 12pk"/>
        <s v="Toalhas Pequena - 24pk"/>
        <s v="Toalha de Piscina - Individual"/>
        <s v="Tela de Privacidade"/>
        <s v="Almofada espreguicadeira Pack 2 Pillow Cover"/>
        <s v="Pillow Insert 12x20 Pack 2"/>
        <s v="Deco Mesa jantar"/>
        <s v="Decor lanai"/>
        <s v="Espreguicadeira Pack 2"/>
        <s v="Mesa de jantar com cadeiras"/>
        <s v="Refletores 2 Pack"/>
        <s v="Refletores Instalação"/>
        <s v="Ventilador"/>
        <s v="Ventilador Instalação"/>
        <s v="Bóias para piscina"/>
        <s v="Churrasqueira"/>
        <s v="Propane"/>
        <s v="Marcenaria Pack"/>
        <s v="Painel Ripado - Material "/>
        <s v="Arvore de Natal "/>
        <s v="Painel Ripado - Instalação "/>
        <s v="Lixo "/>
        <s v="Material de obra"/>
        <s v="Shipping "/>
        <s v="Instalação Cortina"/>
        <s v="Café"/>
        <s v="Mercado"/>
        <s v="Foto e Video 9BED"/>
        <s v="Limpeza e Inventario 10BED"/>
        <s v="Personagem "/>
        <s v="PAGAMENTO FIXO SAMUEL"/>
        <s v="PAGAMENTO FIXO VINICIUS"/>
        <s v="BOX"/>
        <s v="INSTALAÇÃO BOXES"/>
        <s v="DAMPSTER"/>
        <s v="DECORAÇÃO ARVORE "/>
        <s v="FECHAMENTO JANELA SUÍTE"/>
      </sharedItems>
    </cacheField>
    <cacheField name="Category" numFmtId="0">
      <sharedItems>
        <s v="CONSTRUÇÃO"/>
        <s v="FIXOS"/>
        <s v="PRODUTOS"/>
        <s v="MÓVEIS"/>
        <s v="DECORAÇÃO"/>
        <s v="CORTINA"/>
        <s v="MARCENARIA"/>
        <s v="PAPEL DE PAREDE"/>
        <s v="COLCHÃO/VANDERLEI"/>
        <s v="PACOTES TEMATICOS"/>
        <s v="AR CONDICIONADO"/>
        <s v="TELA DE PRIVACIDADE"/>
        <s v="PVC"/>
        <s v="EXTRAS"/>
        <s v="CAFÉ"/>
        <s v="MERCADO"/>
        <s v="FOTOGRÁFO"/>
        <s v="LIMPEZA"/>
        <s v="PERSONAGEM"/>
      </sharedItems>
    </cacheField>
    <cacheField name="LINK">
      <sharedItems containsBlank="1" containsMixedTypes="1" containsNumber="1" containsInteger="1">
        <m/>
        <s v="LINK"/>
        <n v="81742.0"/>
        <s v="Checar Modelo"/>
        <s v="395Cream-C"/>
        <s v="o mesmo do foyer"/>
        <s v="381Cream-SC"/>
        <n v="83490.0"/>
        <s v="105Green"/>
        <s v="Pack "/>
        <s v="141Beige-S140"/>
        <s v="LG"/>
        <s v="B001OCY3RY"/>
        <s v="B07CRWD8DZ"/>
        <s v="https://www.wayfair.com/furniture/pdp/latitude-run-modern-4-door-tv-stand-storage-credenza-w113822445.html?piid=826973710&amp;auctionId=9b7905bf-0d8c-47cd-8814-a8c1034415c4&amp;adTypeId=1&amp;hmns=v2%7E0vFEEaWCJ2Tb_MNP3vw-bbGUVwZGWloNo5goPs_og0oHchNTkaBqHdiVRhiw7VoQ0"/>
        <s v="https://www.amazon.com/dp/B09YHWY5LB/ref=sspa_dk_detail_right_aax_0?sp_csd=d2lkZ2V0TmFtZT1zcF9kZXRhaWxfcmlnaHRfc2hhcmVk&amp;th=1"/>
        <s v="141Beige-Sec5D"/>
        <s v="https://www.walmart.com/search?q=tv%2075%20inch&amp;typeahead=tv%2075"/>
        <s v="https://www.amazon.com/dp/B0CG5YPJ7C/ref=sspa_dk_detail_2?pd_rd_i=B0CG5YPJ7C&amp;pd_rd_w=nWsRX&amp;content-id=amzn1.sym.386c274b-4bfe-4421-9052-a1a56db557ab&amp;pf_rd_p=386c274b-4bfe-4421-9052-a1a56db557ab&amp;pf_rd_r=8CC5QFMG5PZ9NP510MXH&amp;pd_rd_wg=nkRLR&amp;pd_rd_r=55cdfeb2-"/>
        <s v="FlynnCream-K"/>
        <s v="81223|81223A"/>
        <n v="81224.0"/>
        <s v="443Cream"/>
        <s v="KING"/>
        <s v="Hotel Collection King"/>
        <n v="8.49069896E8"/>
        <s v="B07HKTGGP4"/>
        <s v="AsherCognac-K"/>
        <n v="83456.0"/>
        <n v="83454.0"/>
        <s v="ArborCream-K"/>
        <n v="82499.0"/>
        <n v="82500.0"/>
        <s v="Serta Standard"/>
        <s v="https://www.amazon.com/Zinus-Mattress-Fiberglass-Pressure-Certified/dp/B0CKYZHV5D/ref=sr_1_4?crid=R2KBWECPLR1D&amp;dib=eyJ2IjoiMSJ9.DO_w8f1J0X5rYl6o_167bA.5L6sTViIMXQq_i1bQ9Lm0xbGhWOrDnoypudsHdxyrx8&amp;dib_tag=se&amp;keywords=B0CKYZHV5D&amp;qid=1744320428&amp;s=home-garden&amp;"/>
        <s v="https://www.amazon.com/dp/B00MW50754/ref=twister_B0CYCRVKD1?_encoding=UTF8&amp;th=1"/>
        <s v="https://www.amazon.com/PERLESMITH-Bracket-Profile-Design-Plasma/dp/B07P72ZB37/ref=sr_1_4_sspa?crid=IU5OHSOFDQLA&amp;dib=eyJ2IjoiMSJ9.nk-D2udx-nUGyMe1PtqHiA.uuH2UkILjzoxXzLf6PQhFBcQ3CsT1Y7jX4Z8ubW49f0&amp;dib_tag=se&amp;keywords=B001OCY3RY&amp;qid=1745718416&amp;sprefix=b001o"/>
        <s v="https://www.amazon.com/FVBADE-Projector-Joystick-Favorite-Category/dp/B091TSPH51/ref=sr_1_31_sspa?crid=493V9D2YCQQ0&amp;dib=eyJ2IjoiMSJ9.lNJCd7N-ev_R1igmIdIaeHaU_2BOIlrPvBfTICEgjVkT2kn7HDydB2OIHYnD3diOneh4FK2sDg5WS0Xa1Buw2bLOGpqgG5dFDhmPsKFDxfuJzb_oBrxwLjiV9K"/>
        <s v="https://www.walmart.com/ip/Memzuoix-TMDTMD24S1-Ultra-thin-24inch-100Hz-Computer-Monitor-FHD-1080P-LCD/3972343768?classType=VARIANT&amp;adsRedirect=true"/>
        <s v="https://www.amazon.com/Orienttvbracket-Bracket-Position-Plasma-100x100mm/dp/B071VCYBXW/ref=sr_1_3?dib=eyJ2IjoiMSJ9.wZfsgyj-9ngqAyMTXxe_6XU2ujndttDv6QSHA9QYhOR_9augEPsdWb6_hU4RFpbrEbUpjUe4zqTRz_8IulZzGk1iFDpx1iVWk4ygqCB_C3gFMKylHJKOmlbuFScxODhwoQwT2k2_YDAy"/>
        <s v="https://www.amazon.com/Triumph-Interactive-Featuring-All-Rail-Lighting/dp/B01MREOEQ4/ref=sr_1_8?crid=14PVZOXRUROLE&amp;dib=eyJ2IjoiMSJ9.hBaDXBvTc5D57f8x9CtVyLHEjFKCf7tc4NfCKwCHaRHoa_NH9JNQ05owJIxZijICeuyP1mPgmJWz9MnuJ2BDPnOj4C4MBcv-CpBq59HiqDq4Ra-hcrG7L7RsxcF"/>
        <s v="https://www.walmart.com/ip/50-HISENSE-4K-GOOGLE-TV/17309421750?classType=REGULAR&amp;athbdg=L1103&amp;from=/search"/>
        <s v="https://www.amazon.com/gp/product/B07P72ZB37/ref=ppx_yo_dt_b_search_asin_title?ie=UTF8&amp;th=11"/>
        <s v="https://www.amazon.com/dp/B07KJYY9BD/ref=sspa_dk_detail_6?pf_rd_p=f2f1cf8f-cab4-44dc-82ba-0ca811fb90cc&amp;pf_rd_r=Z0QJPQHWB0P1PTZNDQPB&amp;pd_rd_wg=K6lk6&amp;pd_rd_w=XkjwE&amp;content-id=amzn1.sym.f2f1cf8f-cab4-44dc-82ba-0ca811fb90cc&amp;pd_rd_r=7b7b1efe-455c-4bb3-b108-b29c"/>
        <s v="https://www.ikea.com/us/en/p/bolmen-toilet-brush-holder-white-40574435/"/>
        <s v="https://www.amazon.com/Conair-Keeper-Folding-Handle-Retractable/dp/B009ZPMPGI/ref=sr_1_9?crid=2CE0HPZNMSLFV&amp;dib=eyJ2IjoiMSJ9.6DKfbuoovGf_DtXnueXwGgIUyPUzYev1oxnfzKDdmiuoC1kB7IHVdawft_dqC4kQT1KrzJu0aUpX9JA9WfbBNW9Acne0yPCRjvXobzmKDVD0hpjlXU3d11zXZahIprZuGp"/>
        <s v="https://www.amazon.com/Zitalupy-T-Shape-Towel-Rack-Countertop/dp/B0D232RB1V/ref=sr_1_3?crid=V7SJXAXA7XU7&amp;dib=eyJ2IjoiMSJ9.uJASzIuTkOKswAQDAkkmbQ.FeAbjlXHxFSTbp328KskjhqF_wZjSeyyQz8Z03zeYis&amp;dib_tag=se&amp;keywords=B0D232RB1V&amp;qid=1744320760&amp;sprefix=b0d232rb1v%2"/>
        <s v="https://www.ikea.com/us/en/p/snoerpa-pedal-bin-stainless-steel-10511208/"/>
        <s v="B0D232RB1V"/>
        <s v="https://www.amazon.com/Textile-Outdoor-Waterproof-Farmhouse-Decorative/dp/B0CTG5BSVQ/ref=sims_dp_d_dex_ai_rank_model_1_d_v1_d_sccl_1_5/147-1871314-7552764?pd_rd_w=ea5wA&amp;content-id=amzn1.sym.da0b205c-8cc7-4a8d-9d0a-8ed3705890a2&amp;pf_rd_p=da0b205c-8cc7-4a8d-9"/>
        <s v="https://www.amazon.com/MIULEE-Outdoor-Waterproof-Hypoallergenic-Furniture/dp/B08MV1DBTD/ref=pd_bxgy_d_sccl_1/147-1871314-7552764?pd_rd_w=synkD&amp;content-id=amzn1.sym.de9a1315-b9df-4c24-863c-7afcb2e4cc0a&amp;pf_rd_p=de9a1315-b9df-4c24-863c-7afcb2e4cc0a&amp;pf_rd_r=Q"/>
        <s v="https://www.wayfair.com/outdoor/pdp/ebern-designs-patio-metal-reclining-chaise-lounge-set-w111014874.html?piid=278952009"/>
        <s v="https://www.wayfair.com/outdoor/pdp/ebern-designs-theanna-rectangular-6-person-5906-long-dining-set-w009391601.html?piid=1952973249"/>
        <s v="B07P6QXB66"/>
        <s v="https://www.amazon.com/Inflatable-Colorful-FlyfreeU-Changing-Floaties/dp/B0BW83TD8Q/ref=sxin_16_pa_sp_search_thematic_sspa?content-id=amzn1.sym.27b41115-b206-47c3-8621-713097e8442c%3Aamzn1.sym.27b41115-b206-47c3-8621-713097e8442c&amp;crid=1WE4IAP1VOGJQ&amp;cv_ct_"/>
        <s v="https://www.amazon.com/dp/B0721468V1/ref=sspa_dk_detail_6?pd_rd_i=B0721468V1&amp;pd_rd_w=Zb3wK&amp;content-id=amzn1.sym.386c274b-4bfe-4421-9052-a1a56db557ab&amp;pf_rd_p=386c274b-4bfe-4421-9052-a1a56db557ab&amp;pf_rd_r=3GF65BZANGN5WW0TQC9M&amp;pd_rd_wg=UBdi2&amp;pd_rd_r=9979f7c5-"/>
        <s v="https://www.lowes.com/pd/Char-Broil-CB-4-Burner-SS-Cabinet/5002180643"/>
      </sharedItems>
    </cacheField>
    <cacheField name="Qty" numFmtId="0">
      <sharedItems containsString="0" containsBlank="1" containsNumber="1" containsInteger="1">
        <n v="2.0"/>
        <n v="1.0"/>
        <n v="4.0"/>
        <n v="3.0"/>
        <n v="7.0"/>
        <n v="8.0"/>
        <m/>
        <n v="6.0"/>
        <n v="5.0"/>
        <n v="10.0"/>
      </sharedItems>
    </cacheField>
    <cacheField name="Unit Cost Price" numFmtId="165">
      <sharedItems containsString="0" containsBlank="1" containsNumber="1">
        <n v="4.0"/>
        <n v="103.5"/>
        <n v="600.0"/>
        <n v="200.0"/>
        <n v="21.6"/>
        <n v="591.82"/>
        <n v="150.0"/>
        <n v="204.0"/>
        <n v="17.0"/>
        <n v="20.0"/>
        <n v="96.0"/>
        <n v="48.0"/>
        <n v="36.0"/>
        <n v="225.7"/>
        <n v="49.2"/>
        <n v="18.0"/>
        <n v="14.4"/>
        <n v="14.0"/>
        <n v="66.0"/>
        <n v="6.0"/>
        <n v="80.0"/>
        <n v="8.0"/>
        <n v="28.8"/>
        <n v="22.8"/>
        <n v="50.0"/>
        <n v="19.0"/>
        <n v="42.0"/>
        <n v="19.2"/>
        <n v="144.0"/>
        <n v="52.8"/>
        <n v="64.8"/>
        <n v="108.0"/>
        <n v="10.32"/>
        <n v="40.8"/>
        <n v="16.8"/>
        <n v="50.4"/>
        <n v="38.4"/>
        <n v="9.6"/>
        <n v="60.0"/>
        <n v="395.0"/>
        <n v="95.0"/>
        <n v="5.0"/>
        <n v="210.0"/>
        <n v="180.0"/>
        <n v="183.0"/>
        <n v="275.11"/>
        <n v="83.0"/>
        <n v="2500.0"/>
        <n v="0.0"/>
        <n v="1891.0"/>
        <n v="317.2"/>
        <n v="1100.0"/>
        <n v="573.6"/>
        <n v="23.0"/>
        <n v="115.0"/>
        <n v="400.0"/>
        <m/>
        <n v="345.26"/>
        <n v="708.0"/>
        <n v="2388.0"/>
        <n v="368.0"/>
        <n v="512.0"/>
        <n v="90.0"/>
        <n v="72.0"/>
        <n v="860.0"/>
        <n v="162.0"/>
        <n v="57.6"/>
        <n v="750.3"/>
        <n v="380.0"/>
        <n v="958.18"/>
        <n v="262.3"/>
        <n v="51.6"/>
        <n v="1300.0"/>
        <n v="24.0"/>
        <n v="420.0"/>
        <n v="172.0"/>
        <n v="11.0"/>
        <n v="156.0"/>
        <n v="273.0"/>
        <n v="3.0"/>
        <n v="300.0"/>
        <n v="100.0"/>
        <n v="6.2"/>
        <n v="40.0"/>
        <n v="488.0"/>
        <n v="943.8"/>
        <n v="178.0"/>
        <n v="494.0"/>
        <n v="259.86"/>
        <n v="614.0"/>
        <n v="506.0"/>
        <n v="9000.0"/>
        <n v="68.0"/>
        <n v="84.0"/>
        <n v="43.0"/>
        <n v="45.0"/>
        <n v="30.0"/>
        <n v="11.4"/>
        <n v="54.0"/>
        <n v="44.0"/>
        <n v="76.0"/>
        <n v="154.0"/>
        <n v="18.5"/>
        <n v="138.0"/>
        <n v="12.0"/>
        <n v="143.0"/>
        <n v="70.0"/>
        <n v="1013.0"/>
        <n v="148.0"/>
        <n v="6.6"/>
        <n v="627.0"/>
        <n v="560.0"/>
        <n v="216.0"/>
        <n v="69.99"/>
        <n v="85.2"/>
        <n v="35.0"/>
        <n v="956.0"/>
        <n v="900.0"/>
        <n v="11000.0"/>
        <n v="15.0"/>
        <n v="25.0"/>
        <n v="27.99"/>
        <n v="20.31"/>
        <n v="14.96"/>
        <n v="2300.0"/>
        <n v="22.0"/>
        <n v="288.0"/>
        <n v="414.0"/>
        <n v="170.0"/>
        <n v="17.99"/>
        <n v="2724.14"/>
        <n v="1075.0"/>
        <n v="1000.0"/>
        <n v="500.0"/>
        <n v="350.0"/>
        <n v="1380.0"/>
      </sharedItems>
    </cacheField>
    <cacheField name="Price Cost" numFmtId="165">
      <sharedItems containsSemiMixedTypes="0" containsString="0" containsNumber="1">
        <n v="8.0"/>
        <n v="103.5"/>
        <n v="600.0"/>
        <n v="200.0"/>
        <n v="21.6"/>
        <n v="591.82"/>
        <n v="150.0"/>
        <n v="204.0"/>
        <n v="17.0"/>
        <n v="40.0"/>
        <n v="96.0"/>
        <n v="48.0"/>
        <n v="36.0"/>
        <n v="902.8"/>
        <n v="49.2"/>
        <n v="18.0"/>
        <n v="14.4"/>
        <n v="14.0"/>
        <n v="198.0"/>
        <n v="240.0"/>
        <n v="28.8"/>
        <n v="22.8"/>
        <n v="50.0"/>
        <n v="38.0"/>
        <n v="84.0"/>
        <n v="19.2"/>
        <n v="144.0"/>
        <n v="211.2"/>
        <n v="129.6"/>
        <n v="108.0"/>
        <n v="10.32"/>
        <n v="6.0"/>
        <n v="40.8"/>
        <n v="16.8"/>
        <n v="50.4"/>
        <n v="42.0"/>
        <n v="38.4"/>
        <n v="9.6"/>
        <n v="64.8"/>
        <n v="60.0"/>
        <n v="395.0"/>
        <n v="95.0"/>
        <n v="35.0"/>
        <n v="20.0"/>
        <n v="210.0"/>
        <n v="180.0"/>
        <n v="80.0"/>
        <n v="1464.0"/>
        <n v="275.11"/>
        <n v="83.0"/>
        <n v="2500.0"/>
        <n v="0.0"/>
        <n v="1891.0"/>
        <n v="317.2"/>
        <n v="1100.0"/>
        <n v="573.63"/>
        <n v="23.0"/>
        <n v="10.0"/>
        <n v="115.0"/>
        <n v="400.0"/>
        <n v="345.26"/>
        <n v="708.0"/>
        <n v="2388.0"/>
        <n v="368.0"/>
        <n v="512.0"/>
        <n v="270.0"/>
        <n v="72.0"/>
        <n v="860.0"/>
        <n v="324.0"/>
        <n v="57.6"/>
        <n v="30.0"/>
        <n v="750.3"/>
        <n v="760.0"/>
        <n v="958.18"/>
        <n v="262.3"/>
        <n v="51.6"/>
        <n v="1300.0"/>
        <n v="24.0"/>
        <n v="420.0"/>
        <n v="172.0"/>
        <n v="44.0"/>
        <n v="156.0"/>
        <n v="273.0"/>
        <n v="5.0"/>
        <n v="300.0"/>
        <n v="6.2"/>
        <n v="488.0"/>
        <n v="550.22"/>
        <n v="943.8"/>
        <n v="178.0"/>
        <n v="100.0"/>
        <n v="494.0"/>
        <n v="519.72"/>
        <n v="614.0"/>
        <n v="506.0"/>
        <n v="9000.0"/>
        <n v="68.0"/>
        <n v="43.0"/>
        <n v="45.0"/>
        <n v="19.0"/>
        <n v="11.4"/>
        <n v="54.0"/>
        <n v="88.0"/>
        <n v="304.0"/>
        <n v="308.0"/>
        <n v="37.0"/>
        <n v="276.0"/>
        <n v="143.0"/>
        <n v="140.0"/>
        <n v="1013.0"/>
        <n v="296.0"/>
        <n v="192.0"/>
        <n v="13.2"/>
        <n v="627.0"/>
        <n v="1120.0"/>
        <n v="432.0"/>
        <n v="139.98"/>
        <n v="340.8"/>
        <n v="956.0"/>
        <n v="900.0"/>
        <n v="11000.0"/>
        <n v="15.0"/>
        <n v="75.0"/>
        <n v="139.95"/>
        <n v="60.92999999999999"/>
        <n v="29.92"/>
        <n v="2300.0"/>
        <n v="22.0"/>
        <n v="288.0"/>
        <n v="414.0"/>
        <n v="170.0"/>
        <n v="17.99"/>
        <n v="2724.14"/>
        <n v="1075.0"/>
        <n v="1000.0"/>
        <n v="500.0"/>
        <n v="350.0"/>
        <n v="1380.0"/>
        <n v="2157.0"/>
        <n v="750.0"/>
      </sharedItems>
    </cacheField>
    <cacheField name="Actual Cost" numFmtId="165">
      <sharedItems containsString="0" containsBlank="1" containsNumber="1">
        <n v="2141.98"/>
        <m/>
        <n v="18.09"/>
        <n v="595.23"/>
        <n v="4072.5"/>
        <n v="126.73"/>
        <n v="40.44"/>
        <n v="68.14"/>
        <n v="35.13"/>
        <n v="20.22"/>
        <n v="820.8"/>
        <n v="37.1"/>
        <n v="13.83"/>
        <n v="11.91"/>
        <n v="7.56"/>
        <n v="140.55"/>
        <n v="25.03"/>
        <n v="25.25"/>
        <n v="32.05"/>
        <n v="73.65"/>
        <n v="16.81"/>
        <n v="127.79"/>
        <n v="170.35"/>
        <n v="83.51"/>
        <n v="74.53"/>
        <n v="10.53"/>
        <n v="14.85"/>
        <n v="19.15"/>
        <n v="4.24"/>
        <n v="33.63"/>
        <n v="10.63"/>
        <n v="31.93"/>
        <n v="38.0"/>
        <n v="35.16"/>
        <n v="33.37"/>
        <n v="7.24"/>
        <n v="57.49"/>
        <n v="18.92"/>
        <n v="26.2"/>
        <n v="31.94"/>
        <n v="6.8"/>
        <n v="53.27"/>
        <n v="3292.09"/>
        <n v="170.38"/>
        <n v="26.57"/>
        <n v="170.39"/>
        <n v="1002.24"/>
        <n v="308.62"/>
        <n v="276.7"/>
        <n v="97.2"/>
        <n v="0.0"/>
        <n v="1738.8"/>
        <n v="345.6"/>
        <n v="1130.0"/>
        <n v="479.24"/>
        <n v="19.21"/>
        <n v="323.43"/>
        <n v="189.72"/>
        <n v="347.49"/>
        <n v="607.04"/>
        <n v="107.34"/>
        <n v="2149.2"/>
        <n v="307.79"/>
        <n v="150.0"/>
        <n v="60.69"/>
        <n v="860.0"/>
        <n v="46.0"/>
        <n v="712.8"/>
        <n v="654.5"/>
        <n v="825.0"/>
        <n v="294.16"/>
        <n v="34.49"/>
        <n v="60.72"/>
        <n v="45.78"/>
        <n v="24.23"/>
        <n v="15.85"/>
        <n v="1434.95"/>
        <n v="244.94"/>
        <n v="15.16"/>
        <n v="31.66"/>
        <n v="442.8"/>
        <n v="498.06"/>
        <n v="868.72"/>
        <n v="60.71"/>
        <n v="159.74"/>
        <n v="37.9"/>
        <n v="464.4"/>
        <n v="451.0"/>
        <n v="528.0"/>
        <n v="54.33"/>
        <n v="60.7"/>
        <n v="27000.0"/>
        <n v="45.51"/>
        <n v="63.9"/>
        <n v="47.91"/>
        <n v="14.49"/>
        <n v="27.5"/>
        <n v="31.08"/>
        <n v="17.78"/>
        <n v="25.58"/>
        <n v="7.65"/>
        <n v="78.81"/>
        <n v="260.24"/>
        <n v="289.65"/>
        <n v="24.6"/>
        <n v="298.18"/>
        <n v="16.99"/>
        <n v="25.55"/>
        <n v="285.14"/>
        <n v="102.23"/>
        <n v="135.3"/>
        <n v="62.41"/>
        <n v="266.05"/>
        <n v="171.87"/>
        <n v="10.75"/>
        <n v="439.41"/>
        <n v="962.98"/>
        <n v="383.38"/>
        <n v="34.37"/>
        <n v="117.68"/>
        <n v="300.45"/>
        <n v="71.32"/>
        <n v="1600.0"/>
        <n v="10.35"/>
        <n v="63.84"/>
        <n v="31.9"/>
        <n v="331.49"/>
        <n v="6.9"/>
        <n v="38.3"/>
        <n v="42.56"/>
        <n v="21.24"/>
        <n v="232.16"/>
        <n v="314.16"/>
        <n v="53.22"/>
        <n v="80.94"/>
        <n v="389.37"/>
        <n v="2724.14"/>
        <n v="721.0"/>
        <n v="244.92"/>
        <n v="13.77"/>
        <n v="455.19"/>
        <n v="350.0"/>
        <n v="900.0"/>
        <n v="1575.0"/>
        <n v="1922.79"/>
        <n v="540.0"/>
        <n v="180.0"/>
        <n v="250.0"/>
      </sharedItems>
    </cacheField>
    <cacheField name="STATUS" numFmtId="0">
      <sharedItems containsBlank="1">
        <s v="ENTREGUE"/>
        <s v="COMPRADO"/>
        <m/>
      </sharedItems>
    </cacheField>
    <cacheField name="Comentarios" numFmtId="0">
      <sharedItems containsBlank="1">
        <m/>
        <s v="VALOR PACK TOTAL DINING"/>
        <s v="Foi alterado para Amazon"/>
        <s v="Foi adicionado essa liha - Nao estava provisionado"/>
        <s v="CONFERIR MEDIDA"/>
        <s v="PAGUEI JUNTO TOTAL $840"/>
        <s v="Estoque"/>
        <s v="Cabo HDMI"/>
        <s v="Valor Total Bed 3"/>
        <s v="NAO PRECISOU"/>
        <s v="Valor p o Bed 2 - Irá sobrar 4"/>
        <s v="Adicionei a linha - nao estava previsto"/>
        <s v="WUDSON"/>
        <s v="PACOTE WUDSON"/>
        <s v="Adicionado essa linha - nao foi  colocado na planilha"/>
        <s v="Todas as toalhas inclusive Piscina"/>
        <s v="Valor Total Toalhas Grandes"/>
        <s v="Nao foi comprado"/>
        <s v="Comprei na Wayfair"/>
        <s v="NAO PREVISTO"/>
        <s v="Tapetes e Shipping Moveis Vi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6" cacheId="0" dataCaption="" compact="0" compactData="0">
  <location ref="A1:C21" firstHeaderRow="0" firstDataRow="2" firstDataCol="0"/>
  <pivotFields>
    <pivotField name="Amb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roduc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Category" axis="axisRow" compact="0" outline="0" multipleItemSelectionAllowed="1" showAll="0" sortType="ascending">
      <items>
        <item x="10"/>
        <item x="14"/>
        <item x="8"/>
        <item x="0"/>
        <item x="5"/>
        <item x="4"/>
        <item x="13"/>
        <item x="1"/>
        <item x="16"/>
        <item x="17"/>
        <item x="6"/>
        <item x="15"/>
        <item x="3"/>
        <item x="9"/>
        <item x="7"/>
        <item x="18"/>
        <item x="2"/>
        <item x="12"/>
        <item x="11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Cos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Price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ctu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3"/>
  </rowFields>
  <colFields>
    <field x="-2"/>
  </colFields>
  <dataFields>
    <dataField name="SUM of Price Cost" fld="7" baseField="0"/>
    <dataField name="SUM of Actual Cost" fld="8" baseField="0"/>
  </dataFields>
</pivotTableDefinition>
</file>

<file path=xl/tables/table1.xml><?xml version="1.0" encoding="utf-8"?>
<table xmlns="http://schemas.openxmlformats.org/spreadsheetml/2006/main" ref="B12:L285" displayName="debora" name="debora" id="1">
  <autoFilter ref="$B$12:$L$285"/>
  <tableColumns count="11">
    <tableColumn name="Ambiente" id="1"/>
    <tableColumn name="Company" id="2"/>
    <tableColumn name="Product" id="3"/>
    <tableColumn name="Category" id="4"/>
    <tableColumn name="LINK" id="5"/>
    <tableColumn name="Qty" id="6"/>
    <tableColumn name="Unit Cost Price" id="7"/>
    <tableColumn name="Price Cost" id="8"/>
    <tableColumn name="Actual Cost" id="9"/>
    <tableColumn name="STATUS" id="10"/>
    <tableColumn name="Comentarios" id="11"/>
  </tableColumns>
  <tableStyleInfo name="B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mzn.to/3XeoBEa" TargetMode="External"/><Relationship Id="rId42" Type="http://schemas.openxmlformats.org/officeDocument/2006/relationships/hyperlink" Target="https://www.meridianfurnitureusa.com/sitefiles/product-2866-26351/493-green.html" TargetMode="External"/><Relationship Id="rId41" Type="http://schemas.openxmlformats.org/officeDocument/2006/relationships/hyperlink" Target="https://www.vigfurniture.com/dining-room/modern-dining/modrest-costello-mid-century-modern-wenge-dining-table.html" TargetMode="External"/><Relationship Id="rId44" Type="http://schemas.openxmlformats.org/officeDocument/2006/relationships/hyperlink" Target="https://amzn.to/43XcS0x" TargetMode="External"/><Relationship Id="rId43" Type="http://schemas.openxmlformats.org/officeDocument/2006/relationships/hyperlink" Target="https://www.vigfurniture.com/living-room/coffee-tables/modrest-morley-modern-round-coffee-table.html" TargetMode="External"/><Relationship Id="rId46" Type="http://schemas.openxmlformats.org/officeDocument/2006/relationships/hyperlink" Target="https://amzn.to/4nLoStc" TargetMode="External"/><Relationship Id="rId45" Type="http://schemas.openxmlformats.org/officeDocument/2006/relationships/hyperlink" Target="https://www.wallpaperstogo.com/products/altitude-wallpaper-beige-york-da3549n" TargetMode="External"/><Relationship Id="rId107" Type="http://schemas.openxmlformats.org/officeDocument/2006/relationships/hyperlink" Target="https://www.amazon.com/Conair-Keeper-Folding-Handle-Retractable/dp/B009ZPMPGI/ref=sr_1_9?crid=2CE0HPZNMSLFV&amp;dib=eyJ2IjoiMSJ9.6DKfbuoovGf_DtXnueXwGgIUyPUzYev1oxnfzKDdmiuoC1kB7IHVdawft_dqC4kQT1KrzJu0aUpX9JA9WfbBNW9Acne0yPCRjvXobzmKDVD0hpjlXU3d11zXZahIprZuGpHjymDrD0Ay2ytqffVPdx9e7gy2va79XWQ553mrNy5RRiHdVC59hzBKp2NMoZ9uklnu_R0JRPHiDe5NBSeX_wWC-IhBqYIEHA-6kP_1BswqsP9C-tGjZxgAJfhLtgzxZLR05fGj-YIcz8X8kda_Dv4LpjJvtGGrCV3RLwWDJaU.H7AdKgjLH6WXckHS_EZJlJBZRwcx_3sKT4iGhvEZLio&amp;dib_tag=se&amp;keywords=Compact+Hair+Dryer&amp;qid=1759541675&amp;sprefix=compact+hair+dryer%2Caps%2C135&amp;sr=8-9" TargetMode="External"/><Relationship Id="rId106" Type="http://schemas.openxmlformats.org/officeDocument/2006/relationships/hyperlink" Target="https://www.ikea.com/us/en/p/snoerpa-pedal-bin-stainless-steel-10511208/" TargetMode="External"/><Relationship Id="rId105" Type="http://schemas.openxmlformats.org/officeDocument/2006/relationships/hyperlink" Target="https://www.ikea.com/us/en/p/bolmen-toilet-brush-holder-white-40574435/" TargetMode="External"/><Relationship Id="rId104" Type="http://schemas.openxmlformats.org/officeDocument/2006/relationships/hyperlink" Target="https://www.amazon.com/Zitalupy-T-Shape-Towel-Rack-Countertop/dp/B0D232RB1V/ref=sr_1_3?crid=V7SJXAXA7XU7&amp;dib=eyJ2IjoiMSJ9.uJASzIuTkOKswAQDAkkmbQ.FeAbjlXHxFSTbp328KskjhqF_wZjSeyyQz8Z03zeYis&amp;dib_tag=se&amp;keywords=B0D232RB1V&amp;qid=1744320760&amp;sprefix=b0d232rb1v%2Caps%2C107&amp;sr=8-3&amp;th=1" TargetMode="External"/><Relationship Id="rId109" Type="http://schemas.openxmlformats.org/officeDocument/2006/relationships/hyperlink" Target="https://www.amazon.com/MIULEE-Outdoor-Waterproof-Hypoallergenic-Furniture/dp/B08MV1DBTD/ref=pd_bxgy_d_sccl_1/147-1871314-7552764?pd_rd_w=synkD&amp;content-id=amzn1.sym.de9a1315-b9df-4c24-863c-7afcb2e4cc0a&amp;pf_rd_p=de9a1315-b9df-4c24-863c-7afcb2e4cc0a&amp;pf_rd_r=QBKAEB90FPHVA3ZZA3PC&amp;pd_rd_wg=dO2sL&amp;pd_rd_r=63a311df-2253-48ae-848f-1e8145dec998&amp;pd_rd_i=B08MV1DBTD&amp;th=1" TargetMode="External"/><Relationship Id="rId108" Type="http://schemas.openxmlformats.org/officeDocument/2006/relationships/hyperlink" Target="https://www.amazon.com/Textile-Outdoor-Waterproof-Farmhouse-Decorative/dp/B0CTG5BSVQ/ref=sims_dp_d_dex_ai_rank_model_1_d_v1_d_sccl_1_5/147-1871314-7552764?pd_rd_w=ea5wA&amp;content-id=amzn1.sym.da0b205c-8cc7-4a8d-9d0a-8ed3705890a2&amp;pf_rd_p=da0b205c-8cc7-4a8d-9d0a-8ed3705890a2&amp;pf_rd_r=AE3NQ6JPNADEZ2BPZS95&amp;pd_rd_wg=b6MBA&amp;pd_rd_r=166cc4c1-e216-4c03-9789-80faed6c407c&amp;pd_rd_i=B0CTG5BSVQ&amp;th=1" TargetMode="External"/><Relationship Id="rId48" Type="http://schemas.openxmlformats.org/officeDocument/2006/relationships/hyperlink" Target="https://www.amazon.com/Amazon-Basics-Non-Slip-Clothes-Hangers/dp/B0756F2CCN/ref=sr_1_2?crid=2Q3E9IZ4OMDBS&amp;dib=eyJ2IjoiMSJ9.iOqyvvRUhr-abhWgNvJ_gQ.VjfV0-jLkuyiXrEDdeC8_c5NMgaC1bWah0xKBlqxLqk&amp;dib_tag=se&amp;keywords=B0756F2CCN&amp;qid=1736354334&amp;s=hi&amp;sprefix=b0756f2ccn%2Ctools%2C145&amp;sr=1-2&amp;th=1" TargetMode="External"/><Relationship Id="rId47" Type="http://schemas.openxmlformats.org/officeDocument/2006/relationships/hyperlink" Target="https://www.amazon.com/dp/B0CG5YPJ7C/ref=sspa_dk_detail_2?pd_rd_i=B0CG5YPJ7C&amp;pd_rd_w=nWsRX&amp;content-id=amzn1.sym.386c274b-4bfe-4421-9052-a1a56db557ab&amp;pf_rd_p=386c274b-4bfe-4421-9052-a1a56db557ab&amp;pf_rd_r=8CC5QFMG5PZ9NP510MXH&amp;pd_rd_wg=nkRLR&amp;pd_rd_r=55cdfeb2-7370-4963-87a8-8afaf3031ed3&amp;sp_csd=d2lkZ2V0TmFtZT1zcF9kZXRhaWxfdGhlbWF0aWM&amp;th=1" TargetMode="External"/><Relationship Id="rId49" Type="http://schemas.openxmlformats.org/officeDocument/2006/relationships/hyperlink" Target="https://amzn.to/496Tj9G" TargetMode="External"/><Relationship Id="rId103" Type="http://schemas.openxmlformats.org/officeDocument/2006/relationships/hyperlink" Target="https://www.amazon.com/Conair-Keeper-Folding-Handle-Retractable/dp/B009ZPMPGI/ref=sr_1_9?crid=2CE0HPZNMSLFV&amp;dib=eyJ2IjoiMSJ9.6DKfbuoovGf_DtXnueXwGgIUyPUzYev1oxnfzKDdmiuoC1kB7IHVdawft_dqC4kQT1KrzJu0aUpX9JA9WfbBNW9Acne0yPCRjvXobzmKDVD0hpjlXU3d11zXZahIprZuGpHjymDrD0Ay2ytqffVPdx9e7gy2va79XWQ553mrNy5RRiHdVC59hzBKp2NMoZ9uklnu_R0JRPHiDe5NBSeX_wWC-IhBqYIEHA-6kP_1BswqsP9C-tGjZxgAJfhLtgzxZLR05fGj-YIcz8X8kda_Dv4LpjJvtGGrCV3RLwWDJaU.H7AdKgjLH6WXckHS_EZJlJBZRwcx_3sKT4iGhvEZLio&amp;dib_tag=se&amp;keywords=Compact+Hair+Dryer&amp;qid=1759541675&amp;sprefix=compact+hair+dryer%2Caps%2C135&amp;sr=8-9" TargetMode="External"/><Relationship Id="rId102" Type="http://schemas.openxmlformats.org/officeDocument/2006/relationships/hyperlink" Target="https://www.ikea.com/us/en/p/bolmen-toilet-brush-holder-white-40574435/" TargetMode="External"/><Relationship Id="rId101" Type="http://schemas.openxmlformats.org/officeDocument/2006/relationships/hyperlink" Target="https://www.ikea.com/us/en/p/snoerpa-pedal-bin-stainless-steel-10511208/" TargetMode="External"/><Relationship Id="rId100" Type="http://schemas.openxmlformats.org/officeDocument/2006/relationships/hyperlink" Target="https://www.amazon.com/dp/B07KJYY9BD/ref=sspa_dk_detail_6?pf_rd_p=f2f1cf8f-cab4-44dc-82ba-0ca811fb90cc&amp;pf_rd_r=Z0QJPQHWB0P1PTZNDQPB&amp;pd_rd_wg=K6lk6&amp;pd_rd_w=XkjwE&amp;content-id=amzn1.sym.f2f1cf8f-cab4-44dc-82ba-0ca811fb90cc&amp;pd_rd_r=7b7b1efe-455c-4bb3-b108-b29cc3799140&amp;sp_csd=d2lkZ2V0TmFtZT1zcF9kZXRhaWxfdGhlbWF0aWM&amp;th=1" TargetMode="External"/><Relationship Id="rId31" Type="http://schemas.openxmlformats.org/officeDocument/2006/relationships/hyperlink" Target="https://amzn.to/4oCkkGP" TargetMode="External"/><Relationship Id="rId30" Type="http://schemas.openxmlformats.org/officeDocument/2006/relationships/hyperlink" Target="https://amzn.to/4oAuBDC" TargetMode="External"/><Relationship Id="rId33" Type="http://schemas.openxmlformats.org/officeDocument/2006/relationships/hyperlink" Target="https://amzn.to/4nMk1Im" TargetMode="External"/><Relationship Id="rId32" Type="http://schemas.openxmlformats.org/officeDocument/2006/relationships/hyperlink" Target="https://amzn.to/43NxZlW" TargetMode="External"/><Relationship Id="rId35" Type="http://schemas.openxmlformats.org/officeDocument/2006/relationships/hyperlink" Target="https://amzn.to/4hWKcdZ" TargetMode="External"/><Relationship Id="rId34" Type="http://schemas.openxmlformats.org/officeDocument/2006/relationships/hyperlink" Target="https://amzn.to/3LjQcBt" TargetMode="External"/><Relationship Id="rId37" Type="http://schemas.openxmlformats.org/officeDocument/2006/relationships/hyperlink" Target="https://amzn.to/3JLVULI" TargetMode="External"/><Relationship Id="rId36" Type="http://schemas.openxmlformats.org/officeDocument/2006/relationships/hyperlink" Target="https://amzn.to/49Dd74v" TargetMode="External"/><Relationship Id="rId39" Type="http://schemas.openxmlformats.org/officeDocument/2006/relationships/hyperlink" Target="https://amzn.to/49pcSu7" TargetMode="External"/><Relationship Id="rId38" Type="http://schemas.openxmlformats.org/officeDocument/2006/relationships/hyperlink" Target="https://amzn.to/4963efJ" TargetMode="External"/><Relationship Id="rId20" Type="http://schemas.openxmlformats.org/officeDocument/2006/relationships/hyperlink" Target="https://amzn.to/47KzORV" TargetMode="External"/><Relationship Id="rId22" Type="http://schemas.openxmlformats.org/officeDocument/2006/relationships/hyperlink" Target="https://amzn.to/4962KpV" TargetMode="External"/><Relationship Id="rId21" Type="http://schemas.openxmlformats.org/officeDocument/2006/relationships/hyperlink" Target="https://amzn.to/49pcifV" TargetMode="External"/><Relationship Id="rId24" Type="http://schemas.openxmlformats.org/officeDocument/2006/relationships/hyperlink" Target="https://amzn.to/4qJYcM8" TargetMode="External"/><Relationship Id="rId23" Type="http://schemas.openxmlformats.org/officeDocument/2006/relationships/hyperlink" Target="https://amzn.to/47KzXEX" TargetMode="External"/><Relationship Id="rId26" Type="http://schemas.openxmlformats.org/officeDocument/2006/relationships/hyperlink" Target="https://amzn.to/4nT3cM0" TargetMode="External"/><Relationship Id="rId25" Type="http://schemas.openxmlformats.org/officeDocument/2006/relationships/hyperlink" Target="https://amzn.to/3JH7rfi" TargetMode="External"/><Relationship Id="rId28" Type="http://schemas.openxmlformats.org/officeDocument/2006/relationships/hyperlink" Target="https://amzn.to/4oOZnrK" TargetMode="External"/><Relationship Id="rId27" Type="http://schemas.openxmlformats.org/officeDocument/2006/relationships/hyperlink" Target="https://amzn.to/4nI62Dq" TargetMode="External"/><Relationship Id="rId29" Type="http://schemas.openxmlformats.org/officeDocument/2006/relationships/hyperlink" Target="https://amzn.to/486PUWn" TargetMode="External"/><Relationship Id="rId95" Type="http://schemas.openxmlformats.org/officeDocument/2006/relationships/hyperlink" Target="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" TargetMode="External"/><Relationship Id="rId94" Type="http://schemas.openxmlformats.org/officeDocument/2006/relationships/hyperlink" Target="https://www.amazon.com/Softa-Stools-Counter-Cushion-Footstool/dp/B0FKMRCK5K/ref=sr_1_10?crid=33LJV4EUTWU5N&amp;dib=eyJ2IjoiMSJ9.xBvwE6_8LyCtkiL51fCt8i_5GpLyptsPm-yAGipWe1K5EBIZfEU9bY_W0g6mPD5PTXmnpil-PtPSl3wDP7zm_9izxd4mG7l0SwSTKIlbrrqZLq0XP7y1-wwBhnZFmALsF-21jCuytoK87_4gf3vh2gN7wE43x2GDENttioqEmJAzO9FJ9VzZGBxBlr7osfZBZjgNvtc_dBI5TUxUlxQluUvUAnYsL1yU0ovWLRmB1CaMjFujayYOuyD8xrHWS93iCiqC5zLnDWsaReaYZtSTizklMY7TdR9EK3uLHYOWOUQ.SXwjm3qJgaCJrro95mfFvbjTQJhe73y-YqaVopj124Q&amp;dib_tag=se&amp;keywords=counter%2Bstool%2Bred&amp;qid=1761927758&amp;sprefix=counter%2Bstool%2Bred%2Caps%2C182&amp;sr=8-10&amp;th=1" TargetMode="External"/><Relationship Id="rId97" Type="http://schemas.openxmlformats.org/officeDocument/2006/relationships/hyperlink" Target="https://www.amazon.com/Orienttvbracket-Bracket-Position-Plasma-100x100mm/dp/B071VCYBXW/ref=sr_1_3?dib=eyJ2IjoiMSJ9.wZfsgyj-9ngqAyMTXxe_6XU2ujndttDv6QSHA9QYhOR_9augEPsdWb6_hU4RFpbrEbUpjUe4zqTRz_8IulZzGk1iFDpx1iVWk4ygqCB_C3gFMKylHJKOmlbuFScxODhwoQwT2k2_YDAyZC7DxJ0FiDKqSd76qsfyOm7SAgcFb-HRz6jFl3mXB-4iHYo9vVfl5bY99U7W-ypEHtnzSKIa8c2cMyuHJQLIldOcq6kWQEc.xXXnB3N-gRR0p52c0IO1gPjy9s-Mfs_sBadX5QucPtg&amp;dib_tag=se&amp;keywords=monitor+wall+mount&amp;qid=1761928210&amp;sr=8-3" TargetMode="External"/><Relationship Id="rId96" Type="http://schemas.openxmlformats.org/officeDocument/2006/relationships/hyperlink" Target="https://www.walmart.com/ip/Memzuoix-TMDTMD24S1-Ultra-thin-24inch-100Hz-Computer-Monitor-FHD-1080P-LCD/3972343768?classType=VARIANT&amp;adsRedirect=true" TargetMode="External"/><Relationship Id="rId11" Type="http://schemas.openxmlformats.org/officeDocument/2006/relationships/hyperlink" Target="https://amzn.to/47Hbb8D" TargetMode="External"/><Relationship Id="rId99" Type="http://schemas.openxmlformats.org/officeDocument/2006/relationships/hyperlink" Target="https://www.walmart.com/ip/50-HISENSE-4K-GOOGLE-TV/17309421750?classType=REGULAR&amp;athbdg=L1103&amp;from=/search" TargetMode="External"/><Relationship Id="rId10" Type="http://schemas.openxmlformats.org/officeDocument/2006/relationships/hyperlink" Target="https://amzn.to/43PU0k5" TargetMode="External"/><Relationship Id="rId98" Type="http://schemas.openxmlformats.org/officeDocument/2006/relationships/hyperlink" Target="https://www.amazon.com/Triumph-Interactive-Featuring-All-Rail-Lighting/dp/B01MREOEQ4/ref=sr_1_8?crid=14PVZOXRUROLE&amp;dib=eyJ2IjoiMSJ9.hBaDXBvTc5D57f8x9CtVyLHEjFKCf7tc4NfCKwCHaRHoa_NH9JNQ05owJIxZijICeuyP1mPgmJWz9MnuJ2BDPnOj4C4MBcv-CpBq59HiqDq4Ra-hcrG7L7RsxcFawDe1O5_-DRCXRT4DwBUUU7yFqDaV_0hK9dQVhjX7sfgPgQ0WWGv_6F7F_L_9D1BIufDS7KF_s3jWCyQq6M7Q38YCZ73EHQTBX0wLHYFXsXAx2nvgCqPQqjr7k1aQXIJqdomX71o07lA08ubt7yynKTIocLAm5qwauBWqIRLeCQIm_kQ.8wcBiB_RTb11rCwlqvQXmpbXfM_zRNncgIAS3uDnNwE&amp;dib_tag=se&amp;keywords=air+hockey&amp;qid=1758672365&amp;s=sporting-goods&amp;sprefix=air+hockey%2Csporting%2C97&amp;sr=1-8" TargetMode="External"/><Relationship Id="rId13" Type="http://schemas.openxmlformats.org/officeDocument/2006/relationships/hyperlink" Target="https://amzn.to/4oCk6iX" TargetMode="External"/><Relationship Id="rId12" Type="http://schemas.openxmlformats.org/officeDocument/2006/relationships/hyperlink" Target="https://amzn.to/3Lpq3kB" TargetMode="External"/><Relationship Id="rId91" Type="http://schemas.openxmlformats.org/officeDocument/2006/relationships/hyperlink" Target="https://www.amazon.com/dp/B00MW50754/ref=twister_B0CYCRVKD1?_encoding=UTF8&amp;th=1" TargetMode="External"/><Relationship Id="rId90" Type="http://schemas.openxmlformats.org/officeDocument/2006/relationships/hyperlink" Target="https://www.amazon.com/Zinus-Mattress-Fiberglass-Pressure-Certified/dp/B0CKYZHV5D/ref=sr_1_4?crid=R2KBWECPLR1D&amp;dib=eyJ2IjoiMSJ9.DO_w8f1J0X5rYl6o_167bA.5L6sTViIMXQq_i1bQ9Lm0xbGhWOrDnoypudsHdxyrx8&amp;dib_tag=se&amp;keywords=B0CKYZHV5D&amp;qid=1744320428&amp;s=home-garden&amp;sprefix=b0ckyzhv5d%2Cgarden%2C129&amp;sr=1-4&amp;th=1" TargetMode="External"/><Relationship Id="rId93" Type="http://schemas.openxmlformats.org/officeDocument/2006/relationships/hyperlink" Target="https://www.amazon.com/PERLESMITH-Bracket-Profile-Design-Plasma/dp/B07P72ZB37/ref=sr_1_4_sspa?crid=IU5OHSOFDQLA&amp;dib=eyJ2IjoiMSJ9.nk-D2udx-nUGyMe1PtqHiA.uuH2UkILjzoxXzLf6PQhFBcQ3CsT1Y7jX4Z8ubW49f0&amp;dib_tag=se&amp;keywords=B001OCY3RY&amp;qid=1745718416&amp;sprefix=b001ocy3ry%2Caps%2C96&amp;sr=8-4-spons&amp;sp_csd=d2lkZ2V0TmFtZT1zcF9tdGY&amp;th=1" TargetMode="External"/><Relationship Id="rId92" Type="http://schemas.openxmlformats.org/officeDocument/2006/relationships/hyperlink" Target="https://www.walmart.com/ip/TCL-43-Class-S3-43S310R-1080p-FHD-LED-Smart-TV-with-Roku-TV-New/3883035649?classType=REGULAR&amp;athbdg=L1103&amp;from=/search" TargetMode="External"/><Relationship Id="rId118" Type="http://schemas.openxmlformats.org/officeDocument/2006/relationships/table" Target="../tables/table1.xml"/><Relationship Id="rId116" Type="http://schemas.openxmlformats.org/officeDocument/2006/relationships/drawing" Target="../drawings/drawing1.xml"/><Relationship Id="rId115" Type="http://schemas.openxmlformats.org/officeDocument/2006/relationships/hyperlink" Target="https://www.lowes.com/pd/Char-Broil-CB-4-Burner-SS-Cabinet/5002180643" TargetMode="External"/><Relationship Id="rId15" Type="http://schemas.openxmlformats.org/officeDocument/2006/relationships/hyperlink" Target="https://amzn.to/4nDBNgH" TargetMode="External"/><Relationship Id="rId110" Type="http://schemas.openxmlformats.org/officeDocument/2006/relationships/hyperlink" Target="https://www.wayfair.com/outdoor/pdp/ebern-designs-patio-metal-reclining-chaise-lounge-set-w111014874.html?piid=278952009" TargetMode="External"/><Relationship Id="rId14" Type="http://schemas.openxmlformats.org/officeDocument/2006/relationships/hyperlink" Target="https://amzn.to/3WIsD7G" TargetMode="External"/><Relationship Id="rId17" Type="http://schemas.openxmlformats.org/officeDocument/2006/relationships/hyperlink" Target="https://www.costco.com/t-fal-excellence-ceramic-non-stick-cookware-set-10-piece.product.4000202536.html" TargetMode="External"/><Relationship Id="rId16" Type="http://schemas.openxmlformats.org/officeDocument/2006/relationships/hyperlink" Target="https://amzn.to/47Yx3h4" TargetMode="External"/><Relationship Id="rId19" Type="http://schemas.openxmlformats.org/officeDocument/2006/relationships/hyperlink" Target="https://amzn.to/3JkeGtK" TargetMode="External"/><Relationship Id="rId114" Type="http://schemas.openxmlformats.org/officeDocument/2006/relationships/hyperlink" Target="https://www.amazon.com/dp/B0721468V1/ref=sspa_dk_detail_6?pd_rd_i=B0721468V1&amp;pd_rd_w=Zb3wK&amp;content-id=amzn1.sym.386c274b-4bfe-4421-9052-a1a56db557ab&amp;pf_rd_p=386c274b-4bfe-4421-9052-a1a56db557ab&amp;pf_rd_r=3GF65BZANGN5WW0TQC9M&amp;pd_rd_wg=UBdi2&amp;pd_rd_r=9979f7c5-2fb0-4d1c-b252-cbcc8ebd5106&amp;s=sporting-goods&amp;sp_csd=d2lkZ2V0TmFtZT1zcF9kZXRhaWxfdGhlbWF0aWM&amp;th=1" TargetMode="External"/><Relationship Id="rId18" Type="http://schemas.openxmlformats.org/officeDocument/2006/relationships/hyperlink" Target="https://amzn.to/49EWWnm" TargetMode="External"/><Relationship Id="rId113" Type="http://schemas.openxmlformats.org/officeDocument/2006/relationships/hyperlink" Target="https://www.amazon.com/Inflatable-Colorful-FlyfreeU-Changing-Floaties/dp/B0BW83TD8Q/ref=sxin_16_pa_sp_search_thematic_sspa?content-id=amzn1.sym.27b41115-b206-47c3-8621-713097e8442c%3Aamzn1.sym.27b41115-b206-47c3-8621-713097e8442c&amp;crid=1WE4IAP1VOGJQ&amp;cv_ct_cx=boia+de+piscina&amp;keywords=boia+de+piscina&amp;pd_rd_i=B0BW83TD8Q&amp;pd_rd_r=a9a13afc-e30c-427c-bdb4-99e432aa6314&amp;pd_rd_w=N4UKf&amp;pd_rd_wg=i7iwO&amp;pf_rd_p=27b41115-b206-47c3-8621-713097e8442c&amp;pf_rd_r=7EN30CY25PR8X8127R6Q&amp;qid=1735356170&amp;sbo=RZvfv%2F%2FHxDF%2BO5021pAnSA%3D%3D&amp;sprefix=boia+de+piscina%2Caps%2C152&amp;sr=1-2-6024b2a3-78e4-4fed-8fed-e1613be3bcce-spons&amp;sp_csd=d2lkZ2V0TmFtZT1zcF9zZWFyY2hfdGhlbWF0aWM&amp;psc=1" TargetMode="External"/><Relationship Id="rId112" Type="http://schemas.openxmlformats.org/officeDocument/2006/relationships/hyperlink" Target="https://www.amazon.com/cart/smart-wagon?newItems=9c856754-9e75-4338-9d31-71d5c2e28874,1&amp;ref_=sw_refresh" TargetMode="External"/><Relationship Id="rId111" Type="http://schemas.openxmlformats.org/officeDocument/2006/relationships/hyperlink" Target="https://www.wayfair.com/outdoor/pdp/ebern-designs-theanna-rectangular-6-person-5906-long-dining-set-w009391601.html?piid=1952973249" TargetMode="External"/><Relationship Id="rId84" Type="http://schemas.openxmlformats.org/officeDocument/2006/relationships/hyperlink" Target="https://amzn.to/3LpveRC" TargetMode="External"/><Relationship Id="rId83" Type="http://schemas.openxmlformats.org/officeDocument/2006/relationships/hyperlink" Target="https://amzn.to/4hMjEMg" TargetMode="External"/><Relationship Id="rId86" Type="http://schemas.openxmlformats.org/officeDocument/2006/relationships/hyperlink" Target="https://amzn.to/43Yj9Jo" TargetMode="External"/><Relationship Id="rId85" Type="http://schemas.openxmlformats.org/officeDocument/2006/relationships/hyperlink" Target="https://www.walmart.com/ip/TCL-32-Class-S3-32S357-Full-HD-1080p-LED-Smart-TV-with-Roku-TV/1302917896?classType=REGULAR&amp;athbdg=L1103&amp;from=/search" TargetMode="External"/><Relationship Id="rId88" Type="http://schemas.openxmlformats.org/officeDocument/2006/relationships/hyperlink" Target="https://www.amazon.com/dp/B0DDXG3DW5/ref=sspa_dk_detail_7?pf_rd_p=f2f1cf8f-cab4-44dc-82ba-0ca811fb90cc&amp;pf_rd_r=KW9M7YNKDWG1Z128606D&amp;pd_rd_wg=jBj7T&amp;pd_rd_w=f7z7b&amp;content-id=amzn1.sym.f2f1cf8f-cab4-44dc-82ba-0ca811fb90cc&amp;pd_rd_r=2e9874af-dd14-4b0f-be5f-18da87f61e20&amp;sp_csd=d2lkZ2V0TmFtZT1zcF9kZXRhaWxfdGhlbWF0aWM&amp;th=1" TargetMode="External"/><Relationship Id="rId87" Type="http://schemas.openxmlformats.org/officeDocument/2006/relationships/hyperlink" Target="https://www.amazon.com/Zinus-Mattress-Fiberglass-Pressure-Certified/dp/B0CKYZHV5D/ref=sr_1_4?crid=R2KBWECPLR1D&amp;dib=eyJ2IjoiMSJ9.DO_w8f1J0X5rYl6o_167bA.5L6sTViIMXQq_i1bQ9Lm0xbGhWOrDnoypudsHdxyrx8&amp;dib_tag=se&amp;keywords=B0CKYZHV5D&amp;qid=1744320428&amp;s=home-garden&amp;sprefix=b0ckyzhv5d%2Cgarden%2C129&amp;sr=1-4&amp;th=1" TargetMode="External"/><Relationship Id="rId89" Type="http://schemas.openxmlformats.org/officeDocument/2006/relationships/hyperlink" Target="https://www.amazon.com/Jay-Franco-Disney-Pixar-Story/dp/B07RW87VNW/ref=sr_1_3_sspa?crid=3F64TNP5FRBJM&amp;dib=eyJ2IjoiMSJ9.GJCnkEkniecUtm53GLcmxMpHX2a8Vy3z57zCmvpxrXw0OV3AVnfElpQL2V1LaISv7kS-vA-652GjSu5qfUdDVvxHQehktpZk2pPoSJVoHw0-Oq3LF7_tMpS3i4jmKbCJ2VOj2o6QXlqWr3fOvFb4OSJMul9BqhZW71H8wktNTZ2pMnyRGwyjU-_nR5zOiIljSbmq_UAQY6DyUY4gV1g04feGu5VGK4hl7J_3tBiJ1OExkm6BTs0Nv8NjjUPmf5ZYuTlbMOAT3hFODDOSoY5Fsbm3Q7_EDrOwta_3IzMt33A.TO_w1LlzgtRikromp-Qe-vsdz-iR9wZTT8-dslRKFbs&amp;dib_tag=se&amp;keywords=toy%2Bstory%2Bfull%2Bcomforter&amp;qid=1759539907&amp;sprefix=toy%2Bstory%2Bfull%2Bconforter%2Caps%2C102&amp;sr=8-3-spons&amp;sp_csd=d2lkZ2V0TmFtZT1zcF9hdGY&amp;th=1" TargetMode="External"/><Relationship Id="rId80" Type="http://schemas.openxmlformats.org/officeDocument/2006/relationships/hyperlink" Target="https://amzn.to/3LpppDM" TargetMode="External"/><Relationship Id="rId82" Type="http://schemas.openxmlformats.org/officeDocument/2006/relationships/hyperlink" Target="https://amzn.to/4qRH6fA" TargetMode="External"/><Relationship Id="rId81" Type="http://schemas.openxmlformats.org/officeDocument/2006/relationships/hyperlink" Target="https://amzn.to/4qN53o6" TargetMode="External"/><Relationship Id="rId1" Type="http://schemas.openxmlformats.org/officeDocument/2006/relationships/hyperlink" Target="https://amzn.to/4hQ0mWw" TargetMode="External"/><Relationship Id="rId2" Type="http://schemas.openxmlformats.org/officeDocument/2006/relationships/hyperlink" Target="https://amzn.to/4hSbCBW" TargetMode="External"/><Relationship Id="rId3" Type="http://schemas.openxmlformats.org/officeDocument/2006/relationships/hyperlink" Target="https://amzn.to/492GSvz" TargetMode="External"/><Relationship Id="rId4" Type="http://schemas.openxmlformats.org/officeDocument/2006/relationships/hyperlink" Target="https://amzn.to/3JGeuoG" TargetMode="External"/><Relationship Id="rId9" Type="http://schemas.openxmlformats.org/officeDocument/2006/relationships/hyperlink" Target="https://amzn.to/3X2glY9" TargetMode="External"/><Relationship Id="rId5" Type="http://schemas.openxmlformats.org/officeDocument/2006/relationships/hyperlink" Target="https://amzn.to/4p2I8DL" TargetMode="External"/><Relationship Id="rId6" Type="http://schemas.openxmlformats.org/officeDocument/2006/relationships/hyperlink" Target="https://amzn.to/3WI9T8o" TargetMode="External"/><Relationship Id="rId7" Type="http://schemas.openxmlformats.org/officeDocument/2006/relationships/hyperlink" Target="https://amzn.to/3LO9DlR" TargetMode="External"/><Relationship Id="rId8" Type="http://schemas.openxmlformats.org/officeDocument/2006/relationships/hyperlink" Target="https://amzn.to/4hMiccM" TargetMode="External"/><Relationship Id="rId73" Type="http://schemas.openxmlformats.org/officeDocument/2006/relationships/hyperlink" Target="https://amzn.to/4p2JOgx" TargetMode="External"/><Relationship Id="rId72" Type="http://schemas.openxmlformats.org/officeDocument/2006/relationships/hyperlink" Target="https://amzn.to/4osXGRj" TargetMode="External"/><Relationship Id="rId75" Type="http://schemas.openxmlformats.org/officeDocument/2006/relationships/hyperlink" Target="https://amzn.to/4ooCwU9" TargetMode="External"/><Relationship Id="rId74" Type="http://schemas.openxmlformats.org/officeDocument/2006/relationships/hyperlink" Target="https://amzn.to/4qDy2KW" TargetMode="External"/><Relationship Id="rId77" Type="http://schemas.openxmlformats.org/officeDocument/2006/relationships/hyperlink" Target="https://amzn.to/4oz1gJI" TargetMode="External"/><Relationship Id="rId76" Type="http://schemas.openxmlformats.org/officeDocument/2006/relationships/hyperlink" Target="https://amzn.to/4ourflr" TargetMode="External"/><Relationship Id="rId79" Type="http://schemas.openxmlformats.org/officeDocument/2006/relationships/hyperlink" Target="https://amzn.to/4qDybxY" TargetMode="External"/><Relationship Id="rId78" Type="http://schemas.openxmlformats.org/officeDocument/2006/relationships/hyperlink" Target="https://amzn.to/4ovTNem" TargetMode="External"/><Relationship Id="rId71" Type="http://schemas.openxmlformats.org/officeDocument/2006/relationships/hyperlink" Target="https://amzn.to/3WHVFo8" TargetMode="External"/><Relationship Id="rId70" Type="http://schemas.openxmlformats.org/officeDocument/2006/relationships/hyperlink" Target="https://amzn.to/4nDPpc1" TargetMode="External"/><Relationship Id="rId62" Type="http://schemas.openxmlformats.org/officeDocument/2006/relationships/hyperlink" Target="https://www.walmart.com/ip/TCL-43-Class-S3-43S310R-1080p-FHD-LED-Smart-TV-with-Roku-TV-New/3883035649?classType=REGULAR&amp;athbdg=L1103&amp;from=/search" TargetMode="External"/><Relationship Id="rId61" Type="http://schemas.openxmlformats.org/officeDocument/2006/relationships/hyperlink" Target="https://amzn.to/4qN4vi2" TargetMode="External"/><Relationship Id="rId64" Type="http://schemas.openxmlformats.org/officeDocument/2006/relationships/hyperlink" Target="https://amzn.to/3JoW0ZP" TargetMode="External"/><Relationship Id="rId63" Type="http://schemas.openxmlformats.org/officeDocument/2006/relationships/hyperlink" Target="https://amzn.to/481pINJ" TargetMode="External"/><Relationship Id="rId66" Type="http://schemas.openxmlformats.org/officeDocument/2006/relationships/hyperlink" Target="https://amzn.to/47J80gS" TargetMode="External"/><Relationship Id="rId65" Type="http://schemas.openxmlformats.org/officeDocument/2006/relationships/hyperlink" Target="https://amzn.to/3LnC1vb" TargetMode="External"/><Relationship Id="rId68" Type="http://schemas.openxmlformats.org/officeDocument/2006/relationships/hyperlink" Target="https://www.walmart.com/ip/TCL-43-Class-S3-43S310R-1080p-FHD-LED-Smart-TV-with-Roku-TV-New/3883035649?classType=REGULAR&amp;athbdg=L1103&amp;from=/search" TargetMode="External"/><Relationship Id="rId67" Type="http://schemas.openxmlformats.org/officeDocument/2006/relationships/hyperlink" Target="https://amzn.to/49H42rr" TargetMode="External"/><Relationship Id="rId60" Type="http://schemas.openxmlformats.org/officeDocument/2006/relationships/hyperlink" Target="https://amzn.to/3WHVwB6" TargetMode="External"/><Relationship Id="rId69" Type="http://schemas.openxmlformats.org/officeDocument/2006/relationships/hyperlink" Target="https://amzn.to/4nKrGa5" TargetMode="External"/><Relationship Id="rId51" Type="http://schemas.openxmlformats.org/officeDocument/2006/relationships/hyperlink" Target="https://amzn.to/3LjQxUL" TargetMode="External"/><Relationship Id="rId50" Type="http://schemas.openxmlformats.org/officeDocument/2006/relationships/hyperlink" Target="https://amzn.to/3Jq1aVs" TargetMode="External"/><Relationship Id="rId53" Type="http://schemas.openxmlformats.org/officeDocument/2006/relationships/hyperlink" Target="https://amzn.to/47RDCky" TargetMode="External"/><Relationship Id="rId52" Type="http://schemas.openxmlformats.org/officeDocument/2006/relationships/hyperlink" Target="https://amzn.to/4qNqCF3" TargetMode="External"/><Relationship Id="rId55" Type="http://schemas.openxmlformats.org/officeDocument/2006/relationships/hyperlink" Target="https://amzn.to/49GL987" TargetMode="External"/><Relationship Id="rId54" Type="http://schemas.openxmlformats.org/officeDocument/2006/relationships/hyperlink" Target="https://www.amazon.com/Easly-Standing-Hanging-Aluminum-Cloakroom/dp/B0CMX2S5C5/ref=sr_1_2_sspa?crid=2UB7Y9UZDMVX&amp;dib=eyJ2IjoiMSJ9.zO7q3y-xRoHpRU01XFxQpBpSTvl6SNB_3j8S1sb8BVKL-w21C4huS2FN9q9g5cbap0hKnN-t3HdGTGFpLhZNePDSmAh5fk3StXnoAPHF84g1HKBft4_kRHapYGhacPiPuRgytCFNIJJbKVaPySVE0I2OZyDzzmO9vG6RLHjgsbynbuuA5b1krDP8998LVQWP_i7DOJGPu_xOHxL8BS-YgwF3kiiMVxSKgKcJhMJql5nDczcRvRieerbUYHs0vkYRvTlT8D4hD82jDwlwLeId3nwhKsk9yKQerGu6YYTvROg.tH6aFGJULxAyQbKPFMnKHoqDnY5LxC9OQFVFZuXGhvY&amp;dib_tag=se&amp;keywords=Mirror%2Bbig&amp;qid=1759536793&amp;sprefix=mirror%2Bb%2Caps%2C173&amp;sr=8-2-spons&amp;sp_csd=d2lkZ2V0TmFtZT1zcF9hdGY&amp;th=1" TargetMode="External"/><Relationship Id="rId57" Type="http://schemas.openxmlformats.org/officeDocument/2006/relationships/hyperlink" Target="https://amzn.to/4oW9yLm" TargetMode="External"/><Relationship Id="rId56" Type="http://schemas.openxmlformats.org/officeDocument/2006/relationships/hyperlink" Target="https://www.walmart.com/ip/Samsung-50-Class-Crystal-UHD-U7900F-4K-Smart-TV-2025-UN50U7900FFXZA/16772370681?classType=REGULAR&amp;athbdg=L1103&amp;adsRedirect=true" TargetMode="External"/><Relationship Id="rId59" Type="http://schemas.openxmlformats.org/officeDocument/2006/relationships/hyperlink" Target="https://amzn.to/4os3HO3" TargetMode="External"/><Relationship Id="rId58" Type="http://schemas.openxmlformats.org/officeDocument/2006/relationships/hyperlink" Target="https://amzn.to/4nBfND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2" max="2" width="29.63"/>
    <col customWidth="1" min="3" max="3" width="18.25"/>
    <col customWidth="1" min="4" max="4" width="30.75"/>
    <col customWidth="1" min="5" max="5" width="20.25"/>
    <col customWidth="1" min="6" max="6" width="20.13"/>
    <col customWidth="1" min="8" max="8" width="19.38"/>
    <col customWidth="1" min="9" max="9" width="18.88"/>
    <col customWidth="1" min="10" max="10" width="20.38"/>
    <col customWidth="1" min="11" max="11" width="16.5"/>
    <col customWidth="1" min="12" max="12" width="27.75"/>
  </cols>
  <sheetData>
    <row r="1">
      <c r="A1" s="1"/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3"/>
      <c r="D5" s="3"/>
      <c r="E5" s="4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0</v>
      </c>
      <c r="B6" s="2"/>
      <c r="C6" s="3"/>
      <c r="D6" s="3"/>
      <c r="E6" s="4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3"/>
      <c r="D7" s="3"/>
      <c r="E7" s="4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3"/>
      <c r="D8" s="3"/>
      <c r="E8" s="4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3"/>
      <c r="D9" s="3"/>
      <c r="E9" s="4"/>
      <c r="F9" s="3"/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2.25" customHeight="1">
      <c r="A10" s="1"/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"/>
      <c r="C11" s="3"/>
      <c r="D11" s="3"/>
      <c r="E11" s="4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5"/>
      <c r="B12" s="6" t="s">
        <v>1</v>
      </c>
      <c r="C12" s="6" t="s">
        <v>2</v>
      </c>
      <c r="D12" s="6" t="s">
        <v>3</v>
      </c>
      <c r="E12" s="7" t="s">
        <v>4</v>
      </c>
      <c r="F12" s="7" t="s">
        <v>5</v>
      </c>
      <c r="G12" s="6" t="s">
        <v>6</v>
      </c>
      <c r="H12" s="6" t="s">
        <v>7</v>
      </c>
      <c r="I12" s="6" t="s">
        <v>8</v>
      </c>
      <c r="J12" s="6" t="s">
        <v>9</v>
      </c>
      <c r="K12" s="6" t="s">
        <v>10</v>
      </c>
      <c r="L12" s="6" t="s">
        <v>11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"/>
      <c r="B13" s="8" t="s">
        <v>12</v>
      </c>
      <c r="C13" s="9" t="s">
        <v>13</v>
      </c>
      <c r="D13" s="10" t="s">
        <v>14</v>
      </c>
      <c r="E13" s="11" t="s">
        <v>15</v>
      </c>
      <c r="F13" s="12"/>
      <c r="G13" s="13">
        <v>2.0</v>
      </c>
      <c r="H13" s="14">
        <v>4.0</v>
      </c>
      <c r="I13" s="14">
        <f t="shared" ref="I13:I72" si="1">SUM(G13*H13)</f>
        <v>8</v>
      </c>
      <c r="J13" s="15">
        <v>2141.98</v>
      </c>
      <c r="K13" s="16" t="s">
        <v>16</v>
      </c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8" t="s">
        <v>12</v>
      </c>
      <c r="C14" s="18" t="s">
        <v>17</v>
      </c>
      <c r="D14" s="10" t="s">
        <v>18</v>
      </c>
      <c r="E14" s="19" t="s">
        <v>19</v>
      </c>
      <c r="F14" s="12"/>
      <c r="G14" s="13">
        <v>1.0</v>
      </c>
      <c r="H14" s="14">
        <v>103.5</v>
      </c>
      <c r="I14" s="14">
        <f t="shared" si="1"/>
        <v>103.5</v>
      </c>
      <c r="J14" s="20"/>
      <c r="K14" s="16" t="s">
        <v>16</v>
      </c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8" t="s">
        <v>12</v>
      </c>
      <c r="C15" s="18" t="s">
        <v>17</v>
      </c>
      <c r="D15" s="10" t="s">
        <v>20</v>
      </c>
      <c r="E15" s="19" t="s">
        <v>19</v>
      </c>
      <c r="F15" s="12"/>
      <c r="G15" s="13">
        <v>1.0</v>
      </c>
      <c r="H15" s="14">
        <v>600.0</v>
      </c>
      <c r="I15" s="14">
        <f t="shared" si="1"/>
        <v>600</v>
      </c>
      <c r="J15" s="21"/>
      <c r="K15" s="22" t="s">
        <v>16</v>
      </c>
      <c r="L15" s="2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8" t="s">
        <v>12</v>
      </c>
      <c r="C16" s="18" t="s">
        <v>17</v>
      </c>
      <c r="D16" s="10" t="s">
        <v>21</v>
      </c>
      <c r="E16" s="19" t="s">
        <v>15</v>
      </c>
      <c r="F16" s="12"/>
      <c r="G16" s="13">
        <v>1.0</v>
      </c>
      <c r="H16" s="14">
        <v>200.0</v>
      </c>
      <c r="I16" s="14">
        <f t="shared" si="1"/>
        <v>200</v>
      </c>
      <c r="J16" s="24"/>
      <c r="K16" s="25" t="s">
        <v>16</v>
      </c>
      <c r="L16" s="2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8" t="s">
        <v>12</v>
      </c>
      <c r="C17" s="9" t="s">
        <v>13</v>
      </c>
      <c r="D17" s="10" t="s">
        <v>22</v>
      </c>
      <c r="E17" s="19" t="s">
        <v>23</v>
      </c>
      <c r="F17" s="27" t="s">
        <v>5</v>
      </c>
      <c r="G17" s="13">
        <v>1.0</v>
      </c>
      <c r="H17" s="14">
        <v>21.6</v>
      </c>
      <c r="I17" s="14">
        <f t="shared" si="1"/>
        <v>21.6</v>
      </c>
      <c r="J17" s="15">
        <v>18.09</v>
      </c>
      <c r="K17" s="16" t="s">
        <v>24</v>
      </c>
      <c r="L17" s="2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8" t="s">
        <v>12</v>
      </c>
      <c r="C18" s="9" t="s">
        <v>25</v>
      </c>
      <c r="D18" s="10" t="s">
        <v>26</v>
      </c>
      <c r="E18" s="19" t="s">
        <v>27</v>
      </c>
      <c r="F18" s="12">
        <v>81742.0</v>
      </c>
      <c r="G18" s="13">
        <v>1.0</v>
      </c>
      <c r="H18" s="14">
        <v>591.82</v>
      </c>
      <c r="I18" s="14">
        <f t="shared" si="1"/>
        <v>591.82</v>
      </c>
      <c r="J18" s="15">
        <v>595.23</v>
      </c>
      <c r="K18" s="16" t="s">
        <v>24</v>
      </c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8" t="s">
        <v>12</v>
      </c>
      <c r="C19" s="9" t="s">
        <v>28</v>
      </c>
      <c r="D19" s="10" t="s">
        <v>29</v>
      </c>
      <c r="E19" s="19" t="s">
        <v>30</v>
      </c>
      <c r="F19" s="12"/>
      <c r="G19" s="13">
        <v>1.0</v>
      </c>
      <c r="H19" s="14">
        <v>150.0</v>
      </c>
      <c r="I19" s="14">
        <f t="shared" si="1"/>
        <v>150</v>
      </c>
      <c r="J19" s="15">
        <v>4072.5</v>
      </c>
      <c r="K19" s="16" t="s">
        <v>16</v>
      </c>
      <c r="L19" s="1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8" t="s">
        <v>12</v>
      </c>
      <c r="C20" s="9" t="s">
        <v>13</v>
      </c>
      <c r="D20" s="10" t="s">
        <v>31</v>
      </c>
      <c r="E20" s="19" t="s">
        <v>23</v>
      </c>
      <c r="F20" s="27" t="s">
        <v>5</v>
      </c>
      <c r="G20" s="13">
        <v>1.0</v>
      </c>
      <c r="H20" s="14">
        <v>204.0</v>
      </c>
      <c r="I20" s="14">
        <f t="shared" si="1"/>
        <v>204</v>
      </c>
      <c r="J20" s="29">
        <v>126.73</v>
      </c>
      <c r="K20" s="25" t="s">
        <v>24</v>
      </c>
      <c r="L20" s="2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8" t="s">
        <v>12</v>
      </c>
      <c r="C21" s="18" t="s">
        <v>17</v>
      </c>
      <c r="D21" s="10" t="s">
        <v>32</v>
      </c>
      <c r="E21" s="19" t="s">
        <v>19</v>
      </c>
      <c r="F21" s="12"/>
      <c r="G21" s="13">
        <v>1.0</v>
      </c>
      <c r="H21" s="14">
        <v>17.0</v>
      </c>
      <c r="I21" s="14">
        <f t="shared" si="1"/>
        <v>17</v>
      </c>
      <c r="J21" s="20"/>
      <c r="K21" s="16" t="s">
        <v>16</v>
      </c>
      <c r="L21" s="2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8" t="s">
        <v>12</v>
      </c>
      <c r="C22" s="9" t="s">
        <v>13</v>
      </c>
      <c r="D22" s="10" t="s">
        <v>33</v>
      </c>
      <c r="E22" s="19" t="s">
        <v>23</v>
      </c>
      <c r="F22" s="12" t="s">
        <v>34</v>
      </c>
      <c r="G22" s="13">
        <v>2.0</v>
      </c>
      <c r="H22" s="14">
        <v>20.0</v>
      </c>
      <c r="I22" s="14">
        <f t="shared" si="1"/>
        <v>40</v>
      </c>
      <c r="J22" s="15">
        <v>40.44</v>
      </c>
      <c r="K22" s="16" t="s">
        <v>24</v>
      </c>
      <c r="L22" s="1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8" t="s">
        <v>12</v>
      </c>
      <c r="C23" s="9" t="s">
        <v>13</v>
      </c>
      <c r="D23" s="10" t="s">
        <v>35</v>
      </c>
      <c r="E23" s="19" t="s">
        <v>23</v>
      </c>
      <c r="F23" s="27" t="s">
        <v>5</v>
      </c>
      <c r="G23" s="13">
        <v>1.0</v>
      </c>
      <c r="H23" s="14">
        <v>96.0</v>
      </c>
      <c r="I23" s="14">
        <f t="shared" si="1"/>
        <v>96</v>
      </c>
      <c r="J23" s="15">
        <v>68.14</v>
      </c>
      <c r="K23" s="16" t="s">
        <v>24</v>
      </c>
      <c r="L23" s="1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8" t="s">
        <v>36</v>
      </c>
      <c r="C24" s="9" t="s">
        <v>13</v>
      </c>
      <c r="D24" s="10" t="s">
        <v>37</v>
      </c>
      <c r="E24" s="19" t="s">
        <v>23</v>
      </c>
      <c r="F24" s="27" t="s">
        <v>5</v>
      </c>
      <c r="G24" s="13">
        <v>1.0</v>
      </c>
      <c r="H24" s="30">
        <v>48.0</v>
      </c>
      <c r="I24" s="14">
        <f t="shared" si="1"/>
        <v>48</v>
      </c>
      <c r="J24" s="15">
        <v>35.13</v>
      </c>
      <c r="K24" s="16" t="s">
        <v>24</v>
      </c>
      <c r="L24" s="1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8" t="s">
        <v>36</v>
      </c>
      <c r="C25" s="9" t="s">
        <v>13</v>
      </c>
      <c r="D25" s="10" t="s">
        <v>38</v>
      </c>
      <c r="E25" s="19" t="s">
        <v>23</v>
      </c>
      <c r="F25" s="27" t="s">
        <v>5</v>
      </c>
      <c r="G25" s="13">
        <v>1.0</v>
      </c>
      <c r="H25" s="30">
        <v>36.0</v>
      </c>
      <c r="I25" s="14">
        <f t="shared" si="1"/>
        <v>36</v>
      </c>
      <c r="J25" s="15">
        <v>20.22</v>
      </c>
      <c r="K25" s="16" t="s">
        <v>24</v>
      </c>
      <c r="L25" s="1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8" t="s">
        <v>36</v>
      </c>
      <c r="C26" s="9" t="s">
        <v>39</v>
      </c>
      <c r="D26" s="10" t="s">
        <v>40</v>
      </c>
      <c r="E26" s="19" t="s">
        <v>27</v>
      </c>
      <c r="F26" s="12" t="s">
        <v>41</v>
      </c>
      <c r="G26" s="13">
        <v>4.0</v>
      </c>
      <c r="H26" s="30">
        <v>225.7</v>
      </c>
      <c r="I26" s="14">
        <f t="shared" si="1"/>
        <v>902.8</v>
      </c>
      <c r="J26" s="20">
        <v>820.8</v>
      </c>
      <c r="K26" s="16" t="s">
        <v>24</v>
      </c>
      <c r="L26" s="1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8" t="s">
        <v>36</v>
      </c>
      <c r="C27" s="9" t="s">
        <v>13</v>
      </c>
      <c r="D27" s="10" t="s">
        <v>42</v>
      </c>
      <c r="E27" s="19" t="s">
        <v>23</v>
      </c>
      <c r="F27" s="27" t="s">
        <v>5</v>
      </c>
      <c r="G27" s="13">
        <v>1.0</v>
      </c>
      <c r="H27" s="30">
        <v>49.2</v>
      </c>
      <c r="I27" s="14">
        <f t="shared" si="1"/>
        <v>49.2</v>
      </c>
      <c r="J27" s="15">
        <v>37.1</v>
      </c>
      <c r="K27" s="16" t="s">
        <v>24</v>
      </c>
      <c r="L27" s="1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8" t="s">
        <v>36</v>
      </c>
      <c r="C28" s="9" t="s">
        <v>13</v>
      </c>
      <c r="D28" s="10" t="s">
        <v>43</v>
      </c>
      <c r="E28" s="19" t="s">
        <v>23</v>
      </c>
      <c r="F28" s="27" t="s">
        <v>5</v>
      </c>
      <c r="G28" s="13">
        <v>1.0</v>
      </c>
      <c r="H28" s="30">
        <v>18.0</v>
      </c>
      <c r="I28" s="14">
        <f t="shared" si="1"/>
        <v>18</v>
      </c>
      <c r="J28" s="15">
        <v>13.83</v>
      </c>
      <c r="K28" s="16" t="s">
        <v>24</v>
      </c>
      <c r="L28" s="1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8" t="s">
        <v>36</v>
      </c>
      <c r="C29" s="9" t="s">
        <v>13</v>
      </c>
      <c r="D29" s="10" t="s">
        <v>44</v>
      </c>
      <c r="E29" s="19" t="s">
        <v>23</v>
      </c>
      <c r="F29" s="27" t="s">
        <v>5</v>
      </c>
      <c r="G29" s="13">
        <v>1.0</v>
      </c>
      <c r="H29" s="30">
        <v>14.4</v>
      </c>
      <c r="I29" s="14">
        <f t="shared" si="1"/>
        <v>14.4</v>
      </c>
      <c r="J29" s="15">
        <v>11.91</v>
      </c>
      <c r="K29" s="16" t="s">
        <v>24</v>
      </c>
      <c r="L29" s="1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8" t="s">
        <v>36</v>
      </c>
      <c r="C30" s="9" t="s">
        <v>13</v>
      </c>
      <c r="D30" s="10" t="s">
        <v>45</v>
      </c>
      <c r="E30" s="19" t="s">
        <v>23</v>
      </c>
      <c r="F30" s="27" t="s">
        <v>5</v>
      </c>
      <c r="G30" s="13">
        <v>1.0</v>
      </c>
      <c r="H30" s="30">
        <v>14.0</v>
      </c>
      <c r="I30" s="14">
        <f t="shared" si="1"/>
        <v>14</v>
      </c>
      <c r="J30" s="15">
        <v>7.56</v>
      </c>
      <c r="K30" s="16" t="s">
        <v>24</v>
      </c>
      <c r="L30" s="1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8" t="s">
        <v>36</v>
      </c>
      <c r="C31" s="9" t="s">
        <v>13</v>
      </c>
      <c r="D31" s="10" t="s">
        <v>46</v>
      </c>
      <c r="E31" s="19" t="s">
        <v>23</v>
      </c>
      <c r="F31" s="31" t="s">
        <v>5</v>
      </c>
      <c r="G31" s="13">
        <v>3.0</v>
      </c>
      <c r="H31" s="30">
        <v>66.0</v>
      </c>
      <c r="I31" s="14">
        <f t="shared" si="1"/>
        <v>198</v>
      </c>
      <c r="J31" s="15">
        <v>140.55</v>
      </c>
      <c r="K31" s="16" t="s">
        <v>24</v>
      </c>
      <c r="L31" s="1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8" t="s">
        <v>36</v>
      </c>
      <c r="C32" s="9" t="s">
        <v>13</v>
      </c>
      <c r="D32" s="10" t="s">
        <v>47</v>
      </c>
      <c r="E32" s="11" t="s">
        <v>15</v>
      </c>
      <c r="F32" s="12"/>
      <c r="G32" s="13">
        <v>3.0</v>
      </c>
      <c r="H32" s="30">
        <v>6.0</v>
      </c>
      <c r="I32" s="14">
        <f t="shared" si="1"/>
        <v>18</v>
      </c>
      <c r="J32" s="20"/>
      <c r="K32" s="16" t="s">
        <v>16</v>
      </c>
      <c r="L32" s="1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8" t="s">
        <v>36</v>
      </c>
      <c r="C33" s="18" t="s">
        <v>17</v>
      </c>
      <c r="D33" s="10" t="s">
        <v>48</v>
      </c>
      <c r="E33" s="19" t="s">
        <v>19</v>
      </c>
      <c r="F33" s="12"/>
      <c r="G33" s="13">
        <v>3.0</v>
      </c>
      <c r="H33" s="30">
        <v>80.0</v>
      </c>
      <c r="I33" s="14">
        <f t="shared" si="1"/>
        <v>240</v>
      </c>
      <c r="J33" s="20"/>
      <c r="K33" s="16" t="s">
        <v>16</v>
      </c>
      <c r="L33" s="1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8" t="s">
        <v>36</v>
      </c>
      <c r="C34" s="9" t="s">
        <v>49</v>
      </c>
      <c r="D34" s="10" t="s">
        <v>50</v>
      </c>
      <c r="E34" s="11" t="s">
        <v>30</v>
      </c>
      <c r="F34" s="12"/>
      <c r="G34" s="13">
        <v>1.0</v>
      </c>
      <c r="H34" s="30">
        <v>8.0</v>
      </c>
      <c r="I34" s="14">
        <f t="shared" si="1"/>
        <v>8</v>
      </c>
      <c r="J34" s="20"/>
      <c r="K34" s="16" t="s">
        <v>16</v>
      </c>
      <c r="L34" s="1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8" t="s">
        <v>36</v>
      </c>
      <c r="C35" s="9" t="s">
        <v>13</v>
      </c>
      <c r="D35" s="10" t="s">
        <v>51</v>
      </c>
      <c r="E35" s="19" t="s">
        <v>23</v>
      </c>
      <c r="F35" s="27" t="s">
        <v>5</v>
      </c>
      <c r="G35" s="13">
        <v>1.0</v>
      </c>
      <c r="H35" s="30">
        <v>28.8</v>
      </c>
      <c r="I35" s="14">
        <f t="shared" si="1"/>
        <v>28.8</v>
      </c>
      <c r="J35" s="15">
        <v>25.03</v>
      </c>
      <c r="K35" s="16" t="s">
        <v>24</v>
      </c>
      <c r="L35" s="1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8" t="s">
        <v>36</v>
      </c>
      <c r="C36" s="9" t="s">
        <v>13</v>
      </c>
      <c r="D36" s="10" t="s">
        <v>52</v>
      </c>
      <c r="E36" s="19" t="s">
        <v>23</v>
      </c>
      <c r="F36" s="27" t="s">
        <v>5</v>
      </c>
      <c r="G36" s="13">
        <v>1.0</v>
      </c>
      <c r="H36" s="30">
        <v>22.8</v>
      </c>
      <c r="I36" s="14">
        <f t="shared" si="1"/>
        <v>22.8</v>
      </c>
      <c r="J36" s="15">
        <v>25.25</v>
      </c>
      <c r="K36" s="16" t="s">
        <v>24</v>
      </c>
      <c r="L36" s="1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8" t="s">
        <v>36</v>
      </c>
      <c r="C37" s="9" t="s">
        <v>49</v>
      </c>
      <c r="D37" s="10" t="s">
        <v>53</v>
      </c>
      <c r="E37" s="11" t="s">
        <v>30</v>
      </c>
      <c r="F37" s="12"/>
      <c r="G37" s="13">
        <v>1.0</v>
      </c>
      <c r="H37" s="30">
        <v>50.0</v>
      </c>
      <c r="I37" s="14">
        <f t="shared" si="1"/>
        <v>50</v>
      </c>
      <c r="J37" s="20"/>
      <c r="K37" s="16" t="s">
        <v>16</v>
      </c>
      <c r="L37" s="1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8" t="s">
        <v>36</v>
      </c>
      <c r="C38" s="9" t="s">
        <v>49</v>
      </c>
      <c r="D38" s="10" t="s">
        <v>54</v>
      </c>
      <c r="E38" s="11" t="s">
        <v>30</v>
      </c>
      <c r="F38" s="27" t="s">
        <v>5</v>
      </c>
      <c r="G38" s="13">
        <v>1.0</v>
      </c>
      <c r="H38" s="30">
        <v>18.0</v>
      </c>
      <c r="I38" s="14">
        <f t="shared" si="1"/>
        <v>18</v>
      </c>
      <c r="J38" s="20"/>
      <c r="K38" s="16" t="s">
        <v>16</v>
      </c>
      <c r="L38" s="1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8" t="s">
        <v>36</v>
      </c>
      <c r="C39" s="9" t="s">
        <v>13</v>
      </c>
      <c r="D39" s="10" t="s">
        <v>55</v>
      </c>
      <c r="E39" s="19" t="s">
        <v>23</v>
      </c>
      <c r="F39" s="27" t="s">
        <v>5</v>
      </c>
      <c r="G39" s="13">
        <v>2.0</v>
      </c>
      <c r="H39" s="30">
        <v>19.0</v>
      </c>
      <c r="I39" s="14">
        <f t="shared" si="1"/>
        <v>38</v>
      </c>
      <c r="J39" s="15">
        <v>32.05</v>
      </c>
      <c r="K39" s="16" t="s">
        <v>24</v>
      </c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8" t="s">
        <v>36</v>
      </c>
      <c r="C40" s="9" t="s">
        <v>13</v>
      </c>
      <c r="D40" s="10" t="s">
        <v>56</v>
      </c>
      <c r="E40" s="19" t="s">
        <v>23</v>
      </c>
      <c r="F40" s="27" t="s">
        <v>5</v>
      </c>
      <c r="G40" s="13">
        <v>2.0</v>
      </c>
      <c r="H40" s="30">
        <v>42.0</v>
      </c>
      <c r="I40" s="14">
        <f t="shared" si="1"/>
        <v>84</v>
      </c>
      <c r="J40" s="15">
        <v>73.65</v>
      </c>
      <c r="K40" s="16" t="s">
        <v>24</v>
      </c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8" t="s">
        <v>36</v>
      </c>
      <c r="C41" s="9" t="s">
        <v>13</v>
      </c>
      <c r="D41" s="10" t="s">
        <v>57</v>
      </c>
      <c r="E41" s="19" t="s">
        <v>23</v>
      </c>
      <c r="F41" s="27" t="s">
        <v>5</v>
      </c>
      <c r="G41" s="13">
        <v>1.0</v>
      </c>
      <c r="H41" s="30">
        <v>19.2</v>
      </c>
      <c r="I41" s="14">
        <f t="shared" si="1"/>
        <v>19.2</v>
      </c>
      <c r="J41" s="15">
        <v>16.81</v>
      </c>
      <c r="K41" s="16" t="s">
        <v>24</v>
      </c>
      <c r="L41" s="1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8" t="s">
        <v>36</v>
      </c>
      <c r="C42" s="18" t="s">
        <v>58</v>
      </c>
      <c r="D42" s="10" t="s">
        <v>59</v>
      </c>
      <c r="E42" s="19" t="s">
        <v>23</v>
      </c>
      <c r="F42" s="27" t="s">
        <v>5</v>
      </c>
      <c r="G42" s="13">
        <v>1.0</v>
      </c>
      <c r="H42" s="30">
        <v>144.0</v>
      </c>
      <c r="I42" s="14">
        <f t="shared" si="1"/>
        <v>144</v>
      </c>
      <c r="J42" s="15">
        <v>127.79</v>
      </c>
      <c r="K42" s="16" t="s">
        <v>24</v>
      </c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8" t="s">
        <v>36</v>
      </c>
      <c r="C43" s="9" t="s">
        <v>13</v>
      </c>
      <c r="D43" s="10" t="s">
        <v>60</v>
      </c>
      <c r="E43" s="19" t="s">
        <v>23</v>
      </c>
      <c r="F43" s="27" t="s">
        <v>5</v>
      </c>
      <c r="G43" s="13">
        <v>4.0</v>
      </c>
      <c r="H43" s="30">
        <v>52.8</v>
      </c>
      <c r="I43" s="14">
        <f t="shared" si="1"/>
        <v>211.2</v>
      </c>
      <c r="J43" s="15">
        <v>170.35</v>
      </c>
      <c r="K43" s="16" t="s">
        <v>24</v>
      </c>
      <c r="L43" s="1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8" t="s">
        <v>36</v>
      </c>
      <c r="C44" s="9" t="s">
        <v>13</v>
      </c>
      <c r="D44" s="10" t="s">
        <v>61</v>
      </c>
      <c r="E44" s="19" t="s">
        <v>23</v>
      </c>
      <c r="F44" s="27" t="s">
        <v>5</v>
      </c>
      <c r="G44" s="13">
        <v>2.0</v>
      </c>
      <c r="H44" s="30">
        <v>64.8</v>
      </c>
      <c r="I44" s="14">
        <f t="shared" si="1"/>
        <v>129.6</v>
      </c>
      <c r="J44" s="15">
        <v>83.51</v>
      </c>
      <c r="K44" s="16" t="s">
        <v>24</v>
      </c>
      <c r="L44" s="1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8" t="s">
        <v>36</v>
      </c>
      <c r="C45" s="9" t="s">
        <v>13</v>
      </c>
      <c r="D45" s="10" t="s">
        <v>62</v>
      </c>
      <c r="E45" s="19" t="s">
        <v>23</v>
      </c>
      <c r="F45" s="27" t="s">
        <v>5</v>
      </c>
      <c r="G45" s="13">
        <v>1.0</v>
      </c>
      <c r="H45" s="30">
        <v>108.0</v>
      </c>
      <c r="I45" s="14">
        <f t="shared" si="1"/>
        <v>108</v>
      </c>
      <c r="J45" s="15">
        <v>74.53</v>
      </c>
      <c r="K45" s="16" t="s">
        <v>24</v>
      </c>
      <c r="L45" s="1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8" t="s">
        <v>36</v>
      </c>
      <c r="C46" s="9" t="s">
        <v>13</v>
      </c>
      <c r="D46" s="10" t="s">
        <v>63</v>
      </c>
      <c r="E46" s="19" t="s">
        <v>23</v>
      </c>
      <c r="F46" s="27" t="s">
        <v>5</v>
      </c>
      <c r="G46" s="13">
        <v>1.0</v>
      </c>
      <c r="H46" s="30">
        <v>10.32</v>
      </c>
      <c r="I46" s="14">
        <f t="shared" si="1"/>
        <v>10.32</v>
      </c>
      <c r="J46" s="15">
        <v>10.53</v>
      </c>
      <c r="K46" s="16" t="s">
        <v>24</v>
      </c>
      <c r="L46" s="1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8" t="s">
        <v>36</v>
      </c>
      <c r="C47" s="9" t="s">
        <v>13</v>
      </c>
      <c r="D47" s="10" t="s">
        <v>64</v>
      </c>
      <c r="E47" s="19" t="s">
        <v>23</v>
      </c>
      <c r="F47" s="27" t="s">
        <v>5</v>
      </c>
      <c r="G47" s="13">
        <v>1.0</v>
      </c>
      <c r="H47" s="30">
        <v>17.0</v>
      </c>
      <c r="I47" s="14">
        <f t="shared" si="1"/>
        <v>17</v>
      </c>
      <c r="J47" s="15">
        <v>14.85</v>
      </c>
      <c r="K47" s="16" t="s">
        <v>24</v>
      </c>
      <c r="L47" s="1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8" t="s">
        <v>36</v>
      </c>
      <c r="C48" s="9" t="s">
        <v>13</v>
      </c>
      <c r="D48" s="10" t="s">
        <v>65</v>
      </c>
      <c r="E48" s="19" t="s">
        <v>23</v>
      </c>
      <c r="F48" s="27" t="s">
        <v>5</v>
      </c>
      <c r="G48" s="13">
        <v>1.0</v>
      </c>
      <c r="H48" s="30">
        <v>22.8</v>
      </c>
      <c r="I48" s="14">
        <f t="shared" si="1"/>
        <v>22.8</v>
      </c>
      <c r="J48" s="15">
        <v>19.15</v>
      </c>
      <c r="K48" s="16" t="s">
        <v>24</v>
      </c>
      <c r="L48" s="1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8" t="s">
        <v>36</v>
      </c>
      <c r="C49" s="9" t="s">
        <v>13</v>
      </c>
      <c r="D49" s="10" t="s">
        <v>66</v>
      </c>
      <c r="E49" s="19" t="s">
        <v>23</v>
      </c>
      <c r="F49" s="27" t="s">
        <v>5</v>
      </c>
      <c r="G49" s="13">
        <v>1.0</v>
      </c>
      <c r="H49" s="30">
        <v>6.0</v>
      </c>
      <c r="I49" s="14">
        <f t="shared" si="1"/>
        <v>6</v>
      </c>
      <c r="J49" s="15">
        <v>4.24</v>
      </c>
      <c r="K49" s="16" t="s">
        <v>24</v>
      </c>
      <c r="L49" s="1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8" t="s">
        <v>36</v>
      </c>
      <c r="C50" s="9" t="s">
        <v>13</v>
      </c>
      <c r="D50" s="10" t="s">
        <v>67</v>
      </c>
      <c r="E50" s="19" t="s">
        <v>23</v>
      </c>
      <c r="F50" s="27" t="s">
        <v>5</v>
      </c>
      <c r="G50" s="13">
        <v>1.0</v>
      </c>
      <c r="H50" s="30">
        <v>40.8</v>
      </c>
      <c r="I50" s="14">
        <f t="shared" si="1"/>
        <v>40.8</v>
      </c>
      <c r="J50" s="15">
        <v>33.63</v>
      </c>
      <c r="K50" s="16" t="s">
        <v>24</v>
      </c>
      <c r="L50" s="1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8" t="s">
        <v>36</v>
      </c>
      <c r="C51" s="9" t="s">
        <v>13</v>
      </c>
      <c r="D51" s="10" t="s">
        <v>68</v>
      </c>
      <c r="E51" s="19" t="s">
        <v>23</v>
      </c>
      <c r="F51" s="27" t="s">
        <v>5</v>
      </c>
      <c r="G51" s="13">
        <v>1.0</v>
      </c>
      <c r="H51" s="30">
        <v>16.8</v>
      </c>
      <c r="I51" s="14">
        <f t="shared" si="1"/>
        <v>16.8</v>
      </c>
      <c r="J51" s="15">
        <v>10.63</v>
      </c>
      <c r="K51" s="16" t="s">
        <v>24</v>
      </c>
      <c r="L51" s="1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8" t="s">
        <v>36</v>
      </c>
      <c r="C52" s="9" t="s">
        <v>13</v>
      </c>
      <c r="D52" s="10" t="s">
        <v>69</v>
      </c>
      <c r="E52" s="19" t="s">
        <v>23</v>
      </c>
      <c r="F52" s="27" t="s">
        <v>5</v>
      </c>
      <c r="G52" s="13">
        <v>1.0</v>
      </c>
      <c r="H52" s="30">
        <v>36.0</v>
      </c>
      <c r="I52" s="14">
        <f t="shared" si="1"/>
        <v>36</v>
      </c>
      <c r="J52" s="15">
        <v>31.93</v>
      </c>
      <c r="K52" s="16" t="s">
        <v>24</v>
      </c>
      <c r="L52" s="1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8" t="s">
        <v>36</v>
      </c>
      <c r="C53" s="9" t="s">
        <v>13</v>
      </c>
      <c r="D53" s="10" t="s">
        <v>70</v>
      </c>
      <c r="E53" s="19" t="s">
        <v>23</v>
      </c>
      <c r="F53" s="27" t="s">
        <v>5</v>
      </c>
      <c r="G53" s="13">
        <v>1.0</v>
      </c>
      <c r="H53" s="30">
        <v>36.0</v>
      </c>
      <c r="I53" s="14">
        <f t="shared" si="1"/>
        <v>36</v>
      </c>
      <c r="J53" s="15">
        <v>35.13</v>
      </c>
      <c r="K53" s="16" t="s">
        <v>24</v>
      </c>
      <c r="L53" s="1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8" t="s">
        <v>36</v>
      </c>
      <c r="C54" s="9" t="s">
        <v>13</v>
      </c>
      <c r="D54" s="10" t="s">
        <v>71</v>
      </c>
      <c r="E54" s="19" t="s">
        <v>23</v>
      </c>
      <c r="F54" s="27" t="s">
        <v>5</v>
      </c>
      <c r="G54" s="13">
        <v>1.0</v>
      </c>
      <c r="H54" s="30">
        <v>50.4</v>
      </c>
      <c r="I54" s="14">
        <f t="shared" si="1"/>
        <v>50.4</v>
      </c>
      <c r="J54" s="15">
        <v>38.0</v>
      </c>
      <c r="K54" s="16" t="s">
        <v>24</v>
      </c>
      <c r="L54" s="1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8" t="s">
        <v>36</v>
      </c>
      <c r="C55" s="9" t="s">
        <v>13</v>
      </c>
      <c r="D55" s="10" t="s">
        <v>72</v>
      </c>
      <c r="E55" s="19" t="s">
        <v>23</v>
      </c>
      <c r="F55" s="27" t="s">
        <v>5</v>
      </c>
      <c r="G55" s="13">
        <v>1.0</v>
      </c>
      <c r="H55" s="30">
        <v>42.0</v>
      </c>
      <c r="I55" s="14">
        <f t="shared" si="1"/>
        <v>42</v>
      </c>
      <c r="J55" s="15">
        <v>35.16</v>
      </c>
      <c r="K55" s="16" t="s">
        <v>24</v>
      </c>
      <c r="L55" s="1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8" t="s">
        <v>36</v>
      </c>
      <c r="C56" s="9" t="s">
        <v>13</v>
      </c>
      <c r="D56" s="10" t="s">
        <v>73</v>
      </c>
      <c r="E56" s="19" t="s">
        <v>23</v>
      </c>
      <c r="F56" s="27" t="s">
        <v>5</v>
      </c>
      <c r="G56" s="13">
        <v>1.0</v>
      </c>
      <c r="H56" s="30">
        <v>38.4</v>
      </c>
      <c r="I56" s="14">
        <f t="shared" si="1"/>
        <v>38.4</v>
      </c>
      <c r="J56" s="15">
        <v>33.37</v>
      </c>
      <c r="K56" s="16" t="s">
        <v>24</v>
      </c>
      <c r="L56" s="1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8" t="s">
        <v>36</v>
      </c>
      <c r="C57" s="9" t="s">
        <v>13</v>
      </c>
      <c r="D57" s="10" t="s">
        <v>74</v>
      </c>
      <c r="E57" s="19" t="s">
        <v>23</v>
      </c>
      <c r="F57" s="27" t="s">
        <v>5</v>
      </c>
      <c r="G57" s="13">
        <v>1.0</v>
      </c>
      <c r="H57" s="30">
        <v>9.6</v>
      </c>
      <c r="I57" s="14">
        <f t="shared" si="1"/>
        <v>9.6</v>
      </c>
      <c r="J57" s="15">
        <v>7.24</v>
      </c>
      <c r="K57" s="16" t="s">
        <v>24</v>
      </c>
      <c r="L57" s="2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8" t="s">
        <v>75</v>
      </c>
      <c r="C58" s="9" t="s">
        <v>13</v>
      </c>
      <c r="D58" s="10" t="s">
        <v>76</v>
      </c>
      <c r="E58" s="19" t="s">
        <v>23</v>
      </c>
      <c r="F58" s="27" t="s">
        <v>5</v>
      </c>
      <c r="G58" s="13">
        <v>1.0</v>
      </c>
      <c r="H58" s="30">
        <v>64.8</v>
      </c>
      <c r="I58" s="14">
        <f t="shared" si="1"/>
        <v>64.8</v>
      </c>
      <c r="J58" s="15">
        <v>57.49</v>
      </c>
      <c r="K58" s="16" t="s">
        <v>24</v>
      </c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8" t="s">
        <v>75</v>
      </c>
      <c r="C59" s="9" t="s">
        <v>13</v>
      </c>
      <c r="D59" s="10" t="s">
        <v>77</v>
      </c>
      <c r="E59" s="19" t="s">
        <v>23</v>
      </c>
      <c r="F59" s="27" t="s">
        <v>5</v>
      </c>
      <c r="G59" s="13">
        <v>1.0</v>
      </c>
      <c r="H59" s="30">
        <v>21.6</v>
      </c>
      <c r="I59" s="14">
        <f t="shared" si="1"/>
        <v>21.6</v>
      </c>
      <c r="J59" s="15">
        <v>18.92</v>
      </c>
      <c r="K59" s="16" t="s">
        <v>24</v>
      </c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8" t="s">
        <v>75</v>
      </c>
      <c r="C60" s="9" t="s">
        <v>13</v>
      </c>
      <c r="D60" s="10" t="s">
        <v>78</v>
      </c>
      <c r="E60" s="19" t="s">
        <v>23</v>
      </c>
      <c r="F60" s="27" t="s">
        <v>5</v>
      </c>
      <c r="G60" s="13">
        <v>1.0</v>
      </c>
      <c r="H60" s="30">
        <v>22.8</v>
      </c>
      <c r="I60" s="14">
        <f t="shared" si="1"/>
        <v>22.8</v>
      </c>
      <c r="J60" s="15">
        <v>26.2</v>
      </c>
      <c r="K60" s="16" t="s">
        <v>24</v>
      </c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8" t="s">
        <v>75</v>
      </c>
      <c r="C61" s="9" t="s">
        <v>13</v>
      </c>
      <c r="D61" s="10" t="s">
        <v>79</v>
      </c>
      <c r="E61" s="19" t="s">
        <v>23</v>
      </c>
      <c r="F61" s="27" t="s">
        <v>5</v>
      </c>
      <c r="G61" s="13">
        <v>1.0</v>
      </c>
      <c r="H61" s="30">
        <v>36.0</v>
      </c>
      <c r="I61" s="14">
        <f t="shared" si="1"/>
        <v>36</v>
      </c>
      <c r="J61" s="15">
        <v>31.94</v>
      </c>
      <c r="K61" s="16" t="s">
        <v>24</v>
      </c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8" t="s">
        <v>75</v>
      </c>
      <c r="C62" s="9" t="s">
        <v>13</v>
      </c>
      <c r="D62" s="10" t="s">
        <v>80</v>
      </c>
      <c r="E62" s="19" t="s">
        <v>23</v>
      </c>
      <c r="F62" s="27" t="s">
        <v>5</v>
      </c>
      <c r="G62" s="13">
        <v>1.0</v>
      </c>
      <c r="H62" s="30">
        <v>9.6</v>
      </c>
      <c r="I62" s="14">
        <f t="shared" si="1"/>
        <v>9.6</v>
      </c>
      <c r="J62" s="15">
        <v>6.8</v>
      </c>
      <c r="K62" s="16" t="s">
        <v>24</v>
      </c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8" t="s">
        <v>75</v>
      </c>
      <c r="C63" s="9" t="s">
        <v>13</v>
      </c>
      <c r="D63" s="10" t="s">
        <v>81</v>
      </c>
      <c r="E63" s="19" t="s">
        <v>23</v>
      </c>
      <c r="F63" s="27" t="s">
        <v>5</v>
      </c>
      <c r="G63" s="13">
        <v>1.0</v>
      </c>
      <c r="H63" s="30">
        <v>60.0</v>
      </c>
      <c r="I63" s="14">
        <f t="shared" si="1"/>
        <v>60</v>
      </c>
      <c r="J63" s="15">
        <v>53.27</v>
      </c>
      <c r="K63" s="16" t="s">
        <v>24</v>
      </c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8" t="s">
        <v>75</v>
      </c>
      <c r="C64" s="9" t="s">
        <v>13</v>
      </c>
      <c r="D64" s="10" t="s">
        <v>82</v>
      </c>
      <c r="E64" s="19" t="s">
        <v>23</v>
      </c>
      <c r="F64" s="27" t="s">
        <v>5</v>
      </c>
      <c r="G64" s="13">
        <v>1.0</v>
      </c>
      <c r="H64" s="30">
        <v>16.8</v>
      </c>
      <c r="I64" s="14">
        <f t="shared" si="1"/>
        <v>16.8</v>
      </c>
      <c r="J64" s="15">
        <v>10.63</v>
      </c>
      <c r="K64" s="16" t="s">
        <v>24</v>
      </c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8" t="s">
        <v>83</v>
      </c>
      <c r="C65" s="9" t="s">
        <v>84</v>
      </c>
      <c r="D65" s="10" t="s">
        <v>85</v>
      </c>
      <c r="E65" s="19" t="s">
        <v>86</v>
      </c>
      <c r="F65" s="12"/>
      <c r="G65" s="13">
        <v>1.0</v>
      </c>
      <c r="H65" s="30">
        <v>395.0</v>
      </c>
      <c r="I65" s="14">
        <f t="shared" si="1"/>
        <v>395</v>
      </c>
      <c r="J65" s="15">
        <v>3292.09</v>
      </c>
      <c r="K65" s="16" t="s">
        <v>24</v>
      </c>
      <c r="L65" s="32" t="s">
        <v>87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8" t="s">
        <v>83</v>
      </c>
      <c r="C66" s="9" t="s">
        <v>13</v>
      </c>
      <c r="D66" s="10" t="s">
        <v>88</v>
      </c>
      <c r="E66" s="19" t="s">
        <v>23</v>
      </c>
      <c r="F66" s="31" t="s">
        <v>5</v>
      </c>
      <c r="G66" s="13">
        <v>1.0</v>
      </c>
      <c r="H66" s="30">
        <v>204.0</v>
      </c>
      <c r="I66" s="14">
        <f t="shared" si="1"/>
        <v>204</v>
      </c>
      <c r="J66" s="15">
        <v>170.38</v>
      </c>
      <c r="K66" s="16" t="s">
        <v>24</v>
      </c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8" t="s">
        <v>83</v>
      </c>
      <c r="C67" s="18" t="s">
        <v>17</v>
      </c>
      <c r="D67" s="10" t="s">
        <v>89</v>
      </c>
      <c r="E67" s="19" t="s">
        <v>19</v>
      </c>
      <c r="F67" s="12"/>
      <c r="G67" s="13">
        <v>1.0</v>
      </c>
      <c r="H67" s="30">
        <v>95.0</v>
      </c>
      <c r="I67" s="14">
        <f t="shared" si="1"/>
        <v>95</v>
      </c>
      <c r="J67" s="20"/>
      <c r="K67" s="16" t="s">
        <v>16</v>
      </c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8" t="s">
        <v>83</v>
      </c>
      <c r="C68" s="9" t="s">
        <v>13</v>
      </c>
      <c r="D68" s="10" t="s">
        <v>90</v>
      </c>
      <c r="E68" s="11" t="s">
        <v>15</v>
      </c>
      <c r="F68" s="12"/>
      <c r="G68" s="13">
        <v>7.0</v>
      </c>
      <c r="H68" s="30">
        <v>5.0</v>
      </c>
      <c r="I68" s="14">
        <f t="shared" si="1"/>
        <v>35</v>
      </c>
      <c r="J68" s="20"/>
      <c r="K68" s="16" t="s">
        <v>16</v>
      </c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8" t="s">
        <v>83</v>
      </c>
      <c r="C69" s="9" t="s">
        <v>13</v>
      </c>
      <c r="D69" s="10" t="s">
        <v>91</v>
      </c>
      <c r="E69" s="11" t="s">
        <v>23</v>
      </c>
      <c r="F69" s="12"/>
      <c r="G69" s="13">
        <v>4.0</v>
      </c>
      <c r="H69" s="30">
        <v>5.0</v>
      </c>
      <c r="I69" s="14">
        <f t="shared" si="1"/>
        <v>20</v>
      </c>
      <c r="J69" s="15">
        <v>26.57</v>
      </c>
      <c r="K69" s="16" t="s">
        <v>24</v>
      </c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8" t="s">
        <v>83</v>
      </c>
      <c r="C70" s="18" t="s">
        <v>17</v>
      </c>
      <c r="D70" s="10" t="s">
        <v>92</v>
      </c>
      <c r="E70" s="11" t="s">
        <v>19</v>
      </c>
      <c r="F70" s="12"/>
      <c r="G70" s="13">
        <v>1.0</v>
      </c>
      <c r="H70" s="30">
        <v>210.0</v>
      </c>
      <c r="I70" s="14">
        <f t="shared" si="1"/>
        <v>210</v>
      </c>
      <c r="J70" s="20"/>
      <c r="K70" s="16" t="s">
        <v>16</v>
      </c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8" t="s">
        <v>83</v>
      </c>
      <c r="C71" s="9" t="s">
        <v>49</v>
      </c>
      <c r="D71" s="10" t="s">
        <v>93</v>
      </c>
      <c r="E71" s="11" t="s">
        <v>30</v>
      </c>
      <c r="F71" s="12"/>
      <c r="G71" s="13">
        <v>1.0</v>
      </c>
      <c r="H71" s="30">
        <v>180.0</v>
      </c>
      <c r="I71" s="14">
        <f t="shared" si="1"/>
        <v>180</v>
      </c>
      <c r="J71" s="20"/>
      <c r="K71" s="16" t="s">
        <v>16</v>
      </c>
      <c r="L71" s="2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8" t="s">
        <v>83</v>
      </c>
      <c r="C72" s="18" t="s">
        <v>17</v>
      </c>
      <c r="D72" s="10" t="s">
        <v>94</v>
      </c>
      <c r="E72" s="11" t="s">
        <v>19</v>
      </c>
      <c r="F72" s="12"/>
      <c r="G72" s="13">
        <v>1.0</v>
      </c>
      <c r="H72" s="30">
        <v>17.0</v>
      </c>
      <c r="I72" s="14">
        <f t="shared" si="1"/>
        <v>17</v>
      </c>
      <c r="J72" s="20"/>
      <c r="K72" s="16" t="s">
        <v>16</v>
      </c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8" t="s">
        <v>83</v>
      </c>
      <c r="C73" s="33" t="s">
        <v>13</v>
      </c>
      <c r="D73" s="34" t="s">
        <v>95</v>
      </c>
      <c r="E73" s="35" t="s">
        <v>23</v>
      </c>
      <c r="F73" s="36" t="s">
        <v>96</v>
      </c>
      <c r="G73" s="37">
        <v>1.0</v>
      </c>
      <c r="H73" s="38">
        <v>200.0</v>
      </c>
      <c r="I73" s="39">
        <v>200.0</v>
      </c>
      <c r="J73" s="40">
        <v>170.39</v>
      </c>
      <c r="K73" s="41" t="s">
        <v>24</v>
      </c>
      <c r="L73" s="42" t="s">
        <v>97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8" t="s">
        <v>83</v>
      </c>
      <c r="C74" s="9" t="s">
        <v>49</v>
      </c>
      <c r="D74" s="10" t="s">
        <v>98</v>
      </c>
      <c r="E74" s="11" t="s">
        <v>30</v>
      </c>
      <c r="F74" s="12"/>
      <c r="G74" s="13">
        <v>1.0</v>
      </c>
      <c r="H74" s="30">
        <v>80.0</v>
      </c>
      <c r="I74" s="14">
        <f t="shared" ref="I74:I85" si="2">SUM(G74*H74)</f>
        <v>80</v>
      </c>
      <c r="J74" s="20"/>
      <c r="K74" s="16" t="s">
        <v>16</v>
      </c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8" t="s">
        <v>83</v>
      </c>
      <c r="C75" s="9" t="s">
        <v>39</v>
      </c>
      <c r="D75" s="10" t="s">
        <v>99</v>
      </c>
      <c r="E75" s="19" t="s">
        <v>27</v>
      </c>
      <c r="F75" s="12" t="s">
        <v>100</v>
      </c>
      <c r="G75" s="13">
        <v>8.0</v>
      </c>
      <c r="H75" s="30">
        <v>183.0</v>
      </c>
      <c r="I75" s="14">
        <f t="shared" si="2"/>
        <v>1464</v>
      </c>
      <c r="J75" s="20">
        <v>1002.24</v>
      </c>
      <c r="K75" s="16" t="s">
        <v>24</v>
      </c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8" t="s">
        <v>83</v>
      </c>
      <c r="C76" s="9" t="s">
        <v>25</v>
      </c>
      <c r="D76" s="10" t="s">
        <v>101</v>
      </c>
      <c r="E76" s="19" t="s">
        <v>27</v>
      </c>
      <c r="F76" s="27" t="s">
        <v>5</v>
      </c>
      <c r="G76" s="13">
        <v>1.0</v>
      </c>
      <c r="H76" s="30">
        <v>395.0</v>
      </c>
      <c r="I76" s="14">
        <f t="shared" si="2"/>
        <v>395</v>
      </c>
      <c r="J76" s="20">
        <v>308.62</v>
      </c>
      <c r="K76" s="16" t="s">
        <v>24</v>
      </c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8" t="s">
        <v>102</v>
      </c>
      <c r="C77" s="9" t="s">
        <v>25</v>
      </c>
      <c r="D77" s="10" t="s">
        <v>103</v>
      </c>
      <c r="E77" s="19" t="s">
        <v>27</v>
      </c>
      <c r="F77" s="12">
        <v>83490.0</v>
      </c>
      <c r="G77" s="13">
        <v>1.0</v>
      </c>
      <c r="H77" s="30">
        <v>275.11</v>
      </c>
      <c r="I77" s="14">
        <f t="shared" si="2"/>
        <v>275.11</v>
      </c>
      <c r="J77" s="20">
        <v>276.7</v>
      </c>
      <c r="K77" s="16" t="s">
        <v>24</v>
      </c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8" t="s">
        <v>102</v>
      </c>
      <c r="C78" s="9"/>
      <c r="D78" s="10" t="s">
        <v>104</v>
      </c>
      <c r="E78" s="19" t="s">
        <v>27</v>
      </c>
      <c r="F78" s="12" t="s">
        <v>105</v>
      </c>
      <c r="G78" s="13">
        <v>1.0</v>
      </c>
      <c r="H78" s="30">
        <v>83.0</v>
      </c>
      <c r="I78" s="14">
        <f t="shared" si="2"/>
        <v>83</v>
      </c>
      <c r="J78" s="20">
        <v>97.2</v>
      </c>
      <c r="K78" s="16" t="s">
        <v>24</v>
      </c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8" t="s">
        <v>102</v>
      </c>
      <c r="C79" s="9" t="s">
        <v>84</v>
      </c>
      <c r="D79" s="10" t="s">
        <v>85</v>
      </c>
      <c r="E79" s="11" t="s">
        <v>86</v>
      </c>
      <c r="F79" s="12"/>
      <c r="G79" s="13">
        <v>1.0</v>
      </c>
      <c r="H79" s="30">
        <v>2500.0</v>
      </c>
      <c r="I79" s="14">
        <f t="shared" si="2"/>
        <v>2500</v>
      </c>
      <c r="J79" s="15">
        <v>0.0</v>
      </c>
      <c r="K79" s="16" t="s">
        <v>24</v>
      </c>
      <c r="L79" s="32" t="s">
        <v>87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8" t="s">
        <v>102</v>
      </c>
      <c r="C80" s="9" t="s">
        <v>106</v>
      </c>
      <c r="D80" s="10" t="s">
        <v>107</v>
      </c>
      <c r="E80" s="11" t="s">
        <v>30</v>
      </c>
      <c r="F80" s="12"/>
      <c r="G80" s="13">
        <v>1.0</v>
      </c>
      <c r="H80" s="30">
        <v>200.0</v>
      </c>
      <c r="I80" s="14">
        <f t="shared" si="2"/>
        <v>200</v>
      </c>
      <c r="J80" s="20"/>
      <c r="K80" s="16" t="s">
        <v>16</v>
      </c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8" t="s">
        <v>102</v>
      </c>
      <c r="C81" s="9" t="s">
        <v>108</v>
      </c>
      <c r="D81" s="10" t="s">
        <v>109</v>
      </c>
      <c r="E81" s="11" t="s">
        <v>110</v>
      </c>
      <c r="F81" s="12" t="s">
        <v>111</v>
      </c>
      <c r="G81" s="13">
        <v>1.0</v>
      </c>
      <c r="H81" s="30">
        <v>0.0</v>
      </c>
      <c r="I81" s="14">
        <f t="shared" si="2"/>
        <v>0</v>
      </c>
      <c r="J81" s="15">
        <v>0.0</v>
      </c>
      <c r="K81" s="16" t="s">
        <v>24</v>
      </c>
      <c r="L81" s="2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8" t="s">
        <v>102</v>
      </c>
      <c r="C82" s="9" t="s">
        <v>39</v>
      </c>
      <c r="D82" s="10" t="s">
        <v>112</v>
      </c>
      <c r="E82" s="19" t="s">
        <v>27</v>
      </c>
      <c r="F82" s="12" t="s">
        <v>113</v>
      </c>
      <c r="G82" s="13">
        <v>1.0</v>
      </c>
      <c r="H82" s="30">
        <v>1891.0</v>
      </c>
      <c r="I82" s="14">
        <f t="shared" si="2"/>
        <v>1891</v>
      </c>
      <c r="J82" s="20">
        <v>1738.8</v>
      </c>
      <c r="K82" s="16" t="s">
        <v>24</v>
      </c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8" t="s">
        <v>102</v>
      </c>
      <c r="C83" s="9" t="s">
        <v>39</v>
      </c>
      <c r="D83" s="10" t="s">
        <v>114</v>
      </c>
      <c r="E83" s="19" t="s">
        <v>27</v>
      </c>
      <c r="F83" s="27" t="s">
        <v>5</v>
      </c>
      <c r="G83" s="13">
        <v>1.0</v>
      </c>
      <c r="H83" s="30">
        <v>317.2</v>
      </c>
      <c r="I83" s="14">
        <f t="shared" si="2"/>
        <v>317.2</v>
      </c>
      <c r="J83" s="20">
        <v>345.6</v>
      </c>
      <c r="K83" s="16" t="s">
        <v>24</v>
      </c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8" t="s">
        <v>102</v>
      </c>
      <c r="C84" s="43" t="s">
        <v>49</v>
      </c>
      <c r="D84" s="10" t="s">
        <v>115</v>
      </c>
      <c r="E84" s="11" t="s">
        <v>30</v>
      </c>
      <c r="F84" s="12"/>
      <c r="G84" s="13">
        <v>1.0</v>
      </c>
      <c r="H84" s="30">
        <v>50.0</v>
      </c>
      <c r="I84" s="14">
        <f t="shared" si="2"/>
        <v>50</v>
      </c>
      <c r="J84" s="20"/>
      <c r="K84" s="16" t="s">
        <v>16</v>
      </c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8" t="s">
        <v>102</v>
      </c>
      <c r="C85" s="43" t="s">
        <v>116</v>
      </c>
      <c r="D85" s="10" t="s">
        <v>117</v>
      </c>
      <c r="E85" s="19" t="s">
        <v>27</v>
      </c>
      <c r="F85" s="12"/>
      <c r="G85" s="13">
        <v>1.0</v>
      </c>
      <c r="H85" s="30">
        <v>1100.0</v>
      </c>
      <c r="I85" s="14">
        <f t="shared" si="2"/>
        <v>1100</v>
      </c>
      <c r="J85" s="15">
        <v>1130.0</v>
      </c>
      <c r="K85" s="16" t="s">
        <v>24</v>
      </c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8" t="s">
        <v>102</v>
      </c>
      <c r="C86" s="43" t="s">
        <v>118</v>
      </c>
      <c r="D86" s="10" t="s">
        <v>119</v>
      </c>
      <c r="E86" s="11" t="s">
        <v>23</v>
      </c>
      <c r="F86" s="12" t="s">
        <v>120</v>
      </c>
      <c r="G86" s="13">
        <v>1.0</v>
      </c>
      <c r="H86" s="44">
        <v>573.6</v>
      </c>
      <c r="I86" s="14">
        <v>573.63</v>
      </c>
      <c r="J86" s="15">
        <v>479.24</v>
      </c>
      <c r="K86" s="16" t="s">
        <v>24</v>
      </c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8" t="s">
        <v>102</v>
      </c>
      <c r="C87" s="43" t="s">
        <v>13</v>
      </c>
      <c r="D87" s="10" t="s">
        <v>121</v>
      </c>
      <c r="E87" s="11" t="s">
        <v>23</v>
      </c>
      <c r="F87" s="12" t="s">
        <v>122</v>
      </c>
      <c r="G87" s="13">
        <v>1.0</v>
      </c>
      <c r="H87" s="30">
        <v>23.0</v>
      </c>
      <c r="I87" s="14">
        <f t="shared" ref="I87:I94" si="3">SUM(G87*H87)</f>
        <v>23</v>
      </c>
      <c r="J87" s="15">
        <v>19.21</v>
      </c>
      <c r="K87" s="16" t="s">
        <v>24</v>
      </c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8" t="s">
        <v>102</v>
      </c>
      <c r="C88" s="43" t="s">
        <v>13</v>
      </c>
      <c r="D88" s="10" t="s">
        <v>123</v>
      </c>
      <c r="E88" s="11" t="s">
        <v>15</v>
      </c>
      <c r="F88" s="12" t="s">
        <v>124</v>
      </c>
      <c r="G88" s="13">
        <v>2.0</v>
      </c>
      <c r="H88" s="30">
        <v>5.0</v>
      </c>
      <c r="I88" s="14">
        <f t="shared" si="3"/>
        <v>10</v>
      </c>
      <c r="J88" s="20"/>
      <c r="K88" s="16" t="s">
        <v>16</v>
      </c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8" t="s">
        <v>102</v>
      </c>
      <c r="C89" s="45" t="s">
        <v>17</v>
      </c>
      <c r="D89" s="10" t="s">
        <v>125</v>
      </c>
      <c r="E89" s="11" t="s">
        <v>19</v>
      </c>
      <c r="F89" s="12"/>
      <c r="G89" s="13">
        <v>1.0</v>
      </c>
      <c r="H89" s="30">
        <v>115.0</v>
      </c>
      <c r="I89" s="14">
        <f t="shared" si="3"/>
        <v>115</v>
      </c>
      <c r="J89" s="20"/>
      <c r="K89" s="16" t="s">
        <v>16</v>
      </c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8" t="s">
        <v>102</v>
      </c>
      <c r="C90" s="18" t="s">
        <v>17</v>
      </c>
      <c r="D90" s="10" t="s">
        <v>126</v>
      </c>
      <c r="E90" s="11" t="s">
        <v>19</v>
      </c>
      <c r="F90" s="12"/>
      <c r="G90" s="13">
        <v>1.0</v>
      </c>
      <c r="H90" s="30">
        <v>115.0</v>
      </c>
      <c r="I90" s="14">
        <f t="shared" si="3"/>
        <v>115</v>
      </c>
      <c r="J90" s="20"/>
      <c r="K90" s="16" t="s">
        <v>16</v>
      </c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8" t="s">
        <v>102</v>
      </c>
      <c r="C91" s="18" t="s">
        <v>127</v>
      </c>
      <c r="D91" s="10" t="s">
        <v>128</v>
      </c>
      <c r="E91" s="11" t="s">
        <v>23</v>
      </c>
      <c r="F91" s="12"/>
      <c r="G91" s="13">
        <v>1.0</v>
      </c>
      <c r="H91" s="30">
        <v>400.0</v>
      </c>
      <c r="I91" s="14">
        <f t="shared" si="3"/>
        <v>400</v>
      </c>
      <c r="J91" s="15">
        <v>323.43</v>
      </c>
      <c r="K91" s="16" t="s">
        <v>24</v>
      </c>
      <c r="L91" s="2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46" t="s">
        <v>102</v>
      </c>
      <c r="C92" s="18" t="s">
        <v>13</v>
      </c>
      <c r="D92" s="47" t="s">
        <v>129</v>
      </c>
      <c r="E92" s="11" t="s">
        <v>23</v>
      </c>
      <c r="F92" s="12"/>
      <c r="G92" s="13"/>
      <c r="H92" s="44"/>
      <c r="I92" s="14">
        <f t="shared" si="3"/>
        <v>0</v>
      </c>
      <c r="J92" s="15">
        <v>189.72</v>
      </c>
      <c r="K92" s="16" t="s">
        <v>24</v>
      </c>
      <c r="L92" s="48" t="s">
        <v>130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8" t="s">
        <v>131</v>
      </c>
      <c r="C93" s="9" t="s">
        <v>25</v>
      </c>
      <c r="D93" s="49" t="s">
        <v>103</v>
      </c>
      <c r="E93" s="19" t="s">
        <v>27</v>
      </c>
      <c r="F93" s="50" t="s">
        <v>5</v>
      </c>
      <c r="G93" s="13">
        <v>1.0</v>
      </c>
      <c r="H93" s="30">
        <v>345.26</v>
      </c>
      <c r="I93" s="14">
        <f t="shared" si="3"/>
        <v>345.26</v>
      </c>
      <c r="J93" s="15">
        <v>347.49</v>
      </c>
      <c r="K93" s="16" t="s">
        <v>24</v>
      </c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8" t="s">
        <v>131</v>
      </c>
      <c r="C94" s="9" t="s">
        <v>127</v>
      </c>
      <c r="D94" s="49" t="s">
        <v>132</v>
      </c>
      <c r="E94" s="19" t="s">
        <v>27</v>
      </c>
      <c r="F94" s="51" t="s">
        <v>133</v>
      </c>
      <c r="G94" s="13">
        <v>1.0</v>
      </c>
      <c r="H94" s="30">
        <v>708.0</v>
      </c>
      <c r="I94" s="14">
        <f t="shared" si="3"/>
        <v>708</v>
      </c>
      <c r="J94" s="15">
        <v>607.04</v>
      </c>
      <c r="K94" s="16" t="s">
        <v>24</v>
      </c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8" t="s">
        <v>131</v>
      </c>
      <c r="C95" s="9" t="s">
        <v>13</v>
      </c>
      <c r="D95" s="52" t="s">
        <v>134</v>
      </c>
      <c r="E95" s="11" t="s">
        <v>23</v>
      </c>
      <c r="F95" s="53" t="s">
        <v>135</v>
      </c>
      <c r="G95" s="13">
        <v>1.0</v>
      </c>
      <c r="H95" s="30">
        <v>144.0</v>
      </c>
      <c r="I95" s="54">
        <v>144.0</v>
      </c>
      <c r="J95" s="15">
        <v>107.34</v>
      </c>
      <c r="K95" s="16" t="s">
        <v>24</v>
      </c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8" t="s">
        <v>131</v>
      </c>
      <c r="C96" s="9" t="s">
        <v>39</v>
      </c>
      <c r="D96" s="10" t="s">
        <v>136</v>
      </c>
      <c r="E96" s="19" t="s">
        <v>27</v>
      </c>
      <c r="F96" s="12" t="s">
        <v>137</v>
      </c>
      <c r="G96" s="13">
        <v>1.0</v>
      </c>
      <c r="H96" s="30">
        <v>2388.0</v>
      </c>
      <c r="I96" s="14">
        <f t="shared" ref="I96:I280" si="4">SUM(G96*H96)</f>
        <v>2388</v>
      </c>
      <c r="J96" s="15">
        <v>2149.2</v>
      </c>
      <c r="K96" s="16" t="s">
        <v>24</v>
      </c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8" t="s">
        <v>131</v>
      </c>
      <c r="C97" s="9" t="s">
        <v>49</v>
      </c>
      <c r="D97" s="10" t="s">
        <v>138</v>
      </c>
      <c r="E97" s="11" t="s">
        <v>30</v>
      </c>
      <c r="F97" s="12"/>
      <c r="G97" s="13">
        <v>1.0</v>
      </c>
      <c r="H97" s="30">
        <v>50.0</v>
      </c>
      <c r="I97" s="14">
        <f t="shared" si="4"/>
        <v>50</v>
      </c>
      <c r="J97" s="15"/>
      <c r="K97" s="16" t="s">
        <v>16</v>
      </c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8" t="s">
        <v>131</v>
      </c>
      <c r="C98" s="18" t="s">
        <v>139</v>
      </c>
      <c r="D98" s="10" t="s">
        <v>85</v>
      </c>
      <c r="E98" s="11" t="s">
        <v>86</v>
      </c>
      <c r="F98" s="12"/>
      <c r="G98" s="13">
        <v>1.0</v>
      </c>
      <c r="H98" s="30">
        <v>368.0</v>
      </c>
      <c r="I98" s="14">
        <f t="shared" si="4"/>
        <v>368</v>
      </c>
      <c r="J98" s="15">
        <v>0.0</v>
      </c>
      <c r="K98" s="16" t="s">
        <v>24</v>
      </c>
      <c r="L98" s="32" t="s">
        <v>87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8" t="s">
        <v>131</v>
      </c>
      <c r="C99" s="9" t="s">
        <v>118</v>
      </c>
      <c r="D99" s="10" t="s">
        <v>119</v>
      </c>
      <c r="E99" s="19" t="s">
        <v>23</v>
      </c>
      <c r="F99" s="51" t="s">
        <v>140</v>
      </c>
      <c r="G99" s="13">
        <v>1.0</v>
      </c>
      <c r="H99" s="30">
        <v>512.0</v>
      </c>
      <c r="I99" s="14">
        <f t="shared" si="4"/>
        <v>512</v>
      </c>
      <c r="J99" s="15">
        <v>479.24</v>
      </c>
      <c r="K99" s="16" t="s">
        <v>24</v>
      </c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8" t="s">
        <v>131</v>
      </c>
      <c r="C100" s="9" t="s">
        <v>13</v>
      </c>
      <c r="D100" s="10" t="s">
        <v>121</v>
      </c>
      <c r="E100" s="11" t="s">
        <v>23</v>
      </c>
      <c r="F100" s="27" t="s">
        <v>5</v>
      </c>
      <c r="G100" s="13">
        <v>1.0</v>
      </c>
      <c r="H100" s="30">
        <v>18.0</v>
      </c>
      <c r="I100" s="14">
        <f t="shared" si="4"/>
        <v>18</v>
      </c>
      <c r="J100" s="15">
        <v>19.21</v>
      </c>
      <c r="K100" s="16" t="s">
        <v>24</v>
      </c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8" t="s">
        <v>131</v>
      </c>
      <c r="C101" s="18" t="s">
        <v>17</v>
      </c>
      <c r="D101" s="52" t="s">
        <v>141</v>
      </c>
      <c r="E101" s="11" t="s">
        <v>19</v>
      </c>
      <c r="F101" s="12"/>
      <c r="G101" s="13">
        <v>1.0</v>
      </c>
      <c r="H101" s="30">
        <v>80.0</v>
      </c>
      <c r="I101" s="14">
        <f t="shared" si="4"/>
        <v>80</v>
      </c>
      <c r="J101" s="20"/>
      <c r="K101" s="16" t="s">
        <v>16</v>
      </c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8" t="s">
        <v>131</v>
      </c>
      <c r="C102" s="9" t="s">
        <v>13</v>
      </c>
      <c r="D102" s="10" t="s">
        <v>142</v>
      </c>
      <c r="E102" s="11" t="s">
        <v>23</v>
      </c>
      <c r="F102" s="27" t="s">
        <v>5</v>
      </c>
      <c r="G102" s="13">
        <v>3.0</v>
      </c>
      <c r="H102" s="30">
        <v>90.0</v>
      </c>
      <c r="I102" s="14">
        <f t="shared" si="4"/>
        <v>270</v>
      </c>
      <c r="J102" s="15">
        <v>307.79</v>
      </c>
      <c r="K102" s="16" t="s">
        <v>24</v>
      </c>
      <c r="L102" s="48" t="s">
        <v>143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8" t="s">
        <v>131</v>
      </c>
      <c r="C103" s="9"/>
      <c r="D103" s="10" t="s">
        <v>144</v>
      </c>
      <c r="E103" s="11" t="s">
        <v>145</v>
      </c>
      <c r="F103" s="12"/>
      <c r="G103" s="13">
        <v>3.0</v>
      </c>
      <c r="H103" s="30">
        <v>60.0</v>
      </c>
      <c r="I103" s="14">
        <f t="shared" si="4"/>
        <v>180</v>
      </c>
      <c r="J103" s="15">
        <v>150.0</v>
      </c>
      <c r="K103" s="16" t="s">
        <v>16</v>
      </c>
      <c r="L103" s="55" t="s">
        <v>146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8" t="s">
        <v>131</v>
      </c>
      <c r="C104" s="9" t="s">
        <v>49</v>
      </c>
      <c r="D104" s="10" t="s">
        <v>147</v>
      </c>
      <c r="E104" s="11" t="s">
        <v>30</v>
      </c>
      <c r="F104" s="12"/>
      <c r="G104" s="13">
        <v>1.0</v>
      </c>
      <c r="H104" s="30">
        <v>83.0</v>
      </c>
      <c r="I104" s="14">
        <f t="shared" si="4"/>
        <v>83</v>
      </c>
      <c r="J104" s="20"/>
      <c r="K104" s="16" t="s">
        <v>16</v>
      </c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8" t="s">
        <v>131</v>
      </c>
      <c r="C105" s="9" t="s">
        <v>13</v>
      </c>
      <c r="D105" s="10" t="s">
        <v>148</v>
      </c>
      <c r="E105" s="11" t="s">
        <v>23</v>
      </c>
      <c r="F105" s="27" t="s">
        <v>5</v>
      </c>
      <c r="G105" s="13">
        <v>1.0</v>
      </c>
      <c r="H105" s="30">
        <v>72.0</v>
      </c>
      <c r="I105" s="14">
        <f t="shared" si="4"/>
        <v>72</v>
      </c>
      <c r="J105" s="15">
        <v>60.69</v>
      </c>
      <c r="K105" s="16" t="s">
        <v>24</v>
      </c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8" t="s">
        <v>131</v>
      </c>
      <c r="C106" s="18" t="s">
        <v>149</v>
      </c>
      <c r="D106" s="10" t="s">
        <v>150</v>
      </c>
      <c r="E106" s="11" t="s">
        <v>23</v>
      </c>
      <c r="F106" s="12"/>
      <c r="G106" s="13">
        <v>1.0</v>
      </c>
      <c r="H106" s="30">
        <v>860.0</v>
      </c>
      <c r="I106" s="14">
        <f t="shared" si="4"/>
        <v>860</v>
      </c>
      <c r="J106" s="15">
        <v>860.0</v>
      </c>
      <c r="K106" s="16" t="s">
        <v>24</v>
      </c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8" t="s">
        <v>151</v>
      </c>
      <c r="C107" s="9" t="s">
        <v>106</v>
      </c>
      <c r="D107" s="52" t="s">
        <v>152</v>
      </c>
      <c r="E107" s="11" t="s">
        <v>30</v>
      </c>
      <c r="F107" s="12"/>
      <c r="G107" s="13">
        <v>2.0</v>
      </c>
      <c r="H107" s="30">
        <v>162.0</v>
      </c>
      <c r="I107" s="14">
        <f t="shared" si="4"/>
        <v>324</v>
      </c>
      <c r="J107" s="20"/>
      <c r="K107" s="16" t="s">
        <v>16</v>
      </c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8" t="s">
        <v>151</v>
      </c>
      <c r="C108" s="9" t="s">
        <v>13</v>
      </c>
      <c r="D108" s="52" t="s">
        <v>134</v>
      </c>
      <c r="E108" s="11" t="s">
        <v>23</v>
      </c>
      <c r="F108" s="56" t="s">
        <v>153</v>
      </c>
      <c r="G108" s="13">
        <v>1.0</v>
      </c>
      <c r="H108" s="30">
        <v>57.6</v>
      </c>
      <c r="I108" s="14">
        <f t="shared" si="4"/>
        <v>57.6</v>
      </c>
      <c r="J108" s="15">
        <v>46.0</v>
      </c>
      <c r="K108" s="16" t="s">
        <v>24</v>
      </c>
      <c r="L108" s="2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8" t="s">
        <v>151</v>
      </c>
      <c r="C109" s="18" t="s">
        <v>17</v>
      </c>
      <c r="D109" s="52" t="s">
        <v>154</v>
      </c>
      <c r="E109" s="11" t="s">
        <v>19</v>
      </c>
      <c r="F109" s="12"/>
      <c r="G109" s="13">
        <v>1.0</v>
      </c>
      <c r="H109" s="30">
        <v>95.0</v>
      </c>
      <c r="I109" s="14">
        <f t="shared" si="4"/>
        <v>95</v>
      </c>
      <c r="J109" s="57"/>
      <c r="K109" s="16" t="s">
        <v>16</v>
      </c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8" t="s">
        <v>151</v>
      </c>
      <c r="C110" s="9" t="s">
        <v>13</v>
      </c>
      <c r="D110" s="52" t="s">
        <v>155</v>
      </c>
      <c r="E110" s="11" t="s">
        <v>15</v>
      </c>
      <c r="F110" s="12"/>
      <c r="G110" s="13">
        <v>6.0</v>
      </c>
      <c r="H110" s="30">
        <v>5.0</v>
      </c>
      <c r="I110" s="14">
        <f t="shared" si="4"/>
        <v>30</v>
      </c>
      <c r="J110" s="20"/>
      <c r="K110" s="16" t="s">
        <v>16</v>
      </c>
      <c r="L110" s="2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8" t="s">
        <v>151</v>
      </c>
      <c r="C111" s="9" t="s">
        <v>39</v>
      </c>
      <c r="D111" s="52" t="s">
        <v>156</v>
      </c>
      <c r="E111" s="19" t="s">
        <v>27</v>
      </c>
      <c r="F111" s="12" t="s">
        <v>157</v>
      </c>
      <c r="G111" s="13">
        <v>1.0</v>
      </c>
      <c r="H111" s="30">
        <v>750.3</v>
      </c>
      <c r="I111" s="14">
        <f t="shared" si="4"/>
        <v>750.3</v>
      </c>
      <c r="J111" s="20">
        <v>712.8</v>
      </c>
      <c r="K111" s="16" t="s">
        <v>24</v>
      </c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8" t="s">
        <v>151</v>
      </c>
      <c r="C112" s="9" t="s">
        <v>25</v>
      </c>
      <c r="D112" s="52" t="s">
        <v>158</v>
      </c>
      <c r="E112" s="19" t="s">
        <v>27</v>
      </c>
      <c r="F112" s="12" t="s">
        <v>159</v>
      </c>
      <c r="G112" s="13">
        <v>2.0</v>
      </c>
      <c r="H112" s="30">
        <v>380.0</v>
      </c>
      <c r="I112" s="14">
        <f t="shared" si="4"/>
        <v>760</v>
      </c>
      <c r="J112" s="58">
        <v>654.5</v>
      </c>
      <c r="K112" s="16" t="s">
        <v>24</v>
      </c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8" t="s">
        <v>151</v>
      </c>
      <c r="C113" s="9" t="s">
        <v>25</v>
      </c>
      <c r="D113" s="52" t="s">
        <v>160</v>
      </c>
      <c r="E113" s="19" t="s">
        <v>27</v>
      </c>
      <c r="F113" s="12">
        <v>81224.0</v>
      </c>
      <c r="G113" s="13">
        <v>1.0</v>
      </c>
      <c r="H113" s="30">
        <v>958.18</v>
      </c>
      <c r="I113" s="14">
        <f t="shared" si="4"/>
        <v>958.18</v>
      </c>
      <c r="J113" s="58">
        <v>825.0</v>
      </c>
      <c r="K113" s="16" t="s">
        <v>24</v>
      </c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8" t="s">
        <v>151</v>
      </c>
      <c r="C114" s="9" t="s">
        <v>39</v>
      </c>
      <c r="D114" s="52" t="s">
        <v>161</v>
      </c>
      <c r="E114" s="19" t="s">
        <v>27</v>
      </c>
      <c r="F114" s="56" t="s">
        <v>162</v>
      </c>
      <c r="G114" s="13">
        <v>1.0</v>
      </c>
      <c r="H114" s="30">
        <v>262.3</v>
      </c>
      <c r="I114" s="14">
        <f t="shared" si="4"/>
        <v>262.3</v>
      </c>
      <c r="J114" s="20">
        <v>294.16</v>
      </c>
      <c r="K114" s="16" t="s">
        <v>24</v>
      </c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8" t="s">
        <v>151</v>
      </c>
      <c r="C115" s="9" t="s">
        <v>13</v>
      </c>
      <c r="D115" s="52" t="s">
        <v>163</v>
      </c>
      <c r="E115" s="19" t="s">
        <v>23</v>
      </c>
      <c r="F115" s="27" t="s">
        <v>5</v>
      </c>
      <c r="G115" s="13">
        <v>1.0</v>
      </c>
      <c r="H115" s="30">
        <v>51.6</v>
      </c>
      <c r="I115" s="14">
        <f t="shared" si="4"/>
        <v>51.6</v>
      </c>
      <c r="J115" s="15">
        <v>34.49</v>
      </c>
      <c r="K115" s="16" t="s">
        <v>24</v>
      </c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8" t="s">
        <v>151</v>
      </c>
      <c r="C116" s="9" t="s">
        <v>84</v>
      </c>
      <c r="D116" s="52" t="s">
        <v>164</v>
      </c>
      <c r="E116" s="11" t="s">
        <v>86</v>
      </c>
      <c r="F116" s="12"/>
      <c r="G116" s="13">
        <v>1.0</v>
      </c>
      <c r="H116" s="30">
        <v>1300.0</v>
      </c>
      <c r="I116" s="14">
        <f t="shared" si="4"/>
        <v>1300</v>
      </c>
      <c r="J116" s="15">
        <v>0.0</v>
      </c>
      <c r="K116" s="16" t="s">
        <v>24</v>
      </c>
      <c r="L116" s="48" t="s">
        <v>87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8" t="s">
        <v>151</v>
      </c>
      <c r="C117" s="9" t="s">
        <v>13</v>
      </c>
      <c r="D117" s="52" t="s">
        <v>165</v>
      </c>
      <c r="E117" s="19" t="s">
        <v>23</v>
      </c>
      <c r="F117" s="27" t="s">
        <v>5</v>
      </c>
      <c r="G117" s="13">
        <v>2.0</v>
      </c>
      <c r="H117" s="30">
        <v>36.0</v>
      </c>
      <c r="I117" s="14">
        <f t="shared" si="4"/>
        <v>72</v>
      </c>
      <c r="J117" s="15">
        <v>60.72</v>
      </c>
      <c r="K117" s="16" t="s">
        <v>24</v>
      </c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8" t="s">
        <v>151</v>
      </c>
      <c r="C118" s="9" t="s">
        <v>13</v>
      </c>
      <c r="D118" s="52" t="s">
        <v>166</v>
      </c>
      <c r="E118" s="19" t="s">
        <v>23</v>
      </c>
      <c r="F118" s="27" t="s">
        <v>5</v>
      </c>
      <c r="G118" s="13">
        <v>1.0</v>
      </c>
      <c r="H118" s="30">
        <v>48.0</v>
      </c>
      <c r="I118" s="14">
        <f t="shared" si="4"/>
        <v>48</v>
      </c>
      <c r="J118" s="15">
        <v>45.78</v>
      </c>
      <c r="K118" s="16" t="s">
        <v>24</v>
      </c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8" t="s">
        <v>151</v>
      </c>
      <c r="C119" s="9" t="s">
        <v>13</v>
      </c>
      <c r="D119" s="52" t="s">
        <v>167</v>
      </c>
      <c r="E119" s="19" t="s">
        <v>23</v>
      </c>
      <c r="F119" s="27" t="s">
        <v>5</v>
      </c>
      <c r="G119" s="13">
        <v>1.0</v>
      </c>
      <c r="H119" s="30">
        <v>24.0</v>
      </c>
      <c r="I119" s="14">
        <f t="shared" si="4"/>
        <v>24</v>
      </c>
      <c r="J119" s="15">
        <v>24.23</v>
      </c>
      <c r="K119" s="16" t="s">
        <v>24</v>
      </c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8" t="s">
        <v>151</v>
      </c>
      <c r="C120" s="9" t="s">
        <v>13</v>
      </c>
      <c r="D120" s="52" t="s">
        <v>168</v>
      </c>
      <c r="E120" s="19" t="s">
        <v>23</v>
      </c>
      <c r="F120" s="27" t="s">
        <v>5</v>
      </c>
      <c r="G120" s="13">
        <v>1.0</v>
      </c>
      <c r="H120" s="30">
        <v>24.0</v>
      </c>
      <c r="I120" s="14">
        <f t="shared" si="4"/>
        <v>24</v>
      </c>
      <c r="J120" s="15">
        <v>15.85</v>
      </c>
      <c r="K120" s="16" t="s">
        <v>24</v>
      </c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8" t="s">
        <v>151</v>
      </c>
      <c r="C121" s="9" t="s">
        <v>169</v>
      </c>
      <c r="D121" s="52" t="s">
        <v>170</v>
      </c>
      <c r="E121" s="11" t="s">
        <v>171</v>
      </c>
      <c r="F121" s="12" t="s">
        <v>172</v>
      </c>
      <c r="G121" s="13">
        <v>1.0</v>
      </c>
      <c r="H121" s="30">
        <v>420.0</v>
      </c>
      <c r="I121" s="14">
        <f t="shared" si="4"/>
        <v>420</v>
      </c>
      <c r="J121" s="15">
        <v>1434.95</v>
      </c>
      <c r="K121" s="16" t="s">
        <v>24</v>
      </c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8" t="s">
        <v>151</v>
      </c>
      <c r="C122" s="9" t="s">
        <v>169</v>
      </c>
      <c r="D122" s="52" t="s">
        <v>173</v>
      </c>
      <c r="E122" s="11" t="s">
        <v>171</v>
      </c>
      <c r="F122" s="12" t="s">
        <v>172</v>
      </c>
      <c r="G122" s="13">
        <v>1.0</v>
      </c>
      <c r="H122" s="30">
        <v>172.0</v>
      </c>
      <c r="I122" s="14">
        <f t="shared" si="4"/>
        <v>172</v>
      </c>
      <c r="J122" s="20"/>
      <c r="K122" s="16" t="s">
        <v>24</v>
      </c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8" t="s">
        <v>151</v>
      </c>
      <c r="C123" s="9" t="s">
        <v>174</v>
      </c>
      <c r="D123" s="52" t="s">
        <v>175</v>
      </c>
      <c r="E123" s="11" t="s">
        <v>15</v>
      </c>
      <c r="F123" s="56" t="s">
        <v>176</v>
      </c>
      <c r="G123" s="13">
        <v>4.0</v>
      </c>
      <c r="H123" s="30">
        <v>11.0</v>
      </c>
      <c r="I123" s="14">
        <f t="shared" si="4"/>
        <v>44</v>
      </c>
      <c r="J123" s="20"/>
      <c r="K123" s="16" t="s">
        <v>16</v>
      </c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8" t="s">
        <v>151</v>
      </c>
      <c r="C124" s="18" t="s">
        <v>13</v>
      </c>
      <c r="D124" s="10" t="s">
        <v>31</v>
      </c>
      <c r="E124" s="19" t="s">
        <v>23</v>
      </c>
      <c r="F124" s="27" t="s">
        <v>5</v>
      </c>
      <c r="G124" s="13">
        <v>1.0</v>
      </c>
      <c r="H124" s="30">
        <v>156.0</v>
      </c>
      <c r="I124" s="14">
        <f t="shared" si="4"/>
        <v>156</v>
      </c>
      <c r="J124" s="15">
        <v>0.0</v>
      </c>
      <c r="K124" s="16" t="s">
        <v>16</v>
      </c>
      <c r="L124" s="48" t="s">
        <v>177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8" t="s">
        <v>151</v>
      </c>
      <c r="C125" s="18" t="s">
        <v>17</v>
      </c>
      <c r="D125" s="52" t="s">
        <v>178</v>
      </c>
      <c r="E125" s="11" t="s">
        <v>19</v>
      </c>
      <c r="F125" s="12"/>
      <c r="G125" s="13">
        <v>1.0</v>
      </c>
      <c r="H125" s="30">
        <v>18.0</v>
      </c>
      <c r="I125" s="14">
        <f t="shared" si="4"/>
        <v>18</v>
      </c>
      <c r="J125" s="20"/>
      <c r="K125" s="16" t="s">
        <v>16</v>
      </c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8" t="s">
        <v>151</v>
      </c>
      <c r="C126" s="9" t="s">
        <v>118</v>
      </c>
      <c r="D126" s="52" t="s">
        <v>179</v>
      </c>
      <c r="E126" s="11" t="s">
        <v>23</v>
      </c>
      <c r="F126" s="27" t="s">
        <v>5</v>
      </c>
      <c r="G126" s="13">
        <v>1.0</v>
      </c>
      <c r="H126" s="30">
        <v>273.0</v>
      </c>
      <c r="I126" s="14">
        <f t="shared" si="4"/>
        <v>273</v>
      </c>
      <c r="J126" s="15">
        <v>244.94</v>
      </c>
      <c r="K126" s="16" t="s">
        <v>24</v>
      </c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8" t="s">
        <v>151</v>
      </c>
      <c r="C127" s="9" t="s">
        <v>13</v>
      </c>
      <c r="D127" s="52" t="s">
        <v>121</v>
      </c>
      <c r="E127" s="11" t="s">
        <v>23</v>
      </c>
      <c r="F127" s="27" t="s">
        <v>5</v>
      </c>
      <c r="G127" s="13">
        <v>1.0</v>
      </c>
      <c r="H127" s="30">
        <v>20.0</v>
      </c>
      <c r="I127" s="14">
        <f t="shared" si="4"/>
        <v>20</v>
      </c>
      <c r="J127" s="15">
        <v>15.16</v>
      </c>
      <c r="K127" s="16" t="s">
        <v>24</v>
      </c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8" t="s">
        <v>151</v>
      </c>
      <c r="C128" s="18" t="s">
        <v>17</v>
      </c>
      <c r="D128" s="52" t="s">
        <v>141</v>
      </c>
      <c r="E128" s="11" t="s">
        <v>19</v>
      </c>
      <c r="F128" s="12"/>
      <c r="G128" s="13">
        <v>1.0</v>
      </c>
      <c r="H128" s="30">
        <v>80.0</v>
      </c>
      <c r="I128" s="14">
        <f t="shared" si="4"/>
        <v>80</v>
      </c>
      <c r="J128" s="20"/>
      <c r="K128" s="16" t="s">
        <v>16</v>
      </c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8" t="s">
        <v>151</v>
      </c>
      <c r="C129" s="9" t="s">
        <v>180</v>
      </c>
      <c r="D129" s="52" t="s">
        <v>181</v>
      </c>
      <c r="E129" s="11" t="s">
        <v>23</v>
      </c>
      <c r="F129" s="12">
        <v>8.49069896E8</v>
      </c>
      <c r="G129" s="13">
        <v>1.0</v>
      </c>
      <c r="H129" s="30">
        <v>5.0</v>
      </c>
      <c r="I129" s="14">
        <f t="shared" si="4"/>
        <v>5</v>
      </c>
      <c r="J129" s="15">
        <v>31.66</v>
      </c>
      <c r="K129" s="16" t="s">
        <v>24</v>
      </c>
      <c r="L129" s="48" t="s">
        <v>182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8" t="s">
        <v>151</v>
      </c>
      <c r="C130" s="9" t="s">
        <v>13</v>
      </c>
      <c r="D130" s="10" t="s">
        <v>183</v>
      </c>
      <c r="E130" s="11" t="s">
        <v>23</v>
      </c>
      <c r="F130" s="12" t="s">
        <v>124</v>
      </c>
      <c r="G130" s="13">
        <v>2.0</v>
      </c>
      <c r="H130" s="30">
        <v>3.0</v>
      </c>
      <c r="I130" s="14">
        <f t="shared" si="4"/>
        <v>6</v>
      </c>
      <c r="J130" s="15">
        <v>0.0</v>
      </c>
      <c r="K130" s="16" t="s">
        <v>24</v>
      </c>
      <c r="L130" s="2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8" t="s">
        <v>151</v>
      </c>
      <c r="C131" s="59"/>
      <c r="D131" s="60" t="s">
        <v>184</v>
      </c>
      <c r="E131" s="11" t="s">
        <v>15</v>
      </c>
      <c r="F131" s="12"/>
      <c r="G131" s="61">
        <v>1.0</v>
      </c>
      <c r="H131" s="20">
        <v>150.0</v>
      </c>
      <c r="I131" s="14">
        <f t="shared" si="4"/>
        <v>150</v>
      </c>
      <c r="J131" s="20"/>
      <c r="K131" s="16" t="s">
        <v>16</v>
      </c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8" t="s">
        <v>151</v>
      </c>
      <c r="C132" s="18" t="s">
        <v>17</v>
      </c>
      <c r="D132" s="10" t="s">
        <v>185</v>
      </c>
      <c r="E132" s="11" t="s">
        <v>19</v>
      </c>
      <c r="F132" s="12"/>
      <c r="G132" s="13">
        <v>1.0</v>
      </c>
      <c r="H132" s="30">
        <v>300.0</v>
      </c>
      <c r="I132" s="14">
        <f t="shared" si="4"/>
        <v>300</v>
      </c>
      <c r="J132" s="20"/>
      <c r="K132" s="16" t="s">
        <v>16</v>
      </c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8" t="s">
        <v>186</v>
      </c>
      <c r="C133" s="9" t="s">
        <v>106</v>
      </c>
      <c r="D133" s="52" t="s">
        <v>152</v>
      </c>
      <c r="E133" s="11" t="s">
        <v>30</v>
      </c>
      <c r="F133" s="12"/>
      <c r="G133" s="13">
        <v>2.0</v>
      </c>
      <c r="H133" s="30">
        <v>100.0</v>
      </c>
      <c r="I133" s="14">
        <f t="shared" si="4"/>
        <v>200</v>
      </c>
      <c r="J133" s="20"/>
      <c r="K133" s="16" t="s">
        <v>16</v>
      </c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8" t="s">
        <v>186</v>
      </c>
      <c r="C134" s="9" t="s">
        <v>13</v>
      </c>
      <c r="D134" s="52" t="s">
        <v>187</v>
      </c>
      <c r="E134" s="11" t="s">
        <v>15</v>
      </c>
      <c r="F134" s="12"/>
      <c r="G134" s="13">
        <v>2.0</v>
      </c>
      <c r="H134" s="30">
        <v>5.0</v>
      </c>
      <c r="I134" s="14">
        <f t="shared" si="4"/>
        <v>10</v>
      </c>
      <c r="J134" s="20"/>
      <c r="K134" s="16" t="s">
        <v>16</v>
      </c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8" t="s">
        <v>186</v>
      </c>
      <c r="C135" s="9" t="s">
        <v>13</v>
      </c>
      <c r="D135" s="52" t="s">
        <v>188</v>
      </c>
      <c r="E135" s="11" t="s">
        <v>23</v>
      </c>
      <c r="F135" s="12" t="s">
        <v>189</v>
      </c>
      <c r="G135" s="13">
        <v>1.0</v>
      </c>
      <c r="H135" s="30">
        <v>6.2</v>
      </c>
      <c r="I135" s="14">
        <f t="shared" si="4"/>
        <v>6.2</v>
      </c>
      <c r="J135" s="15">
        <v>0.0</v>
      </c>
      <c r="K135" s="16" t="s">
        <v>24</v>
      </c>
      <c r="L135" s="48" t="s">
        <v>190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8" t="s">
        <v>186</v>
      </c>
      <c r="C136" s="18" t="s">
        <v>17</v>
      </c>
      <c r="D136" s="52" t="s">
        <v>191</v>
      </c>
      <c r="E136" s="11" t="s">
        <v>19</v>
      </c>
      <c r="F136" s="62" t="s">
        <v>192</v>
      </c>
      <c r="G136" s="13">
        <v>1.0</v>
      </c>
      <c r="H136" s="30">
        <v>40.0</v>
      </c>
      <c r="I136" s="14">
        <f t="shared" si="4"/>
        <v>40</v>
      </c>
      <c r="J136" s="20"/>
      <c r="K136" s="16" t="s">
        <v>16</v>
      </c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8" t="s">
        <v>186</v>
      </c>
      <c r="C137" s="9" t="s">
        <v>39</v>
      </c>
      <c r="D137" s="52" t="s">
        <v>156</v>
      </c>
      <c r="E137" s="19" t="s">
        <v>27</v>
      </c>
      <c r="F137" s="12" t="s">
        <v>192</v>
      </c>
      <c r="G137" s="13">
        <v>1.0</v>
      </c>
      <c r="H137" s="30">
        <v>488.0</v>
      </c>
      <c r="I137" s="14">
        <f t="shared" si="4"/>
        <v>488</v>
      </c>
      <c r="J137" s="20">
        <v>442.8</v>
      </c>
      <c r="K137" s="16" t="s">
        <v>24</v>
      </c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8" t="s">
        <v>186</v>
      </c>
      <c r="C138" s="9" t="s">
        <v>25</v>
      </c>
      <c r="D138" s="52" t="s">
        <v>158</v>
      </c>
      <c r="E138" s="19" t="s">
        <v>27</v>
      </c>
      <c r="F138" s="12">
        <v>83456.0</v>
      </c>
      <c r="G138" s="13">
        <v>2.0</v>
      </c>
      <c r="H138" s="30">
        <v>275.11</v>
      </c>
      <c r="I138" s="14">
        <f t="shared" si="4"/>
        <v>550.22</v>
      </c>
      <c r="J138" s="58">
        <v>498.06</v>
      </c>
      <c r="K138" s="16" t="s">
        <v>24</v>
      </c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8" t="s">
        <v>186</v>
      </c>
      <c r="C139" s="9" t="s">
        <v>25</v>
      </c>
      <c r="D139" s="52" t="s">
        <v>160</v>
      </c>
      <c r="E139" s="19" t="s">
        <v>27</v>
      </c>
      <c r="F139" s="12">
        <v>83454.0</v>
      </c>
      <c r="G139" s="13">
        <v>1.0</v>
      </c>
      <c r="H139" s="30">
        <v>943.8</v>
      </c>
      <c r="I139" s="14">
        <f t="shared" si="4"/>
        <v>943.8</v>
      </c>
      <c r="J139" s="58">
        <v>868.72</v>
      </c>
      <c r="K139" s="16" t="s">
        <v>24</v>
      </c>
      <c r="L139" s="2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8" t="s">
        <v>186</v>
      </c>
      <c r="C140" s="9" t="s">
        <v>84</v>
      </c>
      <c r="D140" s="52" t="s">
        <v>164</v>
      </c>
      <c r="E140" s="11" t="s">
        <v>86</v>
      </c>
      <c r="F140" s="12"/>
      <c r="G140" s="13">
        <v>1.0</v>
      </c>
      <c r="H140" s="30">
        <v>600.0</v>
      </c>
      <c r="I140" s="14">
        <f t="shared" si="4"/>
        <v>600</v>
      </c>
      <c r="J140" s="15">
        <v>0.0</v>
      </c>
      <c r="K140" s="16" t="s">
        <v>24</v>
      </c>
      <c r="L140" s="32" t="s">
        <v>87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8" t="s">
        <v>186</v>
      </c>
      <c r="C141" s="9" t="s">
        <v>13</v>
      </c>
      <c r="D141" s="52" t="s">
        <v>165</v>
      </c>
      <c r="E141" s="19" t="s">
        <v>23</v>
      </c>
      <c r="F141" s="27" t="s">
        <v>5</v>
      </c>
      <c r="G141" s="13">
        <v>2.0</v>
      </c>
      <c r="H141" s="30">
        <v>36.0</v>
      </c>
      <c r="I141" s="14">
        <f t="shared" si="4"/>
        <v>72</v>
      </c>
      <c r="J141" s="15">
        <v>60.71</v>
      </c>
      <c r="K141" s="16" t="s">
        <v>24</v>
      </c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8" t="s">
        <v>186</v>
      </c>
      <c r="C142" s="9" t="s">
        <v>13</v>
      </c>
      <c r="D142" s="52" t="s">
        <v>166</v>
      </c>
      <c r="E142" s="19" t="s">
        <v>23</v>
      </c>
      <c r="F142" s="27" t="s">
        <v>5</v>
      </c>
      <c r="G142" s="13">
        <v>1.0</v>
      </c>
      <c r="H142" s="30">
        <v>48.0</v>
      </c>
      <c r="I142" s="14">
        <f t="shared" si="4"/>
        <v>48</v>
      </c>
      <c r="J142" s="15">
        <v>45.78</v>
      </c>
      <c r="K142" s="16" t="s">
        <v>24</v>
      </c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8" t="s">
        <v>186</v>
      </c>
      <c r="C143" s="9" t="s">
        <v>13</v>
      </c>
      <c r="D143" s="52" t="s">
        <v>167</v>
      </c>
      <c r="E143" s="19" t="s">
        <v>23</v>
      </c>
      <c r="F143" s="27" t="s">
        <v>5</v>
      </c>
      <c r="G143" s="13">
        <v>1.0</v>
      </c>
      <c r="H143" s="30">
        <v>24.0</v>
      </c>
      <c r="I143" s="14">
        <f t="shared" si="4"/>
        <v>24</v>
      </c>
      <c r="J143" s="15">
        <v>24.23</v>
      </c>
      <c r="K143" s="16" t="s">
        <v>24</v>
      </c>
      <c r="L143" s="2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8" t="s">
        <v>186</v>
      </c>
      <c r="C144" s="9" t="s">
        <v>169</v>
      </c>
      <c r="D144" s="52" t="s">
        <v>170</v>
      </c>
      <c r="E144" s="11" t="s">
        <v>171</v>
      </c>
      <c r="F144" s="12" t="s">
        <v>172</v>
      </c>
      <c r="G144" s="13">
        <v>1.0</v>
      </c>
      <c r="H144" s="30">
        <v>420.0</v>
      </c>
      <c r="I144" s="14">
        <f t="shared" si="4"/>
        <v>420</v>
      </c>
      <c r="J144" s="20"/>
      <c r="K144" s="16" t="s">
        <v>24</v>
      </c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63" t="s">
        <v>186</v>
      </c>
      <c r="C145" s="64" t="s">
        <v>169</v>
      </c>
      <c r="D145" s="65" t="s">
        <v>173</v>
      </c>
      <c r="E145" s="66" t="s">
        <v>171</v>
      </c>
      <c r="F145" s="67" t="s">
        <v>172</v>
      </c>
      <c r="G145" s="68">
        <v>1.0</v>
      </c>
      <c r="H145" s="69">
        <v>172.0</v>
      </c>
      <c r="I145" s="70">
        <f t="shared" si="4"/>
        <v>172</v>
      </c>
      <c r="J145" s="20"/>
      <c r="K145" s="71"/>
      <c r="L145" s="48" t="s">
        <v>193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8" t="s">
        <v>186</v>
      </c>
      <c r="C146" s="9" t="s">
        <v>13</v>
      </c>
      <c r="D146" s="52" t="s">
        <v>168</v>
      </c>
      <c r="E146" s="19" t="s">
        <v>23</v>
      </c>
      <c r="F146" s="27" t="s">
        <v>5</v>
      </c>
      <c r="G146" s="13">
        <v>1.0</v>
      </c>
      <c r="H146" s="30">
        <v>24.0</v>
      </c>
      <c r="I146" s="14">
        <f t="shared" si="4"/>
        <v>24</v>
      </c>
      <c r="J146" s="15">
        <v>15.16</v>
      </c>
      <c r="K146" s="16" t="s">
        <v>24</v>
      </c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8" t="s">
        <v>186</v>
      </c>
      <c r="C147" s="9" t="s">
        <v>174</v>
      </c>
      <c r="D147" s="52" t="s">
        <v>175</v>
      </c>
      <c r="E147" s="11" t="s">
        <v>15</v>
      </c>
      <c r="F147" s="12" t="s">
        <v>176</v>
      </c>
      <c r="G147" s="13">
        <v>4.0</v>
      </c>
      <c r="H147" s="30">
        <v>11.0</v>
      </c>
      <c r="I147" s="14">
        <f t="shared" si="4"/>
        <v>44</v>
      </c>
      <c r="J147" s="20"/>
      <c r="K147" s="16" t="s">
        <v>16</v>
      </c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8" t="s">
        <v>186</v>
      </c>
      <c r="C148" s="9" t="s">
        <v>106</v>
      </c>
      <c r="D148" s="52" t="s">
        <v>194</v>
      </c>
      <c r="E148" s="11" t="s">
        <v>30</v>
      </c>
      <c r="F148" s="12"/>
      <c r="G148" s="13">
        <v>2.0</v>
      </c>
      <c r="H148" s="30">
        <v>150.0</v>
      </c>
      <c r="I148" s="14">
        <f t="shared" si="4"/>
        <v>300</v>
      </c>
      <c r="J148" s="20"/>
      <c r="K148" s="16" t="s">
        <v>16</v>
      </c>
      <c r="L148" s="2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8" t="s">
        <v>186</v>
      </c>
      <c r="C149" s="18" t="s">
        <v>17</v>
      </c>
      <c r="D149" s="10" t="s">
        <v>195</v>
      </c>
      <c r="E149" s="11" t="s">
        <v>19</v>
      </c>
      <c r="F149" s="12"/>
      <c r="G149" s="13">
        <v>2.0</v>
      </c>
      <c r="H149" s="30">
        <v>18.0</v>
      </c>
      <c r="I149" s="14">
        <f t="shared" si="4"/>
        <v>36</v>
      </c>
      <c r="J149" s="20"/>
      <c r="K149" s="16" t="s">
        <v>16</v>
      </c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8" t="s">
        <v>186</v>
      </c>
      <c r="C150" s="9" t="s">
        <v>118</v>
      </c>
      <c r="D150" s="52" t="s">
        <v>196</v>
      </c>
      <c r="E150" s="11" t="s">
        <v>23</v>
      </c>
      <c r="F150" s="27" t="s">
        <v>5</v>
      </c>
      <c r="G150" s="13">
        <v>1.0</v>
      </c>
      <c r="H150" s="30">
        <v>178.0</v>
      </c>
      <c r="I150" s="14">
        <f t="shared" si="4"/>
        <v>178</v>
      </c>
      <c r="J150" s="15">
        <v>159.74</v>
      </c>
      <c r="K150" s="16" t="s">
        <v>24</v>
      </c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8" t="s">
        <v>186</v>
      </c>
      <c r="C151" s="9" t="s">
        <v>13</v>
      </c>
      <c r="D151" s="52" t="s">
        <v>121</v>
      </c>
      <c r="E151" s="11" t="s">
        <v>23</v>
      </c>
      <c r="F151" s="27" t="s">
        <v>5</v>
      </c>
      <c r="G151" s="13">
        <v>1.0</v>
      </c>
      <c r="H151" s="30">
        <v>20.0</v>
      </c>
      <c r="I151" s="14">
        <f t="shared" si="4"/>
        <v>20</v>
      </c>
      <c r="J151" s="15">
        <v>15.85</v>
      </c>
      <c r="K151" s="16" t="s">
        <v>24</v>
      </c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8" t="s">
        <v>186</v>
      </c>
      <c r="C152" s="18" t="s">
        <v>17</v>
      </c>
      <c r="D152" s="52" t="s">
        <v>141</v>
      </c>
      <c r="E152" s="11" t="s">
        <v>19</v>
      </c>
      <c r="F152" s="12"/>
      <c r="G152" s="13">
        <v>1.0</v>
      </c>
      <c r="H152" s="30">
        <v>80.0</v>
      </c>
      <c r="I152" s="14">
        <f t="shared" si="4"/>
        <v>80</v>
      </c>
      <c r="J152" s="20"/>
      <c r="K152" s="16" t="s">
        <v>16</v>
      </c>
      <c r="L152" s="2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8" t="s">
        <v>186</v>
      </c>
      <c r="C153" s="9" t="s">
        <v>13</v>
      </c>
      <c r="D153" s="52" t="s">
        <v>183</v>
      </c>
      <c r="E153" s="11" t="s">
        <v>15</v>
      </c>
      <c r="F153" s="12" t="s">
        <v>124</v>
      </c>
      <c r="G153" s="13">
        <v>2.0</v>
      </c>
      <c r="H153" s="30">
        <v>3.0</v>
      </c>
      <c r="I153" s="14">
        <f t="shared" si="4"/>
        <v>6</v>
      </c>
      <c r="J153" s="20"/>
      <c r="K153" s="16" t="s">
        <v>16</v>
      </c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8" t="s">
        <v>186</v>
      </c>
      <c r="C154" s="18" t="s">
        <v>17</v>
      </c>
      <c r="D154" s="52" t="s">
        <v>185</v>
      </c>
      <c r="E154" s="11" t="s">
        <v>19</v>
      </c>
      <c r="F154" s="12"/>
      <c r="G154" s="13">
        <v>1.0</v>
      </c>
      <c r="H154" s="30">
        <v>150.0</v>
      </c>
      <c r="I154" s="14">
        <f t="shared" si="4"/>
        <v>150</v>
      </c>
      <c r="J154" s="20"/>
      <c r="K154" s="16" t="s">
        <v>16</v>
      </c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8" t="s">
        <v>186</v>
      </c>
      <c r="C155" s="18" t="s">
        <v>17</v>
      </c>
      <c r="D155" s="52" t="s">
        <v>184</v>
      </c>
      <c r="E155" s="19" t="s">
        <v>15</v>
      </c>
      <c r="F155" s="12"/>
      <c r="G155" s="13">
        <v>1.0</v>
      </c>
      <c r="H155" s="30">
        <v>100.0</v>
      </c>
      <c r="I155" s="14">
        <f t="shared" si="4"/>
        <v>100</v>
      </c>
      <c r="J155" s="20"/>
      <c r="K155" s="16" t="s">
        <v>16</v>
      </c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8" t="s">
        <v>197</v>
      </c>
      <c r="C156" s="18" t="s">
        <v>198</v>
      </c>
      <c r="D156" s="52" t="s">
        <v>152</v>
      </c>
      <c r="E156" s="11" t="s">
        <v>30</v>
      </c>
      <c r="F156" s="12"/>
      <c r="G156" s="13">
        <v>2.0</v>
      </c>
      <c r="H156" s="30">
        <v>100.0</v>
      </c>
      <c r="I156" s="14">
        <f t="shared" si="4"/>
        <v>200</v>
      </c>
      <c r="J156" s="20"/>
      <c r="K156" s="16" t="s">
        <v>16</v>
      </c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8" t="s">
        <v>197</v>
      </c>
      <c r="C157" s="9" t="s">
        <v>13</v>
      </c>
      <c r="D157" s="52" t="s">
        <v>187</v>
      </c>
      <c r="E157" s="11" t="s">
        <v>15</v>
      </c>
      <c r="F157" s="12"/>
      <c r="G157" s="13">
        <v>2.0</v>
      </c>
      <c r="H157" s="30">
        <v>5.0</v>
      </c>
      <c r="I157" s="14">
        <f t="shared" si="4"/>
        <v>10</v>
      </c>
      <c r="J157" s="20"/>
      <c r="K157" s="16" t="s">
        <v>16</v>
      </c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8" t="s">
        <v>197</v>
      </c>
      <c r="C158" s="9" t="s">
        <v>13</v>
      </c>
      <c r="D158" s="52" t="s">
        <v>188</v>
      </c>
      <c r="E158" s="11" t="s">
        <v>23</v>
      </c>
      <c r="F158" s="12" t="s">
        <v>189</v>
      </c>
      <c r="G158" s="13">
        <v>1.0</v>
      </c>
      <c r="H158" s="30">
        <v>6.2</v>
      </c>
      <c r="I158" s="14">
        <f t="shared" si="4"/>
        <v>6.2</v>
      </c>
      <c r="J158" s="15">
        <v>37.9</v>
      </c>
      <c r="K158" s="16" t="s">
        <v>24</v>
      </c>
      <c r="L158" s="48" t="s">
        <v>199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8" t="s">
        <v>197</v>
      </c>
      <c r="C159" s="18" t="s">
        <v>17</v>
      </c>
      <c r="D159" s="52" t="s">
        <v>191</v>
      </c>
      <c r="E159" s="11" t="s">
        <v>19</v>
      </c>
      <c r="F159" s="12"/>
      <c r="G159" s="13">
        <v>1.0</v>
      </c>
      <c r="H159" s="30">
        <v>40.0</v>
      </c>
      <c r="I159" s="14">
        <f t="shared" si="4"/>
        <v>40</v>
      </c>
      <c r="J159" s="20"/>
      <c r="K159" s="16" t="s">
        <v>16</v>
      </c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8" t="s">
        <v>197</v>
      </c>
      <c r="C160" s="9" t="s">
        <v>39</v>
      </c>
      <c r="D160" s="52" t="s">
        <v>156</v>
      </c>
      <c r="E160" s="19" t="s">
        <v>27</v>
      </c>
      <c r="F160" s="12" t="s">
        <v>200</v>
      </c>
      <c r="G160" s="13">
        <v>1.0</v>
      </c>
      <c r="H160" s="30">
        <v>494.0</v>
      </c>
      <c r="I160" s="14">
        <f t="shared" si="4"/>
        <v>494</v>
      </c>
      <c r="J160" s="20">
        <v>464.4</v>
      </c>
      <c r="K160" s="16" t="s">
        <v>24</v>
      </c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8" t="s">
        <v>197</v>
      </c>
      <c r="C161" s="9" t="s">
        <v>25</v>
      </c>
      <c r="D161" s="52" t="s">
        <v>158</v>
      </c>
      <c r="E161" s="19" t="s">
        <v>27</v>
      </c>
      <c r="F161" s="12">
        <v>82499.0</v>
      </c>
      <c r="G161" s="13">
        <v>2.0</v>
      </c>
      <c r="H161" s="30">
        <v>259.86</v>
      </c>
      <c r="I161" s="14">
        <f t="shared" si="4"/>
        <v>519.72</v>
      </c>
      <c r="J161" s="15">
        <v>451.0</v>
      </c>
      <c r="K161" s="16" t="s">
        <v>24</v>
      </c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8" t="s">
        <v>197</v>
      </c>
      <c r="C162" s="9" t="s">
        <v>25</v>
      </c>
      <c r="D162" s="52" t="s">
        <v>160</v>
      </c>
      <c r="E162" s="19" t="s">
        <v>27</v>
      </c>
      <c r="F162" s="12">
        <v>82500.0</v>
      </c>
      <c r="G162" s="13">
        <v>1.0</v>
      </c>
      <c r="H162" s="30">
        <v>614.0</v>
      </c>
      <c r="I162" s="14">
        <f t="shared" si="4"/>
        <v>614</v>
      </c>
      <c r="J162" s="15">
        <v>528.0</v>
      </c>
      <c r="K162" s="16" t="s">
        <v>24</v>
      </c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46" t="s">
        <v>201</v>
      </c>
      <c r="C163" s="18" t="s">
        <v>13</v>
      </c>
      <c r="D163" s="72" t="s">
        <v>202</v>
      </c>
      <c r="E163" s="11" t="s">
        <v>23</v>
      </c>
      <c r="F163" s="12"/>
      <c r="G163" s="13"/>
      <c r="H163" s="44"/>
      <c r="I163" s="14">
        <f t="shared" si="4"/>
        <v>0</v>
      </c>
      <c r="J163" s="15">
        <v>54.33</v>
      </c>
      <c r="K163" s="16" t="s">
        <v>24</v>
      </c>
      <c r="L163" s="48" t="s">
        <v>203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8" t="s">
        <v>197</v>
      </c>
      <c r="C164" s="9" t="s">
        <v>84</v>
      </c>
      <c r="D164" s="52" t="s">
        <v>164</v>
      </c>
      <c r="E164" s="11" t="s">
        <v>86</v>
      </c>
      <c r="F164" s="12"/>
      <c r="G164" s="13">
        <v>1.0</v>
      </c>
      <c r="H164" s="30">
        <v>506.0</v>
      </c>
      <c r="I164" s="14">
        <f t="shared" si="4"/>
        <v>506</v>
      </c>
      <c r="J164" s="15">
        <v>0.0</v>
      </c>
      <c r="K164" s="16" t="s">
        <v>24</v>
      </c>
      <c r="L164" s="32" t="s">
        <v>87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8" t="s">
        <v>197</v>
      </c>
      <c r="C165" s="9" t="s">
        <v>13</v>
      </c>
      <c r="D165" s="52" t="s">
        <v>165</v>
      </c>
      <c r="E165" s="19" t="s">
        <v>23</v>
      </c>
      <c r="F165" s="27" t="s">
        <v>5</v>
      </c>
      <c r="G165" s="13">
        <v>2.0</v>
      </c>
      <c r="H165" s="30">
        <v>36.0</v>
      </c>
      <c r="I165" s="14">
        <f t="shared" si="4"/>
        <v>72</v>
      </c>
      <c r="J165" s="15">
        <v>60.7</v>
      </c>
      <c r="K165" s="16" t="s">
        <v>24</v>
      </c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8" t="s">
        <v>197</v>
      </c>
      <c r="C166" s="9" t="s">
        <v>13</v>
      </c>
      <c r="D166" s="52" t="s">
        <v>166</v>
      </c>
      <c r="E166" s="19" t="s">
        <v>23</v>
      </c>
      <c r="F166" s="27" t="s">
        <v>5</v>
      </c>
      <c r="G166" s="13">
        <v>1.0</v>
      </c>
      <c r="H166" s="30">
        <v>48.0</v>
      </c>
      <c r="I166" s="14">
        <f t="shared" si="4"/>
        <v>48</v>
      </c>
      <c r="J166" s="15">
        <v>45.78</v>
      </c>
      <c r="K166" s="16" t="s">
        <v>24</v>
      </c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8" t="s">
        <v>197</v>
      </c>
      <c r="C167" s="9" t="s">
        <v>13</v>
      </c>
      <c r="D167" s="52" t="s">
        <v>204</v>
      </c>
      <c r="E167" s="19" t="s">
        <v>23</v>
      </c>
      <c r="F167" s="27" t="s">
        <v>5</v>
      </c>
      <c r="G167" s="13">
        <v>1.0</v>
      </c>
      <c r="H167" s="30">
        <v>24.0</v>
      </c>
      <c r="I167" s="14">
        <f t="shared" si="4"/>
        <v>24</v>
      </c>
      <c r="J167" s="15">
        <v>20.22</v>
      </c>
      <c r="K167" s="16" t="s">
        <v>24</v>
      </c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8" t="s">
        <v>197</v>
      </c>
      <c r="C168" s="9" t="s">
        <v>169</v>
      </c>
      <c r="D168" s="52" t="s">
        <v>170</v>
      </c>
      <c r="E168" s="11" t="s">
        <v>171</v>
      </c>
      <c r="F168" s="12" t="s">
        <v>172</v>
      </c>
      <c r="G168" s="13">
        <v>1.0</v>
      </c>
      <c r="H168" s="30">
        <v>420.0</v>
      </c>
      <c r="I168" s="14">
        <f t="shared" si="4"/>
        <v>420</v>
      </c>
      <c r="J168" s="15">
        <v>0.0</v>
      </c>
      <c r="K168" s="16" t="s">
        <v>24</v>
      </c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63" t="s">
        <v>197</v>
      </c>
      <c r="C169" s="64" t="s">
        <v>169</v>
      </c>
      <c r="D169" s="65" t="s">
        <v>173</v>
      </c>
      <c r="E169" s="66" t="s">
        <v>171</v>
      </c>
      <c r="F169" s="67" t="s">
        <v>172</v>
      </c>
      <c r="G169" s="68">
        <v>1.0</v>
      </c>
      <c r="H169" s="69">
        <v>172.0</v>
      </c>
      <c r="I169" s="70">
        <f t="shared" si="4"/>
        <v>172</v>
      </c>
      <c r="J169" s="15">
        <v>0.0</v>
      </c>
      <c r="K169" s="71"/>
      <c r="L169" s="48" t="s">
        <v>193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8" t="s">
        <v>197</v>
      </c>
      <c r="C170" s="9" t="s">
        <v>13</v>
      </c>
      <c r="D170" s="52" t="s">
        <v>168</v>
      </c>
      <c r="E170" s="19" t="s">
        <v>23</v>
      </c>
      <c r="F170" s="27" t="s">
        <v>5</v>
      </c>
      <c r="G170" s="13">
        <v>1.0</v>
      </c>
      <c r="H170" s="30">
        <v>24.0</v>
      </c>
      <c r="I170" s="14">
        <f t="shared" si="4"/>
        <v>24</v>
      </c>
      <c r="J170" s="15">
        <v>15.85</v>
      </c>
      <c r="K170" s="16" t="s">
        <v>24</v>
      </c>
      <c r="L170" s="2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8" t="s">
        <v>197</v>
      </c>
      <c r="C171" s="73" t="s">
        <v>174</v>
      </c>
      <c r="D171" s="52" t="s">
        <v>175</v>
      </c>
      <c r="E171" s="11" t="s">
        <v>15</v>
      </c>
      <c r="F171" s="12" t="s">
        <v>176</v>
      </c>
      <c r="G171" s="13">
        <v>4.0</v>
      </c>
      <c r="H171" s="30">
        <v>11.0</v>
      </c>
      <c r="I171" s="14">
        <f t="shared" si="4"/>
        <v>44</v>
      </c>
      <c r="J171" s="20"/>
      <c r="K171" s="16" t="s">
        <v>16</v>
      </c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8" t="s">
        <v>197</v>
      </c>
      <c r="C172" s="9" t="s">
        <v>118</v>
      </c>
      <c r="D172" s="52" t="s">
        <v>205</v>
      </c>
      <c r="E172" s="11" t="s">
        <v>23</v>
      </c>
      <c r="F172" s="27" t="s">
        <v>5</v>
      </c>
      <c r="G172" s="13">
        <v>1.0</v>
      </c>
      <c r="H172" s="30">
        <v>178.0</v>
      </c>
      <c r="I172" s="14">
        <f t="shared" si="4"/>
        <v>178</v>
      </c>
      <c r="J172" s="15">
        <v>159.74</v>
      </c>
      <c r="K172" s="16" t="s">
        <v>24</v>
      </c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8" t="s">
        <v>197</v>
      </c>
      <c r="C173" s="9" t="s">
        <v>13</v>
      </c>
      <c r="D173" s="52" t="s">
        <v>121</v>
      </c>
      <c r="E173" s="11" t="s">
        <v>23</v>
      </c>
      <c r="F173" s="27" t="s">
        <v>5</v>
      </c>
      <c r="G173" s="13">
        <v>1.0</v>
      </c>
      <c r="H173" s="30">
        <v>20.0</v>
      </c>
      <c r="I173" s="14">
        <f t="shared" si="4"/>
        <v>20</v>
      </c>
      <c r="J173" s="15">
        <v>15.16</v>
      </c>
      <c r="K173" s="16" t="s">
        <v>24</v>
      </c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8" t="s">
        <v>197</v>
      </c>
      <c r="C174" s="18" t="s">
        <v>17</v>
      </c>
      <c r="D174" s="52" t="s">
        <v>141</v>
      </c>
      <c r="E174" s="11" t="s">
        <v>19</v>
      </c>
      <c r="F174" s="12"/>
      <c r="G174" s="13">
        <v>1.0</v>
      </c>
      <c r="H174" s="30">
        <v>80.0</v>
      </c>
      <c r="I174" s="14">
        <f t="shared" si="4"/>
        <v>80</v>
      </c>
      <c r="J174" s="20"/>
      <c r="K174" s="16" t="s">
        <v>16</v>
      </c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8" t="s">
        <v>197</v>
      </c>
      <c r="C175" s="9" t="s">
        <v>13</v>
      </c>
      <c r="D175" s="52" t="s">
        <v>183</v>
      </c>
      <c r="E175" s="11" t="s">
        <v>23</v>
      </c>
      <c r="F175" s="12" t="s">
        <v>124</v>
      </c>
      <c r="G175" s="13">
        <v>2.0</v>
      </c>
      <c r="H175" s="30">
        <v>3.0</v>
      </c>
      <c r="I175" s="14">
        <f t="shared" si="4"/>
        <v>6</v>
      </c>
      <c r="J175" s="15">
        <v>0.0</v>
      </c>
      <c r="K175" s="16" t="s">
        <v>24</v>
      </c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8" t="s">
        <v>197</v>
      </c>
      <c r="C176" s="9"/>
      <c r="D176" s="10" t="s">
        <v>185</v>
      </c>
      <c r="E176" s="11" t="s">
        <v>19</v>
      </c>
      <c r="F176" s="12"/>
      <c r="G176" s="13">
        <v>1.0</v>
      </c>
      <c r="H176" s="30">
        <v>150.0</v>
      </c>
      <c r="I176" s="14">
        <f t="shared" si="4"/>
        <v>150</v>
      </c>
      <c r="J176" s="20"/>
      <c r="K176" s="16" t="s">
        <v>16</v>
      </c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8" t="s">
        <v>197</v>
      </c>
      <c r="C177" s="9"/>
      <c r="D177" s="10" t="s">
        <v>184</v>
      </c>
      <c r="E177" s="19" t="s">
        <v>15</v>
      </c>
      <c r="F177" s="12"/>
      <c r="G177" s="13">
        <v>1.0</v>
      </c>
      <c r="H177" s="30">
        <v>100.0</v>
      </c>
      <c r="I177" s="14">
        <f t="shared" si="4"/>
        <v>100</v>
      </c>
      <c r="J177" s="20"/>
      <c r="K177" s="16" t="s">
        <v>16</v>
      </c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8" t="s">
        <v>206</v>
      </c>
      <c r="C178" s="9" t="s">
        <v>207</v>
      </c>
      <c r="D178" s="52" t="s">
        <v>208</v>
      </c>
      <c r="E178" s="11" t="s">
        <v>209</v>
      </c>
      <c r="F178" s="12"/>
      <c r="G178" s="13">
        <v>1.0</v>
      </c>
      <c r="H178" s="30">
        <v>9000.0</v>
      </c>
      <c r="I178" s="14">
        <f t="shared" si="4"/>
        <v>9000</v>
      </c>
      <c r="J178" s="15">
        <v>27000.0</v>
      </c>
      <c r="K178" s="16" t="s">
        <v>24</v>
      </c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8" t="s">
        <v>206</v>
      </c>
      <c r="C179" s="9" t="s">
        <v>13</v>
      </c>
      <c r="D179" s="52" t="s">
        <v>210</v>
      </c>
      <c r="E179" s="11" t="s">
        <v>23</v>
      </c>
      <c r="F179" s="27" t="s">
        <v>5</v>
      </c>
      <c r="G179" s="13">
        <v>1.0</v>
      </c>
      <c r="H179" s="30">
        <v>68.0</v>
      </c>
      <c r="I179" s="14">
        <f t="shared" si="4"/>
        <v>68</v>
      </c>
      <c r="J179" s="15">
        <v>45.51</v>
      </c>
      <c r="K179" s="16" t="s">
        <v>24</v>
      </c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8" t="s">
        <v>206</v>
      </c>
      <c r="C180" s="9" t="s">
        <v>13</v>
      </c>
      <c r="D180" s="52" t="s">
        <v>211</v>
      </c>
      <c r="E180" s="11" t="s">
        <v>23</v>
      </c>
      <c r="F180" s="27" t="s">
        <v>5</v>
      </c>
      <c r="G180" s="13">
        <v>1.0</v>
      </c>
      <c r="H180" s="30">
        <v>84.0</v>
      </c>
      <c r="I180" s="14">
        <f t="shared" si="4"/>
        <v>84</v>
      </c>
      <c r="J180" s="15">
        <v>63.9</v>
      </c>
      <c r="K180" s="16" t="s">
        <v>24</v>
      </c>
      <c r="L180" s="2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8" t="s">
        <v>206</v>
      </c>
      <c r="C181" s="73" t="s">
        <v>13</v>
      </c>
      <c r="D181" s="52" t="s">
        <v>212</v>
      </c>
      <c r="E181" s="11" t="s">
        <v>23</v>
      </c>
      <c r="F181" s="27" t="s">
        <v>5</v>
      </c>
      <c r="G181" s="13">
        <v>1.0</v>
      </c>
      <c r="H181" s="30">
        <v>43.0</v>
      </c>
      <c r="I181" s="14">
        <f t="shared" si="4"/>
        <v>43</v>
      </c>
      <c r="J181" s="15">
        <v>47.91</v>
      </c>
      <c r="K181" s="16" t="s">
        <v>24</v>
      </c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8" t="s">
        <v>206</v>
      </c>
      <c r="C182" s="9" t="s">
        <v>13</v>
      </c>
      <c r="D182" s="52" t="s">
        <v>213</v>
      </c>
      <c r="E182" s="19" t="s">
        <v>23</v>
      </c>
      <c r="F182" s="27" t="s">
        <v>5</v>
      </c>
      <c r="G182" s="13">
        <v>1.0</v>
      </c>
      <c r="H182" s="30">
        <v>21.6</v>
      </c>
      <c r="I182" s="14">
        <f t="shared" si="4"/>
        <v>21.6</v>
      </c>
      <c r="J182" s="15">
        <v>14.49</v>
      </c>
      <c r="K182" s="16" t="s">
        <v>24</v>
      </c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8" t="s">
        <v>206</v>
      </c>
      <c r="C183" s="9" t="s">
        <v>13</v>
      </c>
      <c r="D183" s="52" t="s">
        <v>214</v>
      </c>
      <c r="E183" s="19" t="s">
        <v>23</v>
      </c>
      <c r="F183" s="27" t="s">
        <v>5</v>
      </c>
      <c r="G183" s="13">
        <v>1.0</v>
      </c>
      <c r="H183" s="30">
        <v>45.0</v>
      </c>
      <c r="I183" s="14">
        <f t="shared" si="4"/>
        <v>45</v>
      </c>
      <c r="J183" s="15">
        <v>27.5</v>
      </c>
      <c r="K183" s="16" t="s">
        <v>24</v>
      </c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8" t="s">
        <v>206</v>
      </c>
      <c r="C184" s="9" t="s">
        <v>13</v>
      </c>
      <c r="D184" s="52" t="s">
        <v>215</v>
      </c>
      <c r="E184" s="11" t="s">
        <v>23</v>
      </c>
      <c r="F184" s="27" t="s">
        <v>5</v>
      </c>
      <c r="G184" s="13">
        <v>1.0</v>
      </c>
      <c r="H184" s="30">
        <v>30.0</v>
      </c>
      <c r="I184" s="14">
        <f t="shared" si="4"/>
        <v>30</v>
      </c>
      <c r="J184" s="15">
        <v>31.08</v>
      </c>
      <c r="K184" s="16" t="s">
        <v>24</v>
      </c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8" t="s">
        <v>206</v>
      </c>
      <c r="C185" s="9" t="s">
        <v>13</v>
      </c>
      <c r="D185" s="52" t="s">
        <v>216</v>
      </c>
      <c r="E185" s="19" t="s">
        <v>23</v>
      </c>
      <c r="F185" s="27" t="s">
        <v>5</v>
      </c>
      <c r="G185" s="13">
        <v>1.0</v>
      </c>
      <c r="H185" s="30">
        <v>17.0</v>
      </c>
      <c r="I185" s="14">
        <f t="shared" si="4"/>
        <v>17</v>
      </c>
      <c r="J185" s="15">
        <v>10.63</v>
      </c>
      <c r="K185" s="16" t="s">
        <v>24</v>
      </c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8" t="s">
        <v>206</v>
      </c>
      <c r="C186" s="9" t="s">
        <v>13</v>
      </c>
      <c r="D186" s="52" t="s">
        <v>217</v>
      </c>
      <c r="E186" s="19" t="s">
        <v>23</v>
      </c>
      <c r="F186" s="27" t="s">
        <v>5</v>
      </c>
      <c r="G186" s="13">
        <v>1.0</v>
      </c>
      <c r="H186" s="30">
        <v>19.0</v>
      </c>
      <c r="I186" s="14">
        <f t="shared" si="4"/>
        <v>19</v>
      </c>
      <c r="J186" s="15">
        <v>17.78</v>
      </c>
      <c r="K186" s="16" t="s">
        <v>24</v>
      </c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8" t="s">
        <v>206</v>
      </c>
      <c r="C187" s="9" t="s">
        <v>13</v>
      </c>
      <c r="D187" s="52" t="s">
        <v>213</v>
      </c>
      <c r="E187" s="11" t="s">
        <v>23</v>
      </c>
      <c r="F187" s="27" t="s">
        <v>5</v>
      </c>
      <c r="G187" s="13">
        <v>1.0</v>
      </c>
      <c r="H187" s="30">
        <v>36.0</v>
      </c>
      <c r="I187" s="14">
        <f t="shared" si="4"/>
        <v>36</v>
      </c>
      <c r="J187" s="15">
        <v>25.58</v>
      </c>
      <c r="K187" s="16" t="s">
        <v>24</v>
      </c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8" t="s">
        <v>206</v>
      </c>
      <c r="C188" s="9" t="s">
        <v>13</v>
      </c>
      <c r="D188" s="52" t="s">
        <v>218</v>
      </c>
      <c r="E188" s="11" t="s">
        <v>23</v>
      </c>
      <c r="F188" s="27" t="s">
        <v>5</v>
      </c>
      <c r="G188" s="13">
        <v>1.0</v>
      </c>
      <c r="H188" s="30">
        <v>11.4</v>
      </c>
      <c r="I188" s="14">
        <f t="shared" si="4"/>
        <v>11.4</v>
      </c>
      <c r="J188" s="15">
        <v>7.65</v>
      </c>
      <c r="K188" s="16" t="s">
        <v>24</v>
      </c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8" t="s">
        <v>206</v>
      </c>
      <c r="C189" s="9" t="s">
        <v>13</v>
      </c>
      <c r="D189" s="52" t="s">
        <v>219</v>
      </c>
      <c r="E189" s="11" t="s">
        <v>23</v>
      </c>
      <c r="F189" s="27" t="s">
        <v>5</v>
      </c>
      <c r="G189" s="13">
        <v>1.0</v>
      </c>
      <c r="H189" s="30">
        <v>54.0</v>
      </c>
      <c r="I189" s="14">
        <f t="shared" si="4"/>
        <v>54</v>
      </c>
      <c r="J189" s="15">
        <v>47.91</v>
      </c>
      <c r="K189" s="16" t="s">
        <v>24</v>
      </c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8" t="s">
        <v>206</v>
      </c>
      <c r="C190" s="9" t="s">
        <v>13</v>
      </c>
      <c r="D190" s="52" t="s">
        <v>220</v>
      </c>
      <c r="E190" s="11" t="s">
        <v>23</v>
      </c>
      <c r="F190" s="27" t="s">
        <v>5</v>
      </c>
      <c r="G190" s="13">
        <v>2.0</v>
      </c>
      <c r="H190" s="30">
        <v>44.0</v>
      </c>
      <c r="I190" s="14">
        <f t="shared" si="4"/>
        <v>88</v>
      </c>
      <c r="J190" s="15">
        <v>78.81</v>
      </c>
      <c r="K190" s="16" t="s">
        <v>24</v>
      </c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8" t="s">
        <v>206</v>
      </c>
      <c r="C191" s="9" t="s">
        <v>13</v>
      </c>
      <c r="D191" s="52" t="s">
        <v>221</v>
      </c>
      <c r="E191" s="11" t="s">
        <v>23</v>
      </c>
      <c r="F191" s="27" t="s">
        <v>5</v>
      </c>
      <c r="G191" s="13">
        <v>4.0</v>
      </c>
      <c r="H191" s="30">
        <v>76.0</v>
      </c>
      <c r="I191" s="14">
        <f t="shared" si="4"/>
        <v>304</v>
      </c>
      <c r="J191" s="15">
        <v>260.24</v>
      </c>
      <c r="K191" s="16" t="s">
        <v>24</v>
      </c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8" t="s">
        <v>206</v>
      </c>
      <c r="C192" s="9" t="s">
        <v>222</v>
      </c>
      <c r="D192" s="52" t="s">
        <v>223</v>
      </c>
      <c r="E192" s="11" t="s">
        <v>15</v>
      </c>
      <c r="F192" s="12" t="s">
        <v>224</v>
      </c>
      <c r="G192" s="13">
        <v>8.0</v>
      </c>
      <c r="H192" s="30">
        <v>6.0</v>
      </c>
      <c r="I192" s="14">
        <f t="shared" si="4"/>
        <v>48</v>
      </c>
      <c r="J192" s="20"/>
      <c r="K192" s="16" t="s">
        <v>16</v>
      </c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1"/>
      <c r="B193" s="8" t="s">
        <v>206</v>
      </c>
      <c r="C193" s="9" t="s">
        <v>84</v>
      </c>
      <c r="D193" s="52" t="s">
        <v>225</v>
      </c>
      <c r="E193" s="11" t="s">
        <v>86</v>
      </c>
      <c r="F193" s="12"/>
      <c r="G193" s="13">
        <v>1.0</v>
      </c>
      <c r="H193" s="30">
        <v>506.0</v>
      </c>
      <c r="I193" s="14">
        <f t="shared" si="4"/>
        <v>506</v>
      </c>
      <c r="J193" s="15">
        <v>0.0</v>
      </c>
      <c r="K193" s="16" t="s">
        <v>24</v>
      </c>
      <c r="L193" s="48" t="s">
        <v>87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8" t="s">
        <v>206</v>
      </c>
      <c r="C194" s="73" t="s">
        <v>13</v>
      </c>
      <c r="D194" s="52" t="s">
        <v>226</v>
      </c>
      <c r="E194" s="11" t="s">
        <v>23</v>
      </c>
      <c r="F194" s="27" t="s">
        <v>5</v>
      </c>
      <c r="G194" s="74">
        <v>2.0</v>
      </c>
      <c r="H194" s="75">
        <v>154.0</v>
      </c>
      <c r="I194" s="76">
        <f t="shared" si="4"/>
        <v>308</v>
      </c>
      <c r="J194" s="15">
        <v>289.65</v>
      </c>
      <c r="K194" s="16" t="s">
        <v>24</v>
      </c>
      <c r="L194" s="2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8" t="s">
        <v>206</v>
      </c>
      <c r="C195" s="9" t="s">
        <v>13</v>
      </c>
      <c r="D195" s="52" t="s">
        <v>227</v>
      </c>
      <c r="E195" s="19" t="s">
        <v>23</v>
      </c>
      <c r="F195" s="27" t="s">
        <v>5</v>
      </c>
      <c r="G195" s="13">
        <v>2.0</v>
      </c>
      <c r="H195" s="30">
        <v>18.5</v>
      </c>
      <c r="I195" s="14">
        <f t="shared" si="4"/>
        <v>37</v>
      </c>
      <c r="J195" s="15">
        <v>24.6</v>
      </c>
      <c r="K195" s="16" t="s">
        <v>24</v>
      </c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8" t="s">
        <v>206</v>
      </c>
      <c r="C196" s="9" t="s">
        <v>118</v>
      </c>
      <c r="D196" s="52" t="s">
        <v>228</v>
      </c>
      <c r="E196" s="19" t="s">
        <v>23</v>
      </c>
      <c r="F196" s="27" t="s">
        <v>5</v>
      </c>
      <c r="G196" s="13">
        <v>2.0</v>
      </c>
      <c r="H196" s="30">
        <v>138.0</v>
      </c>
      <c r="I196" s="14">
        <f t="shared" si="4"/>
        <v>276</v>
      </c>
      <c r="J196" s="15">
        <v>298.18</v>
      </c>
      <c r="K196" s="16" t="s">
        <v>24</v>
      </c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8" t="s">
        <v>206</v>
      </c>
      <c r="C197" s="9" t="s">
        <v>13</v>
      </c>
      <c r="D197" s="52" t="s">
        <v>121</v>
      </c>
      <c r="E197" s="11" t="s">
        <v>23</v>
      </c>
      <c r="F197" s="27" t="s">
        <v>5</v>
      </c>
      <c r="G197" s="13">
        <v>2.0</v>
      </c>
      <c r="H197" s="30">
        <v>12.0</v>
      </c>
      <c r="I197" s="14">
        <f t="shared" si="4"/>
        <v>24</v>
      </c>
      <c r="J197" s="15">
        <v>16.99</v>
      </c>
      <c r="K197" s="16" t="s">
        <v>24</v>
      </c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8" t="s">
        <v>206</v>
      </c>
      <c r="C198" s="9" t="s">
        <v>13</v>
      </c>
      <c r="D198" s="52" t="s">
        <v>183</v>
      </c>
      <c r="E198" s="19" t="s">
        <v>23</v>
      </c>
      <c r="F198" s="56" t="s">
        <v>124</v>
      </c>
      <c r="G198" s="13">
        <v>2.0</v>
      </c>
      <c r="H198" s="30">
        <v>3.0</v>
      </c>
      <c r="I198" s="14">
        <f t="shared" si="4"/>
        <v>6</v>
      </c>
      <c r="J198" s="15">
        <v>0.0</v>
      </c>
      <c r="K198" s="16" t="s">
        <v>24</v>
      </c>
      <c r="L198" s="48" t="s">
        <v>229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8" t="s">
        <v>230</v>
      </c>
      <c r="C199" s="43" t="s">
        <v>13</v>
      </c>
      <c r="D199" s="52" t="s">
        <v>155</v>
      </c>
      <c r="E199" s="11" t="s">
        <v>15</v>
      </c>
      <c r="F199" s="51"/>
      <c r="G199" s="77">
        <v>1.0</v>
      </c>
      <c r="H199" s="44">
        <v>5.0</v>
      </c>
      <c r="I199" s="78">
        <f t="shared" si="4"/>
        <v>5</v>
      </c>
      <c r="J199" s="20"/>
      <c r="K199" s="16" t="s">
        <v>16</v>
      </c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8" t="s">
        <v>230</v>
      </c>
      <c r="C200" s="43" t="s">
        <v>207</v>
      </c>
      <c r="D200" s="52" t="s">
        <v>231</v>
      </c>
      <c r="E200" s="11" t="s">
        <v>209</v>
      </c>
      <c r="F200" s="12"/>
      <c r="G200" s="77">
        <v>1.0</v>
      </c>
      <c r="H200" s="79">
        <v>9000.0</v>
      </c>
      <c r="I200" s="78">
        <f t="shared" si="4"/>
        <v>9000</v>
      </c>
      <c r="J200" s="15">
        <v>0.0</v>
      </c>
      <c r="K200" s="16" t="s">
        <v>24</v>
      </c>
      <c r="L200" s="48" t="s">
        <v>232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8" t="s">
        <v>230</v>
      </c>
      <c r="C201" s="43" t="s">
        <v>13</v>
      </c>
      <c r="D201" s="52" t="s">
        <v>233</v>
      </c>
      <c r="E201" s="11" t="s">
        <v>23</v>
      </c>
      <c r="F201" s="27" t="s">
        <v>5</v>
      </c>
      <c r="G201" s="77">
        <v>1.0</v>
      </c>
      <c r="H201" s="44">
        <v>36.0</v>
      </c>
      <c r="I201" s="78">
        <f t="shared" si="4"/>
        <v>36</v>
      </c>
      <c r="J201" s="15">
        <v>25.55</v>
      </c>
      <c r="K201" s="16" t="s">
        <v>24</v>
      </c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8" t="s">
        <v>230</v>
      </c>
      <c r="C202" s="73" t="s">
        <v>106</v>
      </c>
      <c r="D202" s="52" t="s">
        <v>147</v>
      </c>
      <c r="E202" s="11" t="s">
        <v>30</v>
      </c>
      <c r="F202" s="80"/>
      <c r="G202" s="77">
        <v>1.0</v>
      </c>
      <c r="H202" s="44">
        <v>143.0</v>
      </c>
      <c r="I202" s="78">
        <f t="shared" si="4"/>
        <v>143</v>
      </c>
      <c r="J202" s="20"/>
      <c r="K202" s="16" t="s">
        <v>16</v>
      </c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8" t="s">
        <v>230</v>
      </c>
      <c r="C203" s="43" t="s">
        <v>13</v>
      </c>
      <c r="D203" s="52" t="s">
        <v>221</v>
      </c>
      <c r="E203" s="11" t="s">
        <v>23</v>
      </c>
      <c r="F203" s="81" t="s">
        <v>5</v>
      </c>
      <c r="G203" s="77">
        <v>4.0</v>
      </c>
      <c r="H203" s="44">
        <v>76.0</v>
      </c>
      <c r="I203" s="78">
        <f t="shared" si="4"/>
        <v>304</v>
      </c>
      <c r="J203" s="15">
        <v>285.14</v>
      </c>
      <c r="K203" s="16" t="s">
        <v>24</v>
      </c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8" t="s">
        <v>230</v>
      </c>
      <c r="C204" s="43" t="s">
        <v>222</v>
      </c>
      <c r="D204" s="52" t="s">
        <v>223</v>
      </c>
      <c r="E204" s="11" t="s">
        <v>15</v>
      </c>
      <c r="F204" s="12" t="s">
        <v>224</v>
      </c>
      <c r="G204" s="77">
        <v>8.0</v>
      </c>
      <c r="H204" s="44">
        <v>6.0</v>
      </c>
      <c r="I204" s="78">
        <f t="shared" si="4"/>
        <v>48</v>
      </c>
      <c r="J204" s="20"/>
      <c r="K204" s="16" t="s">
        <v>16</v>
      </c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8" t="s">
        <v>230</v>
      </c>
      <c r="C205" s="43" t="s">
        <v>84</v>
      </c>
      <c r="D205" s="52" t="s">
        <v>225</v>
      </c>
      <c r="E205" s="11" t="s">
        <v>86</v>
      </c>
      <c r="F205" s="12"/>
      <c r="G205" s="77">
        <v>1.0</v>
      </c>
      <c r="H205" s="44">
        <v>506.0</v>
      </c>
      <c r="I205" s="78">
        <f t="shared" si="4"/>
        <v>506</v>
      </c>
      <c r="J205" s="15">
        <v>0.0</v>
      </c>
      <c r="K205" s="16" t="s">
        <v>24</v>
      </c>
      <c r="L205" s="48" t="s">
        <v>87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8" t="s">
        <v>230</v>
      </c>
      <c r="C206" s="43" t="s">
        <v>13</v>
      </c>
      <c r="D206" s="52" t="s">
        <v>226</v>
      </c>
      <c r="E206" s="11" t="s">
        <v>23</v>
      </c>
      <c r="F206" s="56" t="s">
        <v>234</v>
      </c>
      <c r="G206" s="77">
        <v>2.0</v>
      </c>
      <c r="H206" s="44">
        <v>154.0</v>
      </c>
      <c r="I206" s="78">
        <f t="shared" si="4"/>
        <v>308</v>
      </c>
      <c r="J206" s="15">
        <v>289.65</v>
      </c>
      <c r="K206" s="16" t="s">
        <v>24</v>
      </c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8" t="s">
        <v>230</v>
      </c>
      <c r="C207" s="43" t="s">
        <v>13</v>
      </c>
      <c r="D207" s="52" t="s">
        <v>227</v>
      </c>
      <c r="E207" s="11" t="s">
        <v>23</v>
      </c>
      <c r="F207" s="56" t="s">
        <v>235</v>
      </c>
      <c r="G207" s="77">
        <v>2.0</v>
      </c>
      <c r="H207" s="44">
        <v>18.5</v>
      </c>
      <c r="I207" s="78">
        <f t="shared" si="4"/>
        <v>37</v>
      </c>
      <c r="J207" s="15">
        <v>24.6</v>
      </c>
      <c r="K207" s="16" t="s">
        <v>24</v>
      </c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8" t="s">
        <v>230</v>
      </c>
      <c r="C208" s="43" t="s">
        <v>118</v>
      </c>
      <c r="D208" s="52" t="s">
        <v>205</v>
      </c>
      <c r="E208" s="11" t="s">
        <v>23</v>
      </c>
      <c r="F208" s="27" t="s">
        <v>5</v>
      </c>
      <c r="G208" s="77">
        <v>1.0</v>
      </c>
      <c r="H208" s="44">
        <v>178.0</v>
      </c>
      <c r="I208" s="78">
        <f t="shared" si="4"/>
        <v>178</v>
      </c>
      <c r="J208" s="15">
        <v>159.74</v>
      </c>
      <c r="K208" s="16" t="s">
        <v>24</v>
      </c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8" t="s">
        <v>230</v>
      </c>
      <c r="C209" s="43" t="s">
        <v>13</v>
      </c>
      <c r="D209" s="52" t="s">
        <v>121</v>
      </c>
      <c r="E209" s="11" t="s">
        <v>23</v>
      </c>
      <c r="F209" s="56" t="s">
        <v>236</v>
      </c>
      <c r="G209" s="77">
        <v>1.0</v>
      </c>
      <c r="H209" s="44">
        <v>20.0</v>
      </c>
      <c r="I209" s="78">
        <f t="shared" si="4"/>
        <v>20</v>
      </c>
      <c r="J209" s="15">
        <v>15.16</v>
      </c>
      <c r="K209" s="16" t="s">
        <v>24</v>
      </c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8" t="s">
        <v>230</v>
      </c>
      <c r="C210" s="43" t="s">
        <v>13</v>
      </c>
      <c r="D210" s="52" t="s">
        <v>183</v>
      </c>
      <c r="E210" s="11" t="s">
        <v>23</v>
      </c>
      <c r="F210" s="51"/>
      <c r="G210" s="77">
        <v>2.0</v>
      </c>
      <c r="H210" s="44">
        <v>3.0</v>
      </c>
      <c r="I210" s="78">
        <f t="shared" si="4"/>
        <v>6</v>
      </c>
      <c r="J210" s="15">
        <v>0.0</v>
      </c>
      <c r="K210" s="16" t="s">
        <v>24</v>
      </c>
      <c r="L210" s="48" t="s">
        <v>229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8" t="s">
        <v>230</v>
      </c>
      <c r="C211" s="43" t="s">
        <v>13</v>
      </c>
      <c r="D211" s="52" t="s">
        <v>134</v>
      </c>
      <c r="E211" s="11" t="s">
        <v>23</v>
      </c>
      <c r="F211" s="12" t="s">
        <v>124</v>
      </c>
      <c r="G211" s="77">
        <v>1.0</v>
      </c>
      <c r="H211" s="30">
        <v>108.0</v>
      </c>
      <c r="I211" s="14">
        <f t="shared" si="4"/>
        <v>108</v>
      </c>
      <c r="J211" s="15">
        <v>102.23</v>
      </c>
      <c r="K211" s="16" t="s">
        <v>24</v>
      </c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46" t="s">
        <v>230</v>
      </c>
      <c r="C212" s="45" t="s">
        <v>127</v>
      </c>
      <c r="D212" s="72" t="s">
        <v>237</v>
      </c>
      <c r="E212" s="11" t="s">
        <v>23</v>
      </c>
      <c r="F212" s="12"/>
      <c r="G212" s="77"/>
      <c r="H212" s="44"/>
      <c r="I212" s="14">
        <f t="shared" si="4"/>
        <v>0</v>
      </c>
      <c r="J212" s="15">
        <v>135.3</v>
      </c>
      <c r="K212" s="16" t="s">
        <v>24</v>
      </c>
      <c r="L212" s="48" t="s">
        <v>238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82" t="s">
        <v>239</v>
      </c>
      <c r="C213" s="73" t="s">
        <v>13</v>
      </c>
      <c r="D213" s="10" t="s">
        <v>40</v>
      </c>
      <c r="E213" s="19" t="s">
        <v>23</v>
      </c>
      <c r="F213" s="27" t="s">
        <v>5</v>
      </c>
      <c r="G213" s="77">
        <v>2.0</v>
      </c>
      <c r="H213" s="30">
        <v>70.0</v>
      </c>
      <c r="I213" s="14">
        <f t="shared" si="4"/>
        <v>140</v>
      </c>
      <c r="J213" s="15">
        <v>62.41</v>
      </c>
      <c r="K213" s="16" t="s">
        <v>24</v>
      </c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82" t="s">
        <v>239</v>
      </c>
      <c r="C214" s="43" t="s">
        <v>106</v>
      </c>
      <c r="D214" s="10" t="s">
        <v>147</v>
      </c>
      <c r="E214" s="11" t="s">
        <v>30</v>
      </c>
      <c r="F214" s="12"/>
      <c r="G214" s="77">
        <v>1.0</v>
      </c>
      <c r="H214" s="44">
        <v>1013.0</v>
      </c>
      <c r="I214" s="78">
        <f t="shared" si="4"/>
        <v>1013</v>
      </c>
      <c r="J214" s="20"/>
      <c r="K214" s="16" t="s">
        <v>16</v>
      </c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82" t="s">
        <v>239</v>
      </c>
      <c r="C215" s="9" t="s">
        <v>13</v>
      </c>
      <c r="D215" s="10" t="s">
        <v>240</v>
      </c>
      <c r="E215" s="19" t="s">
        <v>23</v>
      </c>
      <c r="F215" s="53" t="s">
        <v>241</v>
      </c>
      <c r="G215" s="77">
        <v>2.0</v>
      </c>
      <c r="H215" s="30">
        <v>148.0</v>
      </c>
      <c r="I215" s="14">
        <f t="shared" si="4"/>
        <v>296</v>
      </c>
      <c r="J215" s="15">
        <v>266.05</v>
      </c>
      <c r="K215" s="16" t="s">
        <v>24</v>
      </c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82" t="s">
        <v>239</v>
      </c>
      <c r="C216" s="9" t="s">
        <v>118</v>
      </c>
      <c r="D216" s="10" t="s">
        <v>242</v>
      </c>
      <c r="E216" s="19" t="s">
        <v>23</v>
      </c>
      <c r="F216" s="53" t="s">
        <v>243</v>
      </c>
      <c r="G216" s="77">
        <v>2.0</v>
      </c>
      <c r="H216" s="30">
        <v>96.0</v>
      </c>
      <c r="I216" s="14">
        <f t="shared" si="4"/>
        <v>192</v>
      </c>
      <c r="J216" s="15">
        <v>171.87</v>
      </c>
      <c r="K216" s="16" t="s">
        <v>24</v>
      </c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82" t="s">
        <v>239</v>
      </c>
      <c r="C217" s="9" t="s">
        <v>13</v>
      </c>
      <c r="D217" s="10" t="s">
        <v>244</v>
      </c>
      <c r="E217" s="19" t="s">
        <v>23</v>
      </c>
      <c r="F217" s="53" t="s">
        <v>245</v>
      </c>
      <c r="G217" s="77">
        <v>2.0</v>
      </c>
      <c r="H217" s="30">
        <v>6.6</v>
      </c>
      <c r="I217" s="14">
        <f t="shared" si="4"/>
        <v>13.2</v>
      </c>
      <c r="J217" s="15">
        <v>10.75</v>
      </c>
      <c r="K217" s="16" t="s">
        <v>24</v>
      </c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82" t="s">
        <v>239</v>
      </c>
      <c r="C218" s="9" t="s">
        <v>13</v>
      </c>
      <c r="D218" s="10" t="s">
        <v>246</v>
      </c>
      <c r="E218" s="19" t="s">
        <v>23</v>
      </c>
      <c r="F218" s="53" t="s">
        <v>247</v>
      </c>
      <c r="G218" s="77">
        <v>1.0</v>
      </c>
      <c r="H218" s="30">
        <v>627.0</v>
      </c>
      <c r="I218" s="14">
        <f t="shared" si="4"/>
        <v>627</v>
      </c>
      <c r="J218" s="15">
        <v>439.41</v>
      </c>
      <c r="K218" s="16" t="s">
        <v>24</v>
      </c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82" t="s">
        <v>239</v>
      </c>
      <c r="C219" s="9" t="s">
        <v>248</v>
      </c>
      <c r="D219" s="10" t="s">
        <v>249</v>
      </c>
      <c r="E219" s="19" t="s">
        <v>23</v>
      </c>
      <c r="F219" s="12"/>
      <c r="G219" s="77">
        <v>2.0</v>
      </c>
      <c r="H219" s="30">
        <v>560.0</v>
      </c>
      <c r="I219" s="14">
        <f t="shared" si="4"/>
        <v>1120</v>
      </c>
      <c r="J219" s="15">
        <v>962.98</v>
      </c>
      <c r="K219" s="16" t="s">
        <v>24</v>
      </c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82" t="s">
        <v>239</v>
      </c>
      <c r="C220" s="9" t="s">
        <v>118</v>
      </c>
      <c r="D220" s="10" t="s">
        <v>250</v>
      </c>
      <c r="E220" s="11" t="s">
        <v>23</v>
      </c>
      <c r="F220" s="53" t="s">
        <v>251</v>
      </c>
      <c r="G220" s="77">
        <v>2.0</v>
      </c>
      <c r="H220" s="30">
        <v>216.0</v>
      </c>
      <c r="I220" s="14">
        <f t="shared" si="4"/>
        <v>432</v>
      </c>
      <c r="J220" s="15">
        <v>383.38</v>
      </c>
      <c r="K220" s="16" t="s">
        <v>24</v>
      </c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82" t="s">
        <v>239</v>
      </c>
      <c r="C221" s="9" t="s">
        <v>13</v>
      </c>
      <c r="D221" s="10" t="s">
        <v>121</v>
      </c>
      <c r="E221" s="11" t="s">
        <v>23</v>
      </c>
      <c r="F221" s="12" t="s">
        <v>252</v>
      </c>
      <c r="G221" s="77">
        <v>2.0</v>
      </c>
      <c r="H221" s="30">
        <v>20.0</v>
      </c>
      <c r="I221" s="14">
        <f t="shared" si="4"/>
        <v>40</v>
      </c>
      <c r="J221" s="15">
        <v>34.37</v>
      </c>
      <c r="K221" s="16" t="s">
        <v>24</v>
      </c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82" t="s">
        <v>239</v>
      </c>
      <c r="C222" s="9" t="s">
        <v>248</v>
      </c>
      <c r="D222" s="10" t="s">
        <v>253</v>
      </c>
      <c r="E222" s="19" t="s">
        <v>23</v>
      </c>
      <c r="F222" s="12"/>
      <c r="G222" s="77">
        <v>2.0</v>
      </c>
      <c r="H222" s="30">
        <v>69.99</v>
      </c>
      <c r="I222" s="14">
        <f t="shared" si="4"/>
        <v>139.98</v>
      </c>
      <c r="J222" s="15">
        <v>117.68</v>
      </c>
      <c r="K222" s="16" t="s">
        <v>24</v>
      </c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82" t="s">
        <v>239</v>
      </c>
      <c r="C223" s="9" t="s">
        <v>13</v>
      </c>
      <c r="D223" s="10" t="s">
        <v>254</v>
      </c>
      <c r="E223" s="19" t="s">
        <v>23</v>
      </c>
      <c r="F223" s="53" t="s">
        <v>255</v>
      </c>
      <c r="G223" s="77">
        <v>4.0</v>
      </c>
      <c r="H223" s="30">
        <v>85.2</v>
      </c>
      <c r="I223" s="14">
        <f t="shared" si="4"/>
        <v>340.8</v>
      </c>
      <c r="J223" s="15">
        <v>300.45</v>
      </c>
      <c r="K223" s="16" t="s">
        <v>24</v>
      </c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2.5" customHeight="1">
      <c r="A224" s="1"/>
      <c r="B224" s="82" t="s">
        <v>239</v>
      </c>
      <c r="C224" s="9" t="s">
        <v>13</v>
      </c>
      <c r="D224" s="10" t="s">
        <v>123</v>
      </c>
      <c r="E224" s="11" t="s">
        <v>23</v>
      </c>
      <c r="F224" s="12" t="s">
        <v>124</v>
      </c>
      <c r="G224" s="77">
        <v>2.0</v>
      </c>
      <c r="H224" s="30">
        <v>3.0</v>
      </c>
      <c r="I224" s="14">
        <f t="shared" si="4"/>
        <v>6</v>
      </c>
      <c r="J224" s="15">
        <v>0.0</v>
      </c>
      <c r="K224" s="16" t="s">
        <v>24</v>
      </c>
      <c r="L224" s="48" t="s">
        <v>229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2.5" customHeight="1">
      <c r="A225" s="1"/>
      <c r="B225" s="82" t="s">
        <v>239</v>
      </c>
      <c r="C225" s="9" t="s">
        <v>106</v>
      </c>
      <c r="D225" s="10" t="s">
        <v>256</v>
      </c>
      <c r="E225" s="11" t="s">
        <v>30</v>
      </c>
      <c r="F225" s="12"/>
      <c r="G225" s="77">
        <v>1.0</v>
      </c>
      <c r="H225" s="30">
        <v>35.0</v>
      </c>
      <c r="I225" s="14">
        <f t="shared" si="4"/>
        <v>35</v>
      </c>
      <c r="J225" s="20"/>
      <c r="K225" s="16" t="s">
        <v>16</v>
      </c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82" t="s">
        <v>239</v>
      </c>
      <c r="C226" s="9" t="s">
        <v>106</v>
      </c>
      <c r="D226" s="10" t="s">
        <v>257</v>
      </c>
      <c r="E226" s="11" t="s">
        <v>30</v>
      </c>
      <c r="F226" s="12"/>
      <c r="G226" s="77">
        <v>1.0</v>
      </c>
      <c r="H226" s="30">
        <v>35.0</v>
      </c>
      <c r="I226" s="14">
        <f t="shared" si="4"/>
        <v>35</v>
      </c>
      <c r="J226" s="20"/>
      <c r="K226" s="16" t="s">
        <v>16</v>
      </c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82" t="s">
        <v>239</v>
      </c>
      <c r="C227" s="9" t="s">
        <v>106</v>
      </c>
      <c r="D227" s="10" t="s">
        <v>147</v>
      </c>
      <c r="E227" s="11" t="s">
        <v>30</v>
      </c>
      <c r="F227" s="12"/>
      <c r="G227" s="77">
        <v>1.0</v>
      </c>
      <c r="H227" s="30">
        <v>300.0</v>
      </c>
      <c r="I227" s="14">
        <f t="shared" si="4"/>
        <v>300</v>
      </c>
      <c r="J227" s="20"/>
      <c r="K227" s="16" t="s">
        <v>16</v>
      </c>
      <c r="L227" s="2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82" t="s">
        <v>239</v>
      </c>
      <c r="C228" s="9" t="s">
        <v>13</v>
      </c>
      <c r="D228" s="47" t="s">
        <v>258</v>
      </c>
      <c r="E228" s="11" t="s">
        <v>23</v>
      </c>
      <c r="F228" s="12"/>
      <c r="G228" s="83">
        <v>4.0</v>
      </c>
      <c r="H228" s="84">
        <v>18.0</v>
      </c>
      <c r="I228" s="14">
        <f t="shared" si="4"/>
        <v>72</v>
      </c>
      <c r="J228" s="15">
        <v>71.32</v>
      </c>
      <c r="K228" s="16" t="s">
        <v>24</v>
      </c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82" t="s">
        <v>239</v>
      </c>
      <c r="C229" s="18" t="s">
        <v>259</v>
      </c>
      <c r="D229" s="10" t="s">
        <v>260</v>
      </c>
      <c r="E229" s="11" t="s">
        <v>261</v>
      </c>
      <c r="F229" s="12"/>
      <c r="G229" s="77">
        <v>1.0</v>
      </c>
      <c r="H229" s="30">
        <v>956.0</v>
      </c>
      <c r="I229" s="14">
        <f t="shared" si="4"/>
        <v>956</v>
      </c>
      <c r="J229" s="15">
        <v>1600.0</v>
      </c>
      <c r="K229" s="16" t="s">
        <v>24</v>
      </c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82" t="s">
        <v>239</v>
      </c>
      <c r="C230" s="18" t="s">
        <v>259</v>
      </c>
      <c r="D230" s="10" t="s">
        <v>262</v>
      </c>
      <c r="E230" s="11" t="s">
        <v>261</v>
      </c>
      <c r="F230" s="12"/>
      <c r="G230" s="77">
        <v>1.0</v>
      </c>
      <c r="H230" s="30">
        <v>900.0</v>
      </c>
      <c r="I230" s="14">
        <f t="shared" si="4"/>
        <v>900</v>
      </c>
      <c r="J230" s="15">
        <v>0.0</v>
      </c>
      <c r="K230" s="16" t="s">
        <v>24</v>
      </c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82" t="s">
        <v>239</v>
      </c>
      <c r="C231" s="9" t="s">
        <v>207</v>
      </c>
      <c r="D231" s="10" t="s">
        <v>263</v>
      </c>
      <c r="E231" s="19" t="s">
        <v>209</v>
      </c>
      <c r="F231" s="12"/>
      <c r="G231" s="77">
        <v>1.0</v>
      </c>
      <c r="H231" s="79">
        <v>11000.0</v>
      </c>
      <c r="I231" s="14">
        <f t="shared" si="4"/>
        <v>11000</v>
      </c>
      <c r="J231" s="15">
        <v>0.0</v>
      </c>
      <c r="K231" s="16" t="s">
        <v>24</v>
      </c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82" t="s">
        <v>264</v>
      </c>
      <c r="C232" s="43" t="s">
        <v>265</v>
      </c>
      <c r="D232" s="10" t="s">
        <v>266</v>
      </c>
      <c r="E232" s="11" t="s">
        <v>23</v>
      </c>
      <c r="F232" s="27" t="s">
        <v>5</v>
      </c>
      <c r="G232" s="77">
        <v>3.0</v>
      </c>
      <c r="H232" s="44">
        <v>18.0</v>
      </c>
      <c r="I232" s="78">
        <f t="shared" si="4"/>
        <v>54</v>
      </c>
      <c r="J232" s="15">
        <v>57.49</v>
      </c>
      <c r="K232" s="16" t="s">
        <v>24</v>
      </c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82" t="s">
        <v>264</v>
      </c>
      <c r="C233" s="9" t="s">
        <v>267</v>
      </c>
      <c r="D233" s="10" t="s">
        <v>268</v>
      </c>
      <c r="E233" s="19" t="s">
        <v>23</v>
      </c>
      <c r="F233" s="53" t="s">
        <v>269</v>
      </c>
      <c r="G233" s="77">
        <v>3.0</v>
      </c>
      <c r="H233" s="44">
        <v>5.0</v>
      </c>
      <c r="I233" s="14">
        <f t="shared" si="4"/>
        <v>15</v>
      </c>
      <c r="J233" s="15">
        <v>10.35</v>
      </c>
      <c r="K233" s="16" t="s">
        <v>24</v>
      </c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82" t="s">
        <v>264</v>
      </c>
      <c r="C234" s="43" t="s">
        <v>13</v>
      </c>
      <c r="D234" s="10" t="s">
        <v>270</v>
      </c>
      <c r="E234" s="11" t="s">
        <v>23</v>
      </c>
      <c r="F234" s="53" t="s">
        <v>271</v>
      </c>
      <c r="G234" s="77">
        <v>3.0</v>
      </c>
      <c r="H234" s="44">
        <v>18.0</v>
      </c>
      <c r="I234" s="78">
        <f t="shared" si="4"/>
        <v>54</v>
      </c>
      <c r="J234" s="15">
        <v>63.84</v>
      </c>
      <c r="K234" s="16" t="s">
        <v>24</v>
      </c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82" t="s">
        <v>264</v>
      </c>
      <c r="C235" s="43" t="s">
        <v>106</v>
      </c>
      <c r="D235" s="10" t="s">
        <v>272</v>
      </c>
      <c r="E235" s="11" t="s">
        <v>30</v>
      </c>
      <c r="F235" s="12"/>
      <c r="G235" s="77">
        <v>3.0</v>
      </c>
      <c r="H235" s="44">
        <v>15.0</v>
      </c>
      <c r="I235" s="78">
        <f t="shared" si="4"/>
        <v>45</v>
      </c>
      <c r="J235" s="20"/>
      <c r="K235" s="16" t="s">
        <v>16</v>
      </c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82" t="s">
        <v>264</v>
      </c>
      <c r="C236" s="43" t="s">
        <v>106</v>
      </c>
      <c r="D236" s="10" t="s">
        <v>273</v>
      </c>
      <c r="E236" s="11" t="s">
        <v>30</v>
      </c>
      <c r="F236" s="12"/>
      <c r="G236" s="77">
        <v>2.0</v>
      </c>
      <c r="H236" s="44">
        <v>15.0</v>
      </c>
      <c r="I236" s="78">
        <f t="shared" si="4"/>
        <v>30</v>
      </c>
      <c r="J236" s="20"/>
      <c r="K236" s="16" t="s">
        <v>16</v>
      </c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82" t="s">
        <v>264</v>
      </c>
      <c r="C237" s="43" t="s">
        <v>13</v>
      </c>
      <c r="D237" s="10" t="s">
        <v>274</v>
      </c>
      <c r="E237" s="11" t="s">
        <v>23</v>
      </c>
      <c r="F237" s="56" t="s">
        <v>275</v>
      </c>
      <c r="G237" s="77">
        <v>3.0</v>
      </c>
      <c r="H237" s="44">
        <v>12.0</v>
      </c>
      <c r="I237" s="78">
        <f t="shared" si="4"/>
        <v>36</v>
      </c>
      <c r="J237" s="15">
        <v>31.9</v>
      </c>
      <c r="K237" s="16" t="s">
        <v>24</v>
      </c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82" t="s">
        <v>264</v>
      </c>
      <c r="C238" s="43" t="s">
        <v>106</v>
      </c>
      <c r="D238" s="52" t="s">
        <v>276</v>
      </c>
      <c r="E238" s="11" t="s">
        <v>30</v>
      </c>
      <c r="F238" s="12"/>
      <c r="G238" s="77">
        <v>3.0</v>
      </c>
      <c r="H238" s="44">
        <v>25.0</v>
      </c>
      <c r="I238" s="78">
        <f t="shared" si="4"/>
        <v>75</v>
      </c>
      <c r="J238" s="20"/>
      <c r="K238" s="16" t="s">
        <v>16</v>
      </c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82" t="s">
        <v>264</v>
      </c>
      <c r="C239" s="43" t="s">
        <v>222</v>
      </c>
      <c r="D239" s="52" t="s">
        <v>277</v>
      </c>
      <c r="E239" s="11" t="s">
        <v>23</v>
      </c>
      <c r="F239" s="12"/>
      <c r="G239" s="77">
        <v>5.0</v>
      </c>
      <c r="H239" s="44">
        <v>27.99</v>
      </c>
      <c r="I239" s="78">
        <f t="shared" si="4"/>
        <v>139.95</v>
      </c>
      <c r="J239" s="15">
        <v>331.49</v>
      </c>
      <c r="K239" s="16" t="s">
        <v>24</v>
      </c>
      <c r="L239" s="48" t="s">
        <v>278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82" t="s">
        <v>264</v>
      </c>
      <c r="C240" s="43" t="s">
        <v>222</v>
      </c>
      <c r="D240" s="10" t="s">
        <v>279</v>
      </c>
      <c r="E240" s="11" t="s">
        <v>23</v>
      </c>
      <c r="F240" s="12"/>
      <c r="G240" s="77">
        <v>3.0</v>
      </c>
      <c r="H240" s="44">
        <v>20.31</v>
      </c>
      <c r="I240" s="78">
        <f t="shared" si="4"/>
        <v>60.93</v>
      </c>
      <c r="J240" s="15">
        <v>0.0</v>
      </c>
      <c r="K240" s="16" t="s">
        <v>24</v>
      </c>
      <c r="L240" s="48" t="s">
        <v>280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82" t="s">
        <v>264</v>
      </c>
      <c r="C241" s="43" t="s">
        <v>222</v>
      </c>
      <c r="D241" s="10" t="s">
        <v>281</v>
      </c>
      <c r="E241" s="11" t="s">
        <v>23</v>
      </c>
      <c r="F241" s="12"/>
      <c r="G241" s="77">
        <v>2.0</v>
      </c>
      <c r="H241" s="44">
        <v>14.96</v>
      </c>
      <c r="I241" s="78">
        <f t="shared" si="4"/>
        <v>29.92</v>
      </c>
      <c r="J241" s="15">
        <v>0.0</v>
      </c>
      <c r="K241" s="16" t="s">
        <v>24</v>
      </c>
      <c r="L241" s="48" t="s">
        <v>280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82" t="s">
        <v>264</v>
      </c>
      <c r="C242" s="43" t="s">
        <v>106</v>
      </c>
      <c r="D242" s="10" t="s">
        <v>282</v>
      </c>
      <c r="E242" s="11" t="s">
        <v>23</v>
      </c>
      <c r="F242" s="12"/>
      <c r="G242" s="77">
        <v>10.0</v>
      </c>
      <c r="H242" s="44">
        <v>18.0</v>
      </c>
      <c r="I242" s="78">
        <f t="shared" si="4"/>
        <v>180</v>
      </c>
      <c r="J242" s="15">
        <v>0.0</v>
      </c>
      <c r="K242" s="16" t="s">
        <v>24</v>
      </c>
      <c r="L242" s="48" t="s">
        <v>280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82" t="s">
        <v>283</v>
      </c>
      <c r="C243" s="85" t="s">
        <v>284</v>
      </c>
      <c r="D243" s="86" t="s">
        <v>268</v>
      </c>
      <c r="E243" s="87" t="s">
        <v>23</v>
      </c>
      <c r="F243" s="88" t="s">
        <v>269</v>
      </c>
      <c r="G243" s="89">
        <v>2.0</v>
      </c>
      <c r="H243" s="90">
        <v>5.0</v>
      </c>
      <c r="I243" s="91">
        <f t="shared" si="4"/>
        <v>10</v>
      </c>
      <c r="J243" s="92">
        <v>6.9</v>
      </c>
      <c r="K243" s="93" t="s">
        <v>24</v>
      </c>
      <c r="L243" s="9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82" t="s">
        <v>283</v>
      </c>
      <c r="C244" s="85" t="s">
        <v>284</v>
      </c>
      <c r="D244" s="86" t="s">
        <v>266</v>
      </c>
      <c r="E244" s="87" t="s">
        <v>23</v>
      </c>
      <c r="F244" s="88" t="s">
        <v>285</v>
      </c>
      <c r="G244" s="89">
        <v>2.0</v>
      </c>
      <c r="H244" s="90">
        <v>18.0</v>
      </c>
      <c r="I244" s="91">
        <f t="shared" si="4"/>
        <v>36</v>
      </c>
      <c r="J244" s="92">
        <v>38.3</v>
      </c>
      <c r="K244" s="93" t="s">
        <v>24</v>
      </c>
      <c r="L244" s="9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95" t="s">
        <v>283</v>
      </c>
      <c r="C245" s="85" t="s">
        <v>13</v>
      </c>
      <c r="D245" s="86" t="s">
        <v>270</v>
      </c>
      <c r="E245" s="87" t="s">
        <v>23</v>
      </c>
      <c r="F245" s="88" t="s">
        <v>271</v>
      </c>
      <c r="G245" s="89">
        <v>2.0</v>
      </c>
      <c r="H245" s="90">
        <v>18.0</v>
      </c>
      <c r="I245" s="91">
        <f t="shared" si="4"/>
        <v>36</v>
      </c>
      <c r="J245" s="92">
        <v>42.56</v>
      </c>
      <c r="K245" s="93" t="s">
        <v>24</v>
      </c>
      <c r="L245" s="9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82" t="s">
        <v>283</v>
      </c>
      <c r="C246" s="43" t="s">
        <v>106</v>
      </c>
      <c r="D246" s="10" t="s">
        <v>272</v>
      </c>
      <c r="E246" s="11" t="s">
        <v>30</v>
      </c>
      <c r="F246" s="12"/>
      <c r="G246" s="77">
        <v>4.0</v>
      </c>
      <c r="H246" s="44">
        <v>15.0</v>
      </c>
      <c r="I246" s="78">
        <f t="shared" si="4"/>
        <v>60</v>
      </c>
      <c r="J246" s="20"/>
      <c r="K246" s="16" t="s">
        <v>16</v>
      </c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82" t="s">
        <v>283</v>
      </c>
      <c r="C247" s="43" t="s">
        <v>106</v>
      </c>
      <c r="D247" s="10" t="s">
        <v>273</v>
      </c>
      <c r="E247" s="11" t="s">
        <v>30</v>
      </c>
      <c r="F247" s="12"/>
      <c r="G247" s="77">
        <v>4.0</v>
      </c>
      <c r="H247" s="44">
        <v>15.0</v>
      </c>
      <c r="I247" s="78">
        <f t="shared" si="4"/>
        <v>60</v>
      </c>
      <c r="J247" s="20"/>
      <c r="K247" s="16" t="s">
        <v>16</v>
      </c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82" t="s">
        <v>283</v>
      </c>
      <c r="C248" s="85" t="s">
        <v>13</v>
      </c>
      <c r="D248" s="86" t="s">
        <v>274</v>
      </c>
      <c r="E248" s="87" t="s">
        <v>23</v>
      </c>
      <c r="F248" s="96" t="s">
        <v>286</v>
      </c>
      <c r="G248" s="89">
        <v>2.0</v>
      </c>
      <c r="H248" s="90">
        <v>12.0</v>
      </c>
      <c r="I248" s="91">
        <f t="shared" si="4"/>
        <v>24</v>
      </c>
      <c r="J248" s="92">
        <v>21.24</v>
      </c>
      <c r="K248" s="93" t="s">
        <v>24</v>
      </c>
      <c r="L248" s="9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82" t="s">
        <v>283</v>
      </c>
      <c r="C249" s="43" t="s">
        <v>106</v>
      </c>
      <c r="D249" s="52" t="s">
        <v>276</v>
      </c>
      <c r="E249" s="11" t="s">
        <v>30</v>
      </c>
      <c r="F249" s="12"/>
      <c r="G249" s="77">
        <v>4.0</v>
      </c>
      <c r="H249" s="44">
        <v>25.0</v>
      </c>
      <c r="I249" s="78">
        <f t="shared" si="4"/>
        <v>100</v>
      </c>
      <c r="J249" s="20"/>
      <c r="K249" s="16" t="s">
        <v>16</v>
      </c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82" t="s">
        <v>287</v>
      </c>
      <c r="C250" s="43" t="s">
        <v>288</v>
      </c>
      <c r="D250" s="10" t="s">
        <v>289</v>
      </c>
      <c r="E250" s="11" t="s">
        <v>290</v>
      </c>
      <c r="F250" s="51"/>
      <c r="G250" s="77">
        <v>1.0</v>
      </c>
      <c r="H250" s="44">
        <v>2300.0</v>
      </c>
      <c r="I250" s="78">
        <f t="shared" si="4"/>
        <v>2300</v>
      </c>
      <c r="J250" s="15">
        <v>1600.0</v>
      </c>
      <c r="K250" s="16" t="s">
        <v>24</v>
      </c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82" t="s">
        <v>287</v>
      </c>
      <c r="C251" s="9" t="s">
        <v>13</v>
      </c>
      <c r="D251" s="10" t="s">
        <v>291</v>
      </c>
      <c r="E251" s="19" t="s">
        <v>23</v>
      </c>
      <c r="F251" s="56" t="s">
        <v>292</v>
      </c>
      <c r="G251" s="77">
        <v>1.0</v>
      </c>
      <c r="H251" s="30">
        <v>18.0</v>
      </c>
      <c r="I251" s="14">
        <f t="shared" si="4"/>
        <v>18</v>
      </c>
      <c r="J251" s="20"/>
      <c r="K251" s="16"/>
      <c r="L251" s="48" t="s">
        <v>293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82" t="s">
        <v>287</v>
      </c>
      <c r="C252" s="9" t="s">
        <v>13</v>
      </c>
      <c r="D252" s="10" t="s">
        <v>294</v>
      </c>
      <c r="E252" s="19" t="s">
        <v>23</v>
      </c>
      <c r="F252" s="56" t="s">
        <v>295</v>
      </c>
      <c r="G252" s="77">
        <v>1.0</v>
      </c>
      <c r="H252" s="30">
        <v>22.0</v>
      </c>
      <c r="I252" s="14">
        <f t="shared" si="4"/>
        <v>22</v>
      </c>
      <c r="J252" s="20"/>
      <c r="K252" s="16"/>
      <c r="L252" s="48" t="s">
        <v>293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8" t="s">
        <v>287</v>
      </c>
      <c r="C253" s="9" t="s">
        <v>106</v>
      </c>
      <c r="D253" s="10" t="s">
        <v>296</v>
      </c>
      <c r="E253" s="11" t="s">
        <v>30</v>
      </c>
      <c r="F253" s="12"/>
      <c r="G253" s="77">
        <v>1.0</v>
      </c>
      <c r="H253" s="30">
        <v>50.0</v>
      </c>
      <c r="I253" s="14">
        <f t="shared" si="4"/>
        <v>50</v>
      </c>
      <c r="J253" s="20"/>
      <c r="K253" s="16" t="s">
        <v>16</v>
      </c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8" t="s">
        <v>287</v>
      </c>
      <c r="C254" s="9" t="s">
        <v>106</v>
      </c>
      <c r="D254" s="10" t="s">
        <v>297</v>
      </c>
      <c r="E254" s="11" t="s">
        <v>30</v>
      </c>
      <c r="F254" s="12"/>
      <c r="G254" s="77">
        <v>1.0</v>
      </c>
      <c r="H254" s="30">
        <v>50.0</v>
      </c>
      <c r="I254" s="14">
        <f t="shared" si="4"/>
        <v>50</v>
      </c>
      <c r="J254" s="20"/>
      <c r="K254" s="16" t="s">
        <v>16</v>
      </c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8" t="s">
        <v>287</v>
      </c>
      <c r="C255" s="9" t="s">
        <v>127</v>
      </c>
      <c r="D255" s="97" t="s">
        <v>298</v>
      </c>
      <c r="E255" s="19" t="s">
        <v>27</v>
      </c>
      <c r="F255" s="53" t="s">
        <v>299</v>
      </c>
      <c r="G255" s="98">
        <v>1.0</v>
      </c>
      <c r="H255" s="99">
        <v>288.0</v>
      </c>
      <c r="I255" s="14">
        <f t="shared" si="4"/>
        <v>288</v>
      </c>
      <c r="J255" s="15">
        <v>232.16</v>
      </c>
      <c r="K255" s="16" t="s">
        <v>24</v>
      </c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8" t="s">
        <v>287</v>
      </c>
      <c r="C256" s="9" t="s">
        <v>127</v>
      </c>
      <c r="D256" s="10" t="s">
        <v>300</v>
      </c>
      <c r="E256" s="19" t="s">
        <v>27</v>
      </c>
      <c r="F256" s="53" t="s">
        <v>301</v>
      </c>
      <c r="G256" s="77">
        <v>1.0</v>
      </c>
      <c r="H256" s="30">
        <v>414.0</v>
      </c>
      <c r="I256" s="14">
        <f t="shared" si="4"/>
        <v>414</v>
      </c>
      <c r="J256" s="15">
        <v>314.16</v>
      </c>
      <c r="K256" s="16" t="s">
        <v>24</v>
      </c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8" t="s">
        <v>287</v>
      </c>
      <c r="C257" s="9" t="s">
        <v>13</v>
      </c>
      <c r="D257" s="10" t="s">
        <v>302</v>
      </c>
      <c r="E257" s="11" t="s">
        <v>23</v>
      </c>
      <c r="F257" s="12" t="s">
        <v>303</v>
      </c>
      <c r="G257" s="77">
        <v>1.0</v>
      </c>
      <c r="H257" s="30">
        <v>54.0</v>
      </c>
      <c r="I257" s="14">
        <f t="shared" si="4"/>
        <v>54</v>
      </c>
      <c r="J257" s="15">
        <v>53.22</v>
      </c>
      <c r="K257" s="16" t="s">
        <v>24</v>
      </c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8" t="s">
        <v>287</v>
      </c>
      <c r="C258" s="18" t="s">
        <v>17</v>
      </c>
      <c r="D258" s="10" t="s">
        <v>304</v>
      </c>
      <c r="E258" s="11" t="s">
        <v>19</v>
      </c>
      <c r="F258" s="12"/>
      <c r="G258" s="77">
        <v>1.0</v>
      </c>
      <c r="H258" s="30">
        <v>95.0</v>
      </c>
      <c r="I258" s="14">
        <f t="shared" si="4"/>
        <v>95</v>
      </c>
      <c r="J258" s="20"/>
      <c r="K258" s="16" t="s">
        <v>16</v>
      </c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8" t="s">
        <v>287</v>
      </c>
      <c r="C259" s="18" t="s">
        <v>13</v>
      </c>
      <c r="D259" s="10" t="s">
        <v>305</v>
      </c>
      <c r="E259" s="11" t="s">
        <v>23</v>
      </c>
      <c r="F259" s="100" t="s">
        <v>5</v>
      </c>
      <c r="G259" s="77">
        <v>1.0</v>
      </c>
      <c r="H259" s="30">
        <v>170.0</v>
      </c>
      <c r="I259" s="14">
        <f t="shared" si="4"/>
        <v>170</v>
      </c>
      <c r="J259" s="15">
        <v>80.94</v>
      </c>
      <c r="K259" s="16" t="s">
        <v>24</v>
      </c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8" t="s">
        <v>287</v>
      </c>
      <c r="C260" s="18" t="s">
        <v>17</v>
      </c>
      <c r="D260" s="10" t="s">
        <v>306</v>
      </c>
      <c r="E260" s="11" t="s">
        <v>19</v>
      </c>
      <c r="F260" s="12"/>
      <c r="G260" s="77">
        <v>1.0</v>
      </c>
      <c r="H260" s="30">
        <v>200.0</v>
      </c>
      <c r="I260" s="14">
        <f t="shared" si="4"/>
        <v>200</v>
      </c>
      <c r="J260" s="20"/>
      <c r="K260" s="16" t="s">
        <v>16</v>
      </c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8" t="s">
        <v>287</v>
      </c>
      <c r="C261" s="9" t="s">
        <v>13</v>
      </c>
      <c r="D261" s="10" t="s">
        <v>307</v>
      </c>
      <c r="E261" s="19" t="s">
        <v>23</v>
      </c>
      <c r="F261" s="50" t="s">
        <v>308</v>
      </c>
      <c r="G261" s="77">
        <v>1.0</v>
      </c>
      <c r="H261" s="30">
        <v>24.0</v>
      </c>
      <c r="I261" s="14">
        <f t="shared" si="4"/>
        <v>24</v>
      </c>
      <c r="J261" s="20"/>
      <c r="K261" s="16"/>
      <c r="L261" s="48" t="s">
        <v>293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8" t="s">
        <v>287</v>
      </c>
      <c r="C262" s="9" t="s">
        <v>13</v>
      </c>
      <c r="D262" s="10" t="s">
        <v>307</v>
      </c>
      <c r="E262" s="19" t="s">
        <v>23</v>
      </c>
      <c r="F262" s="56" t="s">
        <v>309</v>
      </c>
      <c r="G262" s="77">
        <v>1.0</v>
      </c>
      <c r="H262" s="30">
        <v>17.99</v>
      </c>
      <c r="I262" s="14">
        <f t="shared" si="4"/>
        <v>17.99</v>
      </c>
      <c r="J262" s="20"/>
      <c r="K262" s="16"/>
      <c r="L262" s="48" t="s">
        <v>293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8" t="s">
        <v>287</v>
      </c>
      <c r="C263" s="9" t="s">
        <v>310</v>
      </c>
      <c r="D263" s="10" t="s">
        <v>311</v>
      </c>
      <c r="E263" s="19" t="s">
        <v>23</v>
      </c>
      <c r="F263" s="53" t="s">
        <v>312</v>
      </c>
      <c r="G263" s="77">
        <v>1.0</v>
      </c>
      <c r="H263" s="30">
        <v>420.0</v>
      </c>
      <c r="I263" s="14">
        <f t="shared" si="4"/>
        <v>420</v>
      </c>
      <c r="J263" s="15">
        <v>389.37</v>
      </c>
      <c r="K263" s="16" t="s">
        <v>24</v>
      </c>
      <c r="L263" s="48" t="s">
        <v>313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8" t="s">
        <v>287</v>
      </c>
      <c r="C264" s="9" t="s">
        <v>310</v>
      </c>
      <c r="D264" s="10" t="s">
        <v>314</v>
      </c>
      <c r="E264" s="11" t="s">
        <v>15</v>
      </c>
      <c r="F264" s="12"/>
      <c r="G264" s="77">
        <v>1.0</v>
      </c>
      <c r="H264" s="30">
        <v>84.0</v>
      </c>
      <c r="I264" s="14">
        <f t="shared" si="4"/>
        <v>84</v>
      </c>
      <c r="J264" s="20"/>
      <c r="K264" s="16" t="s">
        <v>16</v>
      </c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8" t="s">
        <v>315</v>
      </c>
      <c r="C265" s="9" t="s">
        <v>108</v>
      </c>
      <c r="D265" s="52" t="s">
        <v>316</v>
      </c>
      <c r="E265" s="11" t="s">
        <v>110</v>
      </c>
      <c r="F265" s="12"/>
      <c r="G265" s="13">
        <v>1.0</v>
      </c>
      <c r="H265" s="30">
        <v>2724.14</v>
      </c>
      <c r="I265" s="14">
        <f t="shared" si="4"/>
        <v>2724.14</v>
      </c>
      <c r="J265" s="15">
        <v>2724.14</v>
      </c>
      <c r="K265" s="16" t="s">
        <v>24</v>
      </c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8" t="s">
        <v>315</v>
      </c>
      <c r="C266" s="9" t="s">
        <v>317</v>
      </c>
      <c r="D266" s="52" t="s">
        <v>318</v>
      </c>
      <c r="E266" s="11" t="s">
        <v>319</v>
      </c>
      <c r="F266" s="12"/>
      <c r="G266" s="13">
        <v>1.0</v>
      </c>
      <c r="H266" s="30">
        <v>1075.0</v>
      </c>
      <c r="I266" s="14">
        <f t="shared" si="4"/>
        <v>1075</v>
      </c>
      <c r="J266" s="15">
        <v>721.0</v>
      </c>
      <c r="K266" s="16" t="s">
        <v>24</v>
      </c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46" t="s">
        <v>315</v>
      </c>
      <c r="C267" s="18" t="s">
        <v>13</v>
      </c>
      <c r="D267" s="72" t="s">
        <v>320</v>
      </c>
      <c r="E267" s="11" t="s">
        <v>315</v>
      </c>
      <c r="F267" s="12"/>
      <c r="G267" s="13"/>
      <c r="H267" s="44"/>
      <c r="I267" s="14">
        <f t="shared" si="4"/>
        <v>0</v>
      </c>
      <c r="J267" s="15">
        <v>244.92</v>
      </c>
      <c r="K267" s="16" t="s">
        <v>24</v>
      </c>
      <c r="L267" s="48" t="s">
        <v>321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8" t="s">
        <v>315</v>
      </c>
      <c r="C268" s="18" t="s">
        <v>17</v>
      </c>
      <c r="D268" s="52" t="s">
        <v>322</v>
      </c>
      <c r="E268" s="11" t="s">
        <v>19</v>
      </c>
      <c r="F268" s="12"/>
      <c r="G268" s="13">
        <v>2.0</v>
      </c>
      <c r="H268" s="30">
        <v>300.0</v>
      </c>
      <c r="I268" s="14">
        <f t="shared" si="4"/>
        <v>600</v>
      </c>
      <c r="J268" s="20"/>
      <c r="K268" s="16" t="s">
        <v>16</v>
      </c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46" t="s">
        <v>315</v>
      </c>
      <c r="C269" s="18"/>
      <c r="D269" s="72" t="s">
        <v>323</v>
      </c>
      <c r="E269" s="11" t="s">
        <v>315</v>
      </c>
      <c r="F269" s="12"/>
      <c r="G269" s="13"/>
      <c r="H269" s="44"/>
      <c r="I269" s="14">
        <f t="shared" si="4"/>
        <v>0</v>
      </c>
      <c r="J269" s="15">
        <v>13.77</v>
      </c>
      <c r="K269" s="16" t="s">
        <v>24</v>
      </c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8" t="s">
        <v>315</v>
      </c>
      <c r="C270" s="9"/>
      <c r="D270" s="10" t="s">
        <v>324</v>
      </c>
      <c r="E270" s="19" t="s">
        <v>15</v>
      </c>
      <c r="F270" s="12"/>
      <c r="G270" s="13">
        <v>1.0</v>
      </c>
      <c r="H270" s="30">
        <v>1000.0</v>
      </c>
      <c r="I270" s="14">
        <f t="shared" si="4"/>
        <v>1000</v>
      </c>
      <c r="J270" s="20"/>
      <c r="K270" s="16" t="s">
        <v>16</v>
      </c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8" t="s">
        <v>315</v>
      </c>
      <c r="C271" s="9" t="s">
        <v>325</v>
      </c>
      <c r="D271" s="10" t="s">
        <v>326</v>
      </c>
      <c r="E271" s="11" t="s">
        <v>171</v>
      </c>
      <c r="F271" s="12"/>
      <c r="G271" s="13">
        <v>1.0</v>
      </c>
      <c r="H271" s="30">
        <v>100.0</v>
      </c>
      <c r="I271" s="14">
        <f t="shared" si="4"/>
        <v>100</v>
      </c>
      <c r="J271" s="20"/>
      <c r="K271" s="16" t="s">
        <v>24</v>
      </c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8" t="s">
        <v>315</v>
      </c>
      <c r="C272" s="9" t="s">
        <v>327</v>
      </c>
      <c r="D272" s="10" t="s">
        <v>326</v>
      </c>
      <c r="E272" s="19" t="s">
        <v>315</v>
      </c>
      <c r="F272" s="12"/>
      <c r="G272" s="13">
        <v>1.0</v>
      </c>
      <c r="H272" s="30">
        <v>150.0</v>
      </c>
      <c r="I272" s="14">
        <f t="shared" si="4"/>
        <v>150</v>
      </c>
      <c r="J272" s="15">
        <v>455.19</v>
      </c>
      <c r="K272" s="16" t="s">
        <v>16</v>
      </c>
      <c r="L272" s="48" t="s">
        <v>328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8" t="s">
        <v>315</v>
      </c>
      <c r="C273" s="9" t="s">
        <v>84</v>
      </c>
      <c r="D273" s="10" t="s">
        <v>329</v>
      </c>
      <c r="E273" s="11" t="s">
        <v>86</v>
      </c>
      <c r="F273" s="12"/>
      <c r="G273" s="13">
        <v>1.0</v>
      </c>
      <c r="H273" s="30">
        <v>500.0</v>
      </c>
      <c r="I273" s="14">
        <f t="shared" si="4"/>
        <v>500</v>
      </c>
      <c r="J273" s="15">
        <v>0.0</v>
      </c>
      <c r="K273" s="16" t="s">
        <v>24</v>
      </c>
      <c r="L273" s="48" t="s">
        <v>87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8" t="s">
        <v>315</v>
      </c>
      <c r="C274" s="9" t="s">
        <v>330</v>
      </c>
      <c r="D274" s="10" t="s">
        <v>331</v>
      </c>
      <c r="E274" s="11" t="s">
        <v>332</v>
      </c>
      <c r="F274" s="12"/>
      <c r="G274" s="13">
        <v>1.0</v>
      </c>
      <c r="H274" s="30">
        <v>350.0</v>
      </c>
      <c r="I274" s="14">
        <f t="shared" si="4"/>
        <v>350</v>
      </c>
      <c r="J274" s="15">
        <v>350.0</v>
      </c>
      <c r="K274" s="16" t="s">
        <v>16</v>
      </c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8" t="s">
        <v>315</v>
      </c>
      <c r="C275" s="9" t="s">
        <v>333</v>
      </c>
      <c r="D275" s="10" t="s">
        <v>334</v>
      </c>
      <c r="E275" s="11" t="s">
        <v>335</v>
      </c>
      <c r="F275" s="12"/>
      <c r="G275" s="13">
        <v>1.0</v>
      </c>
      <c r="H275" s="30">
        <v>200.0</v>
      </c>
      <c r="I275" s="14">
        <f t="shared" si="4"/>
        <v>200</v>
      </c>
      <c r="J275" s="20"/>
      <c r="K275" s="16" t="s">
        <v>16</v>
      </c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2.5" customHeight="1">
      <c r="A276" s="1"/>
      <c r="B276" s="8" t="s">
        <v>315</v>
      </c>
      <c r="C276" s="9" t="s">
        <v>336</v>
      </c>
      <c r="D276" s="10" t="s">
        <v>337</v>
      </c>
      <c r="E276" s="11" t="s">
        <v>338</v>
      </c>
      <c r="F276" s="12"/>
      <c r="G276" s="13">
        <v>1.0</v>
      </c>
      <c r="H276" s="30">
        <v>500.0</v>
      </c>
      <c r="I276" s="14">
        <f t="shared" si="4"/>
        <v>500</v>
      </c>
      <c r="J276" s="20"/>
      <c r="K276" s="71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2.5" customHeight="1">
      <c r="A277" s="1"/>
      <c r="B277" s="8" t="s">
        <v>315</v>
      </c>
      <c r="C277" s="9"/>
      <c r="D277" s="10" t="s">
        <v>339</v>
      </c>
      <c r="E277" s="11" t="s">
        <v>340</v>
      </c>
      <c r="F277" s="12"/>
      <c r="G277" s="13">
        <v>1.0</v>
      </c>
      <c r="H277" s="30">
        <v>1380.0</v>
      </c>
      <c r="I277" s="14">
        <f t="shared" si="4"/>
        <v>1380</v>
      </c>
      <c r="J277" s="15">
        <v>900.0</v>
      </c>
      <c r="K277" s="16" t="s">
        <v>24</v>
      </c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2.5" customHeight="1">
      <c r="A278" s="1"/>
      <c r="B278" s="101" t="s">
        <v>315</v>
      </c>
      <c r="C278" s="102"/>
      <c r="D278" s="103" t="s">
        <v>341</v>
      </c>
      <c r="E278" s="104" t="s">
        <v>342</v>
      </c>
      <c r="F278" s="105"/>
      <c r="G278" s="106">
        <v>1.0</v>
      </c>
      <c r="H278" s="107">
        <v>200.0</v>
      </c>
      <c r="I278" s="108">
        <f t="shared" si="4"/>
        <v>200</v>
      </c>
      <c r="J278" s="109"/>
      <c r="K278" s="110"/>
      <c r="L278" s="11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2.5" customHeight="1">
      <c r="A279" s="1"/>
      <c r="B279" s="112" t="s">
        <v>315</v>
      </c>
      <c r="C279" s="113" t="s">
        <v>343</v>
      </c>
      <c r="D279" s="114" t="s">
        <v>344</v>
      </c>
      <c r="E279" s="115" t="s">
        <v>19</v>
      </c>
      <c r="F279" s="116"/>
      <c r="G279" s="117"/>
      <c r="H279" s="118"/>
      <c r="I279" s="119">
        <f t="shared" si="4"/>
        <v>0</v>
      </c>
      <c r="J279" s="120">
        <v>1575.0</v>
      </c>
      <c r="K279" s="121" t="s">
        <v>16</v>
      </c>
      <c r="L279" s="12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2.5" customHeight="1">
      <c r="A280" s="1"/>
      <c r="B280" s="112" t="s">
        <v>315</v>
      </c>
      <c r="C280" s="113" t="s">
        <v>345</v>
      </c>
      <c r="D280" s="114" t="s">
        <v>346</v>
      </c>
      <c r="E280" s="115" t="s">
        <v>19</v>
      </c>
      <c r="F280" s="116"/>
      <c r="G280" s="117"/>
      <c r="H280" s="118"/>
      <c r="I280" s="119">
        <f t="shared" si="4"/>
        <v>0</v>
      </c>
      <c r="J280" s="120">
        <v>900.0</v>
      </c>
      <c r="K280" s="121" t="s">
        <v>16</v>
      </c>
      <c r="L280" s="12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2.5" customHeight="1">
      <c r="A281" s="1"/>
      <c r="B281" s="112" t="s">
        <v>315</v>
      </c>
      <c r="C281" s="123" t="s">
        <v>347</v>
      </c>
      <c r="D281" s="124" t="s">
        <v>348</v>
      </c>
      <c r="E281" s="125" t="s">
        <v>315</v>
      </c>
      <c r="F281" s="126"/>
      <c r="G281" s="127"/>
      <c r="H281" s="128"/>
      <c r="I281" s="129">
        <v>2157.0</v>
      </c>
      <c r="J281" s="130">
        <v>1922.79</v>
      </c>
      <c r="K281" s="131" t="s">
        <v>24</v>
      </c>
      <c r="L281" s="13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2.5" customHeight="1">
      <c r="A282" s="1"/>
      <c r="B282" s="133" t="s">
        <v>315</v>
      </c>
      <c r="C282" s="113" t="s">
        <v>343</v>
      </c>
      <c r="D282" s="114" t="s">
        <v>349</v>
      </c>
      <c r="E282" s="115" t="s">
        <v>315</v>
      </c>
      <c r="F282" s="116"/>
      <c r="G282" s="117"/>
      <c r="H282" s="134"/>
      <c r="I282" s="135">
        <v>750.0</v>
      </c>
      <c r="J282" s="120">
        <v>540.0</v>
      </c>
      <c r="K282" s="121" t="s">
        <v>16</v>
      </c>
      <c r="L282" s="136" t="s">
        <v>146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2.5" customHeight="1">
      <c r="A283" s="1"/>
      <c r="B283" s="133" t="s">
        <v>315</v>
      </c>
      <c r="C283" s="113"/>
      <c r="D283" s="114" t="s">
        <v>350</v>
      </c>
      <c r="E283" s="115" t="s">
        <v>315</v>
      </c>
      <c r="F283" s="116"/>
      <c r="G283" s="117"/>
      <c r="H283" s="134"/>
      <c r="I283" s="135">
        <v>0.0</v>
      </c>
      <c r="J283" s="120">
        <v>180.0</v>
      </c>
      <c r="K283" s="121" t="s">
        <v>16</v>
      </c>
      <c r="L283" s="136" t="s">
        <v>321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2.5" customHeight="1">
      <c r="A284" s="1"/>
      <c r="B284" s="133" t="s">
        <v>315</v>
      </c>
      <c r="C284" s="113"/>
      <c r="D284" s="114" t="s">
        <v>351</v>
      </c>
      <c r="E284" s="115" t="s">
        <v>315</v>
      </c>
      <c r="F284" s="116"/>
      <c r="G284" s="117"/>
      <c r="H284" s="134"/>
      <c r="I284" s="135">
        <v>0.0</v>
      </c>
      <c r="J284" s="120">
        <v>250.0</v>
      </c>
      <c r="K284" s="121" t="s">
        <v>16</v>
      </c>
      <c r="L284" s="13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2.5" customHeight="1">
      <c r="A285" s="1"/>
      <c r="B285" s="112" t="s">
        <v>315</v>
      </c>
      <c r="C285" s="113" t="s">
        <v>343</v>
      </c>
      <c r="D285" s="114" t="s">
        <v>352</v>
      </c>
      <c r="E285" s="115" t="s">
        <v>315</v>
      </c>
      <c r="F285" s="116"/>
      <c r="G285" s="117"/>
      <c r="H285" s="118"/>
      <c r="I285" s="135">
        <v>0.0</v>
      </c>
      <c r="J285" s="120">
        <v>150.0</v>
      </c>
      <c r="K285" s="121" t="s">
        <v>16</v>
      </c>
      <c r="L285" s="136" t="s">
        <v>146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37"/>
      <c r="C286" s="1"/>
      <c r="D286" s="1"/>
      <c r="E286" s="13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37"/>
      <c r="C287" s="1"/>
      <c r="D287" s="1"/>
      <c r="E287" s="13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37"/>
      <c r="C288" s="1"/>
      <c r="D288" s="1"/>
      <c r="E288" s="13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37"/>
      <c r="C289" s="1"/>
      <c r="D289" s="1"/>
      <c r="E289" s="13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37"/>
      <c r="C290" s="1"/>
      <c r="D290" s="1"/>
      <c r="E290" s="13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37"/>
      <c r="C291" s="1"/>
      <c r="D291" s="1"/>
      <c r="E291" s="13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37"/>
      <c r="C292" s="1"/>
      <c r="D292" s="1"/>
      <c r="E292" s="13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37"/>
      <c r="C293" s="1"/>
      <c r="D293" s="1"/>
      <c r="E293" s="13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37"/>
      <c r="C294" s="1"/>
      <c r="D294" s="1"/>
      <c r="E294" s="13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37"/>
      <c r="C295" s="1"/>
      <c r="D295" s="1"/>
      <c r="E295" s="13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37"/>
      <c r="C296" s="1"/>
      <c r="D296" s="1"/>
      <c r="E296" s="13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37"/>
      <c r="C297" s="1"/>
      <c r="D297" s="1"/>
      <c r="E297" s="13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37"/>
      <c r="C298" s="1"/>
      <c r="D298" s="1"/>
      <c r="E298" s="13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37"/>
      <c r="C299" s="1"/>
      <c r="D299" s="1"/>
      <c r="E299" s="13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37"/>
      <c r="C300" s="1"/>
      <c r="D300" s="1"/>
      <c r="E300" s="13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37"/>
      <c r="C301" s="1"/>
      <c r="D301" s="1"/>
      <c r="E301" s="13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37"/>
      <c r="C302" s="1"/>
      <c r="D302" s="1"/>
      <c r="E302" s="13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37"/>
      <c r="C303" s="1"/>
      <c r="D303" s="1"/>
      <c r="E303" s="13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37"/>
      <c r="C304" s="1"/>
      <c r="D304" s="1"/>
      <c r="E304" s="13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37"/>
      <c r="C305" s="1"/>
      <c r="D305" s="1"/>
      <c r="E305" s="13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37"/>
      <c r="C306" s="1"/>
      <c r="D306" s="1"/>
      <c r="E306" s="13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37"/>
      <c r="C307" s="1"/>
      <c r="D307" s="1"/>
      <c r="E307" s="13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37"/>
      <c r="C308" s="1"/>
      <c r="D308" s="1"/>
      <c r="E308" s="13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37"/>
      <c r="C309" s="1"/>
      <c r="D309" s="1"/>
      <c r="E309" s="13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37"/>
      <c r="C310" s="1"/>
      <c r="D310" s="1"/>
      <c r="E310" s="13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37"/>
      <c r="C311" s="1"/>
      <c r="D311" s="1"/>
      <c r="E311" s="13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37"/>
      <c r="C312" s="1"/>
      <c r="D312" s="1"/>
      <c r="E312" s="13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37"/>
      <c r="C313" s="1"/>
      <c r="D313" s="1"/>
      <c r="E313" s="13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37"/>
      <c r="C314" s="1"/>
      <c r="D314" s="1"/>
      <c r="E314" s="13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37"/>
      <c r="C315" s="1"/>
      <c r="D315" s="1"/>
      <c r="E315" s="13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37"/>
      <c r="C316" s="1"/>
      <c r="D316" s="1"/>
      <c r="E316" s="13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37"/>
      <c r="C317" s="1"/>
      <c r="D317" s="1"/>
      <c r="E317" s="13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37"/>
      <c r="C318" s="1"/>
      <c r="D318" s="1"/>
      <c r="E318" s="13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37"/>
      <c r="C319" s="1"/>
      <c r="D319" s="1"/>
      <c r="E319" s="13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37"/>
      <c r="C320" s="1"/>
      <c r="D320" s="1"/>
      <c r="E320" s="13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37"/>
      <c r="C321" s="1"/>
      <c r="D321" s="1"/>
      <c r="E321" s="13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37"/>
      <c r="C322" s="1"/>
      <c r="D322" s="1"/>
      <c r="E322" s="13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37"/>
      <c r="C323" s="1"/>
      <c r="D323" s="1"/>
      <c r="E323" s="13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37"/>
      <c r="C324" s="1"/>
      <c r="D324" s="1"/>
      <c r="E324" s="13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37"/>
      <c r="C325" s="1"/>
      <c r="D325" s="1"/>
      <c r="E325" s="13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37"/>
      <c r="C326" s="1"/>
      <c r="D326" s="1"/>
      <c r="E326" s="13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37"/>
      <c r="C327" s="1"/>
      <c r="D327" s="1"/>
      <c r="E327" s="13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37"/>
      <c r="C328" s="1"/>
      <c r="D328" s="1"/>
      <c r="E328" s="13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37"/>
      <c r="C329" s="1"/>
      <c r="D329" s="1"/>
      <c r="E329" s="13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37"/>
      <c r="C330" s="1"/>
      <c r="D330" s="1"/>
      <c r="E330" s="13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37"/>
      <c r="C331" s="1"/>
      <c r="D331" s="1"/>
      <c r="E331" s="13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37"/>
      <c r="C332" s="1"/>
      <c r="D332" s="1"/>
      <c r="E332" s="13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37"/>
      <c r="C333" s="1"/>
      <c r="D333" s="1"/>
      <c r="E333" s="13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37"/>
      <c r="C334" s="1"/>
      <c r="D334" s="1"/>
      <c r="E334" s="13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37"/>
      <c r="C335" s="1"/>
      <c r="D335" s="1"/>
      <c r="E335" s="13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37"/>
      <c r="C336" s="1"/>
      <c r="D336" s="1"/>
      <c r="E336" s="13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37"/>
      <c r="C337" s="1"/>
      <c r="D337" s="1"/>
      <c r="E337" s="13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37"/>
      <c r="C338" s="1"/>
      <c r="D338" s="1"/>
      <c r="E338" s="13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37"/>
      <c r="C339" s="1"/>
      <c r="D339" s="1"/>
      <c r="E339" s="13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37"/>
      <c r="C340" s="1"/>
      <c r="D340" s="1"/>
      <c r="E340" s="13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37"/>
      <c r="C341" s="1"/>
      <c r="D341" s="1"/>
      <c r="E341" s="13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37"/>
      <c r="C342" s="1"/>
      <c r="D342" s="1"/>
      <c r="E342" s="13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37"/>
      <c r="C343" s="1"/>
      <c r="D343" s="1"/>
      <c r="E343" s="13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37"/>
      <c r="C344" s="1"/>
      <c r="D344" s="1"/>
      <c r="E344" s="13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37"/>
      <c r="C345" s="1"/>
      <c r="D345" s="1"/>
      <c r="E345" s="13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37"/>
      <c r="C346" s="1"/>
      <c r="D346" s="1"/>
      <c r="E346" s="13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37"/>
      <c r="C347" s="1"/>
      <c r="D347" s="1"/>
      <c r="E347" s="13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37"/>
      <c r="C348" s="1"/>
      <c r="D348" s="1"/>
      <c r="E348" s="13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37"/>
      <c r="C349" s="1"/>
      <c r="D349" s="1"/>
      <c r="E349" s="13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37"/>
      <c r="C350" s="1"/>
      <c r="D350" s="1"/>
      <c r="E350" s="13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37"/>
      <c r="C351" s="1"/>
      <c r="D351" s="1"/>
      <c r="E351" s="13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37"/>
      <c r="C352" s="1"/>
      <c r="D352" s="1"/>
      <c r="E352" s="13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37"/>
      <c r="C353" s="1"/>
      <c r="D353" s="1"/>
      <c r="E353" s="13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37"/>
      <c r="C354" s="1"/>
      <c r="D354" s="1"/>
      <c r="E354" s="13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37"/>
      <c r="C355" s="1"/>
      <c r="D355" s="1"/>
      <c r="E355" s="13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37"/>
      <c r="C356" s="1"/>
      <c r="D356" s="1"/>
      <c r="E356" s="13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37"/>
      <c r="C357" s="1"/>
      <c r="D357" s="1"/>
      <c r="E357" s="13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37"/>
      <c r="C358" s="1"/>
      <c r="D358" s="1"/>
      <c r="E358" s="13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37"/>
      <c r="C359" s="1"/>
      <c r="D359" s="1"/>
      <c r="E359" s="13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37"/>
      <c r="C360" s="1"/>
      <c r="D360" s="1"/>
      <c r="E360" s="13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37"/>
      <c r="C361" s="1"/>
      <c r="D361" s="1"/>
      <c r="E361" s="13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37"/>
      <c r="C362" s="1"/>
      <c r="D362" s="1"/>
      <c r="E362" s="13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37"/>
      <c r="C363" s="1"/>
      <c r="D363" s="1"/>
      <c r="E363" s="13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37"/>
      <c r="C364" s="1"/>
      <c r="D364" s="1"/>
      <c r="E364" s="13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37"/>
      <c r="C365" s="1"/>
      <c r="D365" s="1"/>
      <c r="E365" s="13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37"/>
      <c r="C366" s="1"/>
      <c r="D366" s="1"/>
      <c r="E366" s="13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37"/>
      <c r="C367" s="1"/>
      <c r="D367" s="1"/>
      <c r="E367" s="13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37"/>
      <c r="C368" s="1"/>
      <c r="D368" s="1"/>
      <c r="E368" s="13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37"/>
      <c r="C369" s="1"/>
      <c r="D369" s="1"/>
      <c r="E369" s="13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37"/>
      <c r="C370" s="1"/>
      <c r="D370" s="1"/>
      <c r="E370" s="13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37"/>
      <c r="C371" s="1"/>
      <c r="D371" s="1"/>
      <c r="E371" s="13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37"/>
      <c r="C372" s="1"/>
      <c r="D372" s="1"/>
      <c r="E372" s="13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37"/>
      <c r="C373" s="1"/>
      <c r="D373" s="1"/>
      <c r="E373" s="13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37"/>
      <c r="C374" s="1"/>
      <c r="D374" s="1"/>
      <c r="E374" s="13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37"/>
      <c r="C375" s="1"/>
      <c r="D375" s="1"/>
      <c r="E375" s="13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37"/>
      <c r="C376" s="1"/>
      <c r="D376" s="1"/>
      <c r="E376" s="13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37"/>
      <c r="C377" s="1"/>
      <c r="D377" s="1"/>
      <c r="E377" s="13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37"/>
      <c r="C378" s="1"/>
      <c r="D378" s="1"/>
      <c r="E378" s="13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37"/>
      <c r="C379" s="1"/>
      <c r="D379" s="1"/>
      <c r="E379" s="13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37"/>
      <c r="C380" s="1"/>
      <c r="D380" s="1"/>
      <c r="E380" s="13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37"/>
      <c r="C381" s="1"/>
      <c r="D381" s="1"/>
      <c r="E381" s="13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37"/>
      <c r="C382" s="1"/>
      <c r="D382" s="1"/>
      <c r="E382" s="13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37"/>
      <c r="C383" s="1"/>
      <c r="D383" s="1"/>
      <c r="E383" s="13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37"/>
      <c r="C384" s="1"/>
      <c r="D384" s="1"/>
      <c r="E384" s="13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37"/>
      <c r="C385" s="1"/>
      <c r="D385" s="1"/>
      <c r="E385" s="13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37"/>
      <c r="C386" s="1"/>
      <c r="D386" s="1"/>
      <c r="E386" s="13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37"/>
      <c r="C387" s="1"/>
      <c r="D387" s="1"/>
      <c r="E387" s="13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37"/>
      <c r="C388" s="1"/>
      <c r="D388" s="1"/>
      <c r="E388" s="13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37"/>
      <c r="C389" s="1"/>
      <c r="D389" s="1"/>
      <c r="E389" s="13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37"/>
      <c r="C390" s="1"/>
      <c r="D390" s="1"/>
      <c r="E390" s="13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37"/>
      <c r="C391" s="1"/>
      <c r="D391" s="1"/>
      <c r="E391" s="13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37"/>
      <c r="C392" s="1"/>
      <c r="D392" s="1"/>
      <c r="E392" s="13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37"/>
      <c r="C393" s="1"/>
      <c r="D393" s="1"/>
      <c r="E393" s="13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37"/>
      <c r="C394" s="1"/>
      <c r="D394" s="1"/>
      <c r="E394" s="13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37"/>
      <c r="C395" s="1"/>
      <c r="D395" s="1"/>
      <c r="E395" s="13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37"/>
      <c r="C396" s="1"/>
      <c r="D396" s="1"/>
      <c r="E396" s="13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37"/>
      <c r="C397" s="1"/>
      <c r="D397" s="1"/>
      <c r="E397" s="13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37"/>
      <c r="C398" s="1"/>
      <c r="D398" s="1"/>
      <c r="E398" s="13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37"/>
      <c r="C399" s="1"/>
      <c r="D399" s="1"/>
      <c r="E399" s="13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37"/>
      <c r="C400" s="1"/>
      <c r="D400" s="1"/>
      <c r="E400" s="13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37"/>
      <c r="C401" s="1"/>
      <c r="D401" s="1"/>
      <c r="E401" s="13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37"/>
      <c r="C402" s="1"/>
      <c r="D402" s="1"/>
      <c r="E402" s="13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37"/>
      <c r="C403" s="1"/>
      <c r="D403" s="1"/>
      <c r="E403" s="13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37"/>
      <c r="C404" s="1"/>
      <c r="D404" s="1"/>
      <c r="E404" s="13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37"/>
      <c r="C405" s="1"/>
      <c r="D405" s="1"/>
      <c r="E405" s="13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37"/>
      <c r="C406" s="1"/>
      <c r="D406" s="1"/>
      <c r="E406" s="13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37"/>
      <c r="C407" s="1"/>
      <c r="D407" s="1"/>
      <c r="E407" s="13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37"/>
      <c r="C408" s="1"/>
      <c r="D408" s="1"/>
      <c r="E408" s="13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37"/>
      <c r="C409" s="1"/>
      <c r="D409" s="1"/>
      <c r="E409" s="13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37"/>
      <c r="C410" s="1"/>
      <c r="D410" s="1"/>
      <c r="E410" s="13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37"/>
      <c r="C411" s="1"/>
      <c r="D411" s="1"/>
      <c r="E411" s="13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37"/>
      <c r="C412" s="1"/>
      <c r="D412" s="1"/>
      <c r="E412" s="13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37"/>
      <c r="C413" s="1"/>
      <c r="D413" s="1"/>
      <c r="E413" s="13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37"/>
      <c r="C414" s="1"/>
      <c r="D414" s="1"/>
      <c r="E414" s="13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37"/>
      <c r="C415" s="1"/>
      <c r="D415" s="1"/>
      <c r="E415" s="13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37"/>
      <c r="C416" s="1"/>
      <c r="D416" s="1"/>
      <c r="E416" s="13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37"/>
      <c r="C417" s="1"/>
      <c r="D417" s="1"/>
      <c r="E417" s="13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37"/>
      <c r="C418" s="1"/>
      <c r="D418" s="1"/>
      <c r="E418" s="13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37"/>
      <c r="C419" s="1"/>
      <c r="D419" s="1"/>
      <c r="E419" s="13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37"/>
      <c r="C420" s="1"/>
      <c r="D420" s="1"/>
      <c r="E420" s="13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37"/>
      <c r="C421" s="1"/>
      <c r="D421" s="1"/>
      <c r="E421" s="13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37"/>
      <c r="C422" s="1"/>
      <c r="D422" s="1"/>
      <c r="E422" s="13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37"/>
      <c r="C423" s="1"/>
      <c r="D423" s="1"/>
      <c r="E423" s="13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37"/>
      <c r="C424" s="1"/>
      <c r="D424" s="1"/>
      <c r="E424" s="13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37"/>
      <c r="C425" s="1"/>
      <c r="D425" s="1"/>
      <c r="E425" s="13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37"/>
      <c r="C426" s="1"/>
      <c r="D426" s="1"/>
      <c r="E426" s="13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37"/>
      <c r="C427" s="1"/>
      <c r="D427" s="1"/>
      <c r="E427" s="13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37"/>
      <c r="C428" s="1"/>
      <c r="D428" s="1"/>
      <c r="E428" s="13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37"/>
      <c r="C429" s="1"/>
      <c r="D429" s="1"/>
      <c r="E429" s="13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37"/>
      <c r="C430" s="1"/>
      <c r="D430" s="1"/>
      <c r="E430" s="13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37"/>
      <c r="C431" s="1"/>
      <c r="D431" s="1"/>
      <c r="E431" s="13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37"/>
      <c r="C432" s="1"/>
      <c r="D432" s="1"/>
      <c r="E432" s="13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37"/>
      <c r="C433" s="1"/>
      <c r="D433" s="1"/>
      <c r="E433" s="13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37"/>
      <c r="C434" s="1"/>
      <c r="D434" s="1"/>
      <c r="E434" s="13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37"/>
      <c r="C435" s="1"/>
      <c r="D435" s="1"/>
      <c r="E435" s="13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37"/>
      <c r="C436" s="1"/>
      <c r="D436" s="1"/>
      <c r="E436" s="13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37"/>
      <c r="C437" s="1"/>
      <c r="D437" s="1"/>
      <c r="E437" s="13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37"/>
      <c r="C438" s="1"/>
      <c r="D438" s="1"/>
      <c r="E438" s="13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37"/>
      <c r="C439" s="1"/>
      <c r="D439" s="1"/>
      <c r="E439" s="13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37"/>
      <c r="C440" s="1"/>
      <c r="D440" s="1"/>
      <c r="E440" s="13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37"/>
      <c r="C441" s="1"/>
      <c r="D441" s="1"/>
      <c r="E441" s="13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37"/>
      <c r="C442" s="1"/>
      <c r="D442" s="1"/>
      <c r="E442" s="13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37"/>
      <c r="C443" s="1"/>
      <c r="D443" s="1"/>
      <c r="E443" s="13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37"/>
      <c r="C444" s="1"/>
      <c r="D444" s="1"/>
      <c r="E444" s="13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37"/>
      <c r="C445" s="1"/>
      <c r="D445" s="1"/>
      <c r="E445" s="13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37"/>
      <c r="C446" s="1"/>
      <c r="D446" s="1"/>
      <c r="E446" s="13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37"/>
      <c r="C447" s="1"/>
      <c r="D447" s="1"/>
      <c r="E447" s="13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37"/>
      <c r="C448" s="1"/>
      <c r="D448" s="1"/>
      <c r="E448" s="13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37"/>
      <c r="C449" s="1"/>
      <c r="D449" s="1"/>
      <c r="E449" s="13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37"/>
      <c r="C450" s="1"/>
      <c r="D450" s="1"/>
      <c r="E450" s="13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37"/>
      <c r="C451" s="1"/>
      <c r="D451" s="1"/>
      <c r="E451" s="13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37"/>
      <c r="C452" s="1"/>
      <c r="D452" s="1"/>
      <c r="E452" s="13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37"/>
      <c r="C453" s="1"/>
      <c r="D453" s="1"/>
      <c r="E453" s="13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37"/>
      <c r="C454" s="1"/>
      <c r="D454" s="1"/>
      <c r="E454" s="13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37"/>
      <c r="C455" s="1"/>
      <c r="D455" s="1"/>
      <c r="E455" s="13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37"/>
      <c r="C456" s="1"/>
      <c r="D456" s="1"/>
      <c r="E456" s="13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37"/>
      <c r="C457" s="1"/>
      <c r="D457" s="1"/>
      <c r="E457" s="13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37"/>
      <c r="C458" s="1"/>
      <c r="D458" s="1"/>
      <c r="E458" s="13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37"/>
      <c r="C459" s="1"/>
      <c r="D459" s="1"/>
      <c r="E459" s="13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37"/>
      <c r="C460" s="1"/>
      <c r="D460" s="1"/>
      <c r="E460" s="13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37"/>
      <c r="C461" s="1"/>
      <c r="D461" s="1"/>
      <c r="E461" s="13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37"/>
      <c r="C462" s="1"/>
      <c r="D462" s="1"/>
      <c r="E462" s="13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37"/>
      <c r="C463" s="1"/>
      <c r="D463" s="1"/>
      <c r="E463" s="13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37"/>
      <c r="C464" s="1"/>
      <c r="D464" s="1"/>
      <c r="E464" s="13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37"/>
      <c r="C465" s="1"/>
      <c r="D465" s="1"/>
      <c r="E465" s="13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37"/>
      <c r="C466" s="1"/>
      <c r="D466" s="1"/>
      <c r="E466" s="13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37"/>
      <c r="C467" s="1"/>
      <c r="D467" s="1"/>
      <c r="E467" s="13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37"/>
      <c r="C468" s="1"/>
      <c r="D468" s="1"/>
      <c r="E468" s="13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37"/>
      <c r="C469" s="1"/>
      <c r="D469" s="1"/>
      <c r="E469" s="13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37"/>
      <c r="C470" s="1"/>
      <c r="D470" s="1"/>
      <c r="E470" s="13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37"/>
      <c r="C471" s="1"/>
      <c r="D471" s="1"/>
      <c r="E471" s="13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37"/>
      <c r="C472" s="1"/>
      <c r="D472" s="1"/>
      <c r="E472" s="13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37"/>
      <c r="C473" s="1"/>
      <c r="D473" s="1"/>
      <c r="E473" s="13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37"/>
      <c r="C474" s="1"/>
      <c r="D474" s="1"/>
      <c r="E474" s="13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37"/>
      <c r="C475" s="1"/>
      <c r="D475" s="1"/>
      <c r="E475" s="13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37"/>
      <c r="C476" s="1"/>
      <c r="D476" s="1"/>
      <c r="E476" s="13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37"/>
      <c r="C477" s="1"/>
      <c r="D477" s="1"/>
      <c r="E477" s="13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37"/>
      <c r="C478" s="1"/>
      <c r="D478" s="1"/>
      <c r="E478" s="13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37"/>
      <c r="C479" s="1"/>
      <c r="D479" s="1"/>
      <c r="E479" s="13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37"/>
      <c r="C480" s="1"/>
      <c r="D480" s="1"/>
      <c r="E480" s="13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37"/>
      <c r="C481" s="1"/>
      <c r="D481" s="1"/>
      <c r="E481" s="13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37"/>
      <c r="C482" s="1"/>
      <c r="D482" s="1"/>
      <c r="E482" s="13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37"/>
      <c r="C483" s="1"/>
      <c r="D483" s="1"/>
      <c r="E483" s="13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37"/>
      <c r="C484" s="1"/>
      <c r="D484" s="1"/>
      <c r="E484" s="13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37"/>
      <c r="C485" s="1"/>
      <c r="D485" s="1"/>
      <c r="E485" s="13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37"/>
      <c r="C486" s="1"/>
      <c r="D486" s="1"/>
      <c r="E486" s="13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37"/>
      <c r="C487" s="1"/>
      <c r="D487" s="1"/>
      <c r="E487" s="13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37"/>
      <c r="C488" s="1"/>
      <c r="D488" s="1"/>
      <c r="E488" s="13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37"/>
      <c r="C489" s="1"/>
      <c r="D489" s="1"/>
      <c r="E489" s="13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37"/>
      <c r="C490" s="1"/>
      <c r="D490" s="1"/>
      <c r="E490" s="13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37"/>
      <c r="C491" s="1"/>
      <c r="D491" s="1"/>
      <c r="E491" s="13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37"/>
      <c r="C492" s="1"/>
      <c r="D492" s="1"/>
      <c r="E492" s="13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37"/>
      <c r="C493" s="1"/>
      <c r="D493" s="1"/>
      <c r="E493" s="13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37"/>
      <c r="C494" s="1"/>
      <c r="D494" s="1"/>
      <c r="E494" s="13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37"/>
      <c r="C495" s="1"/>
      <c r="D495" s="1"/>
      <c r="E495" s="13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37"/>
      <c r="C496" s="1"/>
      <c r="D496" s="1"/>
      <c r="E496" s="13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37"/>
      <c r="C497" s="1"/>
      <c r="D497" s="1"/>
      <c r="E497" s="13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37"/>
      <c r="C498" s="1"/>
      <c r="D498" s="1"/>
      <c r="E498" s="13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37"/>
      <c r="C499" s="1"/>
      <c r="D499" s="1"/>
      <c r="E499" s="13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37"/>
      <c r="C500" s="1"/>
      <c r="D500" s="1"/>
      <c r="E500" s="13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37"/>
      <c r="C501" s="1"/>
      <c r="D501" s="1"/>
      <c r="E501" s="13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37"/>
      <c r="C502" s="1"/>
      <c r="D502" s="1"/>
      <c r="E502" s="13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37"/>
      <c r="C503" s="1"/>
      <c r="D503" s="1"/>
      <c r="E503" s="13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37"/>
      <c r="C504" s="1"/>
      <c r="D504" s="1"/>
      <c r="E504" s="13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37"/>
      <c r="C505" s="1"/>
      <c r="D505" s="1"/>
      <c r="E505" s="13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37"/>
      <c r="C506" s="1"/>
      <c r="D506" s="1"/>
      <c r="E506" s="13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37"/>
      <c r="C507" s="1"/>
      <c r="D507" s="1"/>
      <c r="E507" s="13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37"/>
      <c r="C508" s="1"/>
      <c r="D508" s="1"/>
      <c r="E508" s="13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37"/>
      <c r="C509" s="1"/>
      <c r="D509" s="1"/>
      <c r="E509" s="13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37"/>
      <c r="C510" s="1"/>
      <c r="D510" s="1"/>
      <c r="E510" s="13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37"/>
      <c r="C511" s="1"/>
      <c r="D511" s="1"/>
      <c r="E511" s="13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37"/>
      <c r="C512" s="1"/>
      <c r="D512" s="1"/>
      <c r="E512" s="13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37"/>
      <c r="C513" s="1"/>
      <c r="D513" s="1"/>
      <c r="E513" s="13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37"/>
      <c r="C514" s="1"/>
      <c r="D514" s="1"/>
      <c r="E514" s="13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37"/>
      <c r="C515" s="1"/>
      <c r="D515" s="1"/>
      <c r="E515" s="13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37"/>
      <c r="C516" s="1"/>
      <c r="D516" s="1"/>
      <c r="E516" s="13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37"/>
      <c r="C517" s="1"/>
      <c r="D517" s="1"/>
      <c r="E517" s="13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37"/>
      <c r="C518" s="1"/>
      <c r="D518" s="1"/>
      <c r="E518" s="13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37"/>
      <c r="C519" s="1"/>
      <c r="D519" s="1"/>
      <c r="E519" s="13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37"/>
      <c r="C520" s="1"/>
      <c r="D520" s="1"/>
      <c r="E520" s="13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37"/>
      <c r="C521" s="1"/>
      <c r="D521" s="1"/>
      <c r="E521" s="13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37"/>
      <c r="C522" s="1"/>
      <c r="D522" s="1"/>
      <c r="E522" s="13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37"/>
      <c r="C523" s="1"/>
      <c r="D523" s="1"/>
      <c r="E523" s="13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37"/>
      <c r="C524" s="1"/>
      <c r="D524" s="1"/>
      <c r="E524" s="13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37"/>
      <c r="C525" s="1"/>
      <c r="D525" s="1"/>
      <c r="E525" s="13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37"/>
      <c r="C526" s="1"/>
      <c r="D526" s="1"/>
      <c r="E526" s="13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37"/>
      <c r="C527" s="1"/>
      <c r="D527" s="1"/>
      <c r="E527" s="13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37"/>
      <c r="C528" s="1"/>
      <c r="D528" s="1"/>
      <c r="E528" s="13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37"/>
      <c r="C529" s="1"/>
      <c r="D529" s="1"/>
      <c r="E529" s="13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37"/>
      <c r="C530" s="1"/>
      <c r="D530" s="1"/>
      <c r="E530" s="13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37"/>
      <c r="C531" s="1"/>
      <c r="D531" s="1"/>
      <c r="E531" s="13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37"/>
      <c r="C532" s="1"/>
      <c r="D532" s="1"/>
      <c r="E532" s="13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37"/>
      <c r="C533" s="1"/>
      <c r="D533" s="1"/>
      <c r="E533" s="13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37"/>
      <c r="C534" s="1"/>
      <c r="D534" s="1"/>
      <c r="E534" s="13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37"/>
      <c r="C535" s="1"/>
      <c r="D535" s="1"/>
      <c r="E535" s="13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37"/>
      <c r="C536" s="1"/>
      <c r="D536" s="1"/>
      <c r="E536" s="13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37"/>
      <c r="C537" s="1"/>
      <c r="D537" s="1"/>
      <c r="E537" s="13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37"/>
      <c r="C538" s="1"/>
      <c r="D538" s="1"/>
      <c r="E538" s="13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37"/>
      <c r="C539" s="1"/>
      <c r="D539" s="1"/>
      <c r="E539" s="13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37"/>
      <c r="C540" s="1"/>
      <c r="D540" s="1"/>
      <c r="E540" s="13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37"/>
      <c r="C541" s="1"/>
      <c r="D541" s="1"/>
      <c r="E541" s="13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37"/>
      <c r="C542" s="1"/>
      <c r="D542" s="1"/>
      <c r="E542" s="13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37"/>
      <c r="C543" s="1"/>
      <c r="D543" s="1"/>
      <c r="E543" s="13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37"/>
      <c r="C544" s="1"/>
      <c r="D544" s="1"/>
      <c r="E544" s="13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37"/>
      <c r="C545" s="1"/>
      <c r="D545" s="1"/>
      <c r="E545" s="13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37"/>
      <c r="C546" s="1"/>
      <c r="D546" s="1"/>
      <c r="E546" s="13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37"/>
      <c r="C547" s="1"/>
      <c r="D547" s="1"/>
      <c r="E547" s="13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37"/>
      <c r="C548" s="1"/>
      <c r="D548" s="1"/>
      <c r="E548" s="13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37"/>
      <c r="C549" s="1"/>
      <c r="D549" s="1"/>
      <c r="E549" s="13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37"/>
      <c r="C550" s="1"/>
      <c r="D550" s="1"/>
      <c r="E550" s="13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37"/>
      <c r="C551" s="1"/>
      <c r="D551" s="1"/>
      <c r="E551" s="13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37"/>
      <c r="C552" s="1"/>
      <c r="D552" s="1"/>
      <c r="E552" s="13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37"/>
      <c r="C553" s="1"/>
      <c r="D553" s="1"/>
      <c r="E553" s="13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37"/>
      <c r="C554" s="1"/>
      <c r="D554" s="1"/>
      <c r="E554" s="13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37"/>
      <c r="C555" s="1"/>
      <c r="D555" s="1"/>
      <c r="E555" s="13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37"/>
      <c r="C556" s="1"/>
      <c r="D556" s="1"/>
      <c r="E556" s="13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37"/>
      <c r="C557" s="1"/>
      <c r="D557" s="1"/>
      <c r="E557" s="13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37"/>
      <c r="C558" s="1"/>
      <c r="D558" s="1"/>
      <c r="E558" s="13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37"/>
      <c r="C559" s="1"/>
      <c r="D559" s="1"/>
      <c r="E559" s="13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37"/>
      <c r="C560" s="1"/>
      <c r="D560" s="1"/>
      <c r="E560" s="13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37"/>
      <c r="C561" s="1"/>
      <c r="D561" s="1"/>
      <c r="E561" s="13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37"/>
      <c r="C562" s="1"/>
      <c r="D562" s="1"/>
      <c r="E562" s="13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37"/>
      <c r="C563" s="1"/>
      <c r="D563" s="1"/>
      <c r="E563" s="13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37"/>
      <c r="C564" s="1"/>
      <c r="D564" s="1"/>
      <c r="E564" s="13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37"/>
      <c r="C565" s="1"/>
      <c r="D565" s="1"/>
      <c r="E565" s="13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37"/>
      <c r="C566" s="1"/>
      <c r="D566" s="1"/>
      <c r="E566" s="13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37"/>
      <c r="C567" s="1"/>
      <c r="D567" s="1"/>
      <c r="E567" s="13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37"/>
      <c r="C568" s="1"/>
      <c r="D568" s="1"/>
      <c r="E568" s="13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37"/>
      <c r="C569" s="1"/>
      <c r="D569" s="1"/>
      <c r="E569" s="13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37"/>
      <c r="C570" s="1"/>
      <c r="D570" s="1"/>
      <c r="E570" s="13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37"/>
      <c r="C571" s="1"/>
      <c r="D571" s="1"/>
      <c r="E571" s="13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37"/>
      <c r="C572" s="1"/>
      <c r="D572" s="1"/>
      <c r="E572" s="13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37"/>
      <c r="C573" s="1"/>
      <c r="D573" s="1"/>
      <c r="E573" s="13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37"/>
      <c r="C574" s="1"/>
      <c r="D574" s="1"/>
      <c r="E574" s="13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37"/>
      <c r="C575" s="1"/>
      <c r="D575" s="1"/>
      <c r="E575" s="13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37"/>
      <c r="C576" s="1"/>
      <c r="D576" s="1"/>
      <c r="E576" s="13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37"/>
      <c r="C577" s="1"/>
      <c r="D577" s="1"/>
      <c r="E577" s="13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37"/>
      <c r="C578" s="1"/>
      <c r="D578" s="1"/>
      <c r="E578" s="13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37"/>
      <c r="C579" s="1"/>
      <c r="D579" s="1"/>
      <c r="E579" s="13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37"/>
      <c r="C580" s="1"/>
      <c r="D580" s="1"/>
      <c r="E580" s="13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37"/>
      <c r="C581" s="1"/>
      <c r="D581" s="1"/>
      <c r="E581" s="13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37"/>
      <c r="C582" s="1"/>
      <c r="D582" s="1"/>
      <c r="E582" s="13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37"/>
      <c r="C583" s="1"/>
      <c r="D583" s="1"/>
      <c r="E583" s="13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37"/>
      <c r="C584" s="1"/>
      <c r="D584" s="1"/>
      <c r="E584" s="13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37"/>
      <c r="C585" s="1"/>
      <c r="D585" s="1"/>
      <c r="E585" s="13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37"/>
      <c r="C586" s="1"/>
      <c r="D586" s="1"/>
      <c r="E586" s="13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37"/>
      <c r="C587" s="1"/>
      <c r="D587" s="1"/>
      <c r="E587" s="13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37"/>
      <c r="C588" s="1"/>
      <c r="D588" s="1"/>
      <c r="E588" s="13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37"/>
      <c r="C589" s="1"/>
      <c r="D589" s="1"/>
      <c r="E589" s="13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37"/>
      <c r="C590" s="1"/>
      <c r="D590" s="1"/>
      <c r="E590" s="13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37"/>
      <c r="C591" s="1"/>
      <c r="D591" s="1"/>
      <c r="E591" s="13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37"/>
      <c r="C592" s="1"/>
      <c r="D592" s="1"/>
      <c r="E592" s="13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37"/>
      <c r="C593" s="1"/>
      <c r="D593" s="1"/>
      <c r="E593" s="13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37"/>
      <c r="C594" s="1"/>
      <c r="D594" s="1"/>
      <c r="E594" s="13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37"/>
      <c r="C595" s="1"/>
      <c r="D595" s="1"/>
      <c r="E595" s="13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37"/>
      <c r="C596" s="1"/>
      <c r="D596" s="1"/>
      <c r="E596" s="13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37"/>
      <c r="C597" s="1"/>
      <c r="D597" s="1"/>
      <c r="E597" s="13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37"/>
      <c r="C598" s="1"/>
      <c r="D598" s="1"/>
      <c r="E598" s="13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37"/>
      <c r="C599" s="1"/>
      <c r="D599" s="1"/>
      <c r="E599" s="13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37"/>
      <c r="C600" s="1"/>
      <c r="D600" s="1"/>
      <c r="E600" s="13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37"/>
      <c r="C601" s="1"/>
      <c r="D601" s="1"/>
      <c r="E601" s="13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37"/>
      <c r="C602" s="1"/>
      <c r="D602" s="1"/>
      <c r="E602" s="13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37"/>
      <c r="C603" s="1"/>
      <c r="D603" s="1"/>
      <c r="E603" s="13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37"/>
      <c r="C604" s="1"/>
      <c r="D604" s="1"/>
      <c r="E604" s="13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37"/>
      <c r="C605" s="1"/>
      <c r="D605" s="1"/>
      <c r="E605" s="13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37"/>
      <c r="C606" s="1"/>
      <c r="D606" s="1"/>
      <c r="E606" s="13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37"/>
      <c r="C607" s="1"/>
      <c r="D607" s="1"/>
      <c r="E607" s="13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37"/>
      <c r="C608" s="1"/>
      <c r="D608" s="1"/>
      <c r="E608" s="13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37"/>
      <c r="C609" s="1"/>
      <c r="D609" s="1"/>
      <c r="E609" s="13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37"/>
      <c r="C610" s="1"/>
      <c r="D610" s="1"/>
      <c r="E610" s="13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37"/>
      <c r="C611" s="1"/>
      <c r="D611" s="1"/>
      <c r="E611" s="13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37"/>
      <c r="C612" s="1"/>
      <c r="D612" s="1"/>
      <c r="E612" s="13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37"/>
      <c r="C613" s="1"/>
      <c r="D613" s="1"/>
      <c r="E613" s="13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37"/>
      <c r="C614" s="1"/>
      <c r="D614" s="1"/>
      <c r="E614" s="13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37"/>
      <c r="C615" s="1"/>
      <c r="D615" s="1"/>
      <c r="E615" s="13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37"/>
      <c r="C616" s="1"/>
      <c r="D616" s="1"/>
      <c r="E616" s="13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37"/>
      <c r="C617" s="1"/>
      <c r="D617" s="1"/>
      <c r="E617" s="13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37"/>
      <c r="C618" s="1"/>
      <c r="D618" s="1"/>
      <c r="E618" s="13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37"/>
      <c r="C619" s="1"/>
      <c r="D619" s="1"/>
      <c r="E619" s="13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37"/>
      <c r="C620" s="1"/>
      <c r="D620" s="1"/>
      <c r="E620" s="13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37"/>
      <c r="C621" s="1"/>
      <c r="D621" s="1"/>
      <c r="E621" s="13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37"/>
      <c r="C622" s="1"/>
      <c r="D622" s="1"/>
      <c r="E622" s="13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37"/>
      <c r="C623" s="1"/>
      <c r="D623" s="1"/>
      <c r="E623" s="13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37"/>
      <c r="C624" s="1"/>
      <c r="D624" s="1"/>
      <c r="E624" s="13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37"/>
      <c r="C625" s="1"/>
      <c r="D625" s="1"/>
      <c r="E625" s="13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37"/>
      <c r="C626" s="1"/>
      <c r="D626" s="1"/>
      <c r="E626" s="13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37"/>
      <c r="C627" s="1"/>
      <c r="D627" s="1"/>
      <c r="E627" s="13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37"/>
      <c r="C628" s="1"/>
      <c r="D628" s="1"/>
      <c r="E628" s="13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37"/>
      <c r="C629" s="1"/>
      <c r="D629" s="1"/>
      <c r="E629" s="13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37"/>
      <c r="C630" s="1"/>
      <c r="D630" s="1"/>
      <c r="E630" s="13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37"/>
      <c r="C631" s="1"/>
      <c r="D631" s="1"/>
      <c r="E631" s="13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</sheetData>
  <conditionalFormatting sqref="B13:B285 C13:K242 L13:L102 L104:L242 C250:L278">
    <cfRule type="expression" dxfId="5" priority="1">
      <formula>$K13="COMPRADO"</formula>
    </cfRule>
  </conditionalFormatting>
  <conditionalFormatting sqref="B13:B285 C13:K242 L13:L102 L104:L242 C250:L278">
    <cfRule type="expression" dxfId="6" priority="2">
      <formula>$K13="ENTREGUE"</formula>
    </cfRule>
  </conditionalFormatting>
  <conditionalFormatting sqref="B13:B285 C13:K242 L13:L102 L104:L242 C250:L278">
    <cfRule type="expression" dxfId="7" priority="3">
      <formula>$K13="A COMPRAR"</formula>
    </cfRule>
  </conditionalFormatting>
  <conditionalFormatting sqref="B13:B285 C13:K242 L13:L102 L104:L242 C250:L278">
    <cfRule type="expression" dxfId="8" priority="4">
      <formula>$K13="WAREHOUSE"</formula>
    </cfRule>
  </conditionalFormatting>
  <conditionalFormatting sqref="B13:B285 C13:K242 L13:L102 L104:L242 C250:L278">
    <cfRule type="expression" dxfId="9" priority="5">
      <formula>$K13="TROCA"</formula>
    </cfRule>
  </conditionalFormatting>
  <conditionalFormatting sqref="B13:B285 C13:K242 L13:L102 L104:L242 C250:L278">
    <cfRule type="expression" dxfId="10" priority="6">
      <formula>$K13="RECOMPRA"</formula>
    </cfRule>
  </conditionalFormatting>
  <dataValidations>
    <dataValidation type="custom" allowBlank="1" showDropDown="1" sqref="L13:L280 L282:L285">
      <formula1>AND(ISNUMBER(L13),(NOT(OR(NOT(ISERROR(DATEVALUE(L13))), AND(ISNUMBER(L13), LEFT(CELL("format", L13))="D")))))</formula1>
    </dataValidation>
    <dataValidation type="list" allowBlank="1" sqref="E13:E285">
      <formula1>"AR CONDICIONADO,COMISSÃO,CORTINA,CONSTRUÇÃO,DECORAÇÃO,EXTRAS,FIXOS,FOTOGRÁFO,LIMPEZA,MARCENARIA,MÃO DE OBRA,MÓVEIS,PAPEL DE PAREDE,PACOTES TEMATICOS,PRODUTOS,PVC,SUMMER KITCHEN,VIDRO,TERCEIROS/PACOTES,CAFÉ,PERSONAGEM,COLCHÃO/VANDERLEI,TELA DE PRIVACIDADE,"&amp;"MERCADO"</formula1>
    </dataValidation>
    <dataValidation type="custom" allowBlank="1" showDropDown="1" sqref="G13:J285">
      <formula1>AND(ISNUMBER(G13),(NOT(OR(NOT(ISERROR(DATEVALUE(G13))), AND(ISNUMBER(G13), LEFT(CELL("format", G13))="D")))))</formula1>
    </dataValidation>
    <dataValidation type="list" allowBlank="1" sqref="K13:K285">
      <formula1>"COMPRADO,ENTREGUE,A COMPRAR,WAREHOUSE,TROCA,RECOMPRA"</formula1>
    </dataValidation>
    <dataValidation type="custom" allowBlank="1" showDropDown="1" sqref="L281">
      <formula1>AND(ISNUMBER(#REF!),(NOT(OR(NOT(ISERROR(DATEVALUE(#REF!))), AND(ISNUMBER(#REF!), LEFT(CELL("format", #REF!))="D")))))</formula1>
    </dataValidation>
  </dataValidations>
  <hyperlinks>
    <hyperlink r:id="rId1" ref="F17"/>
    <hyperlink r:id="rId2" ref="F20"/>
    <hyperlink r:id="rId3" ref="F23"/>
    <hyperlink r:id="rId4" ref="F24"/>
    <hyperlink r:id="rId5" ref="F25"/>
    <hyperlink r:id="rId6" ref="F27"/>
    <hyperlink r:id="rId7" ref="F28"/>
    <hyperlink r:id="rId8" ref="F29"/>
    <hyperlink r:id="rId9" ref="F30"/>
    <hyperlink r:id="rId10" ref="F31"/>
    <hyperlink r:id="rId11" ref="F35"/>
    <hyperlink r:id="rId12" ref="F36"/>
    <hyperlink r:id="rId13" ref="F38"/>
    <hyperlink r:id="rId14" ref="F39"/>
    <hyperlink r:id="rId15" ref="F40"/>
    <hyperlink r:id="rId16" ref="F41"/>
    <hyperlink r:id="rId17" ref="F42"/>
    <hyperlink r:id="rId18" ref="F43"/>
    <hyperlink r:id="rId19" ref="F44"/>
    <hyperlink r:id="rId20" ref="F45"/>
    <hyperlink r:id="rId21" ref="F46"/>
    <hyperlink r:id="rId22" ref="F47"/>
    <hyperlink r:id="rId23" ref="F48"/>
    <hyperlink r:id="rId24" ref="F49"/>
    <hyperlink r:id="rId25" ref="F50"/>
    <hyperlink r:id="rId26" ref="F51"/>
    <hyperlink r:id="rId27" ref="F52"/>
    <hyperlink r:id="rId28" ref="F53"/>
    <hyperlink r:id="rId29" ref="F54"/>
    <hyperlink r:id="rId30" ref="F55"/>
    <hyperlink r:id="rId31" ref="F56"/>
    <hyperlink r:id="rId32" ref="F57"/>
    <hyperlink r:id="rId33" ref="F58"/>
    <hyperlink r:id="rId34" ref="F59"/>
    <hyperlink r:id="rId35" ref="F60"/>
    <hyperlink r:id="rId36" ref="F61"/>
    <hyperlink r:id="rId37" ref="F62"/>
    <hyperlink r:id="rId38" ref="F63"/>
    <hyperlink r:id="rId39" ref="F64"/>
    <hyperlink r:id="rId40" ref="F66"/>
    <hyperlink r:id="rId41" ref="F76"/>
    <hyperlink r:id="rId42" ref="F83"/>
    <hyperlink r:id="rId43" ref="F93"/>
    <hyperlink r:id="rId44" ref="F100"/>
    <hyperlink r:id="rId45" ref="F102"/>
    <hyperlink r:id="rId46" ref="F105"/>
    <hyperlink r:id="rId47" ref="F108"/>
    <hyperlink r:id="rId48" ref="F114"/>
    <hyperlink r:id="rId49" ref="F115"/>
    <hyperlink r:id="rId50" ref="F117"/>
    <hyperlink r:id="rId51" ref="F118"/>
    <hyperlink r:id="rId52" ref="F119"/>
    <hyperlink r:id="rId53" ref="F120"/>
    <hyperlink r:id="rId54" ref="F123"/>
    <hyperlink r:id="rId55" ref="F124"/>
    <hyperlink r:id="rId56" ref="F126"/>
    <hyperlink r:id="rId57" ref="F127"/>
    <hyperlink r:id="rId58" ref="F141"/>
    <hyperlink r:id="rId59" ref="F142"/>
    <hyperlink r:id="rId60" ref="F143"/>
    <hyperlink r:id="rId61" ref="F146"/>
    <hyperlink r:id="rId62" ref="F150"/>
    <hyperlink r:id="rId63" ref="F151"/>
    <hyperlink r:id="rId64" ref="F165"/>
    <hyperlink r:id="rId65" ref="F166"/>
    <hyperlink r:id="rId66" ref="F167"/>
    <hyperlink r:id="rId67" ref="F170"/>
    <hyperlink r:id="rId68" ref="F172"/>
    <hyperlink r:id="rId69" ref="F173"/>
    <hyperlink r:id="rId70" ref="F179"/>
    <hyperlink r:id="rId71" ref="F180"/>
    <hyperlink r:id="rId72" ref="F181"/>
    <hyperlink r:id="rId73" ref="F182"/>
    <hyperlink r:id="rId74" ref="F183"/>
    <hyperlink r:id="rId75" ref="F184"/>
    <hyperlink r:id="rId76" ref="F185"/>
    <hyperlink r:id="rId77" ref="F186"/>
    <hyperlink r:id="rId78" ref="F187"/>
    <hyperlink r:id="rId79" ref="F188"/>
    <hyperlink r:id="rId80" ref="F189"/>
    <hyperlink r:id="rId81" ref="F190"/>
    <hyperlink r:id="rId82" ref="F191"/>
    <hyperlink r:id="rId83" ref="F194"/>
    <hyperlink r:id="rId84" ref="F195"/>
    <hyperlink r:id="rId85" ref="F196"/>
    <hyperlink r:id="rId86" ref="F197"/>
    <hyperlink r:id="rId87" ref="F198"/>
    <hyperlink r:id="rId88" ref="F201"/>
    <hyperlink r:id="rId89" ref="F203"/>
    <hyperlink r:id="rId90" ref="F206"/>
    <hyperlink r:id="rId91" ref="F207"/>
    <hyperlink r:id="rId92" ref="F208"/>
    <hyperlink r:id="rId93" ref="F209"/>
    <hyperlink r:id="rId94" ref="F213"/>
    <hyperlink r:id="rId95" ref="F215"/>
    <hyperlink r:id="rId96" ref="F216"/>
    <hyperlink r:id="rId97" ref="F217"/>
    <hyperlink r:id="rId98" ref="F218"/>
    <hyperlink r:id="rId99" ref="F220"/>
    <hyperlink r:id="rId100" ref="F223"/>
    <hyperlink r:id="rId101" ref="F232"/>
    <hyperlink r:id="rId102" ref="F233"/>
    <hyperlink r:id="rId103" ref="F234"/>
    <hyperlink r:id="rId104" ref="F237"/>
    <hyperlink r:id="rId105" ref="F243"/>
    <hyperlink r:id="rId106" ref="F244"/>
    <hyperlink r:id="rId107" ref="F245"/>
    <hyperlink r:id="rId108" ref="F251"/>
    <hyperlink r:id="rId109" ref="F252"/>
    <hyperlink r:id="rId110" ref="F255"/>
    <hyperlink r:id="rId111" ref="F256"/>
    <hyperlink r:id="rId112" ref="F259"/>
    <hyperlink r:id="rId113" ref="F261"/>
    <hyperlink r:id="rId114" ref="F262"/>
    <hyperlink r:id="rId115" ref="F263"/>
  </hyperlinks>
  <drawing r:id="rId116"/>
  <tableParts count="1">
    <tablePart r:id="rId1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C22" s="14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2025-03-19T18:42:01Z</dcterms:created>
  <dc:creator>Appenin Cabinets</dc:creator>
</cp:coreProperties>
</file>